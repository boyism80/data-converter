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28680" yWindow="-120" windowWidth="29040" windowHeight="17790" tabRatio="717"/>
  </bookViews>
  <sheets>
    <sheet name="Character" sheetId="1" r:id="rId1"/>
    <sheet name="#범례" sheetId="2" r:id="rId2"/>
  </sheets>
  <externalReferences>
    <externalReference r:id="rId3"/>
    <externalReference r:id="rId4"/>
  </externalReferences>
  <definedNames>
    <definedName name="_xlnm._FilterDatabase" localSheetId="0" hidden="1">Character!$A$4:$AY$60</definedName>
  </definedNames>
  <calcPr calcId="162913"/>
</workbook>
</file>

<file path=xl/calcChain.xml><?xml version="1.0" encoding="utf-8"?>
<calcChain xmlns="http://schemas.openxmlformats.org/spreadsheetml/2006/main">
  <c r="AQ39" i="1" l="1"/>
  <c r="AP39" i="1"/>
  <c r="AO39" i="1"/>
  <c r="AN39" i="1"/>
  <c r="AM39" i="1"/>
  <c r="AK39" i="1"/>
  <c r="AJ39" i="1"/>
  <c r="AI39" i="1"/>
  <c r="F39" i="1"/>
  <c r="E39" i="1"/>
  <c r="AE5" i="1" l="1"/>
  <c r="AD5" i="1"/>
  <c r="AC5" i="1"/>
  <c r="AB5" i="1"/>
  <c r="Z5" i="1" l="1"/>
  <c r="AJ59" i="1" l="1"/>
  <c r="AJ58" i="1"/>
  <c r="AJ57" i="1"/>
  <c r="AJ56" i="1"/>
  <c r="AJ55" i="1"/>
  <c r="AJ54" i="1"/>
  <c r="AJ53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8" i="1"/>
  <c r="AJ37" i="1"/>
  <c r="AJ36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3" i="1"/>
  <c r="AJ12" i="1"/>
  <c r="AJ11" i="1"/>
  <c r="AJ10" i="1"/>
  <c r="AJ9" i="1"/>
  <c r="AJ8" i="1"/>
  <c r="AJ7" i="1"/>
  <c r="AJ6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8" i="1"/>
  <c r="AO38" i="1"/>
  <c r="AN38" i="1"/>
  <c r="AP37" i="1"/>
  <c r="AO37" i="1"/>
  <c r="AN37" i="1"/>
  <c r="AP36" i="1"/>
  <c r="AO36" i="1"/>
  <c r="AN36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P6" i="1"/>
  <c r="AO6" i="1"/>
  <c r="AN6" i="1"/>
  <c r="AK59" i="1"/>
  <c r="AK58" i="1"/>
  <c r="AK57" i="1"/>
  <c r="AK56" i="1"/>
  <c r="AK55" i="1"/>
  <c r="AK54" i="1"/>
  <c r="AK53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8" i="1"/>
  <c r="AK37" i="1"/>
  <c r="AK36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13" i="1"/>
  <c r="AK12" i="1"/>
  <c r="AK11" i="1"/>
  <c r="AK10" i="1"/>
  <c r="AK9" i="1"/>
  <c r="AK8" i="1"/>
  <c r="AK7" i="1"/>
  <c r="AK6" i="1"/>
  <c r="AK19" i="1"/>
  <c r="AK18" i="1"/>
  <c r="AK17" i="1"/>
  <c r="AK16" i="1"/>
  <c r="AK15" i="1"/>
  <c r="AI59" i="1"/>
  <c r="AI58" i="1"/>
  <c r="AI57" i="1"/>
  <c r="AI56" i="1"/>
  <c r="AI55" i="1"/>
  <c r="AI54" i="1"/>
  <c r="AI53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8" i="1"/>
  <c r="AI37" i="1"/>
  <c r="AI36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19" i="1"/>
  <c r="AI18" i="1"/>
  <c r="AI17" i="1"/>
  <c r="AI16" i="1"/>
  <c r="AI15" i="1"/>
  <c r="AI13" i="1"/>
  <c r="AI12" i="1"/>
  <c r="AI11" i="1"/>
  <c r="AI10" i="1"/>
  <c r="AI9" i="1"/>
  <c r="AI8" i="1"/>
  <c r="AI7" i="1"/>
  <c r="AI6" i="1"/>
  <c r="AQ20" i="1"/>
  <c r="AP20" i="1"/>
  <c r="AO20" i="1"/>
  <c r="AN20" i="1"/>
  <c r="AK20" i="1"/>
  <c r="AI20" i="1"/>
  <c r="AM20" i="1"/>
  <c r="E20" i="1"/>
  <c r="F20" i="1"/>
  <c r="F13" i="1" l="1"/>
  <c r="E13" i="1"/>
  <c r="T14" i="1" l="1"/>
  <c r="Q14" i="1"/>
  <c r="AH14" i="1" l="1"/>
  <c r="AJ14" i="1" s="1"/>
  <c r="AH35" i="1"/>
  <c r="AJ35" i="1" s="1"/>
  <c r="AH52" i="1"/>
  <c r="AJ52" i="1" s="1"/>
  <c r="AI52" i="1" l="1"/>
  <c r="AI35" i="1"/>
  <c r="AI14" i="1"/>
  <c r="AH60" i="1"/>
  <c r="AJ60" i="1" s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19" i="1"/>
  <c r="AM18" i="1"/>
  <c r="AM17" i="1"/>
  <c r="AM16" i="1"/>
  <c r="AM15" i="1"/>
  <c r="AM14" i="1"/>
  <c r="AM12" i="1"/>
  <c r="AM11" i="1"/>
  <c r="AM10" i="1"/>
  <c r="AM9" i="1"/>
  <c r="AM8" i="1"/>
  <c r="AM7" i="1"/>
  <c r="AM6" i="1"/>
  <c r="AM60" i="1"/>
  <c r="AI60" i="1" l="1"/>
  <c r="T60" i="1"/>
  <c r="Q60" i="1"/>
  <c r="T52" i="1"/>
  <c r="Q52" i="1"/>
  <c r="T35" i="1"/>
  <c r="Q35" i="1"/>
  <c r="F59" i="1" l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19" i="1"/>
  <c r="E19" i="1"/>
  <c r="F18" i="1"/>
  <c r="E18" i="1"/>
  <c r="F17" i="1"/>
  <c r="E17" i="1"/>
  <c r="F16" i="1"/>
  <c r="E16" i="1"/>
  <c r="F15" i="1"/>
  <c r="E15" i="1"/>
  <c r="F14" i="1"/>
  <c r="E14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60" i="1"/>
  <c r="E60" i="1"/>
</calcChain>
</file>

<file path=xl/comments1.xml><?xml version="1.0" encoding="utf-8"?>
<comments xmlns="http://schemas.openxmlformats.org/spreadsheetml/2006/main">
  <authors>
    <author>오은석</author>
  </authors>
  <commentList>
    <comment ref="M1" authorId="0" shapeId="0">
      <text>
        <r>
          <rPr>
            <sz val="11"/>
            <color theme="1"/>
            <rFont val="맑은 고딕"/>
            <family val="2"/>
            <scheme val="minor"/>
          </rPr>
          <t>Fac_sta 스타시드
Fac_art 아르세즈
Fac_sti 스팅스
Fac_lde 이데올라
Fac_aut 오토라타
Fac_rim 리메리트
Fac_nul Null
Fac_sta_sec 보안국
Fac_art_sup 최고품평회
Fac_art_pur 순수예술
Fac_art_app 응요예술
Fac_art_lib 자유예술
Fac_sti_ast 레이리얼 아스트라
Fac_sti_swo 레이리얼 소드
Fac_sti_shi 레이리얼 쉴드
Fac_sti_alt 레이리얼 알터
Fac_sti_ars 레이리얼 아스날
Fac_lde_phy 물상 과학
Fac_aut_oce 대양의 나무
Fac_aut_ter 대지의 나무
Fac_aut_cae 천공의 나무
Fac_aut_gla 빙하의 나무
Fac_rim_aki 아키오카
Fac_rim_ode 오델리아
Fac_rim_its ITS
Fac_nul_ind 무소속</t>
        </r>
      </text>
    </comment>
    <comment ref="AG1" authorId="0" shapeId="0">
      <text>
        <r>
          <rPr>
            <sz val="11"/>
            <color theme="1"/>
            <rFont val="맑은 고딕"/>
            <family val="2"/>
            <scheme val="minor"/>
          </rPr>
          <t>타일 방신 변경으로
소숫 점 이하는 다 내림 처리</t>
        </r>
      </text>
    </comment>
    <comment ref="I3" authorId="0" shapeId="0">
      <text>
        <r>
          <rPr>
            <sz val="11"/>
            <color theme="1"/>
            <rFont val="맑은 고딕"/>
            <family val="2"/>
            <scheme val="minor"/>
          </rPr>
          <t>Attacker 어태커
Tanker 탱커
Supporter 서포터
Ranger 레인저
Attack 공격형
Defense 방어형</t>
        </r>
      </text>
    </comment>
  </commentList>
</comments>
</file>

<file path=xl/sharedStrings.xml><?xml version="1.0" encoding="utf-8"?>
<sst xmlns="http://schemas.openxmlformats.org/spreadsheetml/2006/main" count="1654" uniqueCount="844">
  <si>
    <t>#id</t>
  </si>
  <si>
    <t>#기획</t>
  </si>
  <si>
    <t>#이름</t>
  </si>
  <si>
    <t>#캐릭터 설명</t>
  </si>
  <si>
    <t>#등급</t>
  </si>
  <si>
    <t>#클래스</t>
  </si>
  <si>
    <t>#팩션타입</t>
  </si>
  <si>
    <t>#그룹</t>
  </si>
  <si>
    <t>#스탯</t>
  </si>
  <si>
    <t>#일반 공격1</t>
  </si>
  <si>
    <t>#일반 공격2</t>
  </si>
  <si>
    <t>#일반 공격3</t>
  </si>
  <si>
    <t>#액티브</t>
  </si>
  <si>
    <t>#패시브</t>
  </si>
  <si>
    <t>#궁극기</t>
  </si>
  <si>
    <t>#방향</t>
  </si>
  <si>
    <t>#도감</t>
  </si>
  <si>
    <t>#예정</t>
  </si>
  <si>
    <t>#크기</t>
  </si>
  <si>
    <t>#지름</t>
  </si>
  <si>
    <t>#기획
자동화</t>
  </si>
  <si>
    <t>#프리팹</t>
  </si>
  <si>
    <t>#스파인 프리팹</t>
  </si>
  <si>
    <t>#SD캐릭터 프리팹</t>
  </si>
  <si>
    <t>#SD캐릭터 바디프리팹 접미사</t>
  </si>
  <si>
    <t>#아이콘</t>
  </si>
  <si>
    <t>#궁극 타임라인</t>
  </si>
  <si>
    <t>#승리 타임라인</t>
  </si>
  <si>
    <t>#대사</t>
  </si>
  <si>
    <t>#죽음</t>
  </si>
  <si>
    <t>#스킬
아군 배치</t>
  </si>
  <si>
    <t>#스킬
적군 배치</t>
  </si>
  <si>
    <t>#선호아이템</t>
  </si>
  <si>
    <t>Id</t>
  </si>
  <si>
    <t>#</t>
  </si>
  <si>
    <t>Name</t>
  </si>
  <si>
    <t>Desc</t>
  </si>
  <si>
    <t>BaseGrade</t>
  </si>
  <si>
    <t>Type</t>
  </si>
  <si>
    <t>FactionType</t>
  </si>
  <si>
    <t>FactionGroudId</t>
  </si>
  <si>
    <t>BaseStat</t>
  </si>
  <si>
    <t>NormalSkill1</t>
  </si>
  <si>
    <t>NormalSkill2</t>
  </si>
  <si>
    <t>NormalSkill3</t>
  </si>
  <si>
    <t>Skill1</t>
  </si>
  <si>
    <t>Skill2</t>
  </si>
  <si>
    <t>Skill3</t>
  </si>
  <si>
    <t>UltimateSkill</t>
  </si>
  <si>
    <t>Left</t>
  </si>
  <si>
    <t>Show</t>
  </si>
  <si>
    <t>Scale</t>
  </si>
  <si>
    <t>Radius</t>
  </si>
  <si>
    <t>PrefabBattle</t>
  </si>
  <si>
    <t>PrefabSpine</t>
  </si>
  <si>
    <t>PrefabSD</t>
  </si>
  <si>
    <t>PrefabSDBodySurffix</t>
  </si>
  <si>
    <t>Icon</t>
  </si>
  <si>
    <t>UltimateTimeline</t>
  </si>
  <si>
    <t>VictoryTimeline</t>
  </si>
  <si>
    <t>Talk</t>
  </si>
  <si>
    <t>DieSound</t>
  </si>
  <si>
    <t>PlayerSetting</t>
  </si>
  <si>
    <t>EnemySetting</t>
  </si>
  <si>
    <t>Like</t>
  </si>
  <si>
    <t>*long</t>
  </si>
  <si>
    <t>$Text</t>
  </si>
  <si>
    <t>$Text?</t>
  </si>
  <si>
    <t>GradeType</t>
  </si>
  <si>
    <t>ClassType</t>
  </si>
  <si>
    <t>$FactionGroup?</t>
  </si>
  <si>
    <t>$CharacterStat.BaseId</t>
  </si>
  <si>
    <t>$SkillGroup?</t>
  </si>
  <si>
    <t>bool</t>
  </si>
  <si>
    <t>float</t>
  </si>
  <si>
    <t>int</t>
  </si>
  <si>
    <t>string</t>
  </si>
  <si>
    <t>$MonsterSetting?</t>
  </si>
  <si>
    <t>[$ItemCase]</t>
  </si>
  <si>
    <t>common</t>
  </si>
  <si>
    <t>client</t>
  </si>
  <si>
    <t>더미</t>
  </si>
  <si>
    <t>Name.Character.dummy</t>
  </si>
  <si>
    <t>SR</t>
  </si>
  <si>
    <t>Tanker</t>
  </si>
  <si>
    <t>Null</t>
  </si>
  <si>
    <t>Fac_nul_ind</t>
  </si>
  <si>
    <t>test</t>
  </si>
  <si>
    <t>comingsoon.attack</t>
  </si>
  <si>
    <t>comingsoon.active1</t>
  </si>
  <si>
    <t>comingsoon.active2</t>
  </si>
  <si>
    <t>comingsoon.passive</t>
  </si>
  <si>
    <t>comingsoon.ult</t>
  </si>
  <si>
    <t>Character/Prefabs/c_tanker_anne_1</t>
  </si>
  <si>
    <t>character_더미_01</t>
  </si>
  <si>
    <t>Character/Timeline/01_CHA/ult_c_tanker_anne_1</t>
  </si>
  <si>
    <t>Character/Timeline/01_CHA/victory_c_tanker_anne_1</t>
  </si>
  <si>
    <t>Player.Single</t>
  </si>
  <si>
    <t>Enemy.Melee.Single</t>
  </si>
  <si>
    <t>1040406001 &amp; 1040406002</t>
  </si>
  <si>
    <t>itus</t>
  </si>
  <si>
    <t>아이투스</t>
  </si>
  <si>
    <t>Ideolla</t>
  </si>
  <si>
    <t>Fac_lde_phy</t>
  </si>
  <si>
    <t>c_tanker_itus_1</t>
  </si>
  <si>
    <t>melissa</t>
  </si>
  <si>
    <t>메리샤</t>
  </si>
  <si>
    <t>Artase</t>
  </si>
  <si>
    <t>Fac_art_app</t>
  </si>
  <si>
    <t>melissa.attack2</t>
  </si>
  <si>
    <t>melissa.attack3</t>
  </si>
  <si>
    <t>melissa.active1</t>
  </si>
  <si>
    <t>melissa.active2</t>
  </si>
  <si>
    <t>melissa.passive</t>
  </si>
  <si>
    <t>melissa.ult</t>
  </si>
  <si>
    <t>c_tanker_melissa_1</t>
  </si>
  <si>
    <t>lilian</t>
  </si>
  <si>
    <t>릴리안</t>
  </si>
  <si>
    <t>lilian.attack1</t>
  </si>
  <si>
    <t>lilian.attack2</t>
  </si>
  <si>
    <t>lilian.attack3</t>
  </si>
  <si>
    <t>lilian.active1</t>
  </si>
  <si>
    <t>lilian.active2</t>
  </si>
  <si>
    <t>lilian.passive</t>
  </si>
  <si>
    <t>lilian.ult</t>
  </si>
  <si>
    <t>c_tanker_lilian_1</t>
  </si>
  <si>
    <t>_lilian</t>
  </si>
  <si>
    <t>Enemy.Melee.Multi.Square</t>
  </si>
  <si>
    <t>daria</t>
  </si>
  <si>
    <t>다리아</t>
  </si>
  <si>
    <t>Stings</t>
  </si>
  <si>
    <t>Fac_sti_shi</t>
  </si>
  <si>
    <t>daria.attack1</t>
  </si>
  <si>
    <t>daria.attack2</t>
  </si>
  <si>
    <t>daria.attack3</t>
  </si>
  <si>
    <t>daria.active1</t>
  </si>
  <si>
    <t>daria.active2</t>
  </si>
  <si>
    <t>daria.passive</t>
  </si>
  <si>
    <t>daria.ult</t>
  </si>
  <si>
    <t>c_tanker_daria_1</t>
  </si>
  <si>
    <t>Player.Multi.Shale</t>
  </si>
  <si>
    <t>Enemy.Range.Single</t>
  </si>
  <si>
    <t>snopril</t>
  </si>
  <si>
    <t>스노프릴</t>
  </si>
  <si>
    <t>Autolata</t>
  </si>
  <si>
    <t>Fac_aut_gla</t>
  </si>
  <si>
    <t>snopril.attack1</t>
  </si>
  <si>
    <t>snopril.attack2</t>
  </si>
  <si>
    <t>snopril.attack3</t>
  </si>
  <si>
    <t>snopril.active1</t>
  </si>
  <si>
    <t>snopril.active2</t>
  </si>
  <si>
    <t>snopril.passive</t>
  </si>
  <si>
    <t>snopril.ult</t>
  </si>
  <si>
    <t>c_tanker_snopril_1</t>
  </si>
  <si>
    <t>Enemy.Melee.Multi</t>
  </si>
  <si>
    <t>anne</t>
  </si>
  <si>
    <t>앤</t>
  </si>
  <si>
    <t>Limerit</t>
  </si>
  <si>
    <t>Fac_rim_ode</t>
  </si>
  <si>
    <t>anne.attack1</t>
  </si>
  <si>
    <t>anne.attack2</t>
  </si>
  <si>
    <t>anne.attack3</t>
  </si>
  <si>
    <t>anne.active1</t>
  </si>
  <si>
    <t>anne.active2</t>
  </si>
  <si>
    <t>anne.passive</t>
  </si>
  <si>
    <t>anne.ult</t>
  </si>
  <si>
    <t>c_tanker_anne_1</t>
  </si>
  <si>
    <t>taina</t>
  </si>
  <si>
    <t>타이나</t>
  </si>
  <si>
    <t>taina.attack1</t>
  </si>
  <si>
    <t>taina.attack2</t>
  </si>
  <si>
    <t>taina.attack3</t>
  </si>
  <si>
    <t>taina.active1</t>
  </si>
  <si>
    <t>taina.active2</t>
  </si>
  <si>
    <t>taina.passive</t>
  </si>
  <si>
    <t>taina.ult</t>
  </si>
  <si>
    <t>c_tanker_taina_1</t>
  </si>
  <si>
    <t>diana</t>
  </si>
  <si>
    <t>다이아나</t>
  </si>
  <si>
    <t>diana.attack1</t>
  </si>
  <si>
    <t>diana.attack2</t>
  </si>
  <si>
    <t>diana.attack3</t>
  </si>
  <si>
    <t>diana.active1</t>
  </si>
  <si>
    <t>c_tanker_diana_1</t>
  </si>
  <si>
    <t>kaito.aile</t>
  </si>
  <si>
    <t>괴도 엘</t>
  </si>
  <si>
    <t>Attacker</t>
  </si>
  <si>
    <t>serapulsar</t>
  </si>
  <si>
    <t>세라펄사</t>
  </si>
  <si>
    <t>serapulsar.attack1</t>
  </si>
  <si>
    <t>serapulsar.attack2</t>
  </si>
  <si>
    <t>serapulsar.attack3</t>
  </si>
  <si>
    <t>serapulsar.active1</t>
  </si>
  <si>
    <t>serapulsar.active2</t>
  </si>
  <si>
    <t>serapulsar.passive</t>
  </si>
  <si>
    <t>serapulsar.ult</t>
  </si>
  <si>
    <t>c_attacker_serapulsar_1</t>
  </si>
  <si>
    <t>iras</t>
  </si>
  <si>
    <t>아이라스</t>
  </si>
  <si>
    <t>iras.attack1</t>
  </si>
  <si>
    <t>iras.attack2</t>
  </si>
  <si>
    <t>iras.attack3</t>
  </si>
  <si>
    <t>iras.active1</t>
  </si>
  <si>
    <t>iras.active2</t>
  </si>
  <si>
    <t>iras.passive</t>
  </si>
  <si>
    <t>iras.ult</t>
  </si>
  <si>
    <t>c_attacker_iras_1</t>
  </si>
  <si>
    <t>ambrosia</t>
  </si>
  <si>
    <t>앰브로시아</t>
  </si>
  <si>
    <t>Fac_sti_ars</t>
  </si>
  <si>
    <t>ambrosia.attack1</t>
  </si>
  <si>
    <t>ambrosia.attack2</t>
  </si>
  <si>
    <t>ambrosia.attack3</t>
  </si>
  <si>
    <t>ambrosia.active1</t>
  </si>
  <si>
    <t>ambrosia.active2</t>
  </si>
  <si>
    <t>ambrosia.passive</t>
  </si>
  <si>
    <t>ambrosia.ult</t>
  </si>
  <si>
    <t>c_attacker_ambrosia_1</t>
  </si>
  <si>
    <t>sia</t>
  </si>
  <si>
    <t>시아</t>
  </si>
  <si>
    <t>c_attacker_sia_1</t>
  </si>
  <si>
    <t>mea</t>
  </si>
  <si>
    <t>메아</t>
  </si>
  <si>
    <t>Fac_aut_oce</t>
  </si>
  <si>
    <t>mea.attack1</t>
  </si>
  <si>
    <t>mea.attack2</t>
  </si>
  <si>
    <t>mea.attack3</t>
  </si>
  <si>
    <t>mea.active1</t>
  </si>
  <si>
    <t>mea.active2</t>
  </si>
  <si>
    <t>mea.passive</t>
  </si>
  <si>
    <t>mea.ult</t>
  </si>
  <si>
    <t>c_attacker_mea_1</t>
  </si>
  <si>
    <t>rachel</t>
  </si>
  <si>
    <t>레이첼</t>
  </si>
  <si>
    <t>Fac_sti_swo</t>
  </si>
  <si>
    <t>c_attacker_rachel_1</t>
  </si>
  <si>
    <t>isabella</t>
  </si>
  <si>
    <t>이사벨라</t>
  </si>
  <si>
    <t>Fac_sti_alt</t>
  </si>
  <si>
    <t>isabella.attack1</t>
  </si>
  <si>
    <t>isabella.attack2</t>
  </si>
  <si>
    <t>isabella.attack3</t>
  </si>
  <si>
    <t>isabella.active1</t>
  </si>
  <si>
    <t>isabella.active2</t>
  </si>
  <si>
    <t>isabella.passive</t>
  </si>
  <si>
    <t>isabella.ult</t>
  </si>
  <si>
    <t>c_attacker_isabella_1</t>
  </si>
  <si>
    <t>balencia</t>
  </si>
  <si>
    <t>발렌시아</t>
  </si>
  <si>
    <t>balencia.attack1</t>
  </si>
  <si>
    <t>balencia.attack2</t>
  </si>
  <si>
    <t>balencia.attack3</t>
  </si>
  <si>
    <t>balencia.active1</t>
  </si>
  <si>
    <t>balencia.active2</t>
  </si>
  <si>
    <t>balencia.passive</t>
  </si>
  <si>
    <t>balencia.ult</t>
  </si>
  <si>
    <t>c_attacker_balencia_1</t>
  </si>
  <si>
    <t>belita</t>
  </si>
  <si>
    <t>벨리타</t>
  </si>
  <si>
    <t>Fac_art_pur</t>
  </si>
  <si>
    <t>belita.attack1</t>
  </si>
  <si>
    <t>belita.attack2</t>
  </si>
  <si>
    <t>belita.attack3</t>
  </si>
  <si>
    <t>belita.active1</t>
  </si>
  <si>
    <t>belita.active2</t>
  </si>
  <si>
    <t>belita.passive</t>
  </si>
  <si>
    <t>belita.ult</t>
  </si>
  <si>
    <t>c_attacker_belita_1</t>
  </si>
  <si>
    <t>belebeta</t>
  </si>
  <si>
    <t>베르베타</t>
  </si>
  <si>
    <t>belebeta.attack1</t>
  </si>
  <si>
    <t>belebeta.attack2</t>
  </si>
  <si>
    <t>belebeta.attack3</t>
  </si>
  <si>
    <t>belebeta.active1</t>
  </si>
  <si>
    <t>belebeta.active2</t>
  </si>
  <si>
    <t>belebeta.passive</t>
  </si>
  <si>
    <t>belebeta.ult</t>
  </si>
  <si>
    <t>c_attacker_belebeta_1</t>
  </si>
  <si>
    <t>arcels</t>
  </si>
  <si>
    <t>아셀스</t>
  </si>
  <si>
    <t>Fac_aut_ter</t>
  </si>
  <si>
    <t>arcels.attack1</t>
  </si>
  <si>
    <t>arcels.attack2</t>
  </si>
  <si>
    <t>arcels.attack3</t>
  </si>
  <si>
    <t>arcels.active1</t>
  </si>
  <si>
    <t>arcels.active2</t>
  </si>
  <si>
    <t>arcels.passive</t>
  </si>
  <si>
    <t>arcels.ult</t>
  </si>
  <si>
    <t>c_attacker_arcels_1</t>
  </si>
  <si>
    <t>angelica</t>
  </si>
  <si>
    <t>안젤리카</t>
  </si>
  <si>
    <t>Fac_art_lib</t>
  </si>
  <si>
    <t>angelica.attack1</t>
  </si>
  <si>
    <t>angelica.attack2</t>
  </si>
  <si>
    <t>angelica.attack3</t>
  </si>
  <si>
    <t>angelica.active1</t>
  </si>
  <si>
    <t>angelica.active2</t>
  </si>
  <si>
    <t>angelica.passive</t>
  </si>
  <si>
    <t>angelica.ult</t>
  </si>
  <si>
    <t>c_attacker_angelica_1</t>
  </si>
  <si>
    <t>brynhild</t>
  </si>
  <si>
    <t>브륀힐데</t>
  </si>
  <si>
    <t>brynhild.attack1</t>
  </si>
  <si>
    <t>brynhild.attack2</t>
  </si>
  <si>
    <t>brynhild.attack3</t>
  </si>
  <si>
    <t>brynhild.active1</t>
  </si>
  <si>
    <t>brynhild.active2</t>
  </si>
  <si>
    <t>brynhild.passive</t>
  </si>
  <si>
    <t>brynhild.ult</t>
  </si>
  <si>
    <t>c_attacker_brynhild_1</t>
  </si>
  <si>
    <t>yuna</t>
  </si>
  <si>
    <t>유나</t>
  </si>
  <si>
    <t>Fac_rim_aki</t>
  </si>
  <si>
    <t>yuna.attack1</t>
  </si>
  <si>
    <t>yuna.attack2</t>
  </si>
  <si>
    <t>yuna.attack3</t>
  </si>
  <si>
    <t>yuna.active1</t>
  </si>
  <si>
    <t>yuna.active2</t>
  </si>
  <si>
    <t>yuna.passive</t>
  </si>
  <si>
    <t>yuna.ult</t>
  </si>
  <si>
    <t>c_attacker_yuna_1</t>
  </si>
  <si>
    <t>gray</t>
  </si>
  <si>
    <t>그레이</t>
  </si>
  <si>
    <t>gray.attack1</t>
  </si>
  <si>
    <t>gray.attack2</t>
  </si>
  <si>
    <t>gray.attack3</t>
  </si>
  <si>
    <t>gray.active1</t>
  </si>
  <si>
    <t>gray.active2</t>
  </si>
  <si>
    <t>gray.passive</t>
  </si>
  <si>
    <t>gray.ult</t>
  </si>
  <si>
    <t>c_attacker_gray_1</t>
  </si>
  <si>
    <t>fei</t>
  </si>
  <si>
    <t>페이</t>
  </si>
  <si>
    <t>fei.attack1</t>
  </si>
  <si>
    <t>fei.attack2</t>
  </si>
  <si>
    <t>fei.attack3</t>
  </si>
  <si>
    <t>fei.active1</t>
  </si>
  <si>
    <t>fei.active2</t>
  </si>
  <si>
    <t>fei.passive</t>
  </si>
  <si>
    <t>fei.ult</t>
  </si>
  <si>
    <t>c_attacker_fei_1</t>
  </si>
  <si>
    <t>airen</t>
  </si>
  <si>
    <t>아이렌</t>
  </si>
  <si>
    <t>Starseed</t>
  </si>
  <si>
    <t>Fac_sta_sec</t>
  </si>
  <si>
    <t>airen.attack1</t>
  </si>
  <si>
    <t>airen.attack2</t>
  </si>
  <si>
    <t>airen.attack3</t>
  </si>
  <si>
    <t>airen.active1</t>
  </si>
  <si>
    <t>airen.active2</t>
  </si>
  <si>
    <t>airen.passive</t>
  </si>
  <si>
    <t>airen.ult</t>
  </si>
  <si>
    <t>c_attacker_airen_1</t>
  </si>
  <si>
    <t>klairs</t>
  </si>
  <si>
    <t>클레아스</t>
  </si>
  <si>
    <t>klairs.attack1</t>
  </si>
  <si>
    <t>klairs.attack2</t>
  </si>
  <si>
    <t>klairs.attack3</t>
  </si>
  <si>
    <t>klairs.active1</t>
  </si>
  <si>
    <t>klairs.active2</t>
  </si>
  <si>
    <t>klairs.passive</t>
  </si>
  <si>
    <t>klairs.ult</t>
  </si>
  <si>
    <t>c_attacker_klairs_1</t>
  </si>
  <si>
    <t>프레이야</t>
  </si>
  <si>
    <t>Ranger</t>
  </si>
  <si>
    <t>Fac_sti_ast</t>
  </si>
  <si>
    <t>c_ranger_freyja_1</t>
  </si>
  <si>
    <t>Enemy.Range.Multi.Circle</t>
  </si>
  <si>
    <t>에라디카</t>
  </si>
  <si>
    <t>c_ranger_eradica_1</t>
  </si>
  <si>
    <t>카나타</t>
  </si>
  <si>
    <t>Fac_rim_its</t>
  </si>
  <si>
    <t>c_ranger_kanata_1</t>
  </si>
  <si>
    <t>이드</t>
  </si>
  <si>
    <t>c_ranger_id_1</t>
  </si>
  <si>
    <t>archphase</t>
  </si>
  <si>
    <t>아크페이즈</t>
  </si>
  <si>
    <t>archphase.attack1</t>
  </si>
  <si>
    <t>archphase.attack2</t>
  </si>
  <si>
    <t>archphase.attack3</t>
  </si>
  <si>
    <t>archphase.active1</t>
  </si>
  <si>
    <t>archphase.active2</t>
  </si>
  <si>
    <t>archphase.passive</t>
  </si>
  <si>
    <t>archphase.ult</t>
  </si>
  <si>
    <t>c_ranger_archphase_1</t>
  </si>
  <si>
    <t>shery</t>
  </si>
  <si>
    <t>쉐리</t>
  </si>
  <si>
    <t>shery.attack1</t>
  </si>
  <si>
    <t>shery.attack2</t>
  </si>
  <si>
    <t>shery.attack3</t>
  </si>
  <si>
    <t>shery.active1</t>
  </si>
  <si>
    <t>shery.active2</t>
  </si>
  <si>
    <t>shery.passive</t>
  </si>
  <si>
    <t>shery.ult</t>
  </si>
  <si>
    <t>c_ranger_shery_1</t>
  </si>
  <si>
    <t>patricia</t>
  </si>
  <si>
    <t>패트리샤</t>
  </si>
  <si>
    <t>patricia.attack1</t>
  </si>
  <si>
    <t>patricia.attack2</t>
  </si>
  <si>
    <t>patricia.attack3</t>
  </si>
  <si>
    <t>patricia.active1</t>
  </si>
  <si>
    <t>patricia.active2</t>
  </si>
  <si>
    <t>patricia.passive</t>
  </si>
  <si>
    <t>patricia.ult</t>
  </si>
  <si>
    <t>c_ranger_patricia_1</t>
  </si>
  <si>
    <t>renas</t>
  </si>
  <si>
    <t>레나스</t>
  </si>
  <si>
    <t>Fac_aut_cae</t>
  </si>
  <si>
    <t>renas.attack1</t>
  </si>
  <si>
    <t>renas.attack2</t>
  </si>
  <si>
    <t>renas.attack3</t>
  </si>
  <si>
    <t>renas.active1</t>
  </si>
  <si>
    <t>renas.active2</t>
  </si>
  <si>
    <t>renas.passive</t>
  </si>
  <si>
    <t>renas.ult</t>
  </si>
  <si>
    <t>c_ranger_renas_1</t>
  </si>
  <si>
    <t>Enemy.Range.Multi.Square</t>
  </si>
  <si>
    <t>leila</t>
  </si>
  <si>
    <t>라일라</t>
  </si>
  <si>
    <t>leila.attack1</t>
  </si>
  <si>
    <t>leila.attack2</t>
  </si>
  <si>
    <t>leila.attack3</t>
  </si>
  <si>
    <t>leila.active1</t>
  </si>
  <si>
    <t>leila.active2</t>
  </si>
  <si>
    <t>leila.passive</t>
  </si>
  <si>
    <t>leila.ult</t>
  </si>
  <si>
    <t>c_ranger_leila_1</t>
  </si>
  <si>
    <t>erica</t>
  </si>
  <si>
    <t>에리카</t>
  </si>
  <si>
    <t>erica.attack1</t>
  </si>
  <si>
    <t>erica.attack2</t>
  </si>
  <si>
    <t>erica.attack3</t>
  </si>
  <si>
    <t>erica.active1</t>
  </si>
  <si>
    <t>erica.active2</t>
  </si>
  <si>
    <t>erica.passive</t>
  </si>
  <si>
    <t>erica.ult</t>
  </si>
  <si>
    <t>c_ranger_erica_1</t>
  </si>
  <si>
    <t>eiko</t>
  </si>
  <si>
    <t>에이코</t>
  </si>
  <si>
    <t>eiko.attack1</t>
  </si>
  <si>
    <t>eiko.attack2</t>
  </si>
  <si>
    <t>eiko.attack3</t>
  </si>
  <si>
    <t>eiko.active1</t>
  </si>
  <si>
    <t>eiko.active2</t>
  </si>
  <si>
    <t>eiko.passive</t>
  </si>
  <si>
    <t>eiko.ult</t>
  </si>
  <si>
    <t>c_ranger_eiko_1</t>
  </si>
  <si>
    <t>crimson</t>
  </si>
  <si>
    <t>크림슨</t>
  </si>
  <si>
    <t>crimson.attack1</t>
  </si>
  <si>
    <t>crimson.attack2</t>
  </si>
  <si>
    <t>crimson.attack3</t>
  </si>
  <si>
    <t>crimson.active1</t>
  </si>
  <si>
    <t>crimson.active2</t>
  </si>
  <si>
    <t>crimson.passive</t>
  </si>
  <si>
    <t>crimson.ult</t>
  </si>
  <si>
    <t>c_ranger_crimson_1</t>
  </si>
  <si>
    <t>ferrel</t>
  </si>
  <si>
    <t>페렐</t>
  </si>
  <si>
    <t>ferrel.attack1</t>
  </si>
  <si>
    <t>ferrel.attack2</t>
  </si>
  <si>
    <t>ferrel.attack3</t>
  </si>
  <si>
    <t>ferrel.active1</t>
  </si>
  <si>
    <t>ferrel.active2</t>
  </si>
  <si>
    <t>ferrel.passive</t>
  </si>
  <si>
    <t>ferrel.ult</t>
  </si>
  <si>
    <t>c_ranger_ferrel_1</t>
  </si>
  <si>
    <t>ino</t>
  </si>
  <si>
    <t>이노</t>
  </si>
  <si>
    <t>ino.attack1</t>
  </si>
  <si>
    <t>ino.attack2</t>
  </si>
  <si>
    <t>ino.attack3</t>
  </si>
  <si>
    <t>ino.active1</t>
  </si>
  <si>
    <t>ino.active2</t>
  </si>
  <si>
    <t>ino.passive</t>
  </si>
  <si>
    <t>ino.ult</t>
  </si>
  <si>
    <t>c_ranger_ino_1</t>
  </si>
  <si>
    <t>mana</t>
  </si>
  <si>
    <t>마나</t>
  </si>
  <si>
    <t>mana.attack1</t>
  </si>
  <si>
    <t>mana.attack2</t>
  </si>
  <si>
    <t>mana.attack3</t>
  </si>
  <si>
    <t>mana.active1</t>
  </si>
  <si>
    <t>mana.active2</t>
  </si>
  <si>
    <t>mana.passive</t>
  </si>
  <si>
    <t>mana.ult</t>
  </si>
  <si>
    <t>c_ranger_mana_1</t>
  </si>
  <si>
    <t>aurora</t>
  </si>
  <si>
    <t>오로라</t>
  </si>
  <si>
    <t>aurora.attack1</t>
  </si>
  <si>
    <t>aurora.attack2</t>
  </si>
  <si>
    <t>aurora.attack3</t>
  </si>
  <si>
    <t>aurora.active1</t>
  </si>
  <si>
    <t>aurora.active2</t>
  </si>
  <si>
    <t>aurora.passive</t>
  </si>
  <si>
    <t>aurora.ult</t>
  </si>
  <si>
    <t>c_ranger_aurora_1</t>
  </si>
  <si>
    <t>yurizia</t>
  </si>
  <si>
    <t>유리지아</t>
  </si>
  <si>
    <t>Supporter</t>
  </si>
  <si>
    <t>yurizia.attack1</t>
  </si>
  <si>
    <t>yurizia.attack2</t>
  </si>
  <si>
    <t>yurizia.attack3</t>
  </si>
  <si>
    <t>yurizia.active1</t>
  </si>
  <si>
    <t>yurizia.active2</t>
  </si>
  <si>
    <t>yurizia.passive</t>
  </si>
  <si>
    <t>yurizia.ult</t>
  </si>
  <si>
    <t>c_supporter_yurizia_1</t>
  </si>
  <si>
    <t>shale</t>
  </si>
  <si>
    <t>샤레</t>
  </si>
  <si>
    <t>shale.attack1</t>
  </si>
  <si>
    <t>shale.attack2</t>
  </si>
  <si>
    <t>shale.attack3</t>
  </si>
  <si>
    <t>shale.active1</t>
  </si>
  <si>
    <t>shale.active2</t>
  </si>
  <si>
    <t>shale.passive</t>
  </si>
  <si>
    <t>shale.ult</t>
  </si>
  <si>
    <t>c_supporter_shale_1</t>
  </si>
  <si>
    <t>Player.Multi.Aurora</t>
  </si>
  <si>
    <t>rayhou</t>
  </si>
  <si>
    <t>레이호우</t>
  </si>
  <si>
    <t>rayhou.attack1</t>
  </si>
  <si>
    <t>rayhou.attack2</t>
  </si>
  <si>
    <t>rayhou.attack3</t>
  </si>
  <si>
    <t>rayhou.active1</t>
  </si>
  <si>
    <t>rayhou.active2</t>
  </si>
  <si>
    <t>rayhou.passive</t>
  </si>
  <si>
    <t>rayhou.ult</t>
  </si>
  <si>
    <t>c_supporter_rayhou_1</t>
  </si>
  <si>
    <t>hellen</t>
  </si>
  <si>
    <t>헬렌</t>
  </si>
  <si>
    <t>hellen.attack1</t>
  </si>
  <si>
    <t>hellen.attack2</t>
  </si>
  <si>
    <t>hellen.attack3</t>
  </si>
  <si>
    <t>hellen.active1</t>
  </si>
  <si>
    <t>hellen.active2</t>
  </si>
  <si>
    <t>hellen.passive</t>
  </si>
  <si>
    <t>hellen.ult</t>
  </si>
  <si>
    <t>c_supporter_hellen_1</t>
  </si>
  <si>
    <t>할로나</t>
  </si>
  <si>
    <t>c_supporter_hallona_1</t>
  </si>
  <si>
    <t>elina</t>
  </si>
  <si>
    <t>엘리나</t>
  </si>
  <si>
    <t>c_supporter_elina_1</t>
  </si>
  <si>
    <t>siege</t>
  </si>
  <si>
    <t>시즈</t>
  </si>
  <si>
    <t>siege.attack1</t>
  </si>
  <si>
    <t>siege.attack2</t>
  </si>
  <si>
    <t>siege.attack3</t>
  </si>
  <si>
    <t>siege.active1</t>
  </si>
  <si>
    <t>siege.active2</t>
  </si>
  <si>
    <t>siege.passive</t>
  </si>
  <si>
    <t>siege.ult</t>
  </si>
  <si>
    <t>c_supporter_siege_1</t>
  </si>
  <si>
    <t>IsProfileImage</t>
    <phoneticPr fontId="1" type="noConversion"/>
  </si>
  <si>
    <t>bool</t>
    <phoneticPr fontId="1" type="noConversion"/>
  </si>
  <si>
    <t>common</t>
    <phoneticPr fontId="1" type="noConversion"/>
  </si>
  <si>
    <t>IsLobbyCharacter</t>
    <phoneticPr fontId="1" type="noConversion"/>
  </si>
  <si>
    <t>IsAcademy</t>
    <phoneticPr fontId="1" type="noConversion"/>
  </si>
  <si>
    <t>#최적화</t>
    <phoneticPr fontId="1" type="noConversion"/>
  </si>
  <si>
    <t>WishOrder</t>
    <phoneticPr fontId="1" type="noConversion"/>
  </si>
  <si>
    <t>int</t>
    <phoneticPr fontId="1" type="noConversion"/>
  </si>
  <si>
    <t>client</t>
    <phoneticPr fontId="1" type="noConversion"/>
  </si>
  <si>
    <t>IsRepresentCharacter</t>
    <phoneticPr fontId="1" type="noConversion"/>
  </si>
  <si>
    <t>elina</t>
    <phoneticPr fontId="1" type="noConversion"/>
  </si>
  <si>
    <t>elina.attack1</t>
  </si>
  <si>
    <t>elina.attack2</t>
  </si>
  <si>
    <t>elina.attack3</t>
  </si>
  <si>
    <t>elina.active1</t>
  </si>
  <si>
    <t>elina.active2</t>
  </si>
  <si>
    <t>elina.passive</t>
  </si>
  <si>
    <t>elina.ult</t>
  </si>
  <si>
    <t># 최초 획득시 지급 아이템</t>
    <phoneticPr fontId="1" type="noConversion"/>
  </si>
  <si>
    <t>$Reward?</t>
    <phoneticPr fontId="1" type="noConversion"/>
  </si>
  <si>
    <t>FirstAcquisitionReward</t>
    <phoneticPr fontId="1" type="noConversion"/>
  </si>
  <si>
    <t>lue</t>
    <phoneticPr fontId="1" type="noConversion"/>
  </si>
  <si>
    <t>루</t>
    <phoneticPr fontId="1" type="noConversion"/>
  </si>
  <si>
    <t>ermeil</t>
  </si>
  <si>
    <t>에르메일</t>
  </si>
  <si>
    <t>iolet</t>
  </si>
  <si>
    <t>이올렛</t>
  </si>
  <si>
    <t>reen</t>
  </si>
  <si>
    <t>린</t>
  </si>
  <si>
    <t>lue</t>
    <phoneticPr fontId="1" type="noConversion"/>
  </si>
  <si>
    <t>iolet</t>
    <phoneticPr fontId="1" type="noConversion"/>
  </si>
  <si>
    <t>reen</t>
    <phoneticPr fontId="1" type="noConversion"/>
  </si>
  <si>
    <t>diana.active2</t>
  </si>
  <si>
    <t>diana.passive</t>
  </si>
  <si>
    <t>diana.ult</t>
  </si>
  <si>
    <t>character_diana_01</t>
  </si>
  <si>
    <t>Character_ProfileImage_Reward_1010310001</t>
  </si>
  <si>
    <t>Comingsoon</t>
    <phoneticPr fontId="1" type="noConversion"/>
  </si>
  <si>
    <t>Character_ProfileImage_Reward_1010540001</t>
  </si>
  <si>
    <t>common</t>
    <phoneticPr fontId="1" type="noConversion"/>
  </si>
  <si>
    <t>Optimization</t>
  </si>
  <si>
    <t>$Optimization?</t>
    <phoneticPr fontId="1" type="noConversion"/>
  </si>
  <si>
    <t>#승급 타임라인</t>
    <phoneticPr fontId="1" type="noConversion"/>
  </si>
  <si>
    <t>PromoteTimeline</t>
    <phoneticPr fontId="1" type="noConversion"/>
  </si>
  <si>
    <t>Tanker.SR</t>
  </si>
  <si>
    <t>Ranger.SR_x000D_</t>
  </si>
  <si>
    <t>Supporter.SR_x000D_</t>
  </si>
  <si>
    <t>Attacker</t>
    <phoneticPr fontId="1" type="noConversion"/>
  </si>
  <si>
    <t>Attribute</t>
    <phoneticPr fontId="1" type="noConversion"/>
  </si>
  <si>
    <t>AttributeType</t>
    <phoneticPr fontId="1" type="noConversion"/>
  </si>
  <si>
    <t>AttributeBlue</t>
  </si>
  <si>
    <t>AttributeRed</t>
  </si>
  <si>
    <t>AttributeGreen</t>
  </si>
  <si>
    <t>Character_ProfileImage_Reward_1010710001</t>
  </si>
  <si>
    <t>Character_ProfileImage_Reward_1010710002</t>
  </si>
  <si>
    <t>Character_ProfileImage_Reward_1010710003</t>
  </si>
  <si>
    <t>Character_ProfileImage_Reward_1010510001</t>
  </si>
  <si>
    <t>Character_ProfileImage_Reward_1010510002</t>
  </si>
  <si>
    <t>Character_ProfileImage_Reward_1010920002</t>
  </si>
  <si>
    <t>Character_ProfileImage_Reward_1010920003</t>
  </si>
  <si>
    <t>Character_ProfileImage_Reward_1010920004</t>
  </si>
  <si>
    <t>Character_ProfileImage_Reward_1010920005</t>
  </si>
  <si>
    <t>Character_ProfileImage_Reward_1010720001</t>
  </si>
  <si>
    <t>Character_ProfileImage_Reward_1010720002</t>
  </si>
  <si>
    <t>Character_ProfileImage_Reward_1010720003</t>
  </si>
  <si>
    <t>Character_ProfileImage_Reward_1010720004</t>
  </si>
  <si>
    <t>Character_ProfileImage_Reward_1010720005</t>
  </si>
  <si>
    <t>Character_ProfileImage_Reward_1010720006</t>
  </si>
  <si>
    <t>Character_ProfileImage_Reward_1010720007</t>
  </si>
  <si>
    <t>Character_ProfileImage_Reward_1010520001</t>
  </si>
  <si>
    <t>Character_ProfileImage_Reward_1010520002</t>
  </si>
  <si>
    <t>Character_ProfileImage_Reward_1010520003</t>
  </si>
  <si>
    <t>Character_ProfileImage_Reward_1010520004</t>
  </si>
  <si>
    <t>Character_ProfileImage_Reward_1010520005</t>
  </si>
  <si>
    <t>Character_ProfileImage_Reward_1010320001</t>
  </si>
  <si>
    <t>Character_ProfileImage_Reward_1010320002</t>
  </si>
  <si>
    <t>Character_ProfileImage_Reward_1010930001</t>
  </si>
  <si>
    <t>Character_ProfileImage_Reward_1010930002</t>
  </si>
  <si>
    <t>Character_ProfileImage_Reward_1010930003</t>
  </si>
  <si>
    <t>Character_ProfileImage_Reward_1010930004</t>
  </si>
  <si>
    <t>Character_ProfileImage_Reward_1010930005</t>
  </si>
  <si>
    <t>Character_ProfileImage_Reward_1010730001</t>
  </si>
  <si>
    <t>Character_ProfileImage_Reward_1010730002</t>
  </si>
  <si>
    <t>Character_ProfileImage_Reward_1010730003</t>
  </si>
  <si>
    <t>Character_ProfileImage_Reward_1010730004</t>
  </si>
  <si>
    <t>Character_ProfileImage_Reward_1010730005</t>
  </si>
  <si>
    <t>Character_ProfileImage_Reward_1010530001</t>
  </si>
  <si>
    <t>Character_ProfileImage_Reward_1010530002</t>
  </si>
  <si>
    <t>Character_ProfileImage_Reward_1010530003</t>
  </si>
  <si>
    <t>Character_ProfileImage_Reward_1010530004</t>
  </si>
  <si>
    <t>Character_ProfileImage_Reward_1010330001</t>
  </si>
  <si>
    <t>Character_ProfileImage_Reward_1010330002</t>
  </si>
  <si>
    <t>Character_ProfileImage_Reward_1010940001</t>
  </si>
  <si>
    <t>Character_ProfileImage_Reward_1010940002</t>
  </si>
  <si>
    <t>Character_ProfileImage_Reward_1010940003</t>
  </si>
  <si>
    <t>Character_ProfileImage_Reward_1010740001</t>
  </si>
  <si>
    <t>Character_ProfileImage_Reward_1010740002</t>
  </si>
  <si>
    <t>Character_ProfileImage_Reward_1010340001</t>
  </si>
  <si>
    <t>#속성</t>
    <phoneticPr fontId="1" type="noConversion"/>
  </si>
  <si>
    <t>#</t>
    <phoneticPr fontId="1" type="noConversion"/>
  </si>
  <si>
    <t>#오픈스펙</t>
    <phoneticPr fontId="1" type="noConversion"/>
  </si>
  <si>
    <t>업데이트</t>
  </si>
  <si>
    <t>오픈</t>
  </si>
  <si>
    <t>frederica</t>
    <phoneticPr fontId="1" type="noConversion"/>
  </si>
  <si>
    <t>프레데리카</t>
    <phoneticPr fontId="1" type="noConversion"/>
  </si>
  <si>
    <t>업데이트</t>
    <phoneticPr fontId="1" type="noConversion"/>
  </si>
  <si>
    <t>Attacker.SR</t>
  </si>
  <si>
    <t>c_attacker_frederica_1</t>
    <phoneticPr fontId="1" type="noConversion"/>
  </si>
  <si>
    <t>SSR</t>
  </si>
  <si>
    <t>R</t>
  </si>
  <si>
    <t>airen</t>
    <phoneticPr fontId="1" type="noConversion"/>
  </si>
  <si>
    <t>Specialization</t>
    <phoneticPr fontId="1" type="noConversion"/>
  </si>
  <si>
    <t>$CharacterSpecialization</t>
    <phoneticPr fontId="1" type="noConversion"/>
  </si>
  <si>
    <t>Narrow</t>
  </si>
  <si>
    <t>Heal</t>
  </si>
  <si>
    <t>Shield</t>
  </si>
  <si>
    <t>Disturb</t>
  </si>
  <si>
    <t>Wide</t>
  </si>
  <si>
    <t>Debuff</t>
  </si>
  <si>
    <t>Target</t>
  </si>
  <si>
    <t>Buff</t>
  </si>
  <si>
    <t>GachaVideoResource</t>
    <phoneticPr fontId="1" type="noConversion"/>
  </si>
  <si>
    <t>string</t>
    <phoneticPr fontId="1" type="noConversion"/>
  </si>
  <si>
    <t>AttributePurple</t>
    <phoneticPr fontId="1" type="noConversion"/>
  </si>
  <si>
    <t>AttributeGold</t>
    <phoneticPr fontId="1" type="noConversion"/>
  </si>
  <si>
    <t>AttributeGold</t>
    <phoneticPr fontId="1" type="noConversion"/>
  </si>
  <si>
    <t>Target</t>
    <phoneticPr fontId="1" type="noConversion"/>
  </si>
  <si>
    <t>Disturb</t>
    <phoneticPr fontId="1" type="noConversion"/>
  </si>
  <si>
    <t>UltimateExSkill</t>
    <phoneticPr fontId="1" type="noConversion"/>
  </si>
  <si>
    <t>AttributePurple</t>
  </si>
  <si>
    <t>melissa.ult.B</t>
  </si>
  <si>
    <t>lilian.ult.B</t>
  </si>
  <si>
    <t>daria.ult.B</t>
  </si>
  <si>
    <t>snopril.ult.B</t>
  </si>
  <si>
    <t>anne.ult.B</t>
  </si>
  <si>
    <t>taina.ult.B</t>
  </si>
  <si>
    <t>serapulsar.ult.B</t>
  </si>
  <si>
    <t>ambrosia.ult.B</t>
  </si>
  <si>
    <t>mea.ult.B</t>
  </si>
  <si>
    <t>isabella.ult.B</t>
  </si>
  <si>
    <t>balencia.ult.B</t>
  </si>
  <si>
    <t>belita.ult.B</t>
  </si>
  <si>
    <t>belebeta.ult.B</t>
  </si>
  <si>
    <t>arcels.ult.B</t>
  </si>
  <si>
    <t>angelica.ult.B</t>
  </si>
  <si>
    <t>yuna.ult.B</t>
  </si>
  <si>
    <t>gray.ult.B</t>
  </si>
  <si>
    <t>airen.ult.B</t>
  </si>
  <si>
    <t>klairs.ult.B</t>
  </si>
  <si>
    <t>archphase.ult.B</t>
  </si>
  <si>
    <t>patricia.ult.B</t>
  </si>
  <si>
    <t>renas.ult.B</t>
  </si>
  <si>
    <t>leila.ult.B</t>
  </si>
  <si>
    <t>erica.ult.B</t>
  </si>
  <si>
    <t>eiko.ult.B</t>
  </si>
  <si>
    <t>crimson.ult.B</t>
  </si>
  <si>
    <t>ferrel.ult.B</t>
  </si>
  <si>
    <t>ino.ult.B</t>
  </si>
  <si>
    <t>yurizia.ult.B</t>
  </si>
  <si>
    <t>shale.ult.B</t>
  </si>
  <si>
    <t>rayhou.ult.B</t>
  </si>
  <si>
    <t>hellen.ult.B</t>
  </si>
  <si>
    <t>elina.ult.B</t>
  </si>
  <si>
    <t>Character_ProfileImage_Reward_1010910001</t>
    <phoneticPr fontId="1" type="noConversion"/>
  </si>
  <si>
    <t>Character_ProfileImage_Reward_1010910002</t>
    <phoneticPr fontId="1" type="noConversion"/>
  </si>
  <si>
    <t>AttributeRed</t>
    <phoneticPr fontId="1" type="noConversion"/>
  </si>
  <si>
    <t>Enemy.Melee.Multi.Square</t>
    <phoneticPr fontId="1" type="noConversion"/>
  </si>
  <si>
    <t>Enemy.Melee.Multi.Square</t>
    <phoneticPr fontId="1" type="noConversion"/>
  </si>
  <si>
    <t>melissa</t>
    <phoneticPr fontId="1" type="noConversion"/>
  </si>
  <si>
    <t>Tanker.SSR_x000D_</t>
  </si>
  <si>
    <t>Tanker.SSR</t>
  </si>
  <si>
    <t>Attacker.SSR</t>
  </si>
  <si>
    <t>Ranger.SSR_x000D_</t>
  </si>
  <si>
    <t>Supporter.SSR_x000D_</t>
  </si>
  <si>
    <t>AttributeGreen</t>
    <phoneticPr fontId="1" type="noConversion"/>
  </si>
  <si>
    <t>Video/gacha/intro_ssr.usm</t>
    <phoneticPr fontId="1" type="noConversion"/>
  </si>
  <si>
    <t>Character_ProfileImage_Reward_1010920001</t>
    <phoneticPr fontId="1" type="noConversion"/>
  </si>
  <si>
    <t>AttributeNone</t>
  </si>
  <si>
    <t>AttributeNone</t>
    <phoneticPr fontId="1" type="noConversion"/>
  </si>
  <si>
    <t>None</t>
  </si>
  <si>
    <t>patricia</t>
    <phoneticPr fontId="1" type="noConversion"/>
  </si>
  <si>
    <t>fei.ult.B</t>
    <phoneticPr fontId="1" type="noConversion"/>
  </si>
  <si>
    <t>미출시</t>
    <phoneticPr fontId="1" type="noConversion"/>
  </si>
  <si>
    <t>itus.attack1</t>
  </si>
  <si>
    <t>itus.attack2</t>
  </si>
  <si>
    <t>itus.attack3</t>
  </si>
  <si>
    <t>itus.active1</t>
  </si>
  <si>
    <t>itus.active2</t>
  </si>
  <si>
    <t>itus.passive</t>
  </si>
  <si>
    <t>itus.ult</t>
  </si>
  <si>
    <t>sia.attack1</t>
  </si>
  <si>
    <t>sia.attack2</t>
  </si>
  <si>
    <t>sia.attack3</t>
  </si>
  <si>
    <t>sia.active1</t>
  </si>
  <si>
    <t>sia.active2</t>
  </si>
  <si>
    <t>sia.passive</t>
  </si>
  <si>
    <t>sia.ult</t>
  </si>
  <si>
    <t>freyja</t>
    <phoneticPr fontId="1" type="noConversion"/>
  </si>
  <si>
    <t>freyja.attack1</t>
    <phoneticPr fontId="1" type="noConversion"/>
  </si>
  <si>
    <t>freyja.attack2</t>
  </si>
  <si>
    <t>freyja.attack3</t>
  </si>
  <si>
    <t>freyja.active1</t>
  </si>
  <si>
    <t>freyja.active2</t>
  </si>
  <si>
    <t>freyja.passive</t>
  </si>
  <si>
    <t>eradica</t>
    <phoneticPr fontId="1" type="noConversion"/>
  </si>
  <si>
    <t>eradica.attack1</t>
  </si>
  <si>
    <t>eradica.attack2</t>
  </si>
  <si>
    <t>eradica.attack3</t>
  </si>
  <si>
    <t>eradica.active1</t>
  </si>
  <si>
    <t>eradica.active2</t>
  </si>
  <si>
    <t>eradica.passive</t>
  </si>
  <si>
    <t>eradica.ult</t>
  </si>
  <si>
    <t>kanata</t>
    <phoneticPr fontId="1" type="noConversion"/>
  </si>
  <si>
    <t>kanata.attack1</t>
  </si>
  <si>
    <t>kanata.attack2</t>
  </si>
  <si>
    <t>kanata.attack3</t>
  </si>
  <si>
    <t>kanata.active1</t>
  </si>
  <si>
    <t>kanata.active2</t>
  </si>
  <si>
    <t>kanata.passive</t>
  </si>
  <si>
    <t>kanata.ult</t>
  </si>
  <si>
    <t>id</t>
    <phoneticPr fontId="1" type="noConversion"/>
  </si>
  <si>
    <t>id.attack1</t>
  </si>
  <si>
    <t>id.attack2</t>
  </si>
  <si>
    <t>id.attack3</t>
  </si>
  <si>
    <t>id.active1</t>
  </si>
  <si>
    <t>id.active2</t>
  </si>
  <si>
    <t>id.passive</t>
  </si>
  <si>
    <t>hallona</t>
    <phoneticPr fontId="1" type="noConversion"/>
  </si>
  <si>
    <t>hallona.attack1</t>
  </si>
  <si>
    <t>hallona.attack2</t>
  </si>
  <si>
    <t>hallona.attack3</t>
  </si>
  <si>
    <t>hallona.active1</t>
  </si>
  <si>
    <t>hallona.active2</t>
  </si>
  <si>
    <t>hallona.passive</t>
  </si>
  <si>
    <t>rachel</t>
    <phoneticPr fontId="1" type="noConversion"/>
  </si>
  <si>
    <t>melissa.attack1</t>
    <phoneticPr fontId="1" type="noConversion"/>
  </si>
  <si>
    <t>rachel.attack1</t>
  </si>
  <si>
    <t>rachel.attack2</t>
  </si>
  <si>
    <t>rachel.attack3</t>
  </si>
  <si>
    <t>rachel.active1</t>
  </si>
  <si>
    <t>rachel.active2</t>
  </si>
  <si>
    <t>rachel.passive</t>
  </si>
  <si>
    <t>rachel.ult</t>
  </si>
  <si>
    <t>kaito.aile.attack2</t>
  </si>
  <si>
    <t>kaito.aile.attack3</t>
  </si>
  <si>
    <t>kaito.aile.active1</t>
  </si>
  <si>
    <t>kaito.aile.active2</t>
  </si>
  <si>
    <t>kaito.aile.passive</t>
  </si>
  <si>
    <t>kaito.aile.ult</t>
  </si>
  <si>
    <t>kaito.aile.attack1</t>
    <phoneticPr fontId="1" type="noConversion"/>
  </si>
  <si>
    <t>comingsoon.attack</t>
    <phoneticPr fontId="1" type="noConversion"/>
  </si>
  <si>
    <t>Player.Multi.Shale</t>
    <phoneticPr fontId="1" type="noConversion"/>
  </si>
  <si>
    <t>Player.Multi.Back.Shale</t>
    <phoneticPr fontId="1" type="noConversion"/>
  </si>
  <si>
    <t>itus.ult.B</t>
    <phoneticPr fontId="1" type="noConversion"/>
  </si>
  <si>
    <t>itus</t>
    <phoneticPr fontId="1" type="noConversion"/>
  </si>
  <si>
    <t>sia</t>
    <phoneticPr fontId="1" type="noConversion"/>
  </si>
  <si>
    <t>sia.ult.B</t>
    <phoneticPr fontId="1" type="noConversion"/>
  </si>
  <si>
    <t>iras.ult.B</t>
    <phoneticPr fontId="1" type="noConversion"/>
  </si>
  <si>
    <t>#해산 후 아이템</t>
  </si>
  <si>
    <t>#해산</t>
  </si>
  <si>
    <t>FireToItem</t>
  </si>
  <si>
    <t>Fire</t>
  </si>
  <si>
    <t>$ItemCase?</t>
  </si>
  <si>
    <t>$CharacterFire?</t>
  </si>
  <si>
    <t>Fire.Blue</t>
  </si>
  <si>
    <t>Fire.Green</t>
  </si>
  <si>
    <t>Fire.Other</t>
  </si>
  <si>
    <t>Fire.R</t>
  </si>
  <si>
    <t>Fire.Red</t>
  </si>
  <si>
    <t>AttributeGold</t>
  </si>
  <si>
    <t>freyja</t>
  </si>
  <si>
    <t>eradica</t>
  </si>
  <si>
    <t>kanata</t>
  </si>
  <si>
    <t>id</t>
  </si>
  <si>
    <t>eradica.ult.B</t>
    <phoneticPr fontId="1" type="noConversion"/>
  </si>
  <si>
    <t>hallona</t>
  </si>
  <si>
    <t>freyja.ult</t>
    <phoneticPr fontId="1" type="noConversion"/>
  </si>
  <si>
    <t>id.ult</t>
    <phoneticPr fontId="1" type="noConversion"/>
  </si>
  <si>
    <t>freyja.ult.B</t>
    <phoneticPr fontId="1" type="noConversion"/>
  </si>
  <si>
    <t>id.ult.B</t>
    <phoneticPr fontId="1" type="noConversion"/>
  </si>
  <si>
    <t>hallona.ult</t>
    <phoneticPr fontId="1" type="noConversion"/>
  </si>
  <si>
    <t>hallona.ult.B</t>
    <phoneticPr fontId="1" type="noConversion"/>
  </si>
  <si>
    <t>Fac_art_sup</t>
    <phoneticPr fontId="1" type="noConversion"/>
  </si>
  <si>
    <t>출시(24/05/23)</t>
    <phoneticPr fontId="1" type="noConversion"/>
  </si>
  <si>
    <t>출시(24/06/05)</t>
    <phoneticPr fontId="1" type="noConversion"/>
  </si>
  <si>
    <t>#등급스탯</t>
    <phoneticPr fontId="1" type="noConversion"/>
  </si>
  <si>
    <t>GradeStat</t>
    <phoneticPr fontId="1" type="noConversion"/>
  </si>
  <si>
    <t>$CharacterGradeStat</t>
    <phoneticPr fontId="1" type="noConversion"/>
  </si>
  <si>
    <t>grade.sample.1</t>
    <phoneticPr fontId="1" type="noConversion"/>
  </si>
  <si>
    <t>c_attacker_kaito.aile_1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</si>
</sst>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1"/>
      <color theme="0"/>
      <name val="Calibri"/>
      <family val="2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7">
    <xf numFmtId="0" fontId="0" fillId="0" borderId="0"/>
    <xf numFmtId="0" fontId="4" fillId="5" borderId="0">
      <alignment vertical="center"/>
    </xf>
    <xf numFmtId="0" fontId="4" fillId="6" borderId="0">
      <alignment vertical="center"/>
    </xf>
    <xf numFmtId="0" fontId="4" fillId="7" borderId="0">
      <alignment vertical="center"/>
    </xf>
    <xf numFmtId="0" fontId="4" fillId="8" borderId="0">
      <alignment vertical="center"/>
    </xf>
    <xf numFmtId="0" fontId="3" fillId="0" borderId="1">
      <alignment horizontal="center" vertical="center"/>
    </xf>
    <xf numFmtId="0" fontId="3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5" borderId="1" xfId="1" applyBorder="1" applyAlignment="1">
      <alignment horizontal="center" vertical="center" wrapText="1"/>
    </xf>
    <xf numFmtId="0" fontId="4" fillId="6" borderId="1" xfId="2" applyBorder="1" applyAlignment="1">
      <alignment horizontal="center" vertical="center"/>
    </xf>
    <xf numFmtId="0" fontId="4" fillId="8" borderId="1" xfId="4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14" borderId="1" xfId="3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15" borderId="1" xfId="6" applyFill="1" applyBorder="1" applyAlignment="1">
      <alignment horizontal="center" vertical="center"/>
    </xf>
    <xf numFmtId="0" fontId="3" fillId="0" borderId="1" xfId="6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3" fillId="4" borderId="1" xfId="6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12" fillId="26" borderId="2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0" fillId="15" borderId="1" xfId="6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</cellXfs>
  <cellStyles count="7">
    <cellStyle name="강조색1" xfId="1" builtinId="29"/>
    <cellStyle name="강조색2" xfId="2" builtinId="33"/>
    <cellStyle name="강조색4" xfId="3" builtinId="41"/>
    <cellStyle name="강조색6" xfId="4" builtinId="49"/>
    <cellStyle name="기본" xfId="5"/>
    <cellStyle name="표준" xfId="0" builtinId="0"/>
    <cellStyle name="표준 2" xfId="6"/>
  </cellStyles>
  <dxfs count="1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7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77;&#50980;&#54840;/0.%20&#53580;&#51060;&#48660;/0605/100_Character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577;&#50980;&#54840;\0.%20&#53580;&#51060;&#48660;\0605\100_Charact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범례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acter"/>
      <sheetName val="#범례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Y60"/>
  <sheetViews>
    <sheetView tabSelected="1" zoomScale="85" zoomScaleNormal="85" workbookViewId="0">
      <pane xSplit="9" ySplit="4" topLeftCell="AF14" activePane="bottomRight" state="frozen"/>
      <selection pane="topRight" activeCell="G1" sqref="G1"/>
      <selection pane="bottomLeft" activeCell="A5" sqref="A5"/>
      <selection pane="bottomRight" activeCell="AI20" sqref="AI20"/>
    </sheetView>
  </sheetViews>
  <sheetFormatPr defaultColWidth="9" defaultRowHeight="16.5"/>
  <cols>
    <col min="1" max="1" width="21" style="13" bestFit="1" customWidth="1"/>
    <col min="2" max="2" width="10.25" style="13" bestFit="1" customWidth="1"/>
    <col min="3" max="3" width="11" style="13" bestFit="1" customWidth="1"/>
    <col min="4" max="4" width="14.5" style="13" bestFit="1" customWidth="1"/>
    <col min="5" max="5" width="25.5" style="13" customWidth="1"/>
    <col min="6" max="6" width="24.375" style="13" customWidth="1"/>
    <col min="7" max="7" width="7" style="13" customWidth="1"/>
    <col min="8" max="8" width="24.25" style="13" bestFit="1" customWidth="1"/>
    <col min="9" max="9" width="9.125" style="13" customWidth="1"/>
    <col min="10" max="10" width="15" style="13" bestFit="1" customWidth="1"/>
    <col min="11" max="11" width="14.375" style="13" bestFit="1" customWidth="1"/>
    <col min="12" max="12" width="11.875" style="13" customWidth="1"/>
    <col min="13" max="13" width="15.375" style="13" bestFit="1" customWidth="1"/>
    <col min="14" max="15" width="13.75" style="13" customWidth="1"/>
    <col min="16" max="16" width="63.375" style="7" customWidth="1"/>
    <col min="17" max="19" width="18.375" style="13" bestFit="1" customWidth="1"/>
    <col min="20" max="21" width="19.125" style="13" bestFit="1" customWidth="1"/>
    <col min="22" max="22" width="19.25" style="13" bestFit="1" customWidth="1"/>
    <col min="23" max="24" width="15.125" style="13" bestFit="1" customWidth="1"/>
    <col min="25" max="25" width="6.125" style="13" bestFit="1" customWidth="1"/>
    <col min="26" max="26" width="9" style="13" bestFit="1" customWidth="1"/>
    <col min="27" max="27" width="6.125" style="13" customWidth="1"/>
    <col min="28" max="28" width="13.875" style="13" bestFit="1" customWidth="1"/>
    <col min="29" max="29" width="17.125" style="13" customWidth="1"/>
    <col min="30" max="30" width="15.25" style="13" bestFit="1" customWidth="1"/>
    <col min="31" max="31" width="10.5" style="13" bestFit="1" customWidth="1"/>
    <col min="32" max="32" width="6.25" style="13" bestFit="1" customWidth="1"/>
    <col min="33" max="33" width="9" style="13" bestFit="1" customWidth="1"/>
    <col min="34" max="34" width="22" style="13" bestFit="1" customWidth="1"/>
    <col min="35" max="35" width="39.625" style="13" bestFit="1" customWidth="1"/>
    <col min="36" max="36" width="45" style="13" bestFit="1" customWidth="1"/>
    <col min="37" max="37" width="50.75" style="13" bestFit="1" customWidth="1"/>
    <col min="38" max="38" width="20.25" style="13" bestFit="1" customWidth="1"/>
    <col min="39" max="39" width="22.375" style="13" bestFit="1" customWidth="1"/>
    <col min="40" max="40" width="52.25" style="13" bestFit="1" customWidth="1"/>
    <col min="41" max="42" width="55.875" style="13" bestFit="1" customWidth="1"/>
    <col min="43" max="43" width="10.25" style="13" bestFit="1" customWidth="1"/>
    <col min="44" max="44" width="5.875" style="13" customWidth="1"/>
    <col min="45" max="45" width="24.25" style="13" bestFit="1" customWidth="1"/>
    <col min="46" max="46" width="25.5" style="13" bestFit="1" customWidth="1"/>
    <col min="47" max="47" width="33.875" style="13" bestFit="1" customWidth="1"/>
    <col min="48" max="48" width="10.5" style="13" customWidth="1"/>
    <col min="49" max="49" width="42" style="13" bestFit="1" customWidth="1"/>
    <col min="50" max="50" width="11.75" style="13" bestFit="1" customWidth="1"/>
    <col min="51" max="51" width="35" style="13" bestFit="1" customWidth="1"/>
    <col min="52" max="16384" width="9" style="13"/>
  </cols>
  <sheetData>
    <row r="1" spans="1:51" ht="33" customHeight="1">
      <c r="A1" s="1" t="s">
        <v>0</v>
      </c>
      <c r="B1" s="1" t="s">
        <v>1</v>
      </c>
      <c r="C1" s="1" t="s">
        <v>1</v>
      </c>
      <c r="D1" s="1" t="s">
        <v>654</v>
      </c>
      <c r="E1" s="1" t="s">
        <v>2</v>
      </c>
      <c r="F1" s="1" t="s">
        <v>3</v>
      </c>
      <c r="G1" s="1" t="s">
        <v>4</v>
      </c>
      <c r="H1" s="1" t="s">
        <v>652</v>
      </c>
      <c r="I1" s="1" t="s">
        <v>5</v>
      </c>
      <c r="J1" s="1" t="s">
        <v>812</v>
      </c>
      <c r="K1" s="1" t="s">
        <v>813</v>
      </c>
      <c r="L1" s="1" t="s">
        <v>6</v>
      </c>
      <c r="M1" s="2" t="s">
        <v>7</v>
      </c>
      <c r="N1" s="1" t="s">
        <v>8</v>
      </c>
      <c r="O1" s="1" t="s">
        <v>839</v>
      </c>
      <c r="P1" s="1" t="s">
        <v>559</v>
      </c>
      <c r="Q1" s="4" t="s">
        <v>9</v>
      </c>
      <c r="R1" s="4" t="s">
        <v>10</v>
      </c>
      <c r="S1" s="4" t="s">
        <v>11</v>
      </c>
      <c r="T1" s="6" t="s">
        <v>12</v>
      </c>
      <c r="U1" s="6" t="s">
        <v>12</v>
      </c>
      <c r="V1" s="14" t="s">
        <v>13</v>
      </c>
      <c r="W1" s="5" t="s">
        <v>14</v>
      </c>
      <c r="X1" s="5" t="s">
        <v>14</v>
      </c>
      <c r="Y1" s="6" t="s">
        <v>15</v>
      </c>
      <c r="Z1" s="1" t="s">
        <v>16</v>
      </c>
      <c r="AA1" s="1" t="s">
        <v>17</v>
      </c>
      <c r="AB1" s="1"/>
      <c r="AC1" s="1"/>
      <c r="AD1" s="1"/>
      <c r="AE1" s="1"/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2" t="s">
        <v>26</v>
      </c>
      <c r="AO1" s="12" t="s">
        <v>27</v>
      </c>
      <c r="AP1" s="12" t="s">
        <v>596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/>
      <c r="AW1" s="1" t="s">
        <v>572</v>
      </c>
      <c r="AX1" s="1"/>
    </row>
    <row r="2" spans="1:51" ht="49.5" customHeight="1">
      <c r="A2" s="1" t="s">
        <v>33</v>
      </c>
      <c r="B2" s="1" t="s">
        <v>34</v>
      </c>
      <c r="C2" s="1" t="s">
        <v>34</v>
      </c>
      <c r="D2" s="1" t="s">
        <v>653</v>
      </c>
      <c r="E2" s="1" t="s">
        <v>35</v>
      </c>
      <c r="F2" s="1" t="s">
        <v>36</v>
      </c>
      <c r="G2" s="1" t="s">
        <v>37</v>
      </c>
      <c r="H2" s="1" t="s">
        <v>602</v>
      </c>
      <c r="I2" s="1" t="s">
        <v>38</v>
      </c>
      <c r="J2" s="1" t="s">
        <v>814</v>
      </c>
      <c r="K2" s="1" t="s">
        <v>815</v>
      </c>
      <c r="L2" s="1" t="s">
        <v>39</v>
      </c>
      <c r="M2" s="2" t="s">
        <v>40</v>
      </c>
      <c r="N2" s="1" t="s">
        <v>41</v>
      </c>
      <c r="O2" s="1" t="s">
        <v>840</v>
      </c>
      <c r="P2" s="1" t="s">
        <v>594</v>
      </c>
      <c r="Q2" s="4" t="s">
        <v>42</v>
      </c>
      <c r="R2" s="4" t="s">
        <v>43</v>
      </c>
      <c r="S2" s="4" t="s">
        <v>44</v>
      </c>
      <c r="T2" s="6" t="s">
        <v>45</v>
      </c>
      <c r="U2" s="6" t="s">
        <v>46</v>
      </c>
      <c r="V2" s="14" t="s">
        <v>47</v>
      </c>
      <c r="W2" s="5" t="s">
        <v>48</v>
      </c>
      <c r="X2" s="5" t="s">
        <v>682</v>
      </c>
      <c r="Y2" s="6" t="s">
        <v>49</v>
      </c>
      <c r="Z2" s="1" t="s">
        <v>50</v>
      </c>
      <c r="AA2" s="1" t="s">
        <v>591</v>
      </c>
      <c r="AB2" s="1" t="s">
        <v>554</v>
      </c>
      <c r="AC2" s="1" t="s">
        <v>563</v>
      </c>
      <c r="AD2" s="1" t="s">
        <v>557</v>
      </c>
      <c r="AE2" s="1" t="s">
        <v>558</v>
      </c>
      <c r="AF2" s="1" t="s">
        <v>51</v>
      </c>
      <c r="AG2" s="1" t="s">
        <v>52</v>
      </c>
      <c r="AH2" s="1" t="s">
        <v>34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57</v>
      </c>
      <c r="AN2" s="12" t="s">
        <v>58</v>
      </c>
      <c r="AO2" s="12" t="s">
        <v>59</v>
      </c>
      <c r="AP2" s="12" t="s">
        <v>597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560</v>
      </c>
      <c r="AW2" s="1" t="s">
        <v>574</v>
      </c>
      <c r="AX2" s="1" t="s">
        <v>665</v>
      </c>
      <c r="AY2" s="13" t="s">
        <v>675</v>
      </c>
    </row>
    <row r="3" spans="1:51" ht="33" customHeight="1">
      <c r="A3" s="1" t="s">
        <v>65</v>
      </c>
      <c r="B3" s="1" t="s">
        <v>34</v>
      </c>
      <c r="C3" s="1" t="s">
        <v>34</v>
      </c>
      <c r="D3" s="1" t="s">
        <v>653</v>
      </c>
      <c r="E3" s="1" t="s">
        <v>66</v>
      </c>
      <c r="F3" s="1" t="s">
        <v>67</v>
      </c>
      <c r="G3" s="1" t="s">
        <v>68</v>
      </c>
      <c r="H3" s="1" t="s">
        <v>603</v>
      </c>
      <c r="I3" s="1" t="s">
        <v>69</v>
      </c>
      <c r="J3" s="1" t="s">
        <v>816</v>
      </c>
      <c r="K3" s="1" t="s">
        <v>817</v>
      </c>
      <c r="L3" s="1" t="s">
        <v>39</v>
      </c>
      <c r="M3" s="2" t="s">
        <v>70</v>
      </c>
      <c r="N3" s="1" t="s">
        <v>71</v>
      </c>
      <c r="O3" s="1" t="s">
        <v>841</v>
      </c>
      <c r="P3" s="1" t="s">
        <v>595</v>
      </c>
      <c r="Q3" s="4" t="s">
        <v>72</v>
      </c>
      <c r="R3" s="4" t="s">
        <v>72</v>
      </c>
      <c r="S3" s="4" t="s">
        <v>72</v>
      </c>
      <c r="T3" s="6" t="s">
        <v>72</v>
      </c>
      <c r="U3" s="6" t="s">
        <v>72</v>
      </c>
      <c r="V3" s="14" t="s">
        <v>72</v>
      </c>
      <c r="W3" s="5" t="s">
        <v>72</v>
      </c>
      <c r="X3" s="5" t="s">
        <v>72</v>
      </c>
      <c r="Y3" s="6" t="s">
        <v>73</v>
      </c>
      <c r="Z3" s="1" t="s">
        <v>73</v>
      </c>
      <c r="AA3" s="1" t="s">
        <v>73</v>
      </c>
      <c r="AB3" s="1" t="s">
        <v>555</v>
      </c>
      <c r="AC3" s="1" t="s">
        <v>555</v>
      </c>
      <c r="AD3" s="1" t="s">
        <v>555</v>
      </c>
      <c r="AE3" s="1" t="s">
        <v>555</v>
      </c>
      <c r="AF3" s="1" t="s">
        <v>74</v>
      </c>
      <c r="AG3" s="1" t="s">
        <v>75</v>
      </c>
      <c r="AH3" s="1" t="s">
        <v>34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2" t="s">
        <v>76</v>
      </c>
      <c r="AO3" s="12" t="s">
        <v>76</v>
      </c>
      <c r="AP3" s="12" t="s">
        <v>76</v>
      </c>
      <c r="AQ3" s="1" t="s">
        <v>76</v>
      </c>
      <c r="AR3" s="1" t="s">
        <v>76</v>
      </c>
      <c r="AS3" s="1" t="s">
        <v>77</v>
      </c>
      <c r="AT3" s="1" t="s">
        <v>77</v>
      </c>
      <c r="AU3" s="1" t="s">
        <v>78</v>
      </c>
      <c r="AV3" s="1" t="s">
        <v>561</v>
      </c>
      <c r="AW3" s="1" t="s">
        <v>573</v>
      </c>
      <c r="AX3" s="1" t="s">
        <v>666</v>
      </c>
      <c r="AY3" s="13" t="s">
        <v>676</v>
      </c>
    </row>
    <row r="4" spans="1:51" ht="33" customHeight="1">
      <c r="A4" s="1" t="s">
        <v>79</v>
      </c>
      <c r="B4" s="1" t="s">
        <v>34</v>
      </c>
      <c r="C4" s="1" t="s">
        <v>34</v>
      </c>
      <c r="D4" s="1" t="s">
        <v>653</v>
      </c>
      <c r="E4" s="1" t="s">
        <v>80</v>
      </c>
      <c r="F4" s="1" t="s">
        <v>80</v>
      </c>
      <c r="G4" s="1" t="s">
        <v>79</v>
      </c>
      <c r="H4" s="1" t="s">
        <v>556</v>
      </c>
      <c r="I4" s="1" t="s">
        <v>79</v>
      </c>
      <c r="J4" s="1" t="s">
        <v>79</v>
      </c>
      <c r="K4" s="1" t="s">
        <v>79</v>
      </c>
      <c r="L4" s="1" t="s">
        <v>593</v>
      </c>
      <c r="M4" s="2" t="s">
        <v>79</v>
      </c>
      <c r="N4" s="1" t="s">
        <v>79</v>
      </c>
      <c r="O4" s="1" t="s">
        <v>556</v>
      </c>
      <c r="P4" s="1" t="s">
        <v>79</v>
      </c>
      <c r="Q4" s="4" t="s">
        <v>79</v>
      </c>
      <c r="R4" s="4" t="s">
        <v>79</v>
      </c>
      <c r="S4" s="4" t="s">
        <v>79</v>
      </c>
      <c r="T4" s="6" t="s">
        <v>79</v>
      </c>
      <c r="U4" s="6" t="s">
        <v>79</v>
      </c>
      <c r="V4" s="14" t="s">
        <v>79</v>
      </c>
      <c r="W4" s="5" t="s">
        <v>79</v>
      </c>
      <c r="X4" s="5" t="s">
        <v>79</v>
      </c>
      <c r="Y4" s="6" t="s">
        <v>80</v>
      </c>
      <c r="Z4" s="1" t="s">
        <v>79</v>
      </c>
      <c r="AA4" s="1" t="s">
        <v>79</v>
      </c>
      <c r="AB4" s="1" t="s">
        <v>556</v>
      </c>
      <c r="AC4" s="1" t="s">
        <v>556</v>
      </c>
      <c r="AD4" s="1" t="s">
        <v>556</v>
      </c>
      <c r="AE4" s="1" t="s">
        <v>556</v>
      </c>
      <c r="AF4" s="1" t="s">
        <v>80</v>
      </c>
      <c r="AG4" s="1" t="s">
        <v>79</v>
      </c>
      <c r="AH4" s="1" t="s">
        <v>34</v>
      </c>
      <c r="AI4" s="1" t="s">
        <v>80</v>
      </c>
      <c r="AJ4" s="1" t="s">
        <v>80</v>
      </c>
      <c r="AK4" s="1" t="s">
        <v>80</v>
      </c>
      <c r="AL4" s="1" t="s">
        <v>80</v>
      </c>
      <c r="AM4" s="1" t="s">
        <v>80</v>
      </c>
      <c r="AN4" s="12" t="s">
        <v>80</v>
      </c>
      <c r="AO4" s="12" t="s">
        <v>80</v>
      </c>
      <c r="AP4" s="12" t="s">
        <v>80</v>
      </c>
      <c r="AQ4" s="1" t="s">
        <v>80</v>
      </c>
      <c r="AR4" s="1" t="s">
        <v>80</v>
      </c>
      <c r="AS4" s="1" t="s">
        <v>80</v>
      </c>
      <c r="AT4" s="1" t="s">
        <v>80</v>
      </c>
      <c r="AU4" s="1" t="s">
        <v>79</v>
      </c>
      <c r="AV4" s="1" t="s">
        <v>562</v>
      </c>
      <c r="AW4" s="1" t="s">
        <v>556</v>
      </c>
      <c r="AX4" s="1" t="s">
        <v>562</v>
      </c>
      <c r="AY4" s="13" t="s">
        <v>562</v>
      </c>
    </row>
    <row r="5" spans="1:51">
      <c r="A5" s="19">
        <v>1010000000</v>
      </c>
      <c r="B5" s="19" t="s">
        <v>81</v>
      </c>
      <c r="C5" s="19" t="s">
        <v>81</v>
      </c>
      <c r="D5" s="19"/>
      <c r="E5" s="19" t="s">
        <v>82</v>
      </c>
      <c r="F5" s="19"/>
      <c r="G5" s="19" t="s">
        <v>662</v>
      </c>
      <c r="H5" s="45" t="s">
        <v>731</v>
      </c>
      <c r="I5" s="15" t="s">
        <v>733</v>
      </c>
      <c r="J5" s="15"/>
      <c r="K5" s="15"/>
      <c r="L5" s="23" t="s">
        <v>85</v>
      </c>
      <c r="M5" s="19" t="s">
        <v>86</v>
      </c>
      <c r="N5" s="19" t="s">
        <v>87</v>
      </c>
      <c r="O5" s="15" t="s">
        <v>842</v>
      </c>
      <c r="P5" s="20" t="s">
        <v>723</v>
      </c>
      <c r="Q5" s="19" t="s">
        <v>88</v>
      </c>
      <c r="R5" s="19" t="s">
        <v>88</v>
      </c>
      <c r="S5" s="19" t="s">
        <v>88</v>
      </c>
      <c r="T5" s="19" t="s">
        <v>89</v>
      </c>
      <c r="U5" s="19" t="s">
        <v>90</v>
      </c>
      <c r="V5" s="21" t="s">
        <v>91</v>
      </c>
      <c r="W5" s="21" t="s">
        <v>92</v>
      </c>
      <c r="X5" s="21"/>
      <c r="Y5" s="19" t="b">
        <v>1</v>
      </c>
      <c r="Z5" s="19" t="b">
        <f>IF($AA$5=TRUE, FALSE, TRUE)</f>
        <v>0</v>
      </c>
      <c r="AA5" s="19" t="b">
        <v>1</v>
      </c>
      <c r="AB5" s="19" t="b">
        <f>IF($AA$5=TRUE, FALSE, TRUE)</f>
        <v>0</v>
      </c>
      <c r="AC5" s="19" t="b">
        <f>IF($AA$5=TRUE, FALSE, TRUE)</f>
        <v>0</v>
      </c>
      <c r="AD5" s="19" t="b">
        <f>IF($AA$5=TRUE, FALSE, TRUE)</f>
        <v>0</v>
      </c>
      <c r="AE5" s="19" t="b">
        <f>IF($AA$5=TRUE, FALSE, TRUE)</f>
        <v>0</v>
      </c>
      <c r="AF5" s="19">
        <v>1</v>
      </c>
      <c r="AG5" s="19">
        <v>10</v>
      </c>
      <c r="AH5" s="19"/>
      <c r="AI5" s="19" t="s">
        <v>93</v>
      </c>
      <c r="AJ5" s="19"/>
      <c r="AK5" s="19"/>
      <c r="AL5" s="19"/>
      <c r="AM5" s="19" t="s">
        <v>94</v>
      </c>
      <c r="AN5" s="19" t="s">
        <v>95</v>
      </c>
      <c r="AO5" s="19" t="s">
        <v>96</v>
      </c>
      <c r="AP5" s="19" t="s">
        <v>96</v>
      </c>
      <c r="AQ5" s="19"/>
      <c r="AR5" s="19"/>
      <c r="AS5" s="22" t="s">
        <v>97</v>
      </c>
      <c r="AT5" s="22" t="s">
        <v>98</v>
      </c>
      <c r="AU5" s="19" t="s">
        <v>99</v>
      </c>
      <c r="AV5" s="15">
        <v>101</v>
      </c>
      <c r="AW5" s="33"/>
      <c r="AX5" s="13" t="s">
        <v>667</v>
      </c>
      <c r="AY5" s="13" t="s">
        <v>729</v>
      </c>
    </row>
    <row r="6" spans="1:51" s="29" customFormat="1">
      <c r="A6" s="18">
        <v>1010910001</v>
      </c>
      <c r="B6" s="18" t="s">
        <v>100</v>
      </c>
      <c r="C6" s="18" t="s">
        <v>101</v>
      </c>
      <c r="D6" s="18" t="s">
        <v>736</v>
      </c>
      <c r="E6" s="18" t="str">
        <f t="shared" ref="E6:E59" si="0">"Name.Character."&amp;$B6</f>
        <v>Name.Character.itus</v>
      </c>
      <c r="F6" s="18" t="str">
        <f t="shared" ref="F6:F59" si="1">"Desc.Character."&amp;$B6</f>
        <v>Desc.Character.itus</v>
      </c>
      <c r="G6" s="26" t="s">
        <v>662</v>
      </c>
      <c r="H6" s="47" t="s">
        <v>604</v>
      </c>
      <c r="I6" s="11" t="s">
        <v>84</v>
      </c>
      <c r="J6" s="15">
        <v>1040425043</v>
      </c>
      <c r="K6" s="15" t="s">
        <v>818</v>
      </c>
      <c r="L6" s="18" t="s">
        <v>144</v>
      </c>
      <c r="M6" s="16" t="s">
        <v>223</v>
      </c>
      <c r="N6" s="19" t="s">
        <v>808</v>
      </c>
      <c r="O6" s="15" t="s">
        <v>842</v>
      </c>
      <c r="P6" s="30" t="s">
        <v>724</v>
      </c>
      <c r="Q6" s="15" t="s">
        <v>737</v>
      </c>
      <c r="R6" s="15" t="s">
        <v>738</v>
      </c>
      <c r="S6" s="15" t="s">
        <v>739</v>
      </c>
      <c r="T6" s="15" t="s">
        <v>740</v>
      </c>
      <c r="U6" s="15" t="s">
        <v>741</v>
      </c>
      <c r="V6" s="15" t="s">
        <v>742</v>
      </c>
      <c r="W6" s="15" t="s">
        <v>743</v>
      </c>
      <c r="X6" s="15" t="s">
        <v>807</v>
      </c>
      <c r="Y6" s="50" t="b">
        <v>1</v>
      </c>
      <c r="Z6" s="15" t="b">
        <v>1</v>
      </c>
      <c r="AA6" s="3" t="b">
        <v>0</v>
      </c>
      <c r="AB6" s="15" t="b">
        <v>1</v>
      </c>
      <c r="AC6" s="15" t="b">
        <v>1</v>
      </c>
      <c r="AD6" s="15" t="b">
        <v>1</v>
      </c>
      <c r="AE6" s="15" t="b">
        <v>1</v>
      </c>
      <c r="AF6" s="28">
        <v>1</v>
      </c>
      <c r="AG6" s="28">
        <v>10</v>
      </c>
      <c r="AH6" s="28" t="s">
        <v>104</v>
      </c>
      <c r="AI6" s="28" t="str">
        <f t="shared" ref="AI6:AI19" si="2">"Character/Prefabs/"&amp;$AH6</f>
        <v>Character/Prefabs/c_tanker_itus_1</v>
      </c>
      <c r="AJ6" s="28" t="str">
        <f t="shared" ref="AJ6:AJ37" si="3">"CharacterSpine/"&amp;$AH6</f>
        <v>CharacterSpine/c_tanker_itus_1</v>
      </c>
      <c r="AK6" s="28" t="str">
        <f t="shared" ref="AK6:AK13" si="4">"Character/SDPrefabs/sd_head_"&amp;$AH6</f>
        <v>Character/SDPrefabs/sd_head_c_tanker_itus_1</v>
      </c>
      <c r="AL6" s="28"/>
      <c r="AM6" s="28" t="str">
        <f t="shared" ref="AM6:AM12" si="5">"character_"&amp;B6&amp;"_01"</f>
        <v>character_itus_01</v>
      </c>
      <c r="AN6" s="28" t="str">
        <f t="shared" ref="AN6:AN13" si="6">"Character/Timeline/01_CHA/ult_"&amp;$AH6</f>
        <v>Character/Timeline/01_CHA/ult_c_tanker_itus_1</v>
      </c>
      <c r="AO6" s="28" t="str">
        <f t="shared" ref="AO6:AP13" si="7">"Character/Timeline/01_CHA/victory_"&amp;$AH6</f>
        <v>Character/Timeline/01_CHA/victory_c_tanker_itus_1</v>
      </c>
      <c r="AP6" s="28" t="str">
        <f t="shared" si="7"/>
        <v>Character/Timeline/01_CHA/victory_c_tanker_itus_1</v>
      </c>
      <c r="AQ6" s="28" t="str">
        <f t="shared" ref="AQ6:AQ19" si="8">$B6</f>
        <v>itus</v>
      </c>
      <c r="AR6" s="28"/>
      <c r="AS6" s="28" t="s">
        <v>97</v>
      </c>
      <c r="AT6" s="28" t="s">
        <v>98</v>
      </c>
      <c r="AU6" s="28" t="s">
        <v>99</v>
      </c>
      <c r="AV6" s="28">
        <v>102</v>
      </c>
      <c r="AW6" s="46" t="s">
        <v>717</v>
      </c>
      <c r="AX6" s="29" t="s">
        <v>669</v>
      </c>
      <c r="AY6" s="13" t="s">
        <v>729</v>
      </c>
    </row>
    <row r="7" spans="1:51">
      <c r="A7" s="15">
        <v>1010910002</v>
      </c>
      <c r="B7" s="15" t="s">
        <v>722</v>
      </c>
      <c r="C7" s="15" t="s">
        <v>106</v>
      </c>
      <c r="D7" s="15" t="s">
        <v>656</v>
      </c>
      <c r="E7" s="15" t="str">
        <f t="shared" si="0"/>
        <v>Name.Character.melissa</v>
      </c>
      <c r="F7" s="18" t="str">
        <f t="shared" si="1"/>
        <v>Desc.Character.melissa</v>
      </c>
      <c r="G7" s="26" t="s">
        <v>662</v>
      </c>
      <c r="H7" s="45" t="s">
        <v>606</v>
      </c>
      <c r="I7" s="11" t="s">
        <v>84</v>
      </c>
      <c r="J7" s="15">
        <v>1040425041</v>
      </c>
      <c r="K7" s="15" t="s">
        <v>819</v>
      </c>
      <c r="L7" s="18" t="s">
        <v>107</v>
      </c>
      <c r="M7" s="16" t="s">
        <v>108</v>
      </c>
      <c r="N7" s="15" t="s">
        <v>105</v>
      </c>
      <c r="O7" s="15" t="s">
        <v>842</v>
      </c>
      <c r="P7" s="17" t="s">
        <v>724</v>
      </c>
      <c r="Q7" s="15" t="s">
        <v>789</v>
      </c>
      <c r="R7" s="15" t="s">
        <v>109</v>
      </c>
      <c r="S7" s="15" t="s">
        <v>110</v>
      </c>
      <c r="T7" s="15" t="s">
        <v>111</v>
      </c>
      <c r="U7" s="15" t="s">
        <v>112</v>
      </c>
      <c r="V7" s="15" t="s">
        <v>113</v>
      </c>
      <c r="W7" s="15" t="s">
        <v>114</v>
      </c>
      <c r="X7" s="15" t="s">
        <v>684</v>
      </c>
      <c r="Y7" s="3" t="b">
        <v>1</v>
      </c>
      <c r="Z7" s="15" t="b">
        <v>1</v>
      </c>
      <c r="AA7" s="3" t="b">
        <v>0</v>
      </c>
      <c r="AB7" s="15" t="b">
        <v>1</v>
      </c>
      <c r="AC7" s="15" t="b">
        <v>1</v>
      </c>
      <c r="AD7" s="15" t="b">
        <v>1</v>
      </c>
      <c r="AE7" s="15" t="b">
        <v>1</v>
      </c>
      <c r="AF7" s="15">
        <v>1</v>
      </c>
      <c r="AG7" s="15">
        <v>10</v>
      </c>
      <c r="AH7" s="15" t="s">
        <v>115</v>
      </c>
      <c r="AI7" s="15" t="str">
        <f t="shared" si="2"/>
        <v>Character/Prefabs/c_tanker_melissa_1</v>
      </c>
      <c r="AJ7" s="15" t="str">
        <f t="shared" si="3"/>
        <v>CharacterSpine/c_tanker_melissa_1</v>
      </c>
      <c r="AK7" s="15" t="str">
        <f t="shared" si="4"/>
        <v>Character/SDPrefabs/sd_head_c_tanker_melissa_1</v>
      </c>
      <c r="AL7" s="15"/>
      <c r="AM7" s="15" t="str">
        <f t="shared" si="5"/>
        <v>character_melissa_01</v>
      </c>
      <c r="AN7" s="15" t="str">
        <f t="shared" si="6"/>
        <v>Character/Timeline/01_CHA/ult_c_tanker_melissa_1</v>
      </c>
      <c r="AO7" s="15" t="str">
        <f t="shared" si="7"/>
        <v>Character/Timeline/01_CHA/victory_c_tanker_melissa_1</v>
      </c>
      <c r="AP7" s="15" t="str">
        <f t="shared" si="7"/>
        <v>Character/Timeline/01_CHA/victory_c_tanker_melissa_1</v>
      </c>
      <c r="AQ7" s="15" t="str">
        <f t="shared" si="8"/>
        <v>melissa</v>
      </c>
      <c r="AR7" s="3"/>
      <c r="AS7" s="15" t="s">
        <v>97</v>
      </c>
      <c r="AT7" s="15" t="s">
        <v>98</v>
      </c>
      <c r="AU7" s="3" t="s">
        <v>99</v>
      </c>
      <c r="AV7" s="15">
        <v>103</v>
      </c>
      <c r="AW7" s="46" t="s">
        <v>718</v>
      </c>
      <c r="AX7" s="13" t="s">
        <v>670</v>
      </c>
      <c r="AY7" s="13" t="s">
        <v>729</v>
      </c>
    </row>
    <row r="8" spans="1:51">
      <c r="A8" s="15">
        <v>1010710001</v>
      </c>
      <c r="B8" s="15" t="s">
        <v>116</v>
      </c>
      <c r="C8" s="15" t="s">
        <v>117</v>
      </c>
      <c r="D8" s="15" t="s">
        <v>656</v>
      </c>
      <c r="E8" s="15" t="str">
        <f t="shared" si="0"/>
        <v>Name.Character.lilian</v>
      </c>
      <c r="F8" s="18" t="str">
        <f t="shared" si="1"/>
        <v>Desc.Character.lilian</v>
      </c>
      <c r="G8" s="26" t="s">
        <v>662</v>
      </c>
      <c r="H8" s="45" t="s">
        <v>606</v>
      </c>
      <c r="I8" s="11" t="s">
        <v>84</v>
      </c>
      <c r="J8" s="15">
        <v>1040425001</v>
      </c>
      <c r="K8" s="15" t="s">
        <v>819</v>
      </c>
      <c r="L8" s="18" t="s">
        <v>102</v>
      </c>
      <c r="M8" s="16" t="s">
        <v>103</v>
      </c>
      <c r="N8" s="15" t="s">
        <v>116</v>
      </c>
      <c r="O8" s="15" t="s">
        <v>842</v>
      </c>
      <c r="P8" s="17" t="s">
        <v>724</v>
      </c>
      <c r="Q8" s="15" t="s">
        <v>118</v>
      </c>
      <c r="R8" s="15" t="s">
        <v>119</v>
      </c>
      <c r="S8" s="15" t="s">
        <v>120</v>
      </c>
      <c r="T8" s="15" t="s">
        <v>121</v>
      </c>
      <c r="U8" s="15" t="s">
        <v>122</v>
      </c>
      <c r="V8" s="15" t="s">
        <v>123</v>
      </c>
      <c r="W8" s="15" t="s">
        <v>124</v>
      </c>
      <c r="X8" s="15" t="s">
        <v>685</v>
      </c>
      <c r="Y8" s="3" t="b">
        <v>1</v>
      </c>
      <c r="Z8" s="15" t="b">
        <v>1</v>
      </c>
      <c r="AA8" s="3" t="b">
        <v>0</v>
      </c>
      <c r="AB8" s="15" t="b">
        <v>1</v>
      </c>
      <c r="AC8" s="15" t="b">
        <v>1</v>
      </c>
      <c r="AD8" s="15" t="b">
        <v>1</v>
      </c>
      <c r="AE8" s="15" t="b">
        <v>1</v>
      </c>
      <c r="AF8" s="15">
        <v>1</v>
      </c>
      <c r="AG8" s="15">
        <v>10</v>
      </c>
      <c r="AH8" s="15" t="s">
        <v>125</v>
      </c>
      <c r="AI8" s="15" t="str">
        <f t="shared" si="2"/>
        <v>Character/Prefabs/c_tanker_lilian_1</v>
      </c>
      <c r="AJ8" s="15" t="str">
        <f t="shared" si="3"/>
        <v>CharacterSpine/c_tanker_lilian_1</v>
      </c>
      <c r="AK8" s="15" t="str">
        <f t="shared" si="4"/>
        <v>Character/SDPrefabs/sd_head_c_tanker_lilian_1</v>
      </c>
      <c r="AL8" s="15" t="s">
        <v>126</v>
      </c>
      <c r="AM8" s="15" t="str">
        <f t="shared" si="5"/>
        <v>character_lilian_01</v>
      </c>
      <c r="AN8" s="15" t="str">
        <f t="shared" si="6"/>
        <v>Character/Timeline/01_CHA/ult_c_tanker_lilian_1</v>
      </c>
      <c r="AO8" s="15" t="str">
        <f t="shared" si="7"/>
        <v>Character/Timeline/01_CHA/victory_c_tanker_lilian_1</v>
      </c>
      <c r="AP8" s="15" t="str">
        <f t="shared" si="7"/>
        <v>Character/Timeline/01_CHA/victory_c_tanker_lilian_1</v>
      </c>
      <c r="AQ8" s="15" t="str">
        <f t="shared" si="8"/>
        <v>lilian</v>
      </c>
      <c r="AR8" s="3"/>
      <c r="AS8" s="15" t="s">
        <v>97</v>
      </c>
      <c r="AT8" s="15" t="s">
        <v>127</v>
      </c>
      <c r="AU8" s="3" t="s">
        <v>99</v>
      </c>
      <c r="AV8" s="15">
        <v>104</v>
      </c>
      <c r="AW8" s="32" t="s">
        <v>607</v>
      </c>
      <c r="AX8" s="13" t="s">
        <v>670</v>
      </c>
      <c r="AY8" s="13" t="s">
        <v>729</v>
      </c>
    </row>
    <row r="9" spans="1:51">
      <c r="A9" s="15">
        <v>1010710002</v>
      </c>
      <c r="B9" s="15" t="s">
        <v>128</v>
      </c>
      <c r="C9" s="15" t="s">
        <v>129</v>
      </c>
      <c r="D9" s="15" t="s">
        <v>656</v>
      </c>
      <c r="E9" s="15" t="str">
        <f t="shared" si="0"/>
        <v>Name.Character.daria</v>
      </c>
      <c r="F9" s="18" t="str">
        <f t="shared" si="1"/>
        <v>Desc.Character.daria</v>
      </c>
      <c r="G9" s="26" t="s">
        <v>662</v>
      </c>
      <c r="H9" s="47" t="s">
        <v>604</v>
      </c>
      <c r="I9" s="11" t="s">
        <v>84</v>
      </c>
      <c r="J9" s="15">
        <v>1040425002</v>
      </c>
      <c r="K9" s="15" t="s">
        <v>818</v>
      </c>
      <c r="L9" s="18" t="s">
        <v>130</v>
      </c>
      <c r="M9" s="16" t="s">
        <v>131</v>
      </c>
      <c r="N9" s="34" t="s">
        <v>128</v>
      </c>
      <c r="O9" s="15" t="s">
        <v>842</v>
      </c>
      <c r="P9" s="17" t="s">
        <v>724</v>
      </c>
      <c r="Q9" s="15" t="s">
        <v>132</v>
      </c>
      <c r="R9" s="15" t="s">
        <v>133</v>
      </c>
      <c r="S9" s="15" t="s">
        <v>134</v>
      </c>
      <c r="T9" s="15" t="s">
        <v>135</v>
      </c>
      <c r="U9" s="15" t="s">
        <v>136</v>
      </c>
      <c r="V9" s="15" t="s">
        <v>137</v>
      </c>
      <c r="W9" s="15" t="s">
        <v>138</v>
      </c>
      <c r="X9" s="15" t="s">
        <v>686</v>
      </c>
      <c r="Y9" s="3" t="b">
        <v>1</v>
      </c>
      <c r="Z9" s="15" t="b">
        <v>1</v>
      </c>
      <c r="AA9" s="3" t="b">
        <v>0</v>
      </c>
      <c r="AB9" s="15" t="b">
        <v>1</v>
      </c>
      <c r="AC9" s="15" t="b">
        <v>1</v>
      </c>
      <c r="AD9" s="15" t="b">
        <v>1</v>
      </c>
      <c r="AE9" s="15" t="b">
        <v>1</v>
      </c>
      <c r="AF9" s="15">
        <v>1</v>
      </c>
      <c r="AG9" s="15">
        <v>10</v>
      </c>
      <c r="AH9" s="15" t="s">
        <v>139</v>
      </c>
      <c r="AI9" s="15" t="str">
        <f t="shared" si="2"/>
        <v>Character/Prefabs/c_tanker_daria_1</v>
      </c>
      <c r="AJ9" s="15" t="str">
        <f t="shared" si="3"/>
        <v>CharacterSpine/c_tanker_daria_1</v>
      </c>
      <c r="AK9" s="15" t="str">
        <f t="shared" si="4"/>
        <v>Character/SDPrefabs/sd_head_c_tanker_daria_1</v>
      </c>
      <c r="AL9" s="15"/>
      <c r="AM9" s="15" t="str">
        <f t="shared" si="5"/>
        <v>character_daria_01</v>
      </c>
      <c r="AN9" s="15" t="str">
        <f t="shared" si="6"/>
        <v>Character/Timeline/01_CHA/ult_c_tanker_daria_1</v>
      </c>
      <c r="AO9" s="15" t="str">
        <f t="shared" si="7"/>
        <v>Character/Timeline/01_CHA/victory_c_tanker_daria_1</v>
      </c>
      <c r="AP9" s="15" t="str">
        <f t="shared" si="7"/>
        <v>Character/Timeline/01_CHA/victory_c_tanker_daria_1</v>
      </c>
      <c r="AQ9" s="15" t="str">
        <f t="shared" si="8"/>
        <v>daria</v>
      </c>
      <c r="AR9" s="3"/>
      <c r="AS9" s="15" t="s">
        <v>140</v>
      </c>
      <c r="AT9" s="15" t="s">
        <v>141</v>
      </c>
      <c r="AU9" s="3" t="s">
        <v>99</v>
      </c>
      <c r="AV9" s="15">
        <v>105</v>
      </c>
      <c r="AW9" s="32" t="s">
        <v>608</v>
      </c>
      <c r="AX9" s="13" t="s">
        <v>669</v>
      </c>
      <c r="AY9" s="13" t="s">
        <v>729</v>
      </c>
    </row>
    <row r="10" spans="1:51">
      <c r="A10" s="15">
        <v>1010710003</v>
      </c>
      <c r="B10" s="15" t="s">
        <v>142</v>
      </c>
      <c r="C10" s="15" t="s">
        <v>143</v>
      </c>
      <c r="D10" s="15" t="s">
        <v>656</v>
      </c>
      <c r="E10" s="15" t="str">
        <f t="shared" si="0"/>
        <v>Name.Character.snopril</v>
      </c>
      <c r="F10" s="18" t="str">
        <f t="shared" si="1"/>
        <v>Desc.Character.snopril</v>
      </c>
      <c r="G10" s="26" t="s">
        <v>662</v>
      </c>
      <c r="H10" s="47" t="s">
        <v>604</v>
      </c>
      <c r="I10" s="11" t="s">
        <v>84</v>
      </c>
      <c r="J10" s="15">
        <v>1040425003</v>
      </c>
      <c r="K10" s="15" t="s">
        <v>818</v>
      </c>
      <c r="L10" s="18" t="s">
        <v>144</v>
      </c>
      <c r="M10" s="16" t="s">
        <v>145</v>
      </c>
      <c r="N10" s="34" t="s">
        <v>142</v>
      </c>
      <c r="O10" s="15" t="s">
        <v>842</v>
      </c>
      <c r="P10" s="17" t="s">
        <v>724</v>
      </c>
      <c r="Q10" s="15" t="s">
        <v>146</v>
      </c>
      <c r="R10" s="15" t="s">
        <v>147</v>
      </c>
      <c r="S10" s="15" t="s">
        <v>148</v>
      </c>
      <c r="T10" s="15" t="s">
        <v>149</v>
      </c>
      <c r="U10" s="15" t="s">
        <v>150</v>
      </c>
      <c r="V10" s="15" t="s">
        <v>151</v>
      </c>
      <c r="W10" s="15" t="s">
        <v>152</v>
      </c>
      <c r="X10" s="15" t="s">
        <v>687</v>
      </c>
      <c r="Y10" s="3" t="b">
        <v>1</v>
      </c>
      <c r="Z10" s="15" t="b">
        <v>1</v>
      </c>
      <c r="AA10" s="3" t="b">
        <v>0</v>
      </c>
      <c r="AB10" s="15" t="b">
        <v>1</v>
      </c>
      <c r="AC10" s="15" t="b">
        <v>1</v>
      </c>
      <c r="AD10" s="15" t="b">
        <v>1</v>
      </c>
      <c r="AE10" s="15" t="b">
        <v>1</v>
      </c>
      <c r="AF10" s="15">
        <v>1</v>
      </c>
      <c r="AG10" s="15">
        <v>10</v>
      </c>
      <c r="AH10" s="15" t="s">
        <v>153</v>
      </c>
      <c r="AI10" s="15" t="str">
        <f t="shared" si="2"/>
        <v>Character/Prefabs/c_tanker_snopril_1</v>
      </c>
      <c r="AJ10" s="15" t="str">
        <f t="shared" si="3"/>
        <v>CharacterSpine/c_tanker_snopril_1</v>
      </c>
      <c r="AK10" s="15" t="str">
        <f t="shared" si="4"/>
        <v>Character/SDPrefabs/sd_head_c_tanker_snopril_1</v>
      </c>
      <c r="AL10" s="15"/>
      <c r="AM10" s="15" t="str">
        <f t="shared" si="5"/>
        <v>character_snopril_01</v>
      </c>
      <c r="AN10" s="15" t="str">
        <f t="shared" si="6"/>
        <v>Character/Timeline/01_CHA/ult_c_tanker_snopril_1</v>
      </c>
      <c r="AO10" s="15" t="str">
        <f t="shared" si="7"/>
        <v>Character/Timeline/01_CHA/victory_c_tanker_snopril_1</v>
      </c>
      <c r="AP10" s="15" t="str">
        <f t="shared" si="7"/>
        <v>Character/Timeline/01_CHA/victory_c_tanker_snopril_1</v>
      </c>
      <c r="AQ10" s="15" t="str">
        <f t="shared" si="8"/>
        <v>snopril</v>
      </c>
      <c r="AR10" s="3"/>
      <c r="AS10" s="15" t="s">
        <v>97</v>
      </c>
      <c r="AT10" s="15" t="s">
        <v>154</v>
      </c>
      <c r="AU10" s="3" t="s">
        <v>99</v>
      </c>
      <c r="AV10" s="15">
        <v>106</v>
      </c>
      <c r="AW10" s="32" t="s">
        <v>609</v>
      </c>
      <c r="AX10" s="13" t="s">
        <v>670</v>
      </c>
      <c r="AY10" s="13" t="s">
        <v>729</v>
      </c>
    </row>
    <row r="11" spans="1:51">
      <c r="A11" s="15">
        <v>1010510001</v>
      </c>
      <c r="B11" s="15" t="s">
        <v>155</v>
      </c>
      <c r="C11" s="15" t="s">
        <v>156</v>
      </c>
      <c r="D11" s="15" t="s">
        <v>736</v>
      </c>
      <c r="E11" s="15" t="str">
        <f t="shared" si="0"/>
        <v>Name.Character.anne</v>
      </c>
      <c r="F11" s="18" t="str">
        <f t="shared" si="1"/>
        <v>Desc.Character.anne</v>
      </c>
      <c r="G11" s="26" t="s">
        <v>662</v>
      </c>
      <c r="H11" s="45" t="s">
        <v>731</v>
      </c>
      <c r="I11" s="15" t="s">
        <v>733</v>
      </c>
      <c r="J11" s="15">
        <v>1040425004</v>
      </c>
      <c r="K11" s="15" t="s">
        <v>820</v>
      </c>
      <c r="L11" s="18" t="s">
        <v>157</v>
      </c>
      <c r="M11" s="16" t="s">
        <v>158</v>
      </c>
      <c r="N11" s="19" t="s">
        <v>87</v>
      </c>
      <c r="O11" s="15" t="s">
        <v>842</v>
      </c>
      <c r="P11" s="17" t="s">
        <v>724</v>
      </c>
      <c r="Q11" s="15" t="s">
        <v>159</v>
      </c>
      <c r="R11" s="15" t="s">
        <v>160</v>
      </c>
      <c r="S11" s="15" t="s">
        <v>161</v>
      </c>
      <c r="T11" s="15" t="s">
        <v>162</v>
      </c>
      <c r="U11" s="15" t="s">
        <v>163</v>
      </c>
      <c r="V11" s="15" t="s">
        <v>164</v>
      </c>
      <c r="W11" s="15" t="s">
        <v>165</v>
      </c>
      <c r="X11" s="15" t="s">
        <v>688</v>
      </c>
      <c r="Y11" s="3" t="b">
        <v>1</v>
      </c>
      <c r="Z11" s="28" t="b">
        <v>0</v>
      </c>
      <c r="AA11" s="28" t="b">
        <v>1</v>
      </c>
      <c r="AB11" s="15" t="b">
        <v>1</v>
      </c>
      <c r="AC11" s="15" t="b">
        <v>1</v>
      </c>
      <c r="AD11" s="15" t="b">
        <v>1</v>
      </c>
      <c r="AE11" s="15" t="b">
        <v>1</v>
      </c>
      <c r="AF11" s="15">
        <v>1</v>
      </c>
      <c r="AG11" s="15">
        <v>10</v>
      </c>
      <c r="AH11" s="15" t="s">
        <v>166</v>
      </c>
      <c r="AI11" s="15" t="str">
        <f t="shared" si="2"/>
        <v>Character/Prefabs/c_tanker_anne_1</v>
      </c>
      <c r="AJ11" s="15" t="str">
        <f t="shared" si="3"/>
        <v>CharacterSpine/c_tanker_anne_1</v>
      </c>
      <c r="AK11" s="15" t="str">
        <f t="shared" si="4"/>
        <v>Character/SDPrefabs/sd_head_c_tanker_anne_1</v>
      </c>
      <c r="AL11" s="15"/>
      <c r="AM11" s="15" t="str">
        <f t="shared" si="5"/>
        <v>character_anne_01</v>
      </c>
      <c r="AN11" s="15" t="str">
        <f t="shared" si="6"/>
        <v>Character/Timeline/01_CHA/ult_c_tanker_anne_1</v>
      </c>
      <c r="AO11" s="15" t="str">
        <f t="shared" si="7"/>
        <v>Character/Timeline/01_CHA/victory_c_tanker_anne_1</v>
      </c>
      <c r="AP11" s="15" t="str">
        <f t="shared" si="7"/>
        <v>Character/Timeline/01_CHA/victory_c_tanker_anne_1</v>
      </c>
      <c r="AQ11" s="15" t="str">
        <f t="shared" si="8"/>
        <v>anne</v>
      </c>
      <c r="AR11" s="3"/>
      <c r="AS11" s="15" t="s">
        <v>97</v>
      </c>
      <c r="AT11" s="15" t="s">
        <v>98</v>
      </c>
      <c r="AU11" s="3" t="s">
        <v>99</v>
      </c>
      <c r="AV11" s="15">
        <v>107</v>
      </c>
      <c r="AW11" s="32" t="s">
        <v>610</v>
      </c>
      <c r="AX11" s="13" t="s">
        <v>667</v>
      </c>
      <c r="AY11" s="13" t="s">
        <v>729</v>
      </c>
    </row>
    <row r="12" spans="1:51">
      <c r="A12" s="15">
        <v>1010510002</v>
      </c>
      <c r="B12" s="15" t="s">
        <v>167</v>
      </c>
      <c r="C12" s="15" t="s">
        <v>168</v>
      </c>
      <c r="D12" s="15" t="s">
        <v>656</v>
      </c>
      <c r="E12" s="15" t="str">
        <f t="shared" si="0"/>
        <v>Name.Character.taina</v>
      </c>
      <c r="F12" s="18" t="str">
        <f t="shared" si="1"/>
        <v>Desc.Character.taina</v>
      </c>
      <c r="G12" s="26" t="s">
        <v>662</v>
      </c>
      <c r="H12" s="45" t="s">
        <v>606</v>
      </c>
      <c r="I12" s="11" t="s">
        <v>84</v>
      </c>
      <c r="J12" s="15">
        <v>1040425005</v>
      </c>
      <c r="K12" s="15" t="s">
        <v>819</v>
      </c>
      <c r="L12" s="18" t="s">
        <v>157</v>
      </c>
      <c r="M12" s="16" t="s">
        <v>158</v>
      </c>
      <c r="N12" s="34" t="s">
        <v>167</v>
      </c>
      <c r="O12" s="15" t="s">
        <v>842</v>
      </c>
      <c r="P12" s="17" t="s">
        <v>724</v>
      </c>
      <c r="Q12" s="15" t="s">
        <v>169</v>
      </c>
      <c r="R12" s="15" t="s">
        <v>170</v>
      </c>
      <c r="S12" s="15" t="s">
        <v>171</v>
      </c>
      <c r="T12" s="15" t="s">
        <v>172</v>
      </c>
      <c r="U12" s="15" t="s">
        <v>173</v>
      </c>
      <c r="V12" s="15" t="s">
        <v>174</v>
      </c>
      <c r="W12" s="15" t="s">
        <v>175</v>
      </c>
      <c r="X12" s="15" t="s">
        <v>689</v>
      </c>
      <c r="Y12" s="3" t="b">
        <v>1</v>
      </c>
      <c r="Z12" s="15" t="b">
        <v>1</v>
      </c>
      <c r="AA12" s="3" t="b">
        <v>0</v>
      </c>
      <c r="AB12" s="15" t="b">
        <v>1</v>
      </c>
      <c r="AC12" s="15" t="b">
        <v>1</v>
      </c>
      <c r="AD12" s="15" t="b">
        <v>1</v>
      </c>
      <c r="AE12" s="15" t="b">
        <v>1</v>
      </c>
      <c r="AF12" s="15">
        <v>1</v>
      </c>
      <c r="AG12" s="15">
        <v>10</v>
      </c>
      <c r="AH12" s="15" t="s">
        <v>176</v>
      </c>
      <c r="AI12" s="15" t="str">
        <f t="shared" si="2"/>
        <v>Character/Prefabs/c_tanker_taina_1</v>
      </c>
      <c r="AJ12" s="15" t="str">
        <f t="shared" si="3"/>
        <v>CharacterSpine/c_tanker_taina_1</v>
      </c>
      <c r="AK12" s="15" t="str">
        <f t="shared" si="4"/>
        <v>Character/SDPrefabs/sd_head_c_tanker_taina_1</v>
      </c>
      <c r="AL12" s="15"/>
      <c r="AM12" s="15" t="str">
        <f t="shared" si="5"/>
        <v>character_taina_01</v>
      </c>
      <c r="AN12" s="15" t="str">
        <f t="shared" si="6"/>
        <v>Character/Timeline/01_CHA/ult_c_tanker_taina_1</v>
      </c>
      <c r="AO12" s="15" t="str">
        <f t="shared" si="7"/>
        <v>Character/Timeline/01_CHA/victory_c_tanker_taina_1</v>
      </c>
      <c r="AP12" s="15" t="str">
        <f t="shared" si="7"/>
        <v>Character/Timeline/01_CHA/victory_c_tanker_taina_1</v>
      </c>
      <c r="AQ12" s="15" t="str">
        <f t="shared" si="8"/>
        <v>taina</v>
      </c>
      <c r="AR12" s="3"/>
      <c r="AS12" s="15" t="s">
        <v>97</v>
      </c>
      <c r="AT12" s="15" t="s">
        <v>720</v>
      </c>
      <c r="AU12" s="3" t="s">
        <v>99</v>
      </c>
      <c r="AV12" s="15">
        <v>108</v>
      </c>
      <c r="AW12" s="32" t="s">
        <v>611</v>
      </c>
      <c r="AX12" s="13" t="s">
        <v>670</v>
      </c>
      <c r="AY12" s="13" t="s">
        <v>729</v>
      </c>
    </row>
    <row r="13" spans="1:51">
      <c r="A13" s="15">
        <v>1010310001</v>
      </c>
      <c r="B13" s="15" t="s">
        <v>177</v>
      </c>
      <c r="C13" s="15" t="s">
        <v>178</v>
      </c>
      <c r="D13" s="15" t="s">
        <v>656</v>
      </c>
      <c r="E13" s="15" t="str">
        <f t="shared" si="0"/>
        <v>Name.Character.diana</v>
      </c>
      <c r="F13" s="18" t="str">
        <f t="shared" si="1"/>
        <v>Desc.Character.diana</v>
      </c>
      <c r="G13" s="27" t="s">
        <v>83</v>
      </c>
      <c r="H13" s="45" t="s">
        <v>606</v>
      </c>
      <c r="I13" s="11" t="s">
        <v>84</v>
      </c>
      <c r="J13" s="15"/>
      <c r="K13" s="15"/>
      <c r="L13" s="24" t="s">
        <v>130</v>
      </c>
      <c r="M13" s="25" t="s">
        <v>131</v>
      </c>
      <c r="N13" s="34" t="s">
        <v>177</v>
      </c>
      <c r="O13" s="15" t="s">
        <v>842</v>
      </c>
      <c r="P13" s="17" t="s">
        <v>598</v>
      </c>
      <c r="Q13" s="15" t="s">
        <v>179</v>
      </c>
      <c r="R13" s="15" t="s">
        <v>180</v>
      </c>
      <c r="S13" s="15" t="s">
        <v>181</v>
      </c>
      <c r="T13" s="15" t="s">
        <v>182</v>
      </c>
      <c r="U13" s="15" t="s">
        <v>586</v>
      </c>
      <c r="V13" s="15" t="s">
        <v>587</v>
      </c>
      <c r="W13" s="15" t="s">
        <v>588</v>
      </c>
      <c r="X13" s="15"/>
      <c r="Y13" s="3" t="b">
        <v>1</v>
      </c>
      <c r="Z13" s="15" t="b">
        <v>1</v>
      </c>
      <c r="AA13" s="3" t="b">
        <v>0</v>
      </c>
      <c r="AB13" s="15" t="b">
        <v>1</v>
      </c>
      <c r="AC13" s="15" t="b">
        <v>1</v>
      </c>
      <c r="AD13" s="15" t="b">
        <v>1</v>
      </c>
      <c r="AE13" s="15" t="b">
        <v>1</v>
      </c>
      <c r="AF13" s="15">
        <v>1</v>
      </c>
      <c r="AG13" s="15">
        <v>10</v>
      </c>
      <c r="AH13" s="15" t="s">
        <v>183</v>
      </c>
      <c r="AI13" s="15" t="str">
        <f t="shared" si="2"/>
        <v>Character/Prefabs/c_tanker_diana_1</v>
      </c>
      <c r="AJ13" s="15" t="str">
        <f t="shared" si="3"/>
        <v>CharacterSpine/c_tanker_diana_1</v>
      </c>
      <c r="AK13" s="15" t="str">
        <f t="shared" si="4"/>
        <v>Character/SDPrefabs/sd_head_c_tanker_diana_1</v>
      </c>
      <c r="AL13" s="15"/>
      <c r="AM13" s="15" t="s">
        <v>589</v>
      </c>
      <c r="AN13" s="15" t="str">
        <f t="shared" si="6"/>
        <v>Character/Timeline/01_CHA/ult_c_tanker_diana_1</v>
      </c>
      <c r="AO13" s="15" t="str">
        <f t="shared" si="7"/>
        <v>Character/Timeline/01_CHA/victory_c_tanker_diana_1</v>
      </c>
      <c r="AP13" s="15" t="str">
        <f t="shared" si="7"/>
        <v>Character/Timeline/01_CHA/victory_c_tanker_diana_1</v>
      </c>
      <c r="AQ13" s="15" t="str">
        <f t="shared" si="8"/>
        <v>diana</v>
      </c>
      <c r="AR13" s="3"/>
      <c r="AS13" s="15" t="s">
        <v>805</v>
      </c>
      <c r="AT13" s="15" t="s">
        <v>98</v>
      </c>
      <c r="AU13" s="3" t="s">
        <v>99</v>
      </c>
      <c r="AV13" s="15">
        <v>109</v>
      </c>
      <c r="AW13" s="32" t="s">
        <v>590</v>
      </c>
      <c r="AX13" s="13" t="s">
        <v>669</v>
      </c>
    </row>
    <row r="14" spans="1:51">
      <c r="A14" s="15">
        <v>1010210001</v>
      </c>
      <c r="B14" s="15" t="s">
        <v>575</v>
      </c>
      <c r="C14" s="15" t="s">
        <v>576</v>
      </c>
      <c r="D14" s="15" t="s">
        <v>656</v>
      </c>
      <c r="E14" s="15" t="str">
        <f t="shared" si="0"/>
        <v>Name.Character.lue</v>
      </c>
      <c r="F14" s="18" t="str">
        <f t="shared" si="1"/>
        <v>Desc.Character.lue</v>
      </c>
      <c r="G14" s="10" t="s">
        <v>663</v>
      </c>
      <c r="H14" s="47" t="s">
        <v>604</v>
      </c>
      <c r="I14" s="11" t="s">
        <v>84</v>
      </c>
      <c r="J14" s="15">
        <v>1040103101</v>
      </c>
      <c r="K14" s="15" t="s">
        <v>821</v>
      </c>
      <c r="L14" s="24" t="s">
        <v>130</v>
      </c>
      <c r="M14" s="25" t="s">
        <v>131</v>
      </c>
      <c r="N14" s="35" t="s">
        <v>583</v>
      </c>
      <c r="O14" s="15" t="s">
        <v>842</v>
      </c>
      <c r="P14" s="17"/>
      <c r="Q14" s="15" t="str">
        <f>$B14&amp;".attack"&amp;RIGHT(Q$2,1)</f>
        <v>lue.attack1</v>
      </c>
      <c r="R14" s="15"/>
      <c r="S14" s="15"/>
      <c r="T14" s="15" t="str">
        <f>$B14&amp;".active"&amp;RIGHT(T$2,1)</f>
        <v>lue.active1</v>
      </c>
      <c r="U14" s="15"/>
      <c r="V14" s="15"/>
      <c r="W14" s="15"/>
      <c r="X14" s="15"/>
      <c r="Y14" s="3" t="b">
        <v>1</v>
      </c>
      <c r="Z14" s="15" t="b">
        <v>1</v>
      </c>
      <c r="AA14" s="3" t="b">
        <v>0</v>
      </c>
      <c r="AB14" s="15" t="b">
        <v>0</v>
      </c>
      <c r="AC14" s="15" t="b">
        <v>0</v>
      </c>
      <c r="AD14" s="15" t="b">
        <v>0</v>
      </c>
      <c r="AE14" s="15" t="b">
        <v>0</v>
      </c>
      <c r="AF14" s="15">
        <v>1</v>
      </c>
      <c r="AG14" s="15">
        <v>10</v>
      </c>
      <c r="AH14" s="15" t="str">
        <f>"c_"&amp;LOWER(I14)&amp;"_"&amp;$B14&amp;"_1"</f>
        <v>c_tanker_lue_1</v>
      </c>
      <c r="AI14" s="15" t="str">
        <f t="shared" si="2"/>
        <v>Character/Prefabs/c_tanker_lue_1</v>
      </c>
      <c r="AJ14" s="15" t="str">
        <f t="shared" si="3"/>
        <v>CharacterSpine/c_tanker_lue_1</v>
      </c>
      <c r="AK14" s="15"/>
      <c r="AL14" s="15"/>
      <c r="AM14" s="15" t="str">
        <f t="shared" ref="AM14:AM60" si="9">"character_"&amp;B14&amp;"_01"</f>
        <v>character_lue_01</v>
      </c>
      <c r="AN14" s="15"/>
      <c r="AO14" s="15"/>
      <c r="AP14" s="15"/>
      <c r="AQ14" s="15" t="str">
        <f t="shared" si="8"/>
        <v>lue</v>
      </c>
      <c r="AR14" s="3"/>
      <c r="AS14" s="15" t="s">
        <v>97</v>
      </c>
      <c r="AT14" s="15" t="s">
        <v>98</v>
      </c>
      <c r="AU14" s="3" t="s">
        <v>99</v>
      </c>
      <c r="AV14" s="15">
        <v>109</v>
      </c>
      <c r="AW14" s="32"/>
      <c r="AX14" s="13" t="s">
        <v>670</v>
      </c>
    </row>
    <row r="15" spans="1:51" s="29" customFormat="1">
      <c r="A15" s="28">
        <v>1010920001</v>
      </c>
      <c r="B15" s="28" t="s">
        <v>184</v>
      </c>
      <c r="C15" s="28" t="s">
        <v>185</v>
      </c>
      <c r="D15" s="28" t="s">
        <v>655</v>
      </c>
      <c r="E15" s="28" t="str">
        <f t="shared" si="0"/>
        <v>Name.Character.kaito.aile</v>
      </c>
      <c r="F15" s="28" t="str">
        <f t="shared" si="1"/>
        <v>Desc.Character.kaito.aile</v>
      </c>
      <c r="G15" s="28" t="s">
        <v>662</v>
      </c>
      <c r="H15" s="45" t="s">
        <v>731</v>
      </c>
      <c r="I15" s="15" t="s">
        <v>733</v>
      </c>
      <c r="J15" s="15"/>
      <c r="K15" s="15"/>
      <c r="L15" s="23" t="s">
        <v>85</v>
      </c>
      <c r="M15" s="28" t="s">
        <v>103</v>
      </c>
      <c r="N15" s="19" t="s">
        <v>87</v>
      </c>
      <c r="O15" s="15" t="s">
        <v>842</v>
      </c>
      <c r="P15" s="30" t="s">
        <v>723</v>
      </c>
      <c r="Q15" s="28" t="s">
        <v>803</v>
      </c>
      <c r="R15" s="28" t="s">
        <v>797</v>
      </c>
      <c r="S15" s="28" t="s">
        <v>798</v>
      </c>
      <c r="T15" s="28" t="s">
        <v>799</v>
      </c>
      <c r="U15" s="28" t="s">
        <v>800</v>
      </c>
      <c r="V15" s="28" t="s">
        <v>801</v>
      </c>
      <c r="W15" s="28" t="s">
        <v>802</v>
      </c>
      <c r="X15" s="21"/>
      <c r="Y15" s="3" t="b">
        <v>1</v>
      </c>
      <c r="Z15" s="15" t="b">
        <v>1</v>
      </c>
      <c r="AA15" s="3" t="b">
        <v>0</v>
      </c>
      <c r="AB15" s="15" t="b">
        <v>1</v>
      </c>
      <c r="AC15" s="15" t="b">
        <v>1</v>
      </c>
      <c r="AD15" s="15" t="b">
        <v>1</v>
      </c>
      <c r="AE15" s="15" t="b">
        <v>1</v>
      </c>
      <c r="AF15" s="28">
        <v>1</v>
      </c>
      <c r="AG15" s="28">
        <v>10</v>
      </c>
      <c r="AH15" s="28" t="s">
        <v>843</v>
      </c>
      <c r="AI15" s="28" t="str">
        <f t="shared" si="2"/>
        <v>Character/Prefabs/c_attacker_kaito.aile_1</v>
      </c>
      <c r="AJ15" s="28" t="str">
        <f t="shared" si="3"/>
        <v>CharacterSpine/c_attacker_kaito.aile_1</v>
      </c>
      <c r="AK15" s="28" t="str">
        <f t="shared" ref="AK15:AK19" si="10">"Character/SDPrefabs/sd_head_"&amp;$AH15</f>
        <v>Character/SDPrefabs/sd_head_c_attacker_kaito.aile_1</v>
      </c>
      <c r="AL15" s="28"/>
      <c r="AM15" s="28" t="str">
        <f t="shared" si="9"/>
        <v>character_kaito.aile_01</v>
      </c>
      <c r="AN15" s="28" t="str">
        <f t="shared" ref="AN15:AN19" si="11">"Character/Timeline/01_CHA/ult_"&amp;$AH15</f>
        <v>Character/Timeline/01_CHA/ult_c_attacker_kaito.aile_1</v>
      </c>
      <c r="AO15" s="28" t="str">
        <f t="shared" ref="AO15:AP19" si="12">"Character/Timeline/01_CHA/victory_"&amp;$AH15</f>
        <v>Character/Timeline/01_CHA/victory_c_attacker_kaito.aile_1</v>
      </c>
      <c r="AP15" s="28" t="str">
        <f t="shared" si="12"/>
        <v>Character/Timeline/01_CHA/victory_c_attacker_kaito.aile_1</v>
      </c>
      <c r="AQ15" s="28" t="str">
        <f t="shared" si="8"/>
        <v>kaito.aile</v>
      </c>
      <c r="AR15" s="28"/>
      <c r="AS15" s="28" t="s">
        <v>97</v>
      </c>
      <c r="AT15" s="28" t="s">
        <v>98</v>
      </c>
      <c r="AU15" s="28" t="s">
        <v>99</v>
      </c>
      <c r="AV15" s="28">
        <v>201</v>
      </c>
      <c r="AW15" s="46" t="s">
        <v>730</v>
      </c>
      <c r="AX15" s="29" t="s">
        <v>667</v>
      </c>
    </row>
    <row r="16" spans="1:51">
      <c r="A16" s="15">
        <v>1010920002</v>
      </c>
      <c r="B16" s="15" t="s">
        <v>187</v>
      </c>
      <c r="C16" s="15" t="s">
        <v>188</v>
      </c>
      <c r="D16" s="15" t="s">
        <v>656</v>
      </c>
      <c r="E16" s="15" t="str">
        <f t="shared" si="0"/>
        <v>Name.Character.serapulsar</v>
      </c>
      <c r="F16" s="18" t="str">
        <f t="shared" si="1"/>
        <v>Desc.Character.serapulsar</v>
      </c>
      <c r="G16" s="26" t="s">
        <v>662</v>
      </c>
      <c r="H16" s="45" t="s">
        <v>606</v>
      </c>
      <c r="I16" s="8" t="s">
        <v>601</v>
      </c>
      <c r="J16" s="15">
        <v>1040425006</v>
      </c>
      <c r="K16" s="15" t="s">
        <v>819</v>
      </c>
      <c r="L16" s="18" t="s">
        <v>102</v>
      </c>
      <c r="M16" s="16" t="s">
        <v>103</v>
      </c>
      <c r="N16" s="34" t="s">
        <v>187</v>
      </c>
      <c r="O16" s="15" t="s">
        <v>842</v>
      </c>
      <c r="P16" s="17" t="s">
        <v>725</v>
      </c>
      <c r="Q16" s="15" t="s">
        <v>189</v>
      </c>
      <c r="R16" s="15" t="s">
        <v>190</v>
      </c>
      <c r="S16" s="15" t="s">
        <v>191</v>
      </c>
      <c r="T16" s="15" t="s">
        <v>192</v>
      </c>
      <c r="U16" s="15" t="s">
        <v>193</v>
      </c>
      <c r="V16" s="15" t="s">
        <v>194</v>
      </c>
      <c r="W16" s="15" t="s">
        <v>195</v>
      </c>
      <c r="X16" s="15" t="s">
        <v>690</v>
      </c>
      <c r="Y16" s="3" t="b">
        <v>1</v>
      </c>
      <c r="Z16" s="15" t="b">
        <v>1</v>
      </c>
      <c r="AA16" s="3" t="b">
        <v>0</v>
      </c>
      <c r="AB16" s="15" t="b">
        <v>1</v>
      </c>
      <c r="AC16" s="15" t="b">
        <v>1</v>
      </c>
      <c r="AD16" s="15" t="b">
        <v>1</v>
      </c>
      <c r="AE16" s="15" t="b">
        <v>1</v>
      </c>
      <c r="AF16" s="15">
        <v>1</v>
      </c>
      <c r="AG16" s="15">
        <v>10</v>
      </c>
      <c r="AH16" s="15" t="s">
        <v>196</v>
      </c>
      <c r="AI16" s="15" t="str">
        <f t="shared" si="2"/>
        <v>Character/Prefabs/c_attacker_serapulsar_1</v>
      </c>
      <c r="AJ16" s="15" t="str">
        <f t="shared" si="3"/>
        <v>CharacterSpine/c_attacker_serapulsar_1</v>
      </c>
      <c r="AK16" s="15" t="str">
        <f t="shared" si="10"/>
        <v>Character/SDPrefabs/sd_head_c_attacker_serapulsar_1</v>
      </c>
      <c r="AL16" s="15"/>
      <c r="AM16" s="15" t="str">
        <f t="shared" si="9"/>
        <v>character_serapulsar_01</v>
      </c>
      <c r="AN16" s="15" t="str">
        <f t="shared" si="11"/>
        <v>Character/Timeline/01_CHA/ult_c_attacker_serapulsar_1</v>
      </c>
      <c r="AO16" s="15" t="str">
        <f t="shared" si="12"/>
        <v>Character/Timeline/01_CHA/victory_c_attacker_serapulsar_1</v>
      </c>
      <c r="AP16" s="15" t="str">
        <f t="shared" si="12"/>
        <v>Character/Timeline/01_CHA/victory_c_attacker_serapulsar_1</v>
      </c>
      <c r="AQ16" s="15" t="str">
        <f t="shared" si="8"/>
        <v>serapulsar</v>
      </c>
      <c r="AR16" s="3"/>
      <c r="AS16" s="15" t="s">
        <v>97</v>
      </c>
      <c r="AT16" s="15" t="s">
        <v>154</v>
      </c>
      <c r="AU16" s="3" t="s">
        <v>99</v>
      </c>
      <c r="AV16" s="15">
        <v>202</v>
      </c>
      <c r="AW16" s="32" t="s">
        <v>612</v>
      </c>
      <c r="AX16" s="13" t="s">
        <v>671</v>
      </c>
      <c r="AY16" s="13" t="s">
        <v>729</v>
      </c>
    </row>
    <row r="17" spans="1:51">
      <c r="A17" s="15">
        <v>1010920003</v>
      </c>
      <c r="B17" s="15" t="s">
        <v>197</v>
      </c>
      <c r="C17" s="15" t="s">
        <v>198</v>
      </c>
      <c r="D17" s="15" t="s">
        <v>656</v>
      </c>
      <c r="E17" s="15" t="str">
        <f t="shared" si="0"/>
        <v>Name.Character.iras</v>
      </c>
      <c r="F17" s="18" t="str">
        <f t="shared" si="1"/>
        <v>Desc.Character.iras</v>
      </c>
      <c r="G17" s="26" t="s">
        <v>662</v>
      </c>
      <c r="H17" s="47" t="s">
        <v>604</v>
      </c>
      <c r="I17" s="8" t="s">
        <v>186</v>
      </c>
      <c r="J17" s="15">
        <v>1040425007</v>
      </c>
      <c r="K17" s="15" t="s">
        <v>818</v>
      </c>
      <c r="L17" s="18" t="s">
        <v>107</v>
      </c>
      <c r="M17" s="16" t="s">
        <v>108</v>
      </c>
      <c r="N17" s="34" t="s">
        <v>197</v>
      </c>
      <c r="O17" s="15" t="s">
        <v>842</v>
      </c>
      <c r="P17" s="17" t="s">
        <v>725</v>
      </c>
      <c r="Q17" s="15" t="s">
        <v>199</v>
      </c>
      <c r="R17" s="15" t="s">
        <v>200</v>
      </c>
      <c r="S17" s="15" t="s">
        <v>201</v>
      </c>
      <c r="T17" s="15" t="s">
        <v>202</v>
      </c>
      <c r="U17" s="15" t="s">
        <v>203</v>
      </c>
      <c r="V17" s="15" t="s">
        <v>204</v>
      </c>
      <c r="W17" s="15" t="s">
        <v>205</v>
      </c>
      <c r="X17" s="15" t="s">
        <v>811</v>
      </c>
      <c r="Y17" s="3" t="b">
        <v>1</v>
      </c>
      <c r="Z17" s="15" t="b">
        <v>1</v>
      </c>
      <c r="AA17" s="3" t="b">
        <v>0</v>
      </c>
      <c r="AB17" s="15" t="b">
        <v>1</v>
      </c>
      <c r="AC17" s="15" t="b">
        <v>1</v>
      </c>
      <c r="AD17" s="15" t="b">
        <v>1</v>
      </c>
      <c r="AE17" s="15" t="b">
        <v>1</v>
      </c>
      <c r="AF17" s="15">
        <v>1</v>
      </c>
      <c r="AG17" s="15">
        <v>10</v>
      </c>
      <c r="AH17" s="15" t="s">
        <v>206</v>
      </c>
      <c r="AI17" s="15" t="str">
        <f t="shared" si="2"/>
        <v>Character/Prefabs/c_attacker_iras_1</v>
      </c>
      <c r="AJ17" s="15" t="str">
        <f t="shared" si="3"/>
        <v>CharacterSpine/c_attacker_iras_1</v>
      </c>
      <c r="AK17" s="15" t="str">
        <f t="shared" si="10"/>
        <v>Character/SDPrefabs/sd_head_c_attacker_iras_1</v>
      </c>
      <c r="AL17" s="15"/>
      <c r="AM17" s="15" t="str">
        <f t="shared" si="9"/>
        <v>character_iras_01</v>
      </c>
      <c r="AN17" s="15" t="str">
        <f t="shared" si="11"/>
        <v>Character/Timeline/01_CHA/ult_c_attacker_iras_1</v>
      </c>
      <c r="AO17" s="15" t="str">
        <f t="shared" si="12"/>
        <v>Character/Timeline/01_CHA/victory_c_attacker_iras_1</v>
      </c>
      <c r="AP17" s="15" t="str">
        <f t="shared" si="12"/>
        <v>Character/Timeline/01_CHA/victory_c_attacker_iras_1</v>
      </c>
      <c r="AQ17" s="15" t="str">
        <f t="shared" si="8"/>
        <v>iras</v>
      </c>
      <c r="AR17" s="3"/>
      <c r="AS17" s="15" t="s">
        <v>97</v>
      </c>
      <c r="AT17" s="15" t="s">
        <v>98</v>
      </c>
      <c r="AU17" s="3" t="s">
        <v>99</v>
      </c>
      <c r="AV17" s="15">
        <v>203</v>
      </c>
      <c r="AW17" s="32" t="s">
        <v>613</v>
      </c>
      <c r="AX17" s="13" t="s">
        <v>672</v>
      </c>
      <c r="AY17" s="13" t="s">
        <v>729</v>
      </c>
    </row>
    <row r="18" spans="1:51">
      <c r="A18" s="15">
        <v>1010920004</v>
      </c>
      <c r="B18" s="15" t="s">
        <v>207</v>
      </c>
      <c r="C18" s="15" t="s">
        <v>208</v>
      </c>
      <c r="D18" s="15" t="s">
        <v>656</v>
      </c>
      <c r="E18" s="15" t="str">
        <f t="shared" si="0"/>
        <v>Name.Character.ambrosia</v>
      </c>
      <c r="F18" s="18" t="str">
        <f t="shared" si="1"/>
        <v>Desc.Character.ambrosia</v>
      </c>
      <c r="G18" s="26" t="s">
        <v>662</v>
      </c>
      <c r="H18" s="48" t="s">
        <v>605</v>
      </c>
      <c r="I18" s="11" t="s">
        <v>84</v>
      </c>
      <c r="J18" s="15">
        <v>1040425008</v>
      </c>
      <c r="K18" s="15" t="s">
        <v>822</v>
      </c>
      <c r="L18" s="18" t="s">
        <v>130</v>
      </c>
      <c r="M18" s="16" t="s">
        <v>209</v>
      </c>
      <c r="N18" s="34" t="s">
        <v>207</v>
      </c>
      <c r="O18" s="15" t="s">
        <v>842</v>
      </c>
      <c r="P18" s="17" t="s">
        <v>724</v>
      </c>
      <c r="Q18" s="15" t="s">
        <v>210</v>
      </c>
      <c r="R18" s="15" t="s">
        <v>211</v>
      </c>
      <c r="S18" s="15" t="s">
        <v>212</v>
      </c>
      <c r="T18" s="15" t="s">
        <v>213</v>
      </c>
      <c r="U18" s="15" t="s">
        <v>214</v>
      </c>
      <c r="V18" s="15" t="s">
        <v>215</v>
      </c>
      <c r="W18" s="15" t="s">
        <v>216</v>
      </c>
      <c r="X18" s="15" t="s">
        <v>691</v>
      </c>
      <c r="Y18" s="3" t="b">
        <v>1</v>
      </c>
      <c r="Z18" s="15" t="b">
        <v>1</v>
      </c>
      <c r="AA18" s="3" t="b">
        <v>0</v>
      </c>
      <c r="AB18" s="15" t="b">
        <v>1</v>
      </c>
      <c r="AC18" s="15" t="b">
        <v>1</v>
      </c>
      <c r="AD18" s="15" t="b">
        <v>1</v>
      </c>
      <c r="AE18" s="15" t="b">
        <v>1</v>
      </c>
      <c r="AF18" s="15">
        <v>1</v>
      </c>
      <c r="AG18" s="15">
        <v>10</v>
      </c>
      <c r="AH18" s="15" t="s">
        <v>217</v>
      </c>
      <c r="AI18" s="15" t="str">
        <f t="shared" si="2"/>
        <v>Character/Prefabs/c_attacker_ambrosia_1</v>
      </c>
      <c r="AJ18" s="15" t="str">
        <f t="shared" si="3"/>
        <v>CharacterSpine/c_attacker_ambrosia_1</v>
      </c>
      <c r="AK18" s="15" t="str">
        <f t="shared" si="10"/>
        <v>Character/SDPrefabs/sd_head_c_attacker_ambrosia_1</v>
      </c>
      <c r="AL18" s="15"/>
      <c r="AM18" s="15" t="str">
        <f t="shared" si="9"/>
        <v>character_ambrosia_01</v>
      </c>
      <c r="AN18" s="15" t="str">
        <f t="shared" si="11"/>
        <v>Character/Timeline/01_CHA/ult_c_attacker_ambrosia_1</v>
      </c>
      <c r="AO18" s="15" t="str">
        <f t="shared" si="12"/>
        <v>Character/Timeline/01_CHA/victory_c_attacker_ambrosia_1</v>
      </c>
      <c r="AP18" s="15" t="str">
        <f t="shared" si="12"/>
        <v>Character/Timeline/01_CHA/victory_c_attacker_ambrosia_1</v>
      </c>
      <c r="AQ18" s="15" t="str">
        <f t="shared" si="8"/>
        <v>ambrosia</v>
      </c>
      <c r="AR18" s="3"/>
      <c r="AS18" s="15" t="s">
        <v>97</v>
      </c>
      <c r="AT18" s="15" t="s">
        <v>98</v>
      </c>
      <c r="AU18" s="3" t="s">
        <v>99</v>
      </c>
      <c r="AV18" s="15">
        <v>110</v>
      </c>
      <c r="AW18" s="32" t="s">
        <v>614</v>
      </c>
      <c r="AX18" s="13" t="s">
        <v>670</v>
      </c>
      <c r="AY18" s="13" t="s">
        <v>729</v>
      </c>
    </row>
    <row r="19" spans="1:51">
      <c r="A19" s="15">
        <v>1010920005</v>
      </c>
      <c r="B19" s="15" t="s">
        <v>218</v>
      </c>
      <c r="C19" s="15" t="s">
        <v>219</v>
      </c>
      <c r="D19" s="15" t="s">
        <v>736</v>
      </c>
      <c r="E19" s="15" t="str">
        <f t="shared" si="0"/>
        <v>Name.Character.sia</v>
      </c>
      <c r="F19" s="18" t="str">
        <f t="shared" si="1"/>
        <v>Desc.Character.sia</v>
      </c>
      <c r="G19" s="26" t="s">
        <v>662</v>
      </c>
      <c r="H19" s="45" t="s">
        <v>606</v>
      </c>
      <c r="I19" s="8" t="s">
        <v>186</v>
      </c>
      <c r="J19" s="15">
        <v>1040425009</v>
      </c>
      <c r="K19" s="15" t="s">
        <v>819</v>
      </c>
      <c r="L19" s="18" t="s">
        <v>157</v>
      </c>
      <c r="M19" s="16" t="s">
        <v>158</v>
      </c>
      <c r="N19" s="19" t="s">
        <v>809</v>
      </c>
      <c r="O19" s="15" t="s">
        <v>842</v>
      </c>
      <c r="P19" s="17" t="s">
        <v>725</v>
      </c>
      <c r="Q19" s="15" t="s">
        <v>744</v>
      </c>
      <c r="R19" s="15" t="s">
        <v>745</v>
      </c>
      <c r="S19" s="15" t="s">
        <v>746</v>
      </c>
      <c r="T19" s="15" t="s">
        <v>747</v>
      </c>
      <c r="U19" s="15" t="s">
        <v>748</v>
      </c>
      <c r="V19" s="15" t="s">
        <v>749</v>
      </c>
      <c r="W19" s="15" t="s">
        <v>750</v>
      </c>
      <c r="X19" s="21" t="s">
        <v>810</v>
      </c>
      <c r="Y19" s="50" t="b">
        <v>1</v>
      </c>
      <c r="Z19" s="15" t="b">
        <v>1</v>
      </c>
      <c r="AA19" s="3" t="b">
        <v>0</v>
      </c>
      <c r="AB19" s="15" t="b">
        <v>1</v>
      </c>
      <c r="AC19" s="15" t="b">
        <v>1</v>
      </c>
      <c r="AD19" s="15" t="b">
        <v>1</v>
      </c>
      <c r="AE19" s="15" t="b">
        <v>1</v>
      </c>
      <c r="AF19" s="15">
        <v>1</v>
      </c>
      <c r="AG19" s="15">
        <v>10</v>
      </c>
      <c r="AH19" s="15" t="s">
        <v>220</v>
      </c>
      <c r="AI19" s="15" t="str">
        <f t="shared" si="2"/>
        <v>Character/Prefabs/c_attacker_sia_1</v>
      </c>
      <c r="AJ19" s="15" t="str">
        <f t="shared" si="3"/>
        <v>CharacterSpine/c_attacker_sia_1</v>
      </c>
      <c r="AK19" s="15" t="str">
        <f t="shared" si="10"/>
        <v>Character/SDPrefabs/sd_head_c_attacker_sia_1</v>
      </c>
      <c r="AL19" s="15"/>
      <c r="AM19" s="15" t="str">
        <f t="shared" si="9"/>
        <v>character_sia_01</v>
      </c>
      <c r="AN19" s="15" t="str">
        <f t="shared" si="11"/>
        <v>Character/Timeline/01_CHA/ult_c_attacker_sia_1</v>
      </c>
      <c r="AO19" s="15" t="str">
        <f t="shared" si="12"/>
        <v>Character/Timeline/01_CHA/victory_c_attacker_sia_1</v>
      </c>
      <c r="AP19" s="15" t="str">
        <f t="shared" si="12"/>
        <v>Character/Timeline/01_CHA/victory_c_attacker_sia_1</v>
      </c>
      <c r="AQ19" s="15" t="str">
        <f t="shared" si="8"/>
        <v>sia</v>
      </c>
      <c r="AR19" s="3"/>
      <c r="AS19" s="15" t="s">
        <v>97</v>
      </c>
      <c r="AT19" s="15" t="s">
        <v>98</v>
      </c>
      <c r="AU19" s="3" t="s">
        <v>99</v>
      </c>
      <c r="AV19" s="15">
        <v>204</v>
      </c>
      <c r="AW19" s="32" t="s">
        <v>615</v>
      </c>
      <c r="AX19" s="13" t="s">
        <v>673</v>
      </c>
      <c r="AY19" s="13" t="s">
        <v>729</v>
      </c>
    </row>
    <row r="20" spans="1:51">
      <c r="A20" s="3">
        <v>1010920006</v>
      </c>
      <c r="B20" s="3" t="s">
        <v>657</v>
      </c>
      <c r="C20" s="3" t="s">
        <v>658</v>
      </c>
      <c r="D20" s="3" t="s">
        <v>659</v>
      </c>
      <c r="E20" s="3" t="str">
        <f t="shared" si="0"/>
        <v>Name.Character.frederica</v>
      </c>
      <c r="F20" s="3" t="str">
        <f t="shared" si="1"/>
        <v>Desc.Character.frederica</v>
      </c>
      <c r="G20" s="3" t="s">
        <v>662</v>
      </c>
      <c r="H20" s="49" t="s">
        <v>731</v>
      </c>
      <c r="I20" s="15" t="s">
        <v>733</v>
      </c>
      <c r="J20" s="15"/>
      <c r="K20" s="15"/>
      <c r="L20" s="23" t="s">
        <v>85</v>
      </c>
      <c r="M20" s="39" t="s">
        <v>158</v>
      </c>
      <c r="N20" s="19" t="s">
        <v>87</v>
      </c>
      <c r="O20" s="15" t="s">
        <v>842</v>
      </c>
      <c r="P20" s="40" t="s">
        <v>725</v>
      </c>
      <c r="Q20" s="28" t="s">
        <v>804</v>
      </c>
      <c r="R20" s="28" t="s">
        <v>88</v>
      </c>
      <c r="S20" s="28" t="s">
        <v>88</v>
      </c>
      <c r="T20" s="28" t="s">
        <v>89</v>
      </c>
      <c r="U20" s="28" t="s">
        <v>90</v>
      </c>
      <c r="V20" s="28" t="s">
        <v>91</v>
      </c>
      <c r="W20" s="28" t="s">
        <v>92</v>
      </c>
      <c r="X20" s="21"/>
      <c r="Y20" s="3" t="b">
        <v>1</v>
      </c>
      <c r="Z20" s="3" t="b">
        <v>0</v>
      </c>
      <c r="AA20" s="3" t="b">
        <v>1</v>
      </c>
      <c r="AB20" s="3" t="b">
        <v>0</v>
      </c>
      <c r="AC20" s="3" t="b">
        <v>0</v>
      </c>
      <c r="AD20" s="3" t="b">
        <v>0</v>
      </c>
      <c r="AE20" s="3" t="b">
        <v>0</v>
      </c>
      <c r="AF20" s="3">
        <v>1</v>
      </c>
      <c r="AG20" s="3">
        <v>10</v>
      </c>
      <c r="AH20" s="3" t="s">
        <v>661</v>
      </c>
      <c r="AI20" s="3" t="str">
        <f>"Character/Prefabs/"&amp;$AH20</f>
        <v>Character/Prefabs/c_attacker_frederica_1</v>
      </c>
      <c r="AJ20" s="3" t="str">
        <f t="shared" si="3"/>
        <v>CharacterSpine/c_attacker_frederica_1</v>
      </c>
      <c r="AK20" s="3" t="str">
        <f>"Character/SDPrefabs/sd_head_"&amp;$AH20</f>
        <v>Character/SDPrefabs/sd_head_c_attacker_frederica_1</v>
      </c>
      <c r="AL20" s="3"/>
      <c r="AM20" s="3" t="str">
        <f t="shared" si="9"/>
        <v>character_frederica_01</v>
      </c>
      <c r="AN20" s="3" t="str">
        <f>"Character/Timeline/01_CHA/ult_"&amp;$AH20</f>
        <v>Character/Timeline/01_CHA/ult_c_attacker_frederica_1</v>
      </c>
      <c r="AO20" s="3" t="str">
        <f>"Character/Timeline/01_CHA/victory_"&amp;$AH20</f>
        <v>Character/Timeline/01_CHA/victory_c_attacker_frederica_1</v>
      </c>
      <c r="AP20" s="3" t="str">
        <f>"Character/Timeline/01_CHA/victory_"&amp;$AH20</f>
        <v>Character/Timeline/01_CHA/victory_c_attacker_frederica_1</v>
      </c>
      <c r="AQ20" s="3" t="str">
        <f>$B20</f>
        <v>frederica</v>
      </c>
      <c r="AR20" s="3"/>
      <c r="AS20" s="3" t="s">
        <v>97</v>
      </c>
      <c r="AT20" s="3" t="s">
        <v>98</v>
      </c>
      <c r="AU20" s="3" t="s">
        <v>99</v>
      </c>
      <c r="AV20" s="3">
        <v>204</v>
      </c>
      <c r="AW20" s="41"/>
      <c r="AX20" s="13" t="s">
        <v>667</v>
      </c>
    </row>
    <row r="21" spans="1:51">
      <c r="A21" s="15">
        <v>1010720001</v>
      </c>
      <c r="B21" s="15" t="s">
        <v>221</v>
      </c>
      <c r="C21" s="15" t="s">
        <v>222</v>
      </c>
      <c r="D21" s="15" t="s">
        <v>656</v>
      </c>
      <c r="E21" s="15" t="str">
        <f t="shared" si="0"/>
        <v>Name.Character.mea</v>
      </c>
      <c r="F21" s="18" t="str">
        <f t="shared" si="1"/>
        <v>Desc.Character.mea</v>
      </c>
      <c r="G21" s="26" t="s">
        <v>662</v>
      </c>
      <c r="H21" s="49" t="s">
        <v>683</v>
      </c>
      <c r="I21" s="8" t="s">
        <v>186</v>
      </c>
      <c r="J21" s="15">
        <v>1040425010</v>
      </c>
      <c r="K21" s="15" t="s">
        <v>820</v>
      </c>
      <c r="L21" s="18" t="s">
        <v>144</v>
      </c>
      <c r="M21" s="16" t="s">
        <v>223</v>
      </c>
      <c r="N21" s="34" t="s">
        <v>221</v>
      </c>
      <c r="O21" s="15" t="s">
        <v>842</v>
      </c>
      <c r="P21" s="17" t="s">
        <v>725</v>
      </c>
      <c r="Q21" s="15" t="s">
        <v>224</v>
      </c>
      <c r="R21" s="15" t="s">
        <v>225</v>
      </c>
      <c r="S21" s="15" t="s">
        <v>226</v>
      </c>
      <c r="T21" s="15" t="s">
        <v>227</v>
      </c>
      <c r="U21" s="15" t="s">
        <v>228</v>
      </c>
      <c r="V21" s="15" t="s">
        <v>229</v>
      </c>
      <c r="W21" s="15" t="s">
        <v>230</v>
      </c>
      <c r="X21" s="15" t="s">
        <v>692</v>
      </c>
      <c r="Y21" s="3" t="b">
        <v>1</v>
      </c>
      <c r="Z21" s="15" t="b">
        <v>1</v>
      </c>
      <c r="AA21" s="3" t="b">
        <v>0</v>
      </c>
      <c r="AB21" s="15" t="b">
        <v>1</v>
      </c>
      <c r="AC21" s="15" t="b">
        <v>1</v>
      </c>
      <c r="AD21" s="15" t="b">
        <v>1</v>
      </c>
      <c r="AE21" s="15" t="b">
        <v>1</v>
      </c>
      <c r="AF21" s="15">
        <v>1</v>
      </c>
      <c r="AG21" s="15">
        <v>10</v>
      </c>
      <c r="AH21" s="15" t="s">
        <v>231</v>
      </c>
      <c r="AI21" s="15" t="str">
        <f t="shared" ref="AI21:AI60" si="13">"Character/Prefabs/"&amp;$AH21</f>
        <v>Character/Prefabs/c_attacker_mea_1</v>
      </c>
      <c r="AJ21" s="15" t="str">
        <f t="shared" si="3"/>
        <v>CharacterSpine/c_attacker_mea_1</v>
      </c>
      <c r="AK21" s="15" t="str">
        <f t="shared" ref="AK21:AK34" si="14">"Character/SDPrefabs/sd_head_"&amp;$AH21</f>
        <v>Character/SDPrefabs/sd_head_c_attacker_mea_1</v>
      </c>
      <c r="AL21" s="15"/>
      <c r="AM21" s="15" t="str">
        <f t="shared" si="9"/>
        <v>character_mea_01</v>
      </c>
      <c r="AN21" s="15" t="str">
        <f t="shared" ref="AN21:AN34" si="15">"Character/Timeline/01_CHA/ult_"&amp;$AH21</f>
        <v>Character/Timeline/01_CHA/ult_c_attacker_mea_1</v>
      </c>
      <c r="AO21" s="15" t="str">
        <f t="shared" ref="AO21:AP34" si="16">"Character/Timeline/01_CHA/victory_"&amp;$AH21</f>
        <v>Character/Timeline/01_CHA/victory_c_attacker_mea_1</v>
      </c>
      <c r="AP21" s="15" t="str">
        <f t="shared" si="16"/>
        <v>Character/Timeline/01_CHA/victory_c_attacker_mea_1</v>
      </c>
      <c r="AQ21" s="15" t="str">
        <f t="shared" ref="AQ21:AQ60" si="17">$B21</f>
        <v>mea</v>
      </c>
      <c r="AR21" s="3"/>
      <c r="AS21" s="15" t="s">
        <v>97</v>
      </c>
      <c r="AT21" s="15" t="s">
        <v>127</v>
      </c>
      <c r="AU21" s="3" t="s">
        <v>99</v>
      </c>
      <c r="AV21" s="15">
        <v>205</v>
      </c>
      <c r="AW21" s="32" t="s">
        <v>616</v>
      </c>
      <c r="AX21" s="13" t="s">
        <v>670</v>
      </c>
      <c r="AY21" s="13" t="s">
        <v>729</v>
      </c>
    </row>
    <row r="22" spans="1:51">
      <c r="A22" s="15">
        <v>1010720002</v>
      </c>
      <c r="B22" s="15" t="s">
        <v>788</v>
      </c>
      <c r="C22" s="15" t="s">
        <v>233</v>
      </c>
      <c r="D22" s="15" t="s">
        <v>736</v>
      </c>
      <c r="E22" s="15" t="str">
        <f t="shared" si="0"/>
        <v>Name.Character.rachel</v>
      </c>
      <c r="F22" s="18" t="str">
        <f t="shared" si="1"/>
        <v>Desc.Character.rachel</v>
      </c>
      <c r="G22" s="26" t="s">
        <v>662</v>
      </c>
      <c r="H22" s="45" t="s">
        <v>731</v>
      </c>
      <c r="I22" s="15" t="s">
        <v>733</v>
      </c>
      <c r="J22" s="15">
        <v>1040425011</v>
      </c>
      <c r="K22" s="15" t="s">
        <v>820</v>
      </c>
      <c r="L22" s="18" t="s">
        <v>130</v>
      </c>
      <c r="M22" s="16" t="s">
        <v>234</v>
      </c>
      <c r="N22" s="34" t="s">
        <v>232</v>
      </c>
      <c r="O22" s="15" t="s">
        <v>842</v>
      </c>
      <c r="P22" s="17" t="s">
        <v>725</v>
      </c>
      <c r="Q22" s="15" t="s">
        <v>790</v>
      </c>
      <c r="R22" s="15" t="s">
        <v>791</v>
      </c>
      <c r="S22" s="15" t="s">
        <v>792</v>
      </c>
      <c r="T22" s="15" t="s">
        <v>793</v>
      </c>
      <c r="U22" s="15" t="s">
        <v>794</v>
      </c>
      <c r="V22" s="15" t="s">
        <v>795</v>
      </c>
      <c r="W22" s="15" t="s">
        <v>796</v>
      </c>
      <c r="X22" s="21"/>
      <c r="Y22" s="3" t="b">
        <v>1</v>
      </c>
      <c r="Z22" s="28" t="b">
        <v>0</v>
      </c>
      <c r="AA22" s="28" t="b">
        <v>1</v>
      </c>
      <c r="AB22" s="15" t="b">
        <v>0</v>
      </c>
      <c r="AC22" s="15" t="b">
        <v>0</v>
      </c>
      <c r="AD22" s="15" t="b">
        <v>0</v>
      </c>
      <c r="AE22" s="15" t="b">
        <v>0</v>
      </c>
      <c r="AF22" s="15">
        <v>1</v>
      </c>
      <c r="AG22" s="15">
        <v>10</v>
      </c>
      <c r="AH22" s="15" t="s">
        <v>235</v>
      </c>
      <c r="AI22" s="15" t="str">
        <f t="shared" si="13"/>
        <v>Character/Prefabs/c_attacker_rachel_1</v>
      </c>
      <c r="AJ22" s="15" t="str">
        <f t="shared" si="3"/>
        <v>CharacterSpine/c_attacker_rachel_1</v>
      </c>
      <c r="AK22" s="15" t="str">
        <f t="shared" si="14"/>
        <v>Character/SDPrefabs/sd_head_c_attacker_rachel_1</v>
      </c>
      <c r="AL22" s="15"/>
      <c r="AM22" s="15" t="str">
        <f t="shared" si="9"/>
        <v>character_rachel_01</v>
      </c>
      <c r="AN22" s="15" t="str">
        <f t="shared" si="15"/>
        <v>Character/Timeline/01_CHA/ult_c_attacker_rachel_1</v>
      </c>
      <c r="AO22" s="15" t="str">
        <f t="shared" si="16"/>
        <v>Character/Timeline/01_CHA/victory_c_attacker_rachel_1</v>
      </c>
      <c r="AP22" s="15" t="str">
        <f t="shared" si="16"/>
        <v>Character/Timeline/01_CHA/victory_c_attacker_rachel_1</v>
      </c>
      <c r="AQ22" s="15" t="str">
        <f t="shared" si="17"/>
        <v>rachel</v>
      </c>
      <c r="AR22" s="3"/>
      <c r="AS22" s="15" t="s">
        <v>97</v>
      </c>
      <c r="AT22" s="15" t="s">
        <v>98</v>
      </c>
      <c r="AU22" s="3" t="s">
        <v>99</v>
      </c>
      <c r="AV22" s="15">
        <v>206</v>
      </c>
      <c r="AW22" s="32" t="s">
        <v>617</v>
      </c>
      <c r="AX22" s="13" t="s">
        <v>667</v>
      </c>
      <c r="AY22" s="13" t="s">
        <v>729</v>
      </c>
    </row>
    <row r="23" spans="1:51">
      <c r="A23" s="15">
        <v>1010720003</v>
      </c>
      <c r="B23" s="15" t="s">
        <v>236</v>
      </c>
      <c r="C23" s="15" t="s">
        <v>237</v>
      </c>
      <c r="D23" s="15" t="s">
        <v>656</v>
      </c>
      <c r="E23" s="15" t="str">
        <f t="shared" si="0"/>
        <v>Name.Character.isabella</v>
      </c>
      <c r="F23" s="18" t="str">
        <f t="shared" si="1"/>
        <v>Desc.Character.isabella</v>
      </c>
      <c r="G23" s="26" t="s">
        <v>662</v>
      </c>
      <c r="H23" s="45" t="s">
        <v>728</v>
      </c>
      <c r="I23" s="8" t="s">
        <v>186</v>
      </c>
      <c r="J23" s="15">
        <v>1040425012</v>
      </c>
      <c r="K23" s="15" t="s">
        <v>819</v>
      </c>
      <c r="L23" s="18" t="s">
        <v>130</v>
      </c>
      <c r="M23" s="16" t="s">
        <v>238</v>
      </c>
      <c r="N23" s="34" t="s">
        <v>236</v>
      </c>
      <c r="O23" s="15" t="s">
        <v>842</v>
      </c>
      <c r="P23" s="17" t="s">
        <v>725</v>
      </c>
      <c r="Q23" s="15" t="s">
        <v>239</v>
      </c>
      <c r="R23" s="15" t="s">
        <v>240</v>
      </c>
      <c r="S23" s="15" t="s">
        <v>241</v>
      </c>
      <c r="T23" s="15" t="s">
        <v>242</v>
      </c>
      <c r="U23" s="15" t="s">
        <v>243</v>
      </c>
      <c r="V23" s="15" t="s">
        <v>244</v>
      </c>
      <c r="W23" s="15" t="s">
        <v>245</v>
      </c>
      <c r="X23" s="15" t="s">
        <v>693</v>
      </c>
      <c r="Y23" s="3" t="b">
        <v>1</v>
      </c>
      <c r="Z23" s="15" t="b">
        <v>1</v>
      </c>
      <c r="AA23" s="3" t="b">
        <v>0</v>
      </c>
      <c r="AB23" s="15" t="b">
        <v>1</v>
      </c>
      <c r="AC23" s="15" t="b">
        <v>1</v>
      </c>
      <c r="AD23" s="15" t="b">
        <v>1</v>
      </c>
      <c r="AE23" s="15" t="b">
        <v>1</v>
      </c>
      <c r="AF23" s="15">
        <v>1</v>
      </c>
      <c r="AG23" s="15">
        <v>10</v>
      </c>
      <c r="AH23" s="15" t="s">
        <v>246</v>
      </c>
      <c r="AI23" s="15" t="str">
        <f t="shared" si="13"/>
        <v>Character/Prefabs/c_attacker_isabella_1</v>
      </c>
      <c r="AJ23" s="15" t="str">
        <f t="shared" si="3"/>
        <v>CharacterSpine/c_attacker_isabella_1</v>
      </c>
      <c r="AK23" s="15" t="str">
        <f t="shared" si="14"/>
        <v>Character/SDPrefabs/sd_head_c_attacker_isabella_1</v>
      </c>
      <c r="AL23" s="15"/>
      <c r="AM23" s="15" t="str">
        <f t="shared" si="9"/>
        <v>character_isabella_01</v>
      </c>
      <c r="AN23" s="15" t="str">
        <f t="shared" si="15"/>
        <v>Character/Timeline/01_CHA/ult_c_attacker_isabella_1</v>
      </c>
      <c r="AO23" s="15" t="str">
        <f t="shared" si="16"/>
        <v>Character/Timeline/01_CHA/victory_c_attacker_isabella_1</v>
      </c>
      <c r="AP23" s="15" t="str">
        <f t="shared" si="16"/>
        <v>Character/Timeline/01_CHA/victory_c_attacker_isabella_1</v>
      </c>
      <c r="AQ23" s="15" t="str">
        <f t="shared" si="17"/>
        <v>isabella</v>
      </c>
      <c r="AR23" s="3"/>
      <c r="AS23" s="15" t="s">
        <v>97</v>
      </c>
      <c r="AT23" s="15" t="s">
        <v>98</v>
      </c>
      <c r="AU23" s="3" t="s">
        <v>99</v>
      </c>
      <c r="AV23" s="15">
        <v>207</v>
      </c>
      <c r="AW23" s="32" t="s">
        <v>618</v>
      </c>
      <c r="AX23" s="13" t="s">
        <v>673</v>
      </c>
      <c r="AY23" s="13" t="s">
        <v>729</v>
      </c>
    </row>
    <row r="24" spans="1:51">
      <c r="A24" s="15">
        <v>1010720004</v>
      </c>
      <c r="B24" s="15" t="s">
        <v>247</v>
      </c>
      <c r="C24" s="15" t="s">
        <v>248</v>
      </c>
      <c r="D24" s="15" t="s">
        <v>656</v>
      </c>
      <c r="E24" s="15" t="str">
        <f t="shared" si="0"/>
        <v>Name.Character.balencia</v>
      </c>
      <c r="F24" s="18" t="str">
        <f t="shared" si="1"/>
        <v>Desc.Character.balencia</v>
      </c>
      <c r="G24" s="26" t="s">
        <v>662</v>
      </c>
      <c r="H24" s="45" t="s">
        <v>606</v>
      </c>
      <c r="I24" s="8" t="s">
        <v>186</v>
      </c>
      <c r="J24" s="15">
        <v>1040425013</v>
      </c>
      <c r="K24" s="15" t="s">
        <v>819</v>
      </c>
      <c r="L24" s="18" t="s">
        <v>130</v>
      </c>
      <c r="M24" s="16" t="s">
        <v>209</v>
      </c>
      <c r="N24" s="34" t="s">
        <v>247</v>
      </c>
      <c r="O24" s="15" t="s">
        <v>842</v>
      </c>
      <c r="P24" s="17" t="s">
        <v>725</v>
      </c>
      <c r="Q24" s="15" t="s">
        <v>249</v>
      </c>
      <c r="R24" s="15" t="s">
        <v>250</v>
      </c>
      <c r="S24" s="15" t="s">
        <v>251</v>
      </c>
      <c r="T24" s="15" t="s">
        <v>252</v>
      </c>
      <c r="U24" s="15" t="s">
        <v>253</v>
      </c>
      <c r="V24" s="15" t="s">
        <v>254</v>
      </c>
      <c r="W24" s="15" t="s">
        <v>255</v>
      </c>
      <c r="X24" s="15" t="s">
        <v>694</v>
      </c>
      <c r="Y24" s="3" t="b">
        <v>1</v>
      </c>
      <c r="Z24" s="15" t="b">
        <v>1</v>
      </c>
      <c r="AA24" s="3" t="b">
        <v>0</v>
      </c>
      <c r="AB24" s="15" t="b">
        <v>1</v>
      </c>
      <c r="AC24" s="15" t="b">
        <v>1</v>
      </c>
      <c r="AD24" s="15" t="b">
        <v>1</v>
      </c>
      <c r="AE24" s="15" t="b">
        <v>1</v>
      </c>
      <c r="AF24" s="15">
        <v>1</v>
      </c>
      <c r="AG24" s="15">
        <v>10</v>
      </c>
      <c r="AH24" s="15" t="s">
        <v>256</v>
      </c>
      <c r="AI24" s="15" t="str">
        <f t="shared" si="13"/>
        <v>Character/Prefabs/c_attacker_balencia_1</v>
      </c>
      <c r="AJ24" s="15" t="str">
        <f t="shared" si="3"/>
        <v>CharacterSpine/c_attacker_balencia_1</v>
      </c>
      <c r="AK24" s="15" t="str">
        <f t="shared" si="14"/>
        <v>Character/SDPrefabs/sd_head_c_attacker_balencia_1</v>
      </c>
      <c r="AL24" s="15"/>
      <c r="AM24" s="15" t="str">
        <f t="shared" si="9"/>
        <v>character_balencia_01</v>
      </c>
      <c r="AN24" s="15" t="str">
        <f t="shared" si="15"/>
        <v>Character/Timeline/01_CHA/ult_c_attacker_balencia_1</v>
      </c>
      <c r="AO24" s="15" t="str">
        <f t="shared" si="16"/>
        <v>Character/Timeline/01_CHA/victory_c_attacker_balencia_1</v>
      </c>
      <c r="AP24" s="15" t="str">
        <f t="shared" si="16"/>
        <v>Character/Timeline/01_CHA/victory_c_attacker_balencia_1</v>
      </c>
      <c r="AQ24" s="15" t="str">
        <f t="shared" si="17"/>
        <v>balencia</v>
      </c>
      <c r="AR24" s="3"/>
      <c r="AS24" s="15" t="s">
        <v>97</v>
      </c>
      <c r="AT24" s="15" t="s">
        <v>98</v>
      </c>
      <c r="AU24" s="3" t="s">
        <v>99</v>
      </c>
      <c r="AV24" s="15">
        <v>208</v>
      </c>
      <c r="AW24" s="32" t="s">
        <v>619</v>
      </c>
      <c r="AX24" s="13" t="s">
        <v>671</v>
      </c>
      <c r="AY24" s="13" t="s">
        <v>729</v>
      </c>
    </row>
    <row r="25" spans="1:51">
      <c r="A25" s="15">
        <v>1010720005</v>
      </c>
      <c r="B25" s="15" t="s">
        <v>257</v>
      </c>
      <c r="C25" s="15" t="s">
        <v>258</v>
      </c>
      <c r="D25" s="15" t="s">
        <v>656</v>
      </c>
      <c r="E25" s="15" t="str">
        <f t="shared" si="0"/>
        <v>Name.Character.belita</v>
      </c>
      <c r="F25" s="18" t="str">
        <f t="shared" si="1"/>
        <v>Desc.Character.belita</v>
      </c>
      <c r="G25" s="26" t="s">
        <v>662</v>
      </c>
      <c r="H25" s="48" t="s">
        <v>605</v>
      </c>
      <c r="I25" s="8" t="s">
        <v>186</v>
      </c>
      <c r="J25" s="15">
        <v>1040425014</v>
      </c>
      <c r="K25" s="15" t="s">
        <v>822</v>
      </c>
      <c r="L25" s="18" t="s">
        <v>107</v>
      </c>
      <c r="M25" s="16" t="s">
        <v>259</v>
      </c>
      <c r="N25" s="34" t="s">
        <v>257</v>
      </c>
      <c r="O25" s="15" t="s">
        <v>842</v>
      </c>
      <c r="P25" s="17" t="s">
        <v>725</v>
      </c>
      <c r="Q25" s="15" t="s">
        <v>260</v>
      </c>
      <c r="R25" s="15" t="s">
        <v>261</v>
      </c>
      <c r="S25" s="15" t="s">
        <v>262</v>
      </c>
      <c r="T25" s="15" t="s">
        <v>263</v>
      </c>
      <c r="U25" s="15" t="s">
        <v>264</v>
      </c>
      <c r="V25" s="15" t="s">
        <v>265</v>
      </c>
      <c r="W25" s="15" t="s">
        <v>266</v>
      </c>
      <c r="X25" s="15" t="s">
        <v>695</v>
      </c>
      <c r="Y25" s="3" t="b">
        <v>1</v>
      </c>
      <c r="Z25" s="15" t="b">
        <v>1</v>
      </c>
      <c r="AA25" s="3" t="b">
        <v>0</v>
      </c>
      <c r="AB25" s="15" t="b">
        <v>1</v>
      </c>
      <c r="AC25" s="15" t="b">
        <v>1</v>
      </c>
      <c r="AD25" s="15" t="b">
        <v>1</v>
      </c>
      <c r="AE25" s="15" t="b">
        <v>1</v>
      </c>
      <c r="AF25" s="15">
        <v>1</v>
      </c>
      <c r="AG25" s="15">
        <v>10</v>
      </c>
      <c r="AH25" s="15" t="s">
        <v>267</v>
      </c>
      <c r="AI25" s="15" t="str">
        <f t="shared" si="13"/>
        <v>Character/Prefabs/c_attacker_belita_1</v>
      </c>
      <c r="AJ25" s="15" t="str">
        <f t="shared" si="3"/>
        <v>CharacterSpine/c_attacker_belita_1</v>
      </c>
      <c r="AK25" s="15" t="str">
        <f t="shared" si="14"/>
        <v>Character/SDPrefabs/sd_head_c_attacker_belita_1</v>
      </c>
      <c r="AL25" s="15"/>
      <c r="AM25" s="15" t="str">
        <f t="shared" si="9"/>
        <v>character_belita_01</v>
      </c>
      <c r="AN25" s="15" t="str">
        <f t="shared" si="15"/>
        <v>Character/Timeline/01_CHA/ult_c_attacker_belita_1</v>
      </c>
      <c r="AO25" s="15" t="str">
        <f t="shared" si="16"/>
        <v>Character/Timeline/01_CHA/victory_c_attacker_belita_1</v>
      </c>
      <c r="AP25" s="15" t="str">
        <f t="shared" si="16"/>
        <v>Character/Timeline/01_CHA/victory_c_attacker_belita_1</v>
      </c>
      <c r="AQ25" s="15" t="str">
        <f t="shared" si="17"/>
        <v>belita</v>
      </c>
      <c r="AR25" s="3"/>
      <c r="AS25" s="15" t="s">
        <v>97</v>
      </c>
      <c r="AT25" s="15" t="s">
        <v>98</v>
      </c>
      <c r="AU25" s="3" t="s">
        <v>99</v>
      </c>
      <c r="AV25" s="15">
        <v>209</v>
      </c>
      <c r="AW25" s="32" t="s">
        <v>620</v>
      </c>
      <c r="AX25" s="13" t="s">
        <v>667</v>
      </c>
      <c r="AY25" s="13" t="s">
        <v>729</v>
      </c>
    </row>
    <row r="26" spans="1:51">
      <c r="A26" s="15">
        <v>1010720006</v>
      </c>
      <c r="B26" s="15" t="s">
        <v>268</v>
      </c>
      <c r="C26" s="15" t="s">
        <v>269</v>
      </c>
      <c r="D26" s="15" t="s">
        <v>656</v>
      </c>
      <c r="E26" s="15" t="str">
        <f t="shared" si="0"/>
        <v>Name.Character.belebeta</v>
      </c>
      <c r="F26" s="18" t="str">
        <f t="shared" si="1"/>
        <v>Desc.Character.belebeta</v>
      </c>
      <c r="G26" s="26" t="s">
        <v>662</v>
      </c>
      <c r="H26" s="48" t="s">
        <v>605</v>
      </c>
      <c r="I26" s="8" t="s">
        <v>186</v>
      </c>
      <c r="J26" s="15">
        <v>1040425015</v>
      </c>
      <c r="K26" s="15" t="s">
        <v>822</v>
      </c>
      <c r="L26" s="18" t="s">
        <v>107</v>
      </c>
      <c r="M26" s="16" t="s">
        <v>259</v>
      </c>
      <c r="N26" s="34" t="s">
        <v>268</v>
      </c>
      <c r="O26" s="15" t="s">
        <v>842</v>
      </c>
      <c r="P26" s="17" t="s">
        <v>725</v>
      </c>
      <c r="Q26" s="15" t="s">
        <v>270</v>
      </c>
      <c r="R26" s="15" t="s">
        <v>271</v>
      </c>
      <c r="S26" s="15" t="s">
        <v>272</v>
      </c>
      <c r="T26" s="15" t="s">
        <v>273</v>
      </c>
      <c r="U26" s="15" t="s">
        <v>274</v>
      </c>
      <c r="V26" s="15" t="s">
        <v>275</v>
      </c>
      <c r="W26" s="15" t="s">
        <v>276</v>
      </c>
      <c r="X26" s="15" t="s">
        <v>696</v>
      </c>
      <c r="Y26" s="3" t="b">
        <v>1</v>
      </c>
      <c r="Z26" s="15" t="b">
        <v>1</v>
      </c>
      <c r="AA26" s="3" t="b">
        <v>0</v>
      </c>
      <c r="AB26" s="15" t="b">
        <v>1</v>
      </c>
      <c r="AC26" s="15" t="b">
        <v>1</v>
      </c>
      <c r="AD26" s="15" t="b">
        <v>1</v>
      </c>
      <c r="AE26" s="15" t="b">
        <v>1</v>
      </c>
      <c r="AF26" s="15">
        <v>1</v>
      </c>
      <c r="AG26" s="15">
        <v>10</v>
      </c>
      <c r="AH26" s="15" t="s">
        <v>277</v>
      </c>
      <c r="AI26" s="15" t="str">
        <f t="shared" si="13"/>
        <v>Character/Prefabs/c_attacker_belebeta_1</v>
      </c>
      <c r="AJ26" s="15" t="str">
        <f t="shared" si="3"/>
        <v>CharacterSpine/c_attacker_belebeta_1</v>
      </c>
      <c r="AK26" s="15" t="str">
        <f t="shared" si="14"/>
        <v>Character/SDPrefabs/sd_head_c_attacker_belebeta_1</v>
      </c>
      <c r="AL26" s="15"/>
      <c r="AM26" s="15" t="str">
        <f t="shared" si="9"/>
        <v>character_belebeta_01</v>
      </c>
      <c r="AN26" s="15" t="str">
        <f t="shared" si="15"/>
        <v>Character/Timeline/01_CHA/ult_c_attacker_belebeta_1</v>
      </c>
      <c r="AO26" s="15" t="str">
        <f t="shared" si="16"/>
        <v>Character/Timeline/01_CHA/victory_c_attacker_belebeta_1</v>
      </c>
      <c r="AP26" s="15" t="str">
        <f t="shared" si="16"/>
        <v>Character/Timeline/01_CHA/victory_c_attacker_belebeta_1</v>
      </c>
      <c r="AQ26" s="15" t="str">
        <f t="shared" si="17"/>
        <v>belebeta</v>
      </c>
      <c r="AR26" s="3"/>
      <c r="AS26" s="15" t="s">
        <v>140</v>
      </c>
      <c r="AT26" s="15" t="s">
        <v>127</v>
      </c>
      <c r="AU26" s="3" t="s">
        <v>99</v>
      </c>
      <c r="AV26" s="15">
        <v>210</v>
      </c>
      <c r="AW26" s="32" t="s">
        <v>621</v>
      </c>
      <c r="AX26" s="13" t="s">
        <v>674</v>
      </c>
      <c r="AY26" s="13" t="s">
        <v>729</v>
      </c>
    </row>
    <row r="27" spans="1:51">
      <c r="A27" s="15">
        <v>1010720007</v>
      </c>
      <c r="B27" s="15" t="s">
        <v>278</v>
      </c>
      <c r="C27" s="15" t="s">
        <v>279</v>
      </c>
      <c r="D27" s="15" t="s">
        <v>656</v>
      </c>
      <c r="E27" s="15" t="str">
        <f t="shared" si="0"/>
        <v>Name.Character.arcels</v>
      </c>
      <c r="F27" s="18" t="str">
        <f t="shared" si="1"/>
        <v>Desc.Character.arcels</v>
      </c>
      <c r="G27" s="26" t="s">
        <v>662</v>
      </c>
      <c r="H27" s="47" t="s">
        <v>604</v>
      </c>
      <c r="I27" s="8" t="s">
        <v>186</v>
      </c>
      <c r="J27" s="15">
        <v>1040425016</v>
      </c>
      <c r="K27" s="15" t="s">
        <v>818</v>
      </c>
      <c r="L27" s="18" t="s">
        <v>144</v>
      </c>
      <c r="M27" s="16" t="s">
        <v>280</v>
      </c>
      <c r="N27" s="34" t="s">
        <v>278</v>
      </c>
      <c r="O27" s="15" t="s">
        <v>842</v>
      </c>
      <c r="P27" s="17" t="s">
        <v>725</v>
      </c>
      <c r="Q27" s="15" t="s">
        <v>281</v>
      </c>
      <c r="R27" s="15" t="s">
        <v>282</v>
      </c>
      <c r="S27" s="15" t="s">
        <v>283</v>
      </c>
      <c r="T27" s="15" t="s">
        <v>284</v>
      </c>
      <c r="U27" s="15" t="s">
        <v>285</v>
      </c>
      <c r="V27" s="15" t="s">
        <v>286</v>
      </c>
      <c r="W27" s="15" t="s">
        <v>287</v>
      </c>
      <c r="X27" s="15" t="s">
        <v>697</v>
      </c>
      <c r="Y27" s="3" t="b">
        <v>1</v>
      </c>
      <c r="Z27" s="15" t="b">
        <v>1</v>
      </c>
      <c r="AA27" s="3" t="b">
        <v>0</v>
      </c>
      <c r="AB27" s="15" t="b">
        <v>1</v>
      </c>
      <c r="AC27" s="15" t="b">
        <v>1</v>
      </c>
      <c r="AD27" s="15" t="b">
        <v>1</v>
      </c>
      <c r="AE27" s="15" t="b">
        <v>1</v>
      </c>
      <c r="AF27" s="15">
        <v>1</v>
      </c>
      <c r="AG27" s="15">
        <v>10</v>
      </c>
      <c r="AH27" s="15" t="s">
        <v>288</v>
      </c>
      <c r="AI27" s="15" t="str">
        <f t="shared" si="13"/>
        <v>Character/Prefabs/c_attacker_arcels_1</v>
      </c>
      <c r="AJ27" s="15" t="str">
        <f t="shared" si="3"/>
        <v>CharacterSpine/c_attacker_arcels_1</v>
      </c>
      <c r="AK27" s="15" t="str">
        <f t="shared" si="14"/>
        <v>Character/SDPrefabs/sd_head_c_attacker_arcels_1</v>
      </c>
      <c r="AL27" s="15"/>
      <c r="AM27" s="15" t="str">
        <f t="shared" si="9"/>
        <v>character_arcels_01</v>
      </c>
      <c r="AN27" s="15" t="str">
        <f t="shared" si="15"/>
        <v>Character/Timeline/01_CHA/ult_c_attacker_arcels_1</v>
      </c>
      <c r="AO27" s="15" t="str">
        <f t="shared" si="16"/>
        <v>Character/Timeline/01_CHA/victory_c_attacker_arcels_1</v>
      </c>
      <c r="AP27" s="15" t="str">
        <f t="shared" si="16"/>
        <v>Character/Timeline/01_CHA/victory_c_attacker_arcels_1</v>
      </c>
      <c r="AQ27" s="15" t="str">
        <f t="shared" si="17"/>
        <v>arcels</v>
      </c>
      <c r="AR27" s="3"/>
      <c r="AS27" s="15" t="s">
        <v>97</v>
      </c>
      <c r="AT27" s="15" t="s">
        <v>127</v>
      </c>
      <c r="AU27" s="3" t="s">
        <v>99</v>
      </c>
      <c r="AV27" s="15">
        <v>211</v>
      </c>
      <c r="AW27" s="32" t="s">
        <v>622</v>
      </c>
      <c r="AX27" s="13" t="s">
        <v>672</v>
      </c>
      <c r="AY27" s="13" t="s">
        <v>729</v>
      </c>
    </row>
    <row r="28" spans="1:51">
      <c r="A28" s="15">
        <v>1010520001</v>
      </c>
      <c r="B28" s="15" t="s">
        <v>289</v>
      </c>
      <c r="C28" s="15" t="s">
        <v>290</v>
      </c>
      <c r="D28" s="15" t="s">
        <v>656</v>
      </c>
      <c r="E28" s="15" t="str">
        <f t="shared" si="0"/>
        <v>Name.Character.angelica</v>
      </c>
      <c r="F28" s="18" t="str">
        <f t="shared" si="1"/>
        <v>Desc.Character.angelica</v>
      </c>
      <c r="G28" s="26" t="s">
        <v>662</v>
      </c>
      <c r="H28" s="45" t="s">
        <v>606</v>
      </c>
      <c r="I28" s="8" t="s">
        <v>186</v>
      </c>
      <c r="J28" s="15">
        <v>1040425017</v>
      </c>
      <c r="K28" s="15" t="s">
        <v>819</v>
      </c>
      <c r="L28" s="18" t="s">
        <v>107</v>
      </c>
      <c r="M28" s="16" t="s">
        <v>291</v>
      </c>
      <c r="N28" s="34" t="s">
        <v>289</v>
      </c>
      <c r="O28" s="15" t="s">
        <v>842</v>
      </c>
      <c r="P28" s="17" t="s">
        <v>725</v>
      </c>
      <c r="Q28" s="15" t="s">
        <v>292</v>
      </c>
      <c r="R28" s="15" t="s">
        <v>293</v>
      </c>
      <c r="S28" s="15" t="s">
        <v>294</v>
      </c>
      <c r="T28" s="15" t="s">
        <v>295</v>
      </c>
      <c r="U28" s="15" t="s">
        <v>296</v>
      </c>
      <c r="V28" s="15" t="s">
        <v>297</v>
      </c>
      <c r="W28" s="15" t="s">
        <v>298</v>
      </c>
      <c r="X28" s="15" t="s">
        <v>698</v>
      </c>
      <c r="Y28" s="3" t="b">
        <v>1</v>
      </c>
      <c r="Z28" s="15" t="b">
        <v>1</v>
      </c>
      <c r="AA28" s="3" t="b">
        <v>0</v>
      </c>
      <c r="AB28" s="15" t="b">
        <v>1</v>
      </c>
      <c r="AC28" s="15" t="b">
        <v>1</v>
      </c>
      <c r="AD28" s="15" t="b">
        <v>1</v>
      </c>
      <c r="AE28" s="15" t="b">
        <v>1</v>
      </c>
      <c r="AF28" s="15">
        <v>1</v>
      </c>
      <c r="AG28" s="15">
        <v>10</v>
      </c>
      <c r="AH28" s="15" t="s">
        <v>299</v>
      </c>
      <c r="AI28" s="15" t="str">
        <f t="shared" si="13"/>
        <v>Character/Prefabs/c_attacker_angelica_1</v>
      </c>
      <c r="AJ28" s="15" t="str">
        <f t="shared" si="3"/>
        <v>CharacterSpine/c_attacker_angelica_1</v>
      </c>
      <c r="AK28" s="15" t="str">
        <f t="shared" si="14"/>
        <v>Character/SDPrefabs/sd_head_c_attacker_angelica_1</v>
      </c>
      <c r="AL28" s="15"/>
      <c r="AM28" s="15" t="str">
        <f t="shared" si="9"/>
        <v>character_angelica_01</v>
      </c>
      <c r="AN28" s="15" t="str">
        <f t="shared" si="15"/>
        <v>Character/Timeline/01_CHA/ult_c_attacker_angelica_1</v>
      </c>
      <c r="AO28" s="15" t="str">
        <f t="shared" si="16"/>
        <v>Character/Timeline/01_CHA/victory_c_attacker_angelica_1</v>
      </c>
      <c r="AP28" s="15" t="str">
        <f t="shared" si="16"/>
        <v>Character/Timeline/01_CHA/victory_c_attacker_angelica_1</v>
      </c>
      <c r="AQ28" s="15" t="str">
        <f t="shared" si="17"/>
        <v>angelica</v>
      </c>
      <c r="AR28" s="3"/>
      <c r="AS28" s="15" t="s">
        <v>140</v>
      </c>
      <c r="AT28" s="15" t="s">
        <v>154</v>
      </c>
      <c r="AU28" s="3" t="s">
        <v>99</v>
      </c>
      <c r="AV28" s="15">
        <v>212</v>
      </c>
      <c r="AW28" s="32" t="s">
        <v>623</v>
      </c>
      <c r="AX28" s="13" t="s">
        <v>674</v>
      </c>
      <c r="AY28" s="13" t="s">
        <v>729</v>
      </c>
    </row>
    <row r="29" spans="1:51">
      <c r="A29" s="15">
        <v>1010520002</v>
      </c>
      <c r="B29" s="15" t="s">
        <v>300</v>
      </c>
      <c r="C29" s="15" t="s">
        <v>301</v>
      </c>
      <c r="D29" s="15" t="s">
        <v>656</v>
      </c>
      <c r="E29" s="15" t="str">
        <f t="shared" si="0"/>
        <v>Name.Character.brynhild</v>
      </c>
      <c r="F29" s="18" t="str">
        <f t="shared" si="1"/>
        <v>Desc.Character.brynhild</v>
      </c>
      <c r="G29" s="27" t="s">
        <v>83</v>
      </c>
      <c r="H29" s="47" t="s">
        <v>604</v>
      </c>
      <c r="I29" s="8" t="s">
        <v>186</v>
      </c>
      <c r="J29" s="15"/>
      <c r="K29" s="15"/>
      <c r="L29" s="18" t="s">
        <v>130</v>
      </c>
      <c r="M29" s="16" t="s">
        <v>234</v>
      </c>
      <c r="N29" s="34" t="s">
        <v>300</v>
      </c>
      <c r="O29" s="15" t="s">
        <v>842</v>
      </c>
      <c r="P29" s="17" t="s">
        <v>660</v>
      </c>
      <c r="Q29" s="15" t="s">
        <v>302</v>
      </c>
      <c r="R29" s="15" t="s">
        <v>303</v>
      </c>
      <c r="S29" s="15" t="s">
        <v>304</v>
      </c>
      <c r="T29" s="15" t="s">
        <v>305</v>
      </c>
      <c r="U29" s="15" t="s">
        <v>306</v>
      </c>
      <c r="V29" s="15" t="s">
        <v>307</v>
      </c>
      <c r="W29" s="15" t="s">
        <v>308</v>
      </c>
      <c r="X29" s="15"/>
      <c r="Y29" s="3" t="b">
        <v>1</v>
      </c>
      <c r="Z29" s="15" t="b">
        <v>1</v>
      </c>
      <c r="AA29" s="3" t="b">
        <v>0</v>
      </c>
      <c r="AB29" s="15" t="b">
        <v>1</v>
      </c>
      <c r="AC29" s="15" t="b">
        <v>1</v>
      </c>
      <c r="AD29" s="15" t="b">
        <v>1</v>
      </c>
      <c r="AE29" s="15" t="b">
        <v>1</v>
      </c>
      <c r="AF29" s="15">
        <v>1</v>
      </c>
      <c r="AG29" s="15">
        <v>10</v>
      </c>
      <c r="AH29" s="15" t="s">
        <v>309</v>
      </c>
      <c r="AI29" s="15" t="str">
        <f t="shared" si="13"/>
        <v>Character/Prefabs/c_attacker_brynhild_1</v>
      </c>
      <c r="AJ29" s="15" t="str">
        <f t="shared" si="3"/>
        <v>CharacterSpine/c_attacker_brynhild_1</v>
      </c>
      <c r="AK29" s="15" t="str">
        <f t="shared" si="14"/>
        <v>Character/SDPrefabs/sd_head_c_attacker_brynhild_1</v>
      </c>
      <c r="AL29" s="15"/>
      <c r="AM29" s="15" t="str">
        <f t="shared" si="9"/>
        <v>character_brynhild_01</v>
      </c>
      <c r="AN29" s="15" t="str">
        <f t="shared" si="15"/>
        <v>Character/Timeline/01_CHA/ult_c_attacker_brynhild_1</v>
      </c>
      <c r="AO29" s="15" t="str">
        <f t="shared" si="16"/>
        <v>Character/Timeline/01_CHA/victory_c_attacker_brynhild_1</v>
      </c>
      <c r="AP29" s="15" t="str">
        <f t="shared" si="16"/>
        <v>Character/Timeline/01_CHA/victory_c_attacker_brynhild_1</v>
      </c>
      <c r="AQ29" s="15" t="str">
        <f t="shared" si="17"/>
        <v>brynhild</v>
      </c>
      <c r="AR29" s="3"/>
      <c r="AS29" s="15" t="s">
        <v>97</v>
      </c>
      <c r="AT29" s="15" t="s">
        <v>154</v>
      </c>
      <c r="AU29" s="3" t="s">
        <v>99</v>
      </c>
      <c r="AV29" s="15">
        <v>213</v>
      </c>
      <c r="AW29" s="32" t="s">
        <v>624</v>
      </c>
      <c r="AX29" s="13" t="s">
        <v>667</v>
      </c>
    </row>
    <row r="30" spans="1:51">
      <c r="A30" s="15">
        <v>1010520003</v>
      </c>
      <c r="B30" s="15" t="s">
        <v>310</v>
      </c>
      <c r="C30" s="15" t="s">
        <v>311</v>
      </c>
      <c r="D30" s="15" t="s">
        <v>656</v>
      </c>
      <c r="E30" s="15" t="str">
        <f t="shared" si="0"/>
        <v>Name.Character.yuna</v>
      </c>
      <c r="F30" s="18" t="str">
        <f t="shared" si="1"/>
        <v>Desc.Character.yuna</v>
      </c>
      <c r="G30" s="26" t="s">
        <v>662</v>
      </c>
      <c r="H30" s="48" t="s">
        <v>605</v>
      </c>
      <c r="I30" s="8" t="s">
        <v>186</v>
      </c>
      <c r="J30" s="15">
        <v>1040425018</v>
      </c>
      <c r="K30" s="15" t="s">
        <v>822</v>
      </c>
      <c r="L30" s="18" t="s">
        <v>157</v>
      </c>
      <c r="M30" s="16" t="s">
        <v>312</v>
      </c>
      <c r="N30" s="34" t="s">
        <v>310</v>
      </c>
      <c r="O30" s="15" t="s">
        <v>842</v>
      </c>
      <c r="P30" s="17" t="s">
        <v>725</v>
      </c>
      <c r="Q30" s="15" t="s">
        <v>313</v>
      </c>
      <c r="R30" s="15" t="s">
        <v>314</v>
      </c>
      <c r="S30" s="15" t="s">
        <v>315</v>
      </c>
      <c r="T30" s="15" t="s">
        <v>316</v>
      </c>
      <c r="U30" s="15" t="s">
        <v>317</v>
      </c>
      <c r="V30" s="15" t="s">
        <v>318</v>
      </c>
      <c r="W30" s="15" t="s">
        <v>319</v>
      </c>
      <c r="X30" s="15" t="s">
        <v>699</v>
      </c>
      <c r="Y30" s="3" t="b">
        <v>1</v>
      </c>
      <c r="Z30" s="15" t="b">
        <v>1</v>
      </c>
      <c r="AA30" s="3" t="b">
        <v>0</v>
      </c>
      <c r="AB30" s="15" t="b">
        <v>1</v>
      </c>
      <c r="AC30" s="15" t="b">
        <v>1</v>
      </c>
      <c r="AD30" s="15" t="b">
        <v>1</v>
      </c>
      <c r="AE30" s="15" t="b">
        <v>1</v>
      </c>
      <c r="AF30" s="15">
        <v>1</v>
      </c>
      <c r="AG30" s="15">
        <v>10</v>
      </c>
      <c r="AH30" s="15" t="s">
        <v>320</v>
      </c>
      <c r="AI30" s="15" t="str">
        <f t="shared" si="13"/>
        <v>Character/Prefabs/c_attacker_yuna_1</v>
      </c>
      <c r="AJ30" s="15" t="str">
        <f t="shared" si="3"/>
        <v>CharacterSpine/c_attacker_yuna_1</v>
      </c>
      <c r="AK30" s="15" t="str">
        <f t="shared" si="14"/>
        <v>Character/SDPrefabs/sd_head_c_attacker_yuna_1</v>
      </c>
      <c r="AL30" s="15"/>
      <c r="AM30" s="15" t="str">
        <f t="shared" si="9"/>
        <v>character_yuna_01</v>
      </c>
      <c r="AN30" s="15" t="str">
        <f t="shared" si="15"/>
        <v>Character/Timeline/01_CHA/ult_c_attacker_yuna_1</v>
      </c>
      <c r="AO30" s="15" t="str">
        <f t="shared" si="16"/>
        <v>Character/Timeline/01_CHA/victory_c_attacker_yuna_1</v>
      </c>
      <c r="AP30" s="15" t="str">
        <f t="shared" si="16"/>
        <v>Character/Timeline/01_CHA/victory_c_attacker_yuna_1</v>
      </c>
      <c r="AQ30" s="15" t="str">
        <f t="shared" si="17"/>
        <v>yuna</v>
      </c>
      <c r="AR30" s="3"/>
      <c r="AS30" s="15" t="s">
        <v>97</v>
      </c>
      <c r="AT30" s="15" t="s">
        <v>721</v>
      </c>
      <c r="AU30" s="3" t="s">
        <v>99</v>
      </c>
      <c r="AV30" s="15">
        <v>214</v>
      </c>
      <c r="AW30" s="32" t="s">
        <v>625</v>
      </c>
      <c r="AX30" s="13" t="s">
        <v>673</v>
      </c>
      <c r="AY30" s="13" t="s">
        <v>729</v>
      </c>
    </row>
    <row r="31" spans="1:51">
      <c r="A31" s="15">
        <v>1010520004</v>
      </c>
      <c r="B31" s="15" t="s">
        <v>321</v>
      </c>
      <c r="C31" s="15" t="s">
        <v>322</v>
      </c>
      <c r="D31" s="15" t="s">
        <v>656</v>
      </c>
      <c r="E31" s="15" t="str">
        <f t="shared" si="0"/>
        <v>Name.Character.gray</v>
      </c>
      <c r="F31" s="18" t="str">
        <f t="shared" si="1"/>
        <v>Desc.Character.gray</v>
      </c>
      <c r="G31" s="26" t="s">
        <v>662</v>
      </c>
      <c r="H31" s="47" t="s">
        <v>604</v>
      </c>
      <c r="I31" s="8" t="s">
        <v>186</v>
      </c>
      <c r="J31" s="15">
        <v>1040425019</v>
      </c>
      <c r="K31" s="15" t="s">
        <v>818</v>
      </c>
      <c r="L31" s="18" t="s">
        <v>130</v>
      </c>
      <c r="M31" s="16" t="s">
        <v>209</v>
      </c>
      <c r="N31" s="34" t="s">
        <v>321</v>
      </c>
      <c r="O31" s="15" t="s">
        <v>842</v>
      </c>
      <c r="P31" s="17" t="s">
        <v>725</v>
      </c>
      <c r="Q31" s="15" t="s">
        <v>323</v>
      </c>
      <c r="R31" s="15" t="s">
        <v>324</v>
      </c>
      <c r="S31" s="15" t="s">
        <v>325</v>
      </c>
      <c r="T31" s="15" t="s">
        <v>326</v>
      </c>
      <c r="U31" s="15" t="s">
        <v>327</v>
      </c>
      <c r="V31" s="15" t="s">
        <v>328</v>
      </c>
      <c r="W31" s="15" t="s">
        <v>329</v>
      </c>
      <c r="X31" s="15" t="s">
        <v>700</v>
      </c>
      <c r="Y31" s="3" t="b">
        <v>1</v>
      </c>
      <c r="Z31" s="15" t="b">
        <v>1</v>
      </c>
      <c r="AA31" s="3" t="b">
        <v>0</v>
      </c>
      <c r="AB31" s="15" t="b">
        <v>1</v>
      </c>
      <c r="AC31" s="15" t="b">
        <v>1</v>
      </c>
      <c r="AD31" s="15" t="b">
        <v>1</v>
      </c>
      <c r="AE31" s="15" t="b">
        <v>1</v>
      </c>
      <c r="AF31" s="15">
        <v>1</v>
      </c>
      <c r="AG31" s="15">
        <v>10</v>
      </c>
      <c r="AH31" s="15" t="s">
        <v>330</v>
      </c>
      <c r="AI31" s="15" t="str">
        <f t="shared" si="13"/>
        <v>Character/Prefabs/c_attacker_gray_1</v>
      </c>
      <c r="AJ31" s="15" t="str">
        <f t="shared" si="3"/>
        <v>CharacterSpine/c_attacker_gray_1</v>
      </c>
      <c r="AK31" s="15" t="str">
        <f t="shared" si="14"/>
        <v>Character/SDPrefabs/sd_head_c_attacker_gray_1</v>
      </c>
      <c r="AL31" s="15"/>
      <c r="AM31" s="15" t="str">
        <f t="shared" si="9"/>
        <v>character_gray_01</v>
      </c>
      <c r="AN31" s="15" t="str">
        <f t="shared" si="15"/>
        <v>Character/Timeline/01_CHA/ult_c_attacker_gray_1</v>
      </c>
      <c r="AO31" s="15" t="str">
        <f t="shared" si="16"/>
        <v>Character/Timeline/01_CHA/victory_c_attacker_gray_1</v>
      </c>
      <c r="AP31" s="15" t="str">
        <f t="shared" si="16"/>
        <v>Character/Timeline/01_CHA/victory_c_attacker_gray_1</v>
      </c>
      <c r="AQ31" s="15" t="str">
        <f t="shared" si="17"/>
        <v>gray</v>
      </c>
      <c r="AR31" s="3"/>
      <c r="AS31" s="15" t="s">
        <v>806</v>
      </c>
      <c r="AT31" s="15" t="s">
        <v>154</v>
      </c>
      <c r="AU31" s="3" t="s">
        <v>99</v>
      </c>
      <c r="AV31" s="15">
        <v>215</v>
      </c>
      <c r="AW31" s="32" t="s">
        <v>626</v>
      </c>
      <c r="AX31" s="13" t="s">
        <v>672</v>
      </c>
      <c r="AY31" s="13" t="s">
        <v>729</v>
      </c>
    </row>
    <row r="32" spans="1:51">
      <c r="A32" s="15">
        <v>1010520005</v>
      </c>
      <c r="B32" s="15" t="s">
        <v>331</v>
      </c>
      <c r="C32" s="15" t="s">
        <v>332</v>
      </c>
      <c r="D32" s="15" t="s">
        <v>656</v>
      </c>
      <c r="E32" s="15" t="str">
        <f t="shared" si="0"/>
        <v>Name.Character.fei</v>
      </c>
      <c r="F32" s="18" t="str">
        <f t="shared" si="1"/>
        <v>Desc.Character.fei</v>
      </c>
      <c r="G32" s="26" t="s">
        <v>662</v>
      </c>
      <c r="H32" s="48" t="s">
        <v>605</v>
      </c>
      <c r="I32" s="8" t="s">
        <v>186</v>
      </c>
      <c r="J32" s="15">
        <v>1040425020</v>
      </c>
      <c r="K32" s="15" t="s">
        <v>822</v>
      </c>
      <c r="L32" s="18" t="s">
        <v>130</v>
      </c>
      <c r="M32" s="16" t="s">
        <v>238</v>
      </c>
      <c r="N32" s="34" t="s">
        <v>331</v>
      </c>
      <c r="O32" s="15" t="s">
        <v>842</v>
      </c>
      <c r="P32" s="17" t="s">
        <v>725</v>
      </c>
      <c r="Q32" s="15" t="s">
        <v>333</v>
      </c>
      <c r="R32" s="15" t="s">
        <v>334</v>
      </c>
      <c r="S32" s="15" t="s">
        <v>335</v>
      </c>
      <c r="T32" s="15" t="s">
        <v>336</v>
      </c>
      <c r="U32" s="15" t="s">
        <v>337</v>
      </c>
      <c r="V32" s="15" t="s">
        <v>338</v>
      </c>
      <c r="W32" s="15" t="s">
        <v>339</v>
      </c>
      <c r="X32" s="15" t="s">
        <v>735</v>
      </c>
      <c r="Y32" s="3" t="b">
        <v>1</v>
      </c>
      <c r="Z32" s="15" t="b">
        <v>1</v>
      </c>
      <c r="AA32" s="3" t="b">
        <v>0</v>
      </c>
      <c r="AB32" s="15" t="b">
        <v>1</v>
      </c>
      <c r="AC32" s="15" t="b">
        <v>1</v>
      </c>
      <c r="AD32" s="15" t="b">
        <v>1</v>
      </c>
      <c r="AE32" s="15" t="b">
        <v>1</v>
      </c>
      <c r="AF32" s="15">
        <v>1</v>
      </c>
      <c r="AG32" s="15">
        <v>10</v>
      </c>
      <c r="AH32" s="15" t="s">
        <v>340</v>
      </c>
      <c r="AI32" s="15" t="str">
        <f t="shared" si="13"/>
        <v>Character/Prefabs/c_attacker_fei_1</v>
      </c>
      <c r="AJ32" s="15" t="str">
        <f t="shared" si="3"/>
        <v>CharacterSpine/c_attacker_fei_1</v>
      </c>
      <c r="AK32" s="15" t="str">
        <f t="shared" si="14"/>
        <v>Character/SDPrefabs/sd_head_c_attacker_fei_1</v>
      </c>
      <c r="AL32" s="15"/>
      <c r="AM32" s="15" t="str">
        <f t="shared" si="9"/>
        <v>character_fei_01</v>
      </c>
      <c r="AN32" s="15" t="str">
        <f t="shared" si="15"/>
        <v>Character/Timeline/01_CHA/ult_c_attacker_fei_1</v>
      </c>
      <c r="AO32" s="15" t="str">
        <f t="shared" si="16"/>
        <v>Character/Timeline/01_CHA/victory_c_attacker_fei_1</v>
      </c>
      <c r="AP32" s="15" t="str">
        <f t="shared" si="16"/>
        <v>Character/Timeline/01_CHA/victory_c_attacker_fei_1</v>
      </c>
      <c r="AQ32" s="15" t="str">
        <f t="shared" si="17"/>
        <v>fei</v>
      </c>
      <c r="AR32" s="3"/>
      <c r="AS32" s="15" t="s">
        <v>97</v>
      </c>
      <c r="AT32" s="15" t="s">
        <v>154</v>
      </c>
      <c r="AU32" s="3" t="s">
        <v>99</v>
      </c>
      <c r="AV32" s="15">
        <v>216</v>
      </c>
      <c r="AW32" s="32" t="s">
        <v>627</v>
      </c>
      <c r="AX32" s="13" t="s">
        <v>674</v>
      </c>
      <c r="AY32" s="13" t="s">
        <v>729</v>
      </c>
    </row>
    <row r="33" spans="1:51">
      <c r="A33" s="15">
        <v>1010320001</v>
      </c>
      <c r="B33" s="15" t="s">
        <v>664</v>
      </c>
      <c r="C33" s="15" t="s">
        <v>342</v>
      </c>
      <c r="D33" s="15" t="s">
        <v>656</v>
      </c>
      <c r="E33" s="15" t="str">
        <f t="shared" si="0"/>
        <v>Name.Character.airen</v>
      </c>
      <c r="F33" s="18" t="str">
        <f t="shared" si="1"/>
        <v>Desc.Character.airen</v>
      </c>
      <c r="G33" s="26" t="s">
        <v>662</v>
      </c>
      <c r="H33" s="48" t="s">
        <v>605</v>
      </c>
      <c r="I33" s="8" t="s">
        <v>186</v>
      </c>
      <c r="J33" s="15">
        <v>1040425040</v>
      </c>
      <c r="K33" s="15" t="s">
        <v>822</v>
      </c>
      <c r="L33" s="18" t="s">
        <v>343</v>
      </c>
      <c r="M33" s="16" t="s">
        <v>344</v>
      </c>
      <c r="N33" s="34" t="s">
        <v>341</v>
      </c>
      <c r="O33" s="15" t="s">
        <v>842</v>
      </c>
      <c r="P33" s="17" t="s">
        <v>725</v>
      </c>
      <c r="Q33" s="15" t="s">
        <v>345</v>
      </c>
      <c r="R33" s="15" t="s">
        <v>346</v>
      </c>
      <c r="S33" s="15" t="s">
        <v>347</v>
      </c>
      <c r="T33" s="15" t="s">
        <v>348</v>
      </c>
      <c r="U33" s="15" t="s">
        <v>349</v>
      </c>
      <c r="V33" s="15" t="s">
        <v>350</v>
      </c>
      <c r="W33" s="15" t="s">
        <v>351</v>
      </c>
      <c r="X33" s="15" t="s">
        <v>701</v>
      </c>
      <c r="Y33" s="3" t="b">
        <v>1</v>
      </c>
      <c r="Z33" s="15" t="b">
        <v>1</v>
      </c>
      <c r="AA33" s="3" t="b">
        <v>0</v>
      </c>
      <c r="AB33" s="15" t="b">
        <v>1</v>
      </c>
      <c r="AC33" s="15" t="b">
        <v>1</v>
      </c>
      <c r="AD33" s="15" t="b">
        <v>1</v>
      </c>
      <c r="AE33" s="15" t="b">
        <v>1</v>
      </c>
      <c r="AF33" s="15">
        <v>1</v>
      </c>
      <c r="AG33" s="15">
        <v>10</v>
      </c>
      <c r="AH33" s="15" t="s">
        <v>352</v>
      </c>
      <c r="AI33" s="15" t="str">
        <f t="shared" si="13"/>
        <v>Character/Prefabs/c_attacker_airen_1</v>
      </c>
      <c r="AJ33" s="15" t="str">
        <f t="shared" si="3"/>
        <v>CharacterSpine/c_attacker_airen_1</v>
      </c>
      <c r="AK33" s="15" t="str">
        <f t="shared" si="14"/>
        <v>Character/SDPrefabs/sd_head_c_attacker_airen_1</v>
      </c>
      <c r="AL33" s="15"/>
      <c r="AM33" s="15" t="str">
        <f t="shared" si="9"/>
        <v>character_airen_01</v>
      </c>
      <c r="AN33" s="15" t="str">
        <f t="shared" si="15"/>
        <v>Character/Timeline/01_CHA/ult_c_attacker_airen_1</v>
      </c>
      <c r="AO33" s="15" t="str">
        <f t="shared" si="16"/>
        <v>Character/Timeline/01_CHA/victory_c_attacker_airen_1</v>
      </c>
      <c r="AP33" s="15" t="str">
        <f t="shared" si="16"/>
        <v>Character/Timeline/01_CHA/victory_c_attacker_airen_1</v>
      </c>
      <c r="AQ33" s="15" t="str">
        <f t="shared" si="17"/>
        <v>airen</v>
      </c>
      <c r="AR33" s="3"/>
      <c r="AS33" s="15" t="s">
        <v>97</v>
      </c>
      <c r="AT33" s="15" t="s">
        <v>154</v>
      </c>
      <c r="AU33" s="3" t="s">
        <v>99</v>
      </c>
      <c r="AV33" s="15">
        <v>217</v>
      </c>
      <c r="AW33" s="32" t="s">
        <v>628</v>
      </c>
      <c r="AX33" s="13" t="s">
        <v>671</v>
      </c>
      <c r="AY33" s="13" t="s">
        <v>729</v>
      </c>
    </row>
    <row r="34" spans="1:51">
      <c r="A34" s="15">
        <v>1010320002</v>
      </c>
      <c r="B34" s="15" t="s">
        <v>353</v>
      </c>
      <c r="C34" s="15" t="s">
        <v>354</v>
      </c>
      <c r="D34" s="15" t="s">
        <v>656</v>
      </c>
      <c r="E34" s="15" t="str">
        <f t="shared" si="0"/>
        <v>Name.Character.klairs</v>
      </c>
      <c r="F34" s="18" t="str">
        <f t="shared" si="1"/>
        <v>Desc.Character.klairs</v>
      </c>
      <c r="G34" s="26" t="s">
        <v>662</v>
      </c>
      <c r="H34" s="48" t="s">
        <v>719</v>
      </c>
      <c r="I34" s="8" t="s">
        <v>186</v>
      </c>
      <c r="J34" s="15">
        <v>1040425042</v>
      </c>
      <c r="K34" s="15" t="s">
        <v>822</v>
      </c>
      <c r="L34" s="18" t="s">
        <v>130</v>
      </c>
      <c r="M34" s="16" t="s">
        <v>238</v>
      </c>
      <c r="N34" s="34" t="s">
        <v>353</v>
      </c>
      <c r="O34" s="15" t="s">
        <v>842</v>
      </c>
      <c r="P34" s="17" t="s">
        <v>725</v>
      </c>
      <c r="Q34" s="15" t="s">
        <v>355</v>
      </c>
      <c r="R34" s="15" t="s">
        <v>356</v>
      </c>
      <c r="S34" s="15" t="s">
        <v>357</v>
      </c>
      <c r="T34" s="15" t="s">
        <v>358</v>
      </c>
      <c r="U34" s="15" t="s">
        <v>359</v>
      </c>
      <c r="V34" s="15" t="s">
        <v>360</v>
      </c>
      <c r="W34" s="15" t="s">
        <v>361</v>
      </c>
      <c r="X34" s="15" t="s">
        <v>702</v>
      </c>
      <c r="Y34" s="3" t="b">
        <v>1</v>
      </c>
      <c r="Z34" s="15" t="b">
        <v>1</v>
      </c>
      <c r="AA34" s="3" t="b">
        <v>0</v>
      </c>
      <c r="AB34" s="15" t="b">
        <v>1</v>
      </c>
      <c r="AC34" s="15" t="b">
        <v>1</v>
      </c>
      <c r="AD34" s="15" t="b">
        <v>1</v>
      </c>
      <c r="AE34" s="15" t="b">
        <v>1</v>
      </c>
      <c r="AF34" s="15">
        <v>1</v>
      </c>
      <c r="AG34" s="15">
        <v>10</v>
      </c>
      <c r="AH34" s="15" t="s">
        <v>362</v>
      </c>
      <c r="AI34" s="15" t="str">
        <f t="shared" si="13"/>
        <v>Character/Prefabs/c_attacker_klairs_1</v>
      </c>
      <c r="AJ34" s="15" t="str">
        <f t="shared" si="3"/>
        <v>CharacterSpine/c_attacker_klairs_1</v>
      </c>
      <c r="AK34" s="15" t="str">
        <f t="shared" si="14"/>
        <v>Character/SDPrefabs/sd_head_c_attacker_klairs_1</v>
      </c>
      <c r="AL34" s="15"/>
      <c r="AM34" s="15" t="str">
        <f t="shared" si="9"/>
        <v>character_klairs_01</v>
      </c>
      <c r="AN34" s="15" t="str">
        <f t="shared" si="15"/>
        <v>Character/Timeline/01_CHA/ult_c_attacker_klairs_1</v>
      </c>
      <c r="AO34" s="15" t="str">
        <f t="shared" si="16"/>
        <v>Character/Timeline/01_CHA/victory_c_attacker_klairs_1</v>
      </c>
      <c r="AP34" s="15" t="str">
        <f t="shared" si="16"/>
        <v>Character/Timeline/01_CHA/victory_c_attacker_klairs_1</v>
      </c>
      <c r="AQ34" s="15" t="str">
        <f t="shared" si="17"/>
        <v>klairs</v>
      </c>
      <c r="AR34" s="3"/>
      <c r="AS34" s="15" t="s">
        <v>97</v>
      </c>
      <c r="AT34" s="15" t="s">
        <v>154</v>
      </c>
      <c r="AU34" s="3" t="s">
        <v>99</v>
      </c>
      <c r="AV34" s="15">
        <v>218</v>
      </c>
      <c r="AW34" s="32" t="s">
        <v>629</v>
      </c>
      <c r="AX34" s="13" t="s">
        <v>672</v>
      </c>
      <c r="AY34" s="13" t="s">
        <v>729</v>
      </c>
    </row>
    <row r="35" spans="1:51">
      <c r="A35" s="15">
        <v>1010220001</v>
      </c>
      <c r="B35" s="15" t="s">
        <v>577</v>
      </c>
      <c r="C35" s="15" t="s">
        <v>578</v>
      </c>
      <c r="D35" s="15" t="s">
        <v>656</v>
      </c>
      <c r="E35" s="15" t="str">
        <f t="shared" si="0"/>
        <v>Name.Character.ermeil</v>
      </c>
      <c r="F35" s="18" t="str">
        <f t="shared" si="1"/>
        <v>Desc.Character.ermeil</v>
      </c>
      <c r="G35" s="10" t="s">
        <v>663</v>
      </c>
      <c r="H35" s="48" t="s">
        <v>605</v>
      </c>
      <c r="I35" s="8" t="s">
        <v>186</v>
      </c>
      <c r="J35" s="15">
        <v>1040103101</v>
      </c>
      <c r="K35" s="15" t="s">
        <v>821</v>
      </c>
      <c r="L35" s="18" t="s">
        <v>130</v>
      </c>
      <c r="M35" s="16" t="s">
        <v>234</v>
      </c>
      <c r="N35" s="35" t="s">
        <v>577</v>
      </c>
      <c r="O35" s="15" t="s">
        <v>842</v>
      </c>
      <c r="P35" s="17"/>
      <c r="Q35" s="15" t="str">
        <f>$B35&amp;".attack"&amp;RIGHT(Q23,1)</f>
        <v>ermeil.attack1</v>
      </c>
      <c r="R35" s="15"/>
      <c r="S35" s="15"/>
      <c r="T35" s="15" t="str">
        <f>$B35&amp;".active"&amp;RIGHT(T23,1)</f>
        <v>ermeil.active1</v>
      </c>
      <c r="U35" s="15"/>
      <c r="V35" s="15"/>
      <c r="W35" s="15"/>
      <c r="X35" s="15"/>
      <c r="Y35" s="3" t="b">
        <v>1</v>
      </c>
      <c r="Z35" s="15" t="b">
        <v>1</v>
      </c>
      <c r="AA35" s="3" t="b">
        <v>0</v>
      </c>
      <c r="AB35" s="15" t="b">
        <v>0</v>
      </c>
      <c r="AC35" s="15" t="b">
        <v>0</v>
      </c>
      <c r="AD35" s="15" t="b">
        <v>0</v>
      </c>
      <c r="AE35" s="15" t="b">
        <v>0</v>
      </c>
      <c r="AF35" s="15">
        <v>1</v>
      </c>
      <c r="AG35" s="15">
        <v>10</v>
      </c>
      <c r="AH35" s="15" t="str">
        <f>"c_"&amp;LOWER(I35)&amp;"_"&amp;$B35&amp;"_1"</f>
        <v>c_attacker_ermeil_1</v>
      </c>
      <c r="AI35" s="15" t="str">
        <f t="shared" si="13"/>
        <v>Character/Prefabs/c_attacker_ermeil_1</v>
      </c>
      <c r="AJ35" s="15" t="str">
        <f t="shared" si="3"/>
        <v>CharacterSpine/c_attacker_ermeil_1</v>
      </c>
      <c r="AK35" s="15"/>
      <c r="AL35" s="15"/>
      <c r="AM35" s="15" t="str">
        <f t="shared" si="9"/>
        <v>character_ermeil_01</v>
      </c>
      <c r="AN35" s="15"/>
      <c r="AO35" s="15"/>
      <c r="AP35" s="15"/>
      <c r="AQ35" s="15" t="str">
        <f t="shared" si="17"/>
        <v>ermeil</v>
      </c>
      <c r="AR35" s="3"/>
      <c r="AS35" s="15" t="s">
        <v>97</v>
      </c>
      <c r="AT35" s="15" t="s">
        <v>154</v>
      </c>
      <c r="AU35" s="3" t="s">
        <v>99</v>
      </c>
      <c r="AV35" s="15">
        <v>217</v>
      </c>
      <c r="AW35" s="32"/>
      <c r="AX35" s="13" t="s">
        <v>667</v>
      </c>
    </row>
    <row r="36" spans="1:51">
      <c r="A36" s="15">
        <v>1010930001</v>
      </c>
      <c r="B36" s="15" t="s">
        <v>751</v>
      </c>
      <c r="C36" s="15" t="s">
        <v>363</v>
      </c>
      <c r="D36" s="15" t="s">
        <v>837</v>
      </c>
      <c r="E36" s="15" t="str">
        <f t="shared" si="0"/>
        <v>Name.Character.freyja</v>
      </c>
      <c r="F36" s="18" t="str">
        <f t="shared" si="1"/>
        <v>Desc.Character.freyja</v>
      </c>
      <c r="G36" s="26" t="s">
        <v>662</v>
      </c>
      <c r="H36" s="45" t="s">
        <v>606</v>
      </c>
      <c r="I36" s="51" t="s">
        <v>364</v>
      </c>
      <c r="J36" s="15">
        <v>1040425021</v>
      </c>
      <c r="K36" s="15" t="s">
        <v>819</v>
      </c>
      <c r="L36" s="18" t="s">
        <v>130</v>
      </c>
      <c r="M36" s="16" t="s">
        <v>365</v>
      </c>
      <c r="N36" s="19" t="s">
        <v>824</v>
      </c>
      <c r="O36" s="15" t="s">
        <v>842</v>
      </c>
      <c r="P36" s="17" t="s">
        <v>726</v>
      </c>
      <c r="Q36" s="15" t="s">
        <v>752</v>
      </c>
      <c r="R36" s="15" t="s">
        <v>753</v>
      </c>
      <c r="S36" s="15" t="s">
        <v>754</v>
      </c>
      <c r="T36" s="15" t="s">
        <v>755</v>
      </c>
      <c r="U36" s="15" t="s">
        <v>756</v>
      </c>
      <c r="V36" s="15" t="s">
        <v>757</v>
      </c>
      <c r="W36" s="15" t="s">
        <v>830</v>
      </c>
      <c r="X36" s="21" t="s">
        <v>832</v>
      </c>
      <c r="Y36" s="3" t="b">
        <v>1</v>
      </c>
      <c r="Z36" s="28" t="b">
        <v>1</v>
      </c>
      <c r="AA36" s="28" t="b">
        <v>0</v>
      </c>
      <c r="AB36" s="15" t="b">
        <v>1</v>
      </c>
      <c r="AC36" s="15" t="b">
        <v>1</v>
      </c>
      <c r="AD36" s="15" t="b">
        <v>1</v>
      </c>
      <c r="AE36" s="15" t="b">
        <v>1</v>
      </c>
      <c r="AF36" s="15">
        <v>1</v>
      </c>
      <c r="AG36" s="15">
        <v>10</v>
      </c>
      <c r="AH36" s="15" t="s">
        <v>366</v>
      </c>
      <c r="AI36" s="15" t="str">
        <f t="shared" si="13"/>
        <v>Character/Prefabs/c_ranger_freyja_1</v>
      </c>
      <c r="AJ36" s="15" t="str">
        <f t="shared" si="3"/>
        <v>CharacterSpine/c_ranger_freyja_1</v>
      </c>
      <c r="AK36" s="15" t="str">
        <f t="shared" ref="AK36:AK51" si="18">"Character/SDPrefabs/sd_head_"&amp;$AH36</f>
        <v>Character/SDPrefabs/sd_head_c_ranger_freyja_1</v>
      </c>
      <c r="AL36" s="15"/>
      <c r="AM36" s="15" t="str">
        <f t="shared" si="9"/>
        <v>character_freyja_01</v>
      </c>
      <c r="AN36" s="15" t="str">
        <f t="shared" ref="AN36:AN51" si="19">"Character/Timeline/01_CHA/ult_"&amp;$AH36</f>
        <v>Character/Timeline/01_CHA/ult_c_ranger_freyja_1</v>
      </c>
      <c r="AO36" s="15" t="str">
        <f t="shared" ref="AO36:AP51" si="20">"Character/Timeline/01_CHA/victory_"&amp;$AH36</f>
        <v>Character/Timeline/01_CHA/victory_c_ranger_freyja_1</v>
      </c>
      <c r="AP36" s="15" t="str">
        <f t="shared" si="20"/>
        <v>Character/Timeline/01_CHA/victory_c_ranger_freyja_1</v>
      </c>
      <c r="AQ36" s="15" t="str">
        <f t="shared" si="17"/>
        <v>freyja</v>
      </c>
      <c r="AR36" s="3"/>
      <c r="AS36" s="15" t="s">
        <v>140</v>
      </c>
      <c r="AT36" s="15" t="s">
        <v>367</v>
      </c>
      <c r="AU36" s="3" t="s">
        <v>99</v>
      </c>
      <c r="AV36" s="15">
        <v>301</v>
      </c>
      <c r="AW36" s="32" t="s">
        <v>630</v>
      </c>
      <c r="AX36" s="13" t="s">
        <v>672</v>
      </c>
      <c r="AY36" s="13" t="s">
        <v>729</v>
      </c>
    </row>
    <row r="37" spans="1:51">
      <c r="A37" s="15">
        <v>1010930002</v>
      </c>
      <c r="B37" s="15" t="s">
        <v>758</v>
      </c>
      <c r="C37" s="15" t="s">
        <v>368</v>
      </c>
      <c r="D37" s="15" t="s">
        <v>736</v>
      </c>
      <c r="E37" s="15" t="str">
        <f t="shared" si="0"/>
        <v>Name.Character.eradica</v>
      </c>
      <c r="F37" s="18" t="str">
        <f t="shared" si="1"/>
        <v>Desc.Character.eradica</v>
      </c>
      <c r="G37" s="26" t="s">
        <v>662</v>
      </c>
      <c r="H37" s="45" t="s">
        <v>823</v>
      </c>
      <c r="I37" s="51" t="s">
        <v>364</v>
      </c>
      <c r="J37" s="15">
        <v>1040425022</v>
      </c>
      <c r="K37" s="15" t="s">
        <v>820</v>
      </c>
      <c r="L37" s="18" t="s">
        <v>107</v>
      </c>
      <c r="M37" s="16" t="s">
        <v>836</v>
      </c>
      <c r="N37" s="19" t="s">
        <v>825</v>
      </c>
      <c r="O37" s="15" t="s">
        <v>842</v>
      </c>
      <c r="P37" s="17" t="s">
        <v>726</v>
      </c>
      <c r="Q37" s="15" t="s">
        <v>759</v>
      </c>
      <c r="R37" s="15" t="s">
        <v>760</v>
      </c>
      <c r="S37" s="15" t="s">
        <v>761</v>
      </c>
      <c r="T37" s="15" t="s">
        <v>762</v>
      </c>
      <c r="U37" s="15" t="s">
        <v>763</v>
      </c>
      <c r="V37" s="15" t="s">
        <v>764</v>
      </c>
      <c r="W37" s="15" t="s">
        <v>765</v>
      </c>
      <c r="X37" s="21" t="s">
        <v>828</v>
      </c>
      <c r="Y37" s="3" t="b">
        <v>1</v>
      </c>
      <c r="Z37" s="28" t="b">
        <v>1</v>
      </c>
      <c r="AA37" s="28" t="b">
        <v>0</v>
      </c>
      <c r="AB37" s="15" t="b">
        <v>1</v>
      </c>
      <c r="AC37" s="15" t="b">
        <v>1</v>
      </c>
      <c r="AD37" s="15" t="b">
        <v>1</v>
      </c>
      <c r="AE37" s="15" t="b">
        <v>1</v>
      </c>
      <c r="AF37" s="15">
        <v>1</v>
      </c>
      <c r="AG37" s="15">
        <v>10</v>
      </c>
      <c r="AH37" s="15" t="s">
        <v>369</v>
      </c>
      <c r="AI37" s="15" t="str">
        <f t="shared" si="13"/>
        <v>Character/Prefabs/c_ranger_eradica_1</v>
      </c>
      <c r="AJ37" s="15" t="str">
        <f t="shared" si="3"/>
        <v>CharacterSpine/c_ranger_eradica_1</v>
      </c>
      <c r="AK37" s="15" t="str">
        <f t="shared" si="18"/>
        <v>Character/SDPrefabs/sd_head_c_ranger_eradica_1</v>
      </c>
      <c r="AL37" s="15"/>
      <c r="AM37" s="15" t="str">
        <f t="shared" si="9"/>
        <v>character_eradica_01</v>
      </c>
      <c r="AN37" s="15" t="str">
        <f t="shared" si="19"/>
        <v>Character/Timeline/01_CHA/ult_c_ranger_eradica_1</v>
      </c>
      <c r="AO37" s="15" t="str">
        <f t="shared" si="20"/>
        <v>Character/Timeline/01_CHA/victory_c_ranger_eradica_1</v>
      </c>
      <c r="AP37" s="15" t="str">
        <f t="shared" si="20"/>
        <v>Character/Timeline/01_CHA/victory_c_ranger_eradica_1</v>
      </c>
      <c r="AQ37" s="15" t="str">
        <f t="shared" si="17"/>
        <v>eradica</v>
      </c>
      <c r="AR37" s="3"/>
      <c r="AS37" s="15" t="s">
        <v>97</v>
      </c>
      <c r="AT37" s="15" t="s">
        <v>367</v>
      </c>
      <c r="AU37" s="3" t="s">
        <v>99</v>
      </c>
      <c r="AV37" s="15">
        <v>302</v>
      </c>
      <c r="AW37" s="32" t="s">
        <v>631</v>
      </c>
      <c r="AX37" s="13" t="s">
        <v>671</v>
      </c>
      <c r="AY37" s="13" t="s">
        <v>729</v>
      </c>
    </row>
    <row r="38" spans="1:51">
      <c r="A38" s="15">
        <v>1010930003</v>
      </c>
      <c r="B38" s="15" t="s">
        <v>766</v>
      </c>
      <c r="C38" s="15" t="s">
        <v>370</v>
      </c>
      <c r="D38" s="15" t="s">
        <v>736</v>
      </c>
      <c r="E38" s="15" t="str">
        <f t="shared" si="0"/>
        <v>Name.Character.kanata</v>
      </c>
      <c r="F38" s="18" t="str">
        <f t="shared" si="1"/>
        <v>Desc.Character.kanata</v>
      </c>
      <c r="G38" s="26" t="s">
        <v>662</v>
      </c>
      <c r="H38" s="45" t="s">
        <v>731</v>
      </c>
      <c r="I38" s="51" t="s">
        <v>364</v>
      </c>
      <c r="J38" s="15">
        <v>1040425023</v>
      </c>
      <c r="K38" s="15" t="s">
        <v>820</v>
      </c>
      <c r="L38" s="18" t="s">
        <v>157</v>
      </c>
      <c r="M38" s="16" t="s">
        <v>371</v>
      </c>
      <c r="N38" s="19" t="s">
        <v>826</v>
      </c>
      <c r="O38" s="15" t="s">
        <v>842</v>
      </c>
      <c r="P38" s="17" t="s">
        <v>726</v>
      </c>
      <c r="Q38" s="15" t="s">
        <v>767</v>
      </c>
      <c r="R38" s="15" t="s">
        <v>768</v>
      </c>
      <c r="S38" s="15" t="s">
        <v>769</v>
      </c>
      <c r="T38" s="15" t="s">
        <v>770</v>
      </c>
      <c r="U38" s="15" t="s">
        <v>771</v>
      </c>
      <c r="V38" s="15" t="s">
        <v>772</v>
      </c>
      <c r="W38" s="15" t="s">
        <v>773</v>
      </c>
      <c r="X38" s="21"/>
      <c r="Y38" s="3" t="b">
        <v>1</v>
      </c>
      <c r="Z38" s="28" t="b">
        <v>0</v>
      </c>
      <c r="AA38" s="28" t="b">
        <v>1</v>
      </c>
      <c r="AB38" s="15" t="b">
        <v>0</v>
      </c>
      <c r="AC38" s="15" t="b">
        <v>0</v>
      </c>
      <c r="AD38" s="15" t="b">
        <v>0</v>
      </c>
      <c r="AE38" s="15" t="b">
        <v>0</v>
      </c>
      <c r="AF38" s="15">
        <v>1</v>
      </c>
      <c r="AG38" s="15">
        <v>10</v>
      </c>
      <c r="AH38" s="15" t="s">
        <v>372</v>
      </c>
      <c r="AI38" s="15" t="str">
        <f t="shared" si="13"/>
        <v>Character/Prefabs/c_ranger_kanata_1</v>
      </c>
      <c r="AJ38" s="15" t="str">
        <f t="shared" ref="AJ38:AJ60" si="21">"CharacterSpine/"&amp;$AH38</f>
        <v>CharacterSpine/c_ranger_kanata_1</v>
      </c>
      <c r="AK38" s="15" t="str">
        <f t="shared" si="18"/>
        <v>Character/SDPrefabs/sd_head_c_ranger_kanata_1</v>
      </c>
      <c r="AL38" s="15"/>
      <c r="AM38" s="15" t="str">
        <f t="shared" si="9"/>
        <v>character_kanata_01</v>
      </c>
      <c r="AN38" s="15" t="str">
        <f t="shared" si="19"/>
        <v>Character/Timeline/01_CHA/ult_c_ranger_kanata_1</v>
      </c>
      <c r="AO38" s="15" t="str">
        <f t="shared" si="20"/>
        <v>Character/Timeline/01_CHA/victory_c_ranger_kanata_1</v>
      </c>
      <c r="AP38" s="15" t="str">
        <f t="shared" si="20"/>
        <v>Character/Timeline/01_CHA/victory_c_ranger_kanata_1</v>
      </c>
      <c r="AQ38" s="15" t="str">
        <f t="shared" si="17"/>
        <v>kanata</v>
      </c>
      <c r="AR38" s="3"/>
      <c r="AS38" s="15" t="s">
        <v>97</v>
      </c>
      <c r="AT38" s="15" t="s">
        <v>141</v>
      </c>
      <c r="AU38" s="3" t="s">
        <v>99</v>
      </c>
      <c r="AV38" s="15">
        <v>303</v>
      </c>
      <c r="AW38" s="32" t="s">
        <v>632</v>
      </c>
      <c r="AX38" s="13" t="s">
        <v>667</v>
      </c>
      <c r="AY38" s="13" t="s">
        <v>729</v>
      </c>
    </row>
    <row r="39" spans="1:51">
      <c r="A39" s="15">
        <v>1010930004</v>
      </c>
      <c r="B39" s="15" t="s">
        <v>774</v>
      </c>
      <c r="C39" s="15" t="s">
        <v>373</v>
      </c>
      <c r="D39" s="15" t="s">
        <v>838</v>
      </c>
      <c r="E39" s="15" t="str">
        <f t="shared" si="0"/>
        <v>Name.Character.id</v>
      </c>
      <c r="F39" s="18" t="str">
        <f t="shared" si="1"/>
        <v>Desc.Character.id</v>
      </c>
      <c r="G39" s="26" t="s">
        <v>662</v>
      </c>
      <c r="H39" s="48" t="s">
        <v>605</v>
      </c>
      <c r="I39" s="51" t="s">
        <v>364</v>
      </c>
      <c r="J39" s="15">
        <v>1040425024</v>
      </c>
      <c r="K39" s="15" t="s">
        <v>821</v>
      </c>
      <c r="L39" s="18" t="s">
        <v>107</v>
      </c>
      <c r="M39" s="16" t="s">
        <v>291</v>
      </c>
      <c r="N39" s="19" t="s">
        <v>827</v>
      </c>
      <c r="O39" s="15" t="s">
        <v>842</v>
      </c>
      <c r="P39" s="17" t="s">
        <v>726</v>
      </c>
      <c r="Q39" s="15" t="s">
        <v>775</v>
      </c>
      <c r="R39" s="15" t="s">
        <v>776</v>
      </c>
      <c r="S39" s="15" t="s">
        <v>777</v>
      </c>
      <c r="T39" s="15" t="s">
        <v>778</v>
      </c>
      <c r="U39" s="15" t="s">
        <v>779</v>
      </c>
      <c r="V39" s="15" t="s">
        <v>780</v>
      </c>
      <c r="W39" s="15" t="s">
        <v>831</v>
      </c>
      <c r="X39" s="21" t="s">
        <v>833</v>
      </c>
      <c r="Y39" s="3" t="b">
        <v>1</v>
      </c>
      <c r="Z39" s="28" t="b">
        <v>1</v>
      </c>
      <c r="AA39" s="3" t="b">
        <v>0</v>
      </c>
      <c r="AB39" s="15" t="b">
        <v>1</v>
      </c>
      <c r="AC39" s="15" t="b">
        <v>1</v>
      </c>
      <c r="AD39" s="15" t="b">
        <v>1</v>
      </c>
      <c r="AE39" s="15" t="b">
        <v>1</v>
      </c>
      <c r="AF39" s="15">
        <v>1</v>
      </c>
      <c r="AG39" s="15">
        <v>10</v>
      </c>
      <c r="AH39" s="15" t="s">
        <v>374</v>
      </c>
      <c r="AI39" s="15" t="str">
        <f t="shared" si="13"/>
        <v>Character/Prefabs/c_ranger_id_1</v>
      </c>
      <c r="AJ39" s="15" t="str">
        <f t="shared" si="21"/>
        <v>CharacterSpine/c_ranger_id_1</v>
      </c>
      <c r="AK39" s="15" t="str">
        <f t="shared" si="18"/>
        <v>Character/SDPrefabs/sd_head_c_ranger_id_1</v>
      </c>
      <c r="AL39" s="15"/>
      <c r="AM39" s="15" t="str">
        <f t="shared" si="9"/>
        <v>character_id_01</v>
      </c>
      <c r="AN39" s="15" t="str">
        <f t="shared" si="19"/>
        <v>Character/Timeline/01_CHA/ult_c_ranger_id_1</v>
      </c>
      <c r="AO39" s="15" t="str">
        <f t="shared" si="20"/>
        <v>Character/Timeline/01_CHA/victory_c_ranger_id_1</v>
      </c>
      <c r="AP39" s="15" t="str">
        <f t="shared" si="20"/>
        <v>Character/Timeline/01_CHA/victory_c_ranger_id_1</v>
      </c>
      <c r="AQ39" s="15" t="str">
        <f t="shared" si="17"/>
        <v>id</v>
      </c>
      <c r="AR39" s="3"/>
      <c r="AS39" s="15" t="s">
        <v>97</v>
      </c>
      <c r="AT39" s="15" t="s">
        <v>367</v>
      </c>
      <c r="AU39" s="3" t="s">
        <v>99</v>
      </c>
      <c r="AV39" s="15">
        <v>304</v>
      </c>
      <c r="AW39" s="32" t="s">
        <v>633</v>
      </c>
      <c r="AX39" s="13" t="s">
        <v>671</v>
      </c>
      <c r="AY39" s="13" t="s">
        <v>729</v>
      </c>
    </row>
    <row r="40" spans="1:51">
      <c r="A40" s="15">
        <v>1010930005</v>
      </c>
      <c r="B40" s="15" t="s">
        <v>375</v>
      </c>
      <c r="C40" s="15" t="s">
        <v>376</v>
      </c>
      <c r="D40" s="15" t="s">
        <v>656</v>
      </c>
      <c r="E40" s="15" t="str">
        <f t="shared" si="0"/>
        <v>Name.Character.archphase</v>
      </c>
      <c r="F40" s="18" t="str">
        <f t="shared" si="1"/>
        <v>Desc.Character.archphase</v>
      </c>
      <c r="G40" s="26" t="s">
        <v>662</v>
      </c>
      <c r="H40" s="45" t="s">
        <v>606</v>
      </c>
      <c r="I40" s="9" t="s">
        <v>364</v>
      </c>
      <c r="J40" s="15">
        <v>1040425025</v>
      </c>
      <c r="K40" s="15" t="s">
        <v>819</v>
      </c>
      <c r="L40" s="18" t="s">
        <v>102</v>
      </c>
      <c r="M40" s="16" t="s">
        <v>103</v>
      </c>
      <c r="N40" s="34" t="s">
        <v>375</v>
      </c>
      <c r="O40" s="15" t="s">
        <v>842</v>
      </c>
      <c r="P40" s="17" t="s">
        <v>726</v>
      </c>
      <c r="Q40" s="15" t="s">
        <v>377</v>
      </c>
      <c r="R40" s="15" t="s">
        <v>378</v>
      </c>
      <c r="S40" s="15" t="s">
        <v>379</v>
      </c>
      <c r="T40" s="15" t="s">
        <v>380</v>
      </c>
      <c r="U40" s="15" t="s">
        <v>381</v>
      </c>
      <c r="V40" s="15" t="s">
        <v>382</v>
      </c>
      <c r="W40" s="15" t="s">
        <v>383</v>
      </c>
      <c r="X40" s="15" t="s">
        <v>703</v>
      </c>
      <c r="Y40" s="3" t="b">
        <v>1</v>
      </c>
      <c r="Z40" s="15" t="b">
        <v>1</v>
      </c>
      <c r="AA40" s="3" t="b">
        <v>0</v>
      </c>
      <c r="AB40" s="15" t="b">
        <v>1</v>
      </c>
      <c r="AC40" s="15" t="b">
        <v>1</v>
      </c>
      <c r="AD40" s="15" t="b">
        <v>1</v>
      </c>
      <c r="AE40" s="15" t="b">
        <v>1</v>
      </c>
      <c r="AF40" s="15">
        <v>1</v>
      </c>
      <c r="AG40" s="15">
        <v>10</v>
      </c>
      <c r="AH40" s="15" t="s">
        <v>384</v>
      </c>
      <c r="AI40" s="15" t="str">
        <f t="shared" si="13"/>
        <v>Character/Prefabs/c_ranger_archphase_1</v>
      </c>
      <c r="AJ40" s="15" t="str">
        <f t="shared" si="21"/>
        <v>CharacterSpine/c_ranger_archphase_1</v>
      </c>
      <c r="AK40" s="15" t="str">
        <f t="shared" si="18"/>
        <v>Character/SDPrefabs/sd_head_c_ranger_archphase_1</v>
      </c>
      <c r="AL40" s="15"/>
      <c r="AM40" s="15" t="str">
        <f t="shared" si="9"/>
        <v>character_archphase_01</v>
      </c>
      <c r="AN40" s="15" t="str">
        <f t="shared" si="19"/>
        <v>Character/Timeline/01_CHA/ult_c_ranger_archphase_1</v>
      </c>
      <c r="AO40" s="15" t="str">
        <f t="shared" si="20"/>
        <v>Character/Timeline/01_CHA/victory_c_ranger_archphase_1</v>
      </c>
      <c r="AP40" s="15" t="str">
        <f t="shared" si="20"/>
        <v>Character/Timeline/01_CHA/victory_c_ranger_archphase_1</v>
      </c>
      <c r="AQ40" s="15" t="str">
        <f t="shared" si="17"/>
        <v>archphase</v>
      </c>
      <c r="AR40" s="3"/>
      <c r="AS40" s="15" t="s">
        <v>97</v>
      </c>
      <c r="AT40" s="15" t="s">
        <v>141</v>
      </c>
      <c r="AU40" s="3" t="s">
        <v>99</v>
      </c>
      <c r="AV40" s="15">
        <v>305</v>
      </c>
      <c r="AW40" s="32" t="s">
        <v>634</v>
      </c>
      <c r="AX40" s="13" t="s">
        <v>667</v>
      </c>
      <c r="AY40" s="13" t="s">
        <v>729</v>
      </c>
    </row>
    <row r="41" spans="1:51">
      <c r="A41" s="15">
        <v>1010730001</v>
      </c>
      <c r="B41" s="15" t="s">
        <v>385</v>
      </c>
      <c r="C41" s="15" t="s">
        <v>386</v>
      </c>
      <c r="D41" s="15" t="s">
        <v>656</v>
      </c>
      <c r="E41" s="15" t="str">
        <f t="shared" si="0"/>
        <v>Name.Character.shery</v>
      </c>
      <c r="F41" s="18" t="str">
        <f t="shared" si="1"/>
        <v>Desc.Character.shery</v>
      </c>
      <c r="G41" s="27" t="s">
        <v>83</v>
      </c>
      <c r="H41" s="48" t="s">
        <v>605</v>
      </c>
      <c r="I41" s="9" t="s">
        <v>364</v>
      </c>
      <c r="J41" s="15"/>
      <c r="K41" s="15"/>
      <c r="L41" s="18" t="s">
        <v>130</v>
      </c>
      <c r="M41" s="16" t="s">
        <v>234</v>
      </c>
      <c r="N41" s="34" t="s">
        <v>385</v>
      </c>
      <c r="O41" s="15" t="s">
        <v>842</v>
      </c>
      <c r="P41" s="17" t="s">
        <v>599</v>
      </c>
      <c r="Q41" s="15" t="s">
        <v>387</v>
      </c>
      <c r="R41" s="15" t="s">
        <v>388</v>
      </c>
      <c r="S41" s="15" t="s">
        <v>389</v>
      </c>
      <c r="T41" s="15" t="s">
        <v>390</v>
      </c>
      <c r="U41" s="15" t="s">
        <v>391</v>
      </c>
      <c r="V41" s="15" t="s">
        <v>392</v>
      </c>
      <c r="W41" s="15" t="s">
        <v>393</v>
      </c>
      <c r="X41" s="15"/>
      <c r="Y41" s="3" t="b">
        <v>1</v>
      </c>
      <c r="Z41" s="15" t="b">
        <v>1</v>
      </c>
      <c r="AA41" s="3" t="b">
        <v>0</v>
      </c>
      <c r="AB41" s="15" t="b">
        <v>1</v>
      </c>
      <c r="AC41" s="15" t="b">
        <v>1</v>
      </c>
      <c r="AD41" s="15" t="b">
        <v>1</v>
      </c>
      <c r="AE41" s="15" t="b">
        <v>1</v>
      </c>
      <c r="AF41" s="15">
        <v>1</v>
      </c>
      <c r="AG41" s="15">
        <v>10</v>
      </c>
      <c r="AH41" s="15" t="s">
        <v>394</v>
      </c>
      <c r="AI41" s="15" t="str">
        <f t="shared" si="13"/>
        <v>Character/Prefabs/c_ranger_shery_1</v>
      </c>
      <c r="AJ41" s="15" t="str">
        <f t="shared" si="21"/>
        <v>CharacterSpine/c_ranger_shery_1</v>
      </c>
      <c r="AK41" s="15" t="str">
        <f t="shared" si="18"/>
        <v>Character/SDPrefabs/sd_head_c_ranger_shery_1</v>
      </c>
      <c r="AL41" s="15"/>
      <c r="AM41" s="15" t="str">
        <f t="shared" si="9"/>
        <v>character_shery_01</v>
      </c>
      <c r="AN41" s="15" t="str">
        <f t="shared" si="19"/>
        <v>Character/Timeline/01_CHA/ult_c_ranger_shery_1</v>
      </c>
      <c r="AO41" s="15" t="str">
        <f t="shared" si="20"/>
        <v>Character/Timeline/01_CHA/victory_c_ranger_shery_1</v>
      </c>
      <c r="AP41" s="15" t="str">
        <f t="shared" si="20"/>
        <v>Character/Timeline/01_CHA/victory_c_ranger_shery_1</v>
      </c>
      <c r="AQ41" s="15" t="str">
        <f t="shared" si="17"/>
        <v>shery</v>
      </c>
      <c r="AR41" s="3"/>
      <c r="AS41" s="15" t="s">
        <v>97</v>
      </c>
      <c r="AT41" s="15" t="s">
        <v>367</v>
      </c>
      <c r="AU41" s="3" t="s">
        <v>99</v>
      </c>
      <c r="AV41" s="15">
        <v>306</v>
      </c>
      <c r="AW41" s="32" t="s">
        <v>635</v>
      </c>
      <c r="AX41" s="13" t="s">
        <v>671</v>
      </c>
    </row>
    <row r="42" spans="1:51">
      <c r="A42" s="15">
        <v>1010730002</v>
      </c>
      <c r="B42" s="15" t="s">
        <v>734</v>
      </c>
      <c r="C42" s="15" t="s">
        <v>396</v>
      </c>
      <c r="D42" s="15" t="s">
        <v>656</v>
      </c>
      <c r="E42" s="15" t="str">
        <f t="shared" si="0"/>
        <v>Name.Character.patricia</v>
      </c>
      <c r="F42" s="18" t="str">
        <f t="shared" si="1"/>
        <v>Desc.Character.patricia</v>
      </c>
      <c r="G42" s="26" t="s">
        <v>662</v>
      </c>
      <c r="H42" s="47" t="s">
        <v>604</v>
      </c>
      <c r="I42" s="9" t="s">
        <v>364</v>
      </c>
      <c r="J42" s="15">
        <v>1040425026</v>
      </c>
      <c r="K42" s="15" t="s">
        <v>818</v>
      </c>
      <c r="L42" s="18" t="s">
        <v>157</v>
      </c>
      <c r="M42" s="16" t="s">
        <v>158</v>
      </c>
      <c r="N42" s="34" t="s">
        <v>395</v>
      </c>
      <c r="O42" s="15" t="s">
        <v>842</v>
      </c>
      <c r="P42" s="17" t="s">
        <v>726</v>
      </c>
      <c r="Q42" s="15" t="s">
        <v>397</v>
      </c>
      <c r="R42" s="15" t="s">
        <v>398</v>
      </c>
      <c r="S42" s="15" t="s">
        <v>399</v>
      </c>
      <c r="T42" s="15" t="s">
        <v>400</v>
      </c>
      <c r="U42" s="15" t="s">
        <v>401</v>
      </c>
      <c r="V42" s="15" t="s">
        <v>402</v>
      </c>
      <c r="W42" s="15" t="s">
        <v>403</v>
      </c>
      <c r="X42" s="15" t="s">
        <v>704</v>
      </c>
      <c r="Y42" s="3" t="b">
        <v>1</v>
      </c>
      <c r="Z42" s="15" t="b">
        <v>1</v>
      </c>
      <c r="AA42" s="3" t="b">
        <v>0</v>
      </c>
      <c r="AB42" s="15" t="b">
        <v>1</v>
      </c>
      <c r="AC42" s="15" t="b">
        <v>1</v>
      </c>
      <c r="AD42" s="15" t="b">
        <v>1</v>
      </c>
      <c r="AE42" s="15" t="b">
        <v>1</v>
      </c>
      <c r="AF42" s="15">
        <v>1</v>
      </c>
      <c r="AG42" s="15">
        <v>10</v>
      </c>
      <c r="AH42" s="15" t="s">
        <v>404</v>
      </c>
      <c r="AI42" s="15" t="str">
        <f t="shared" si="13"/>
        <v>Character/Prefabs/c_ranger_patricia_1</v>
      </c>
      <c r="AJ42" s="15" t="str">
        <f t="shared" si="21"/>
        <v>CharacterSpine/c_ranger_patricia_1</v>
      </c>
      <c r="AK42" s="15" t="str">
        <f t="shared" si="18"/>
        <v>Character/SDPrefabs/sd_head_c_ranger_patricia_1</v>
      </c>
      <c r="AL42" s="15"/>
      <c r="AM42" s="15" t="str">
        <f t="shared" si="9"/>
        <v>character_patricia_01</v>
      </c>
      <c r="AN42" s="15" t="str">
        <f t="shared" si="19"/>
        <v>Character/Timeline/01_CHA/ult_c_ranger_patricia_1</v>
      </c>
      <c r="AO42" s="15" t="str">
        <f t="shared" si="20"/>
        <v>Character/Timeline/01_CHA/victory_c_ranger_patricia_1</v>
      </c>
      <c r="AP42" s="15" t="str">
        <f t="shared" si="20"/>
        <v>Character/Timeline/01_CHA/victory_c_ranger_patricia_1</v>
      </c>
      <c r="AQ42" s="15" t="str">
        <f t="shared" si="17"/>
        <v>patricia</v>
      </c>
      <c r="AR42" s="3"/>
      <c r="AS42" s="15" t="s">
        <v>97</v>
      </c>
      <c r="AT42" s="15" t="s">
        <v>367</v>
      </c>
      <c r="AU42" s="3" t="s">
        <v>99</v>
      </c>
      <c r="AV42" s="15">
        <v>307</v>
      </c>
      <c r="AW42" s="32" t="s">
        <v>636</v>
      </c>
      <c r="AX42" s="13" t="s">
        <v>671</v>
      </c>
      <c r="AY42" s="13" t="s">
        <v>729</v>
      </c>
    </row>
    <row r="43" spans="1:51">
      <c r="A43" s="15">
        <v>1010730003</v>
      </c>
      <c r="B43" s="15" t="s">
        <v>405</v>
      </c>
      <c r="C43" s="15" t="s">
        <v>406</v>
      </c>
      <c r="D43" s="15" t="s">
        <v>656</v>
      </c>
      <c r="E43" s="15" t="str">
        <f t="shared" si="0"/>
        <v>Name.Character.renas</v>
      </c>
      <c r="F43" s="18" t="str">
        <f t="shared" si="1"/>
        <v>Desc.Character.renas</v>
      </c>
      <c r="G43" s="26" t="s">
        <v>662</v>
      </c>
      <c r="H43" s="47" t="s">
        <v>604</v>
      </c>
      <c r="I43" s="9" t="s">
        <v>364</v>
      </c>
      <c r="J43" s="15">
        <v>1040425027</v>
      </c>
      <c r="K43" s="15" t="s">
        <v>818</v>
      </c>
      <c r="L43" s="18" t="s">
        <v>144</v>
      </c>
      <c r="M43" s="16" t="s">
        <v>407</v>
      </c>
      <c r="N43" s="34" t="s">
        <v>405</v>
      </c>
      <c r="O43" s="15" t="s">
        <v>842</v>
      </c>
      <c r="P43" s="17" t="s">
        <v>726</v>
      </c>
      <c r="Q43" s="15" t="s">
        <v>408</v>
      </c>
      <c r="R43" s="15" t="s">
        <v>409</v>
      </c>
      <c r="S43" s="15" t="s">
        <v>410</v>
      </c>
      <c r="T43" s="15" t="s">
        <v>411</v>
      </c>
      <c r="U43" s="15" t="s">
        <v>412</v>
      </c>
      <c r="V43" s="15" t="s">
        <v>413</v>
      </c>
      <c r="W43" s="15" t="s">
        <v>414</v>
      </c>
      <c r="X43" s="15" t="s">
        <v>705</v>
      </c>
      <c r="Y43" s="3" t="b">
        <v>1</v>
      </c>
      <c r="Z43" s="15" t="b">
        <v>1</v>
      </c>
      <c r="AA43" s="3" t="b">
        <v>0</v>
      </c>
      <c r="AB43" s="15" t="b">
        <v>1</v>
      </c>
      <c r="AC43" s="15" t="b">
        <v>1</v>
      </c>
      <c r="AD43" s="15" t="b">
        <v>1</v>
      </c>
      <c r="AE43" s="15" t="b">
        <v>1</v>
      </c>
      <c r="AF43" s="15">
        <v>1</v>
      </c>
      <c r="AG43" s="15">
        <v>10</v>
      </c>
      <c r="AH43" s="15" t="s">
        <v>415</v>
      </c>
      <c r="AI43" s="15" t="str">
        <f t="shared" si="13"/>
        <v>Character/Prefabs/c_ranger_renas_1</v>
      </c>
      <c r="AJ43" s="15" t="str">
        <f t="shared" si="21"/>
        <v>CharacterSpine/c_ranger_renas_1</v>
      </c>
      <c r="AK43" s="15" t="str">
        <f t="shared" si="18"/>
        <v>Character/SDPrefabs/sd_head_c_ranger_renas_1</v>
      </c>
      <c r="AL43" s="15"/>
      <c r="AM43" s="15" t="str">
        <f t="shared" si="9"/>
        <v>character_renas_01</v>
      </c>
      <c r="AN43" s="15" t="str">
        <f t="shared" si="19"/>
        <v>Character/Timeline/01_CHA/ult_c_ranger_renas_1</v>
      </c>
      <c r="AO43" s="15" t="str">
        <f t="shared" si="20"/>
        <v>Character/Timeline/01_CHA/victory_c_ranger_renas_1</v>
      </c>
      <c r="AP43" s="15" t="str">
        <f t="shared" si="20"/>
        <v>Character/Timeline/01_CHA/victory_c_ranger_renas_1</v>
      </c>
      <c r="AQ43" s="15" t="str">
        <f t="shared" si="17"/>
        <v>renas</v>
      </c>
      <c r="AR43" s="3"/>
      <c r="AS43" s="15" t="s">
        <v>97</v>
      </c>
      <c r="AT43" s="15" t="s">
        <v>416</v>
      </c>
      <c r="AU43" s="3" t="s">
        <v>99</v>
      </c>
      <c r="AV43" s="15">
        <v>308</v>
      </c>
      <c r="AW43" s="32" t="s">
        <v>637</v>
      </c>
      <c r="AX43" s="13" t="s">
        <v>672</v>
      </c>
      <c r="AY43" s="13" t="s">
        <v>729</v>
      </c>
    </row>
    <row r="44" spans="1:51">
      <c r="A44" s="15">
        <v>1010730004</v>
      </c>
      <c r="B44" s="15" t="s">
        <v>417</v>
      </c>
      <c r="C44" s="15" t="s">
        <v>418</v>
      </c>
      <c r="D44" s="15" t="s">
        <v>656</v>
      </c>
      <c r="E44" s="15" t="str">
        <f t="shared" si="0"/>
        <v>Name.Character.leila</v>
      </c>
      <c r="F44" s="18" t="str">
        <f t="shared" si="1"/>
        <v>Desc.Character.leila</v>
      </c>
      <c r="G44" s="26" t="s">
        <v>662</v>
      </c>
      <c r="H44" s="45" t="s">
        <v>606</v>
      </c>
      <c r="I44" s="9" t="s">
        <v>364</v>
      </c>
      <c r="J44" s="15">
        <v>1040425028</v>
      </c>
      <c r="K44" s="15" t="s">
        <v>819</v>
      </c>
      <c r="L44" s="18" t="s">
        <v>107</v>
      </c>
      <c r="M44" s="16" t="s">
        <v>291</v>
      </c>
      <c r="N44" s="34" t="s">
        <v>417</v>
      </c>
      <c r="O44" s="15" t="s">
        <v>842</v>
      </c>
      <c r="P44" s="17" t="s">
        <v>726</v>
      </c>
      <c r="Q44" s="15" t="s">
        <v>419</v>
      </c>
      <c r="R44" s="15" t="s">
        <v>420</v>
      </c>
      <c r="S44" s="15" t="s">
        <v>421</v>
      </c>
      <c r="T44" s="15" t="s">
        <v>422</v>
      </c>
      <c r="U44" s="15" t="s">
        <v>423</v>
      </c>
      <c r="V44" s="15" t="s">
        <v>424</v>
      </c>
      <c r="W44" s="15" t="s">
        <v>425</v>
      </c>
      <c r="X44" s="15" t="s">
        <v>706</v>
      </c>
      <c r="Y44" s="3" t="b">
        <v>1</v>
      </c>
      <c r="Z44" s="15" t="b">
        <v>1</v>
      </c>
      <c r="AA44" s="3" t="b">
        <v>0</v>
      </c>
      <c r="AB44" s="15" t="b">
        <v>1</v>
      </c>
      <c r="AC44" s="15" t="b">
        <v>1</v>
      </c>
      <c r="AD44" s="15" t="b">
        <v>1</v>
      </c>
      <c r="AE44" s="15" t="b">
        <v>1</v>
      </c>
      <c r="AF44" s="15">
        <v>1</v>
      </c>
      <c r="AG44" s="15">
        <v>10</v>
      </c>
      <c r="AH44" s="15" t="s">
        <v>426</v>
      </c>
      <c r="AI44" s="15" t="str">
        <f t="shared" si="13"/>
        <v>Character/Prefabs/c_ranger_leila_1</v>
      </c>
      <c r="AJ44" s="15" t="str">
        <f t="shared" si="21"/>
        <v>CharacterSpine/c_ranger_leila_1</v>
      </c>
      <c r="AK44" s="15" t="str">
        <f t="shared" si="18"/>
        <v>Character/SDPrefabs/sd_head_c_ranger_leila_1</v>
      </c>
      <c r="AL44" s="15"/>
      <c r="AM44" s="15" t="str">
        <f t="shared" si="9"/>
        <v>character_leila_01</v>
      </c>
      <c r="AN44" s="15" t="str">
        <f t="shared" si="19"/>
        <v>Character/Timeline/01_CHA/ult_c_ranger_leila_1</v>
      </c>
      <c r="AO44" s="15" t="str">
        <f t="shared" si="20"/>
        <v>Character/Timeline/01_CHA/victory_c_ranger_leila_1</v>
      </c>
      <c r="AP44" s="15" t="str">
        <f t="shared" si="20"/>
        <v>Character/Timeline/01_CHA/victory_c_ranger_leila_1</v>
      </c>
      <c r="AQ44" s="15" t="str">
        <f t="shared" si="17"/>
        <v>leila</v>
      </c>
      <c r="AR44" s="3"/>
      <c r="AS44" s="15" t="s">
        <v>140</v>
      </c>
      <c r="AT44" s="15" t="s">
        <v>416</v>
      </c>
      <c r="AU44" s="3" t="s">
        <v>99</v>
      </c>
      <c r="AV44" s="15">
        <v>309</v>
      </c>
      <c r="AW44" s="32" t="s">
        <v>638</v>
      </c>
      <c r="AX44" s="13" t="s">
        <v>670</v>
      </c>
      <c r="AY44" s="13" t="s">
        <v>729</v>
      </c>
    </row>
    <row r="45" spans="1:51">
      <c r="A45" s="15">
        <v>1010730005</v>
      </c>
      <c r="B45" s="15" t="s">
        <v>427</v>
      </c>
      <c r="C45" s="15" t="s">
        <v>428</v>
      </c>
      <c r="D45" s="15" t="s">
        <v>656</v>
      </c>
      <c r="E45" s="15" t="str">
        <f t="shared" si="0"/>
        <v>Name.Character.erica</v>
      </c>
      <c r="F45" s="18" t="str">
        <f t="shared" si="1"/>
        <v>Desc.Character.erica</v>
      </c>
      <c r="G45" s="26" t="s">
        <v>662</v>
      </c>
      <c r="H45" s="47" t="s">
        <v>604</v>
      </c>
      <c r="I45" s="9" t="s">
        <v>364</v>
      </c>
      <c r="J45" s="15">
        <v>1040425029</v>
      </c>
      <c r="K45" s="15" t="s">
        <v>818</v>
      </c>
      <c r="L45" s="18" t="s">
        <v>130</v>
      </c>
      <c r="M45" s="16" t="s">
        <v>365</v>
      </c>
      <c r="N45" s="34" t="s">
        <v>427</v>
      </c>
      <c r="O45" s="15" t="s">
        <v>842</v>
      </c>
      <c r="P45" s="17" t="s">
        <v>726</v>
      </c>
      <c r="Q45" s="15" t="s">
        <v>429</v>
      </c>
      <c r="R45" s="15" t="s">
        <v>430</v>
      </c>
      <c r="S45" s="15" t="s">
        <v>431</v>
      </c>
      <c r="T45" s="15" t="s">
        <v>432</v>
      </c>
      <c r="U45" s="15" t="s">
        <v>433</v>
      </c>
      <c r="V45" s="15" t="s">
        <v>434</v>
      </c>
      <c r="W45" s="15" t="s">
        <v>435</v>
      </c>
      <c r="X45" s="15" t="s">
        <v>707</v>
      </c>
      <c r="Y45" s="3" t="b">
        <v>1</v>
      </c>
      <c r="Z45" s="15" t="b">
        <v>1</v>
      </c>
      <c r="AA45" s="3" t="b">
        <v>0</v>
      </c>
      <c r="AB45" s="15" t="b">
        <v>1</v>
      </c>
      <c r="AC45" s="15" t="b">
        <v>1</v>
      </c>
      <c r="AD45" s="15" t="b">
        <v>1</v>
      </c>
      <c r="AE45" s="15" t="b">
        <v>1</v>
      </c>
      <c r="AF45" s="15">
        <v>1</v>
      </c>
      <c r="AG45" s="15">
        <v>10</v>
      </c>
      <c r="AH45" s="15" t="s">
        <v>436</v>
      </c>
      <c r="AI45" s="15" t="str">
        <f t="shared" si="13"/>
        <v>Character/Prefabs/c_ranger_erica_1</v>
      </c>
      <c r="AJ45" s="15" t="str">
        <f t="shared" si="21"/>
        <v>CharacterSpine/c_ranger_erica_1</v>
      </c>
      <c r="AK45" s="15" t="str">
        <f t="shared" si="18"/>
        <v>Character/SDPrefabs/sd_head_c_ranger_erica_1</v>
      </c>
      <c r="AL45" s="15"/>
      <c r="AM45" s="15" t="str">
        <f t="shared" si="9"/>
        <v>character_erica_01</v>
      </c>
      <c r="AN45" s="15" t="str">
        <f t="shared" si="19"/>
        <v>Character/Timeline/01_CHA/ult_c_ranger_erica_1</v>
      </c>
      <c r="AO45" s="15" t="str">
        <f t="shared" si="20"/>
        <v>Character/Timeline/01_CHA/victory_c_ranger_erica_1</v>
      </c>
      <c r="AP45" s="15" t="str">
        <f t="shared" si="20"/>
        <v>Character/Timeline/01_CHA/victory_c_ranger_erica_1</v>
      </c>
      <c r="AQ45" s="15" t="str">
        <f t="shared" si="17"/>
        <v>erica</v>
      </c>
      <c r="AR45" s="3"/>
      <c r="AS45" s="15" t="s">
        <v>97</v>
      </c>
      <c r="AT45" s="15" t="s">
        <v>367</v>
      </c>
      <c r="AU45" s="3" t="s">
        <v>99</v>
      </c>
      <c r="AV45" s="15">
        <v>310</v>
      </c>
      <c r="AW45" s="32" t="s">
        <v>639</v>
      </c>
      <c r="AX45" s="13" t="s">
        <v>672</v>
      </c>
      <c r="AY45" s="13" t="s">
        <v>729</v>
      </c>
    </row>
    <row r="46" spans="1:51">
      <c r="A46" s="15">
        <v>1010530001</v>
      </c>
      <c r="B46" s="15" t="s">
        <v>437</v>
      </c>
      <c r="C46" s="15" t="s">
        <v>438</v>
      </c>
      <c r="D46" s="15" t="s">
        <v>656</v>
      </c>
      <c r="E46" s="15" t="str">
        <f t="shared" si="0"/>
        <v>Name.Character.eiko</v>
      </c>
      <c r="F46" s="18" t="str">
        <f t="shared" si="1"/>
        <v>Desc.Character.eiko</v>
      </c>
      <c r="G46" s="26" t="s">
        <v>662</v>
      </c>
      <c r="H46" s="47" t="s">
        <v>604</v>
      </c>
      <c r="I46" s="9" t="s">
        <v>364</v>
      </c>
      <c r="J46" s="15">
        <v>1040425030</v>
      </c>
      <c r="K46" s="15" t="s">
        <v>818</v>
      </c>
      <c r="L46" s="18" t="s">
        <v>157</v>
      </c>
      <c r="M46" s="16" t="s">
        <v>312</v>
      </c>
      <c r="N46" s="34" t="s">
        <v>437</v>
      </c>
      <c r="O46" s="15" t="s">
        <v>842</v>
      </c>
      <c r="P46" s="17" t="s">
        <v>726</v>
      </c>
      <c r="Q46" s="15" t="s">
        <v>439</v>
      </c>
      <c r="R46" s="15" t="s">
        <v>440</v>
      </c>
      <c r="S46" s="15" t="s">
        <v>441</v>
      </c>
      <c r="T46" s="15" t="s">
        <v>442</v>
      </c>
      <c r="U46" s="15" t="s">
        <v>443</v>
      </c>
      <c r="V46" s="15" t="s">
        <v>444</v>
      </c>
      <c r="W46" s="15" t="s">
        <v>445</v>
      </c>
      <c r="X46" s="15" t="s">
        <v>708</v>
      </c>
      <c r="Y46" s="3" t="b">
        <v>1</v>
      </c>
      <c r="Z46" s="15" t="b">
        <v>1</v>
      </c>
      <c r="AA46" s="3" t="b">
        <v>0</v>
      </c>
      <c r="AB46" s="15" t="b">
        <v>1</v>
      </c>
      <c r="AC46" s="15" t="b">
        <v>1</v>
      </c>
      <c r="AD46" s="15" t="b">
        <v>1</v>
      </c>
      <c r="AE46" s="15" t="b">
        <v>1</v>
      </c>
      <c r="AF46" s="15">
        <v>1</v>
      </c>
      <c r="AG46" s="15">
        <v>10</v>
      </c>
      <c r="AH46" s="15" t="s">
        <v>446</v>
      </c>
      <c r="AI46" s="15" t="str">
        <f t="shared" si="13"/>
        <v>Character/Prefabs/c_ranger_eiko_1</v>
      </c>
      <c r="AJ46" s="15" t="str">
        <f t="shared" si="21"/>
        <v>CharacterSpine/c_ranger_eiko_1</v>
      </c>
      <c r="AK46" s="15" t="str">
        <f t="shared" si="18"/>
        <v>Character/SDPrefabs/sd_head_c_ranger_eiko_1</v>
      </c>
      <c r="AL46" s="15"/>
      <c r="AM46" s="15" t="str">
        <f t="shared" si="9"/>
        <v>character_eiko_01</v>
      </c>
      <c r="AN46" s="15" t="str">
        <f t="shared" si="19"/>
        <v>Character/Timeline/01_CHA/ult_c_ranger_eiko_1</v>
      </c>
      <c r="AO46" s="15" t="str">
        <f t="shared" si="20"/>
        <v>Character/Timeline/01_CHA/victory_c_ranger_eiko_1</v>
      </c>
      <c r="AP46" s="15" t="str">
        <f t="shared" si="20"/>
        <v>Character/Timeline/01_CHA/victory_c_ranger_eiko_1</v>
      </c>
      <c r="AQ46" s="15" t="str">
        <f t="shared" si="17"/>
        <v>eiko</v>
      </c>
      <c r="AR46" s="3"/>
      <c r="AS46" s="15" t="s">
        <v>97</v>
      </c>
      <c r="AT46" s="15" t="s">
        <v>367</v>
      </c>
      <c r="AU46" s="3" t="s">
        <v>99</v>
      </c>
      <c r="AV46" s="15">
        <v>311</v>
      </c>
      <c r="AW46" s="32" t="s">
        <v>640</v>
      </c>
      <c r="AX46" s="13" t="s">
        <v>672</v>
      </c>
      <c r="AY46" s="13" t="s">
        <v>729</v>
      </c>
    </row>
    <row r="47" spans="1:51">
      <c r="A47" s="15">
        <v>1010530002</v>
      </c>
      <c r="B47" s="15" t="s">
        <v>447</v>
      </c>
      <c r="C47" s="15" t="s">
        <v>448</v>
      </c>
      <c r="D47" s="15" t="s">
        <v>656</v>
      </c>
      <c r="E47" s="15" t="str">
        <f t="shared" si="0"/>
        <v>Name.Character.crimson</v>
      </c>
      <c r="F47" s="18" t="str">
        <f t="shared" si="1"/>
        <v>Desc.Character.crimson</v>
      </c>
      <c r="G47" s="26" t="s">
        <v>662</v>
      </c>
      <c r="H47" s="48" t="s">
        <v>605</v>
      </c>
      <c r="I47" s="9" t="s">
        <v>364</v>
      </c>
      <c r="J47" s="15">
        <v>1040425031</v>
      </c>
      <c r="K47" s="15" t="s">
        <v>822</v>
      </c>
      <c r="L47" s="18" t="s">
        <v>130</v>
      </c>
      <c r="M47" s="16" t="s">
        <v>234</v>
      </c>
      <c r="N47" s="34" t="s">
        <v>447</v>
      </c>
      <c r="O47" s="15" t="s">
        <v>842</v>
      </c>
      <c r="P47" s="17" t="s">
        <v>726</v>
      </c>
      <c r="Q47" s="15" t="s">
        <v>449</v>
      </c>
      <c r="R47" s="15" t="s">
        <v>450</v>
      </c>
      <c r="S47" s="15" t="s">
        <v>451</v>
      </c>
      <c r="T47" s="15" t="s">
        <v>452</v>
      </c>
      <c r="U47" s="15" t="s">
        <v>453</v>
      </c>
      <c r="V47" s="15" t="s">
        <v>454</v>
      </c>
      <c r="W47" s="15" t="s">
        <v>455</v>
      </c>
      <c r="X47" s="15" t="s">
        <v>709</v>
      </c>
      <c r="Y47" s="3" t="b">
        <v>1</v>
      </c>
      <c r="Z47" s="15" t="b">
        <v>1</v>
      </c>
      <c r="AA47" s="3" t="b">
        <v>0</v>
      </c>
      <c r="AB47" s="15" t="b">
        <v>1</v>
      </c>
      <c r="AC47" s="15" t="b">
        <v>1</v>
      </c>
      <c r="AD47" s="15" t="b">
        <v>1</v>
      </c>
      <c r="AE47" s="15" t="b">
        <v>1</v>
      </c>
      <c r="AF47" s="15">
        <v>1</v>
      </c>
      <c r="AG47" s="15">
        <v>10</v>
      </c>
      <c r="AH47" s="15" t="s">
        <v>456</v>
      </c>
      <c r="AI47" s="15" t="str">
        <f t="shared" si="13"/>
        <v>Character/Prefabs/c_ranger_crimson_1</v>
      </c>
      <c r="AJ47" s="15" t="str">
        <f t="shared" si="21"/>
        <v>CharacterSpine/c_ranger_crimson_1</v>
      </c>
      <c r="AK47" s="15" t="str">
        <f t="shared" si="18"/>
        <v>Character/SDPrefabs/sd_head_c_ranger_crimson_1</v>
      </c>
      <c r="AL47" s="15"/>
      <c r="AM47" s="15" t="str">
        <f t="shared" si="9"/>
        <v>character_crimson_01</v>
      </c>
      <c r="AN47" s="15" t="str">
        <f t="shared" si="19"/>
        <v>Character/Timeline/01_CHA/ult_c_ranger_crimson_1</v>
      </c>
      <c r="AO47" s="15" t="str">
        <f t="shared" si="20"/>
        <v>Character/Timeline/01_CHA/victory_c_ranger_crimson_1</v>
      </c>
      <c r="AP47" s="15" t="str">
        <f t="shared" si="20"/>
        <v>Character/Timeline/01_CHA/victory_c_ranger_crimson_1</v>
      </c>
      <c r="AQ47" s="15" t="str">
        <f t="shared" si="17"/>
        <v>crimson</v>
      </c>
      <c r="AR47" s="3"/>
      <c r="AS47" s="15" t="s">
        <v>97</v>
      </c>
      <c r="AT47" s="15" t="s">
        <v>416</v>
      </c>
      <c r="AU47" s="3" t="s">
        <v>99</v>
      </c>
      <c r="AV47" s="15">
        <v>312</v>
      </c>
      <c r="AW47" s="32" t="s">
        <v>641</v>
      </c>
      <c r="AX47" s="13" t="s">
        <v>672</v>
      </c>
      <c r="AY47" s="13" t="s">
        <v>729</v>
      </c>
    </row>
    <row r="48" spans="1:51">
      <c r="A48" s="15">
        <v>1010530003</v>
      </c>
      <c r="B48" s="15" t="s">
        <v>457</v>
      </c>
      <c r="C48" s="15" t="s">
        <v>458</v>
      </c>
      <c r="D48" s="15" t="s">
        <v>656</v>
      </c>
      <c r="E48" s="15" t="str">
        <f t="shared" si="0"/>
        <v>Name.Character.ferrel</v>
      </c>
      <c r="F48" s="18" t="str">
        <f t="shared" si="1"/>
        <v>Desc.Character.ferrel</v>
      </c>
      <c r="G48" s="26" t="s">
        <v>662</v>
      </c>
      <c r="H48" s="45" t="s">
        <v>606</v>
      </c>
      <c r="I48" s="9" t="s">
        <v>364</v>
      </c>
      <c r="J48" s="15">
        <v>1040425032</v>
      </c>
      <c r="K48" s="15" t="s">
        <v>819</v>
      </c>
      <c r="L48" s="18" t="s">
        <v>130</v>
      </c>
      <c r="M48" s="16" t="s">
        <v>131</v>
      </c>
      <c r="N48" s="34" t="s">
        <v>457</v>
      </c>
      <c r="O48" s="15" t="s">
        <v>842</v>
      </c>
      <c r="P48" s="17" t="s">
        <v>726</v>
      </c>
      <c r="Q48" s="15" t="s">
        <v>459</v>
      </c>
      <c r="R48" s="15" t="s">
        <v>460</v>
      </c>
      <c r="S48" s="15" t="s">
        <v>461</v>
      </c>
      <c r="T48" s="15" t="s">
        <v>462</v>
      </c>
      <c r="U48" s="15" t="s">
        <v>463</v>
      </c>
      <c r="V48" s="15" t="s">
        <v>464</v>
      </c>
      <c r="W48" s="15" t="s">
        <v>465</v>
      </c>
      <c r="X48" s="15" t="s">
        <v>710</v>
      </c>
      <c r="Y48" s="3" t="b">
        <v>1</v>
      </c>
      <c r="Z48" s="15" t="b">
        <v>1</v>
      </c>
      <c r="AA48" s="3" t="b">
        <v>0</v>
      </c>
      <c r="AB48" s="15" t="b">
        <v>1</v>
      </c>
      <c r="AC48" s="15" t="b">
        <v>1</v>
      </c>
      <c r="AD48" s="15" t="b">
        <v>1</v>
      </c>
      <c r="AE48" s="15" t="b">
        <v>1</v>
      </c>
      <c r="AF48" s="15">
        <v>1</v>
      </c>
      <c r="AG48" s="15">
        <v>10</v>
      </c>
      <c r="AH48" s="15" t="s">
        <v>466</v>
      </c>
      <c r="AI48" s="15" t="str">
        <f t="shared" si="13"/>
        <v>Character/Prefabs/c_ranger_ferrel_1</v>
      </c>
      <c r="AJ48" s="15" t="str">
        <f t="shared" si="21"/>
        <v>CharacterSpine/c_ranger_ferrel_1</v>
      </c>
      <c r="AK48" s="15" t="str">
        <f t="shared" si="18"/>
        <v>Character/SDPrefabs/sd_head_c_ranger_ferrel_1</v>
      </c>
      <c r="AL48" s="15"/>
      <c r="AM48" s="15" t="str">
        <f t="shared" si="9"/>
        <v>character_ferrel_01</v>
      </c>
      <c r="AN48" s="15" t="str">
        <f t="shared" si="19"/>
        <v>Character/Timeline/01_CHA/ult_c_ranger_ferrel_1</v>
      </c>
      <c r="AO48" s="15" t="str">
        <f t="shared" si="20"/>
        <v>Character/Timeline/01_CHA/victory_c_ranger_ferrel_1</v>
      </c>
      <c r="AP48" s="15" t="str">
        <f t="shared" si="20"/>
        <v>Character/Timeline/01_CHA/victory_c_ranger_ferrel_1</v>
      </c>
      <c r="AQ48" s="15" t="str">
        <f t="shared" si="17"/>
        <v>ferrel</v>
      </c>
      <c r="AR48" s="3"/>
      <c r="AS48" s="15" t="s">
        <v>97</v>
      </c>
      <c r="AT48" s="15" t="s">
        <v>416</v>
      </c>
      <c r="AU48" s="3" t="s">
        <v>99</v>
      </c>
      <c r="AV48" s="15">
        <v>313</v>
      </c>
      <c r="AW48" s="32" t="s">
        <v>642</v>
      </c>
      <c r="AX48" s="13" t="s">
        <v>674</v>
      </c>
      <c r="AY48" s="13" t="s">
        <v>729</v>
      </c>
    </row>
    <row r="49" spans="1:51">
      <c r="A49" s="15">
        <v>1010530004</v>
      </c>
      <c r="B49" s="15" t="s">
        <v>467</v>
      </c>
      <c r="C49" s="15" t="s">
        <v>468</v>
      </c>
      <c r="D49" s="15" t="s">
        <v>656</v>
      </c>
      <c r="E49" s="15" t="str">
        <f t="shared" si="0"/>
        <v>Name.Character.ino</v>
      </c>
      <c r="F49" s="18" t="str">
        <f t="shared" si="1"/>
        <v>Desc.Character.ino</v>
      </c>
      <c r="G49" s="26" t="s">
        <v>662</v>
      </c>
      <c r="H49" s="48" t="s">
        <v>605</v>
      </c>
      <c r="I49" s="9" t="s">
        <v>364</v>
      </c>
      <c r="J49" s="15">
        <v>1040425033</v>
      </c>
      <c r="K49" s="15" t="s">
        <v>822</v>
      </c>
      <c r="L49" s="18" t="s">
        <v>157</v>
      </c>
      <c r="M49" s="16" t="s">
        <v>371</v>
      </c>
      <c r="N49" s="34" t="s">
        <v>467</v>
      </c>
      <c r="O49" s="15" t="s">
        <v>842</v>
      </c>
      <c r="P49" s="17" t="s">
        <v>726</v>
      </c>
      <c r="Q49" s="15" t="s">
        <v>469</v>
      </c>
      <c r="R49" s="15" t="s">
        <v>470</v>
      </c>
      <c r="S49" s="15" t="s">
        <v>471</v>
      </c>
      <c r="T49" s="15" t="s">
        <v>472</v>
      </c>
      <c r="U49" s="15" t="s">
        <v>473</v>
      </c>
      <c r="V49" s="15" t="s">
        <v>474</v>
      </c>
      <c r="W49" s="15" t="s">
        <v>475</v>
      </c>
      <c r="X49" s="15" t="s">
        <v>711</v>
      </c>
      <c r="Y49" s="3" t="b">
        <v>1</v>
      </c>
      <c r="Z49" s="15" t="b">
        <v>1</v>
      </c>
      <c r="AA49" s="3" t="b">
        <v>0</v>
      </c>
      <c r="AB49" s="15" t="b">
        <v>1</v>
      </c>
      <c r="AC49" s="15" t="b">
        <v>1</v>
      </c>
      <c r="AD49" s="15" t="b">
        <v>1</v>
      </c>
      <c r="AE49" s="15" t="b">
        <v>1</v>
      </c>
      <c r="AF49" s="15">
        <v>1</v>
      </c>
      <c r="AG49" s="15">
        <v>10</v>
      </c>
      <c r="AH49" s="15" t="s">
        <v>476</v>
      </c>
      <c r="AI49" s="15" t="str">
        <f t="shared" si="13"/>
        <v>Character/Prefabs/c_ranger_ino_1</v>
      </c>
      <c r="AJ49" s="15" t="str">
        <f t="shared" si="21"/>
        <v>CharacterSpine/c_ranger_ino_1</v>
      </c>
      <c r="AK49" s="15" t="str">
        <f t="shared" si="18"/>
        <v>Character/SDPrefabs/sd_head_c_ranger_ino_1</v>
      </c>
      <c r="AL49" s="15"/>
      <c r="AM49" s="15" t="str">
        <f t="shared" si="9"/>
        <v>character_ino_01</v>
      </c>
      <c r="AN49" s="15" t="str">
        <f t="shared" si="19"/>
        <v>Character/Timeline/01_CHA/ult_c_ranger_ino_1</v>
      </c>
      <c r="AO49" s="15" t="str">
        <f t="shared" si="20"/>
        <v>Character/Timeline/01_CHA/victory_c_ranger_ino_1</v>
      </c>
      <c r="AP49" s="15" t="str">
        <f t="shared" si="20"/>
        <v>Character/Timeline/01_CHA/victory_c_ranger_ino_1</v>
      </c>
      <c r="AQ49" s="15" t="str">
        <f t="shared" si="17"/>
        <v>ino</v>
      </c>
      <c r="AR49" s="3"/>
      <c r="AS49" s="15" t="s">
        <v>97</v>
      </c>
      <c r="AT49" s="15" t="s">
        <v>416</v>
      </c>
      <c r="AU49" s="3" t="s">
        <v>99</v>
      </c>
      <c r="AV49" s="15">
        <v>314</v>
      </c>
      <c r="AW49" s="32" t="s">
        <v>643</v>
      </c>
      <c r="AX49" s="13" t="s">
        <v>667</v>
      </c>
      <c r="AY49" s="13" t="s">
        <v>729</v>
      </c>
    </row>
    <row r="50" spans="1:51">
      <c r="A50" s="15">
        <v>1010330001</v>
      </c>
      <c r="B50" s="15" t="s">
        <v>477</v>
      </c>
      <c r="C50" s="15" t="s">
        <v>478</v>
      </c>
      <c r="D50" s="15" t="s">
        <v>656</v>
      </c>
      <c r="E50" s="15" t="str">
        <f t="shared" si="0"/>
        <v>Name.Character.mana</v>
      </c>
      <c r="F50" s="18" t="str">
        <f t="shared" si="1"/>
        <v>Desc.Character.mana</v>
      </c>
      <c r="G50" s="27" t="s">
        <v>83</v>
      </c>
      <c r="H50" s="45" t="s">
        <v>606</v>
      </c>
      <c r="I50" s="9" t="s">
        <v>364</v>
      </c>
      <c r="J50" s="15"/>
      <c r="K50" s="15"/>
      <c r="L50" s="18" t="s">
        <v>157</v>
      </c>
      <c r="M50" s="16" t="s">
        <v>312</v>
      </c>
      <c r="N50" s="34" t="s">
        <v>477</v>
      </c>
      <c r="O50" s="15" t="s">
        <v>842</v>
      </c>
      <c r="P50" s="17" t="s">
        <v>599</v>
      </c>
      <c r="Q50" s="15" t="s">
        <v>479</v>
      </c>
      <c r="R50" s="15" t="s">
        <v>480</v>
      </c>
      <c r="S50" s="15" t="s">
        <v>481</v>
      </c>
      <c r="T50" s="15" t="s">
        <v>482</v>
      </c>
      <c r="U50" s="15" t="s">
        <v>483</v>
      </c>
      <c r="V50" s="15" t="s">
        <v>484</v>
      </c>
      <c r="W50" s="15" t="s">
        <v>485</v>
      </c>
      <c r="X50" s="15"/>
      <c r="Y50" s="3" t="b">
        <v>1</v>
      </c>
      <c r="Z50" s="15" t="b">
        <v>1</v>
      </c>
      <c r="AA50" s="3" t="b">
        <v>0</v>
      </c>
      <c r="AB50" s="15" t="b">
        <v>1</v>
      </c>
      <c r="AC50" s="15" t="b">
        <v>1</v>
      </c>
      <c r="AD50" s="15" t="b">
        <v>1</v>
      </c>
      <c r="AE50" s="15" t="b">
        <v>1</v>
      </c>
      <c r="AF50" s="15">
        <v>1</v>
      </c>
      <c r="AG50" s="15">
        <v>10</v>
      </c>
      <c r="AH50" s="15" t="s">
        <v>486</v>
      </c>
      <c r="AI50" s="15" t="str">
        <f t="shared" si="13"/>
        <v>Character/Prefabs/c_ranger_mana_1</v>
      </c>
      <c r="AJ50" s="15" t="str">
        <f t="shared" si="21"/>
        <v>CharacterSpine/c_ranger_mana_1</v>
      </c>
      <c r="AK50" s="15" t="str">
        <f t="shared" si="18"/>
        <v>Character/SDPrefabs/sd_head_c_ranger_mana_1</v>
      </c>
      <c r="AL50" s="15"/>
      <c r="AM50" s="15" t="str">
        <f t="shared" si="9"/>
        <v>character_mana_01</v>
      </c>
      <c r="AN50" s="15" t="str">
        <f t="shared" si="19"/>
        <v>Character/Timeline/01_CHA/ult_c_ranger_mana_1</v>
      </c>
      <c r="AO50" s="15" t="str">
        <f t="shared" si="20"/>
        <v>Character/Timeline/01_CHA/victory_c_ranger_mana_1</v>
      </c>
      <c r="AP50" s="15" t="str">
        <f t="shared" si="20"/>
        <v>Character/Timeline/01_CHA/victory_c_ranger_mana_1</v>
      </c>
      <c r="AQ50" s="15" t="str">
        <f t="shared" si="17"/>
        <v>mana</v>
      </c>
      <c r="AR50" s="3"/>
      <c r="AS50" s="15" t="s">
        <v>97</v>
      </c>
      <c r="AT50" s="15" t="s">
        <v>141</v>
      </c>
      <c r="AU50" s="3" t="s">
        <v>99</v>
      </c>
      <c r="AV50" s="15">
        <v>315</v>
      </c>
      <c r="AW50" s="32" t="s">
        <v>644</v>
      </c>
      <c r="AX50" s="13" t="s">
        <v>667</v>
      </c>
    </row>
    <row r="51" spans="1:51">
      <c r="A51" s="15">
        <v>1010330002</v>
      </c>
      <c r="B51" s="15" t="s">
        <v>487</v>
      </c>
      <c r="C51" s="15" t="s">
        <v>488</v>
      </c>
      <c r="D51" s="15" t="s">
        <v>656</v>
      </c>
      <c r="E51" s="15" t="str">
        <f t="shared" si="0"/>
        <v>Name.Character.aurora</v>
      </c>
      <c r="F51" s="18" t="str">
        <f t="shared" si="1"/>
        <v>Desc.Character.aurora</v>
      </c>
      <c r="G51" s="27" t="s">
        <v>83</v>
      </c>
      <c r="H51" s="47" t="s">
        <v>604</v>
      </c>
      <c r="I51" s="9" t="s">
        <v>364</v>
      </c>
      <c r="J51" s="15"/>
      <c r="K51" s="15"/>
      <c r="L51" s="18" t="s">
        <v>157</v>
      </c>
      <c r="M51" s="16" t="s">
        <v>312</v>
      </c>
      <c r="N51" s="34" t="s">
        <v>487</v>
      </c>
      <c r="O51" s="15" t="s">
        <v>842</v>
      </c>
      <c r="P51" s="17" t="s">
        <v>599</v>
      </c>
      <c r="Q51" s="15" t="s">
        <v>489</v>
      </c>
      <c r="R51" s="15" t="s">
        <v>490</v>
      </c>
      <c r="S51" s="15" t="s">
        <v>491</v>
      </c>
      <c r="T51" s="15" t="s">
        <v>492</v>
      </c>
      <c r="U51" s="15" t="s">
        <v>493</v>
      </c>
      <c r="V51" s="15" t="s">
        <v>494</v>
      </c>
      <c r="W51" s="15" t="s">
        <v>495</v>
      </c>
      <c r="X51" s="15"/>
      <c r="Y51" s="3" t="b">
        <v>1</v>
      </c>
      <c r="Z51" s="15" t="b">
        <v>1</v>
      </c>
      <c r="AA51" s="3" t="b">
        <v>0</v>
      </c>
      <c r="AB51" s="15" t="b">
        <v>1</v>
      </c>
      <c r="AC51" s="15" t="b">
        <v>1</v>
      </c>
      <c r="AD51" s="15" t="b">
        <v>1</v>
      </c>
      <c r="AE51" s="15" t="b">
        <v>1</v>
      </c>
      <c r="AF51" s="15">
        <v>1</v>
      </c>
      <c r="AG51" s="15">
        <v>10</v>
      </c>
      <c r="AH51" s="15" t="s">
        <v>496</v>
      </c>
      <c r="AI51" s="15" t="str">
        <f t="shared" si="13"/>
        <v>Character/Prefabs/c_ranger_aurora_1</v>
      </c>
      <c r="AJ51" s="15" t="str">
        <f t="shared" si="21"/>
        <v>CharacterSpine/c_ranger_aurora_1</v>
      </c>
      <c r="AK51" s="15" t="str">
        <f t="shared" si="18"/>
        <v>Character/SDPrefabs/sd_head_c_ranger_aurora_1</v>
      </c>
      <c r="AL51" s="15"/>
      <c r="AM51" s="15" t="str">
        <f t="shared" si="9"/>
        <v>character_aurora_01</v>
      </c>
      <c r="AN51" s="15" t="str">
        <f t="shared" si="19"/>
        <v>Character/Timeline/01_CHA/ult_c_ranger_aurora_1</v>
      </c>
      <c r="AO51" s="15" t="str">
        <f t="shared" si="20"/>
        <v>Character/Timeline/01_CHA/victory_c_ranger_aurora_1</v>
      </c>
      <c r="AP51" s="15" t="str">
        <f t="shared" si="20"/>
        <v>Character/Timeline/01_CHA/victory_c_ranger_aurora_1</v>
      </c>
      <c r="AQ51" s="15" t="str">
        <f t="shared" si="17"/>
        <v>aurora</v>
      </c>
      <c r="AR51" s="3"/>
      <c r="AS51" s="15" t="s">
        <v>97</v>
      </c>
      <c r="AT51" s="15" t="s">
        <v>416</v>
      </c>
      <c r="AU51" s="3" t="s">
        <v>99</v>
      </c>
      <c r="AV51" s="15">
        <v>316</v>
      </c>
      <c r="AW51" s="32" t="s">
        <v>645</v>
      </c>
      <c r="AX51" s="13" t="s">
        <v>667</v>
      </c>
    </row>
    <row r="52" spans="1:51">
      <c r="A52" s="15">
        <v>1010230001</v>
      </c>
      <c r="B52" s="15" t="s">
        <v>579</v>
      </c>
      <c r="C52" s="15" t="s">
        <v>580</v>
      </c>
      <c r="D52" s="15" t="s">
        <v>656</v>
      </c>
      <c r="E52" s="15" t="str">
        <f t="shared" si="0"/>
        <v>Name.Character.iolet</v>
      </c>
      <c r="F52" s="18" t="str">
        <f t="shared" si="1"/>
        <v>Desc.Character.iolet</v>
      </c>
      <c r="G52" s="10" t="s">
        <v>663</v>
      </c>
      <c r="H52" s="48" t="s">
        <v>605</v>
      </c>
      <c r="I52" s="9" t="s">
        <v>364</v>
      </c>
      <c r="J52" s="15">
        <v>1040103101</v>
      </c>
      <c r="K52" s="15" t="s">
        <v>821</v>
      </c>
      <c r="L52" s="18" t="s">
        <v>130</v>
      </c>
      <c r="M52" s="16" t="s">
        <v>209</v>
      </c>
      <c r="N52" s="35" t="s">
        <v>584</v>
      </c>
      <c r="O52" s="15" t="s">
        <v>842</v>
      </c>
      <c r="P52" s="17"/>
      <c r="Q52" s="15" t="str">
        <f>$B52&amp;".attack"&amp;RIGHT(Q40,1)</f>
        <v>iolet.attack1</v>
      </c>
      <c r="R52" s="15"/>
      <c r="S52" s="15"/>
      <c r="T52" s="15" t="str">
        <f>$B52&amp;".active"&amp;RIGHT(T40,1)</f>
        <v>iolet.active1</v>
      </c>
      <c r="U52" s="15"/>
      <c r="V52" s="15"/>
      <c r="W52" s="15"/>
      <c r="X52" s="15"/>
      <c r="Y52" s="3" t="b">
        <v>1</v>
      </c>
      <c r="Z52" s="15" t="b">
        <v>1</v>
      </c>
      <c r="AA52" s="3" t="b">
        <v>0</v>
      </c>
      <c r="AB52" s="15" t="b">
        <v>0</v>
      </c>
      <c r="AC52" s="15" t="b">
        <v>0</v>
      </c>
      <c r="AD52" s="15" t="b">
        <v>0</v>
      </c>
      <c r="AE52" s="15" t="b">
        <v>0</v>
      </c>
      <c r="AF52" s="15">
        <v>1</v>
      </c>
      <c r="AG52" s="15">
        <v>10</v>
      </c>
      <c r="AH52" s="15" t="str">
        <f>"c_"&amp;LOWER(I52)&amp;"_"&amp;$B52&amp;"_1"</f>
        <v>c_ranger_iolet_1</v>
      </c>
      <c r="AI52" s="15" t="str">
        <f t="shared" si="13"/>
        <v>Character/Prefabs/c_ranger_iolet_1</v>
      </c>
      <c r="AJ52" s="15" t="str">
        <f t="shared" si="21"/>
        <v>CharacterSpine/c_ranger_iolet_1</v>
      </c>
      <c r="AK52" s="15"/>
      <c r="AL52" s="15"/>
      <c r="AM52" s="15" t="str">
        <f t="shared" si="9"/>
        <v>character_iolet_01</v>
      </c>
      <c r="AN52" s="15"/>
      <c r="AO52" s="15"/>
      <c r="AP52" s="15"/>
      <c r="AQ52" s="15" t="str">
        <f t="shared" si="17"/>
        <v>iolet</v>
      </c>
      <c r="AR52" s="3"/>
      <c r="AS52" s="15" t="s">
        <v>97</v>
      </c>
      <c r="AT52" s="15" t="s">
        <v>141</v>
      </c>
      <c r="AU52" s="3" t="s">
        <v>99</v>
      </c>
      <c r="AV52" s="15">
        <v>315</v>
      </c>
      <c r="AW52" s="32"/>
      <c r="AX52" s="13" t="s">
        <v>667</v>
      </c>
    </row>
    <row r="53" spans="1:51">
      <c r="A53" s="15">
        <v>1010940001</v>
      </c>
      <c r="B53" s="15" t="s">
        <v>497</v>
      </c>
      <c r="C53" s="15" t="s">
        <v>498</v>
      </c>
      <c r="D53" s="15" t="s">
        <v>656</v>
      </c>
      <c r="E53" s="15" t="str">
        <f t="shared" si="0"/>
        <v>Name.Character.yurizia</v>
      </c>
      <c r="F53" s="18" t="str">
        <f t="shared" si="1"/>
        <v>Desc.Character.yurizia</v>
      </c>
      <c r="G53" s="26" t="s">
        <v>662</v>
      </c>
      <c r="H53" s="48" t="s">
        <v>605</v>
      </c>
      <c r="I53" s="10" t="s">
        <v>499</v>
      </c>
      <c r="J53" s="15">
        <v>1040425034</v>
      </c>
      <c r="K53" s="15" t="s">
        <v>822</v>
      </c>
      <c r="L53" s="18" t="s">
        <v>107</v>
      </c>
      <c r="M53" s="16" t="s">
        <v>291</v>
      </c>
      <c r="N53" s="34" t="s">
        <v>497</v>
      </c>
      <c r="O53" s="15" t="s">
        <v>842</v>
      </c>
      <c r="P53" s="17" t="s">
        <v>727</v>
      </c>
      <c r="Q53" s="15" t="s">
        <v>500</v>
      </c>
      <c r="R53" s="15" t="s">
        <v>501</v>
      </c>
      <c r="S53" s="15" t="s">
        <v>502</v>
      </c>
      <c r="T53" s="15" t="s">
        <v>503</v>
      </c>
      <c r="U53" s="15" t="s">
        <v>504</v>
      </c>
      <c r="V53" s="15" t="s">
        <v>505</v>
      </c>
      <c r="W53" s="15" t="s">
        <v>506</v>
      </c>
      <c r="X53" s="15" t="s">
        <v>712</v>
      </c>
      <c r="Y53" s="50" t="b">
        <v>1</v>
      </c>
      <c r="Z53" s="50" t="b">
        <v>1</v>
      </c>
      <c r="AA53" s="50" t="b">
        <v>0</v>
      </c>
      <c r="AB53" s="50" t="b">
        <v>1</v>
      </c>
      <c r="AC53" s="50" t="b">
        <v>1</v>
      </c>
      <c r="AD53" s="50" t="b">
        <v>1</v>
      </c>
      <c r="AE53" s="50" t="b">
        <v>1</v>
      </c>
      <c r="AF53" s="15">
        <v>1</v>
      </c>
      <c r="AG53" s="15">
        <v>10</v>
      </c>
      <c r="AH53" s="15" t="s">
        <v>507</v>
      </c>
      <c r="AI53" s="15" t="str">
        <f t="shared" si="13"/>
        <v>Character/Prefabs/c_supporter_yurizia_1</v>
      </c>
      <c r="AJ53" s="15" t="str">
        <f t="shared" si="21"/>
        <v>CharacterSpine/c_supporter_yurizia_1</v>
      </c>
      <c r="AK53" s="15" t="str">
        <f t="shared" ref="AK53:AK59" si="22">"Character/SDPrefabs/sd_head_"&amp;$AH53</f>
        <v>Character/SDPrefabs/sd_head_c_supporter_yurizia_1</v>
      </c>
      <c r="AL53" s="15"/>
      <c r="AM53" s="15" t="str">
        <f t="shared" si="9"/>
        <v>character_yurizia_01</v>
      </c>
      <c r="AN53" s="15" t="str">
        <f t="shared" ref="AN53:AN59" si="23">"Character/Timeline/01_CHA/ult_"&amp;$AH53</f>
        <v>Character/Timeline/01_CHA/ult_c_supporter_yurizia_1</v>
      </c>
      <c r="AO53" s="15" t="str">
        <f t="shared" ref="AO53:AP59" si="24">"Character/Timeline/01_CHA/victory_"&amp;$AH53</f>
        <v>Character/Timeline/01_CHA/victory_c_supporter_yurizia_1</v>
      </c>
      <c r="AP53" s="15" t="str">
        <f t="shared" si="24"/>
        <v>Character/Timeline/01_CHA/victory_c_supporter_yurizia_1</v>
      </c>
      <c r="AQ53" s="15" t="str">
        <f t="shared" si="17"/>
        <v>yurizia</v>
      </c>
      <c r="AR53" s="3"/>
      <c r="AS53" s="15" t="s">
        <v>140</v>
      </c>
      <c r="AT53" s="15" t="s">
        <v>141</v>
      </c>
      <c r="AU53" s="3" t="s">
        <v>99</v>
      </c>
      <c r="AV53" s="15">
        <v>401</v>
      </c>
      <c r="AW53" s="32" t="s">
        <v>646</v>
      </c>
      <c r="AX53" s="13" t="s">
        <v>674</v>
      </c>
      <c r="AY53" s="13" t="s">
        <v>729</v>
      </c>
    </row>
    <row r="54" spans="1:51">
      <c r="A54" s="15">
        <v>1010940002</v>
      </c>
      <c r="B54" s="15" t="s">
        <v>508</v>
      </c>
      <c r="C54" s="15" t="s">
        <v>509</v>
      </c>
      <c r="D54" s="15" t="s">
        <v>656</v>
      </c>
      <c r="E54" s="15" t="str">
        <f t="shared" si="0"/>
        <v>Name.Character.shale</v>
      </c>
      <c r="F54" s="18" t="str">
        <f t="shared" si="1"/>
        <v>Desc.Character.shale</v>
      </c>
      <c r="G54" s="26" t="s">
        <v>662</v>
      </c>
      <c r="H54" s="47" t="s">
        <v>606</v>
      </c>
      <c r="I54" s="10" t="s">
        <v>499</v>
      </c>
      <c r="J54" s="15">
        <v>1040425035</v>
      </c>
      <c r="K54" s="15" t="s">
        <v>819</v>
      </c>
      <c r="L54" s="18" t="s">
        <v>107</v>
      </c>
      <c r="M54" s="16" t="s">
        <v>259</v>
      </c>
      <c r="N54" s="34" t="s">
        <v>508</v>
      </c>
      <c r="O54" s="15" t="s">
        <v>842</v>
      </c>
      <c r="P54" s="17" t="s">
        <v>727</v>
      </c>
      <c r="Q54" s="15" t="s">
        <v>510</v>
      </c>
      <c r="R54" s="15" t="s">
        <v>511</v>
      </c>
      <c r="S54" s="15" t="s">
        <v>512</v>
      </c>
      <c r="T54" s="15" t="s">
        <v>513</v>
      </c>
      <c r="U54" s="15" t="s">
        <v>514</v>
      </c>
      <c r="V54" s="15" t="s">
        <v>515</v>
      </c>
      <c r="W54" s="15" t="s">
        <v>516</v>
      </c>
      <c r="X54" s="15" t="s">
        <v>713</v>
      </c>
      <c r="Y54" s="3" t="b">
        <v>1</v>
      </c>
      <c r="Z54" s="15" t="b">
        <v>1</v>
      </c>
      <c r="AA54" s="3" t="b">
        <v>0</v>
      </c>
      <c r="AB54" s="15" t="b">
        <v>1</v>
      </c>
      <c r="AC54" s="15" t="b">
        <v>1</v>
      </c>
      <c r="AD54" s="15" t="b">
        <v>1</v>
      </c>
      <c r="AE54" s="15" t="b">
        <v>1</v>
      </c>
      <c r="AF54" s="15">
        <v>1</v>
      </c>
      <c r="AG54" s="15">
        <v>10</v>
      </c>
      <c r="AH54" s="15" t="s">
        <v>517</v>
      </c>
      <c r="AI54" s="15" t="str">
        <f t="shared" si="13"/>
        <v>Character/Prefabs/c_supporter_shale_1</v>
      </c>
      <c r="AJ54" s="15" t="str">
        <f t="shared" si="21"/>
        <v>CharacterSpine/c_supporter_shale_1</v>
      </c>
      <c r="AK54" s="15" t="str">
        <f t="shared" si="22"/>
        <v>Character/SDPrefabs/sd_head_c_supporter_shale_1</v>
      </c>
      <c r="AL54" s="15"/>
      <c r="AM54" s="15" t="str">
        <f t="shared" si="9"/>
        <v>character_shale_01</v>
      </c>
      <c r="AN54" s="15" t="str">
        <f t="shared" si="23"/>
        <v>Character/Timeline/01_CHA/ult_c_supporter_shale_1</v>
      </c>
      <c r="AO54" s="15" t="str">
        <f t="shared" si="24"/>
        <v>Character/Timeline/01_CHA/victory_c_supporter_shale_1</v>
      </c>
      <c r="AP54" s="15" t="str">
        <f t="shared" si="24"/>
        <v>Character/Timeline/01_CHA/victory_c_supporter_shale_1</v>
      </c>
      <c r="AQ54" s="15" t="str">
        <f t="shared" si="17"/>
        <v>shale</v>
      </c>
      <c r="AR54" s="3"/>
      <c r="AS54" s="15" t="s">
        <v>518</v>
      </c>
      <c r="AT54" s="15" t="s">
        <v>141</v>
      </c>
      <c r="AU54" s="3" t="s">
        <v>99</v>
      </c>
      <c r="AV54" s="15">
        <v>402</v>
      </c>
      <c r="AW54" s="32" t="s">
        <v>647</v>
      </c>
      <c r="AX54" s="13" t="s">
        <v>670</v>
      </c>
      <c r="AY54" s="13" t="s">
        <v>729</v>
      </c>
    </row>
    <row r="55" spans="1:51">
      <c r="A55" s="15">
        <v>1010940003</v>
      </c>
      <c r="B55" s="15" t="s">
        <v>519</v>
      </c>
      <c r="C55" s="15" t="s">
        <v>520</v>
      </c>
      <c r="D55" s="15" t="s">
        <v>656</v>
      </c>
      <c r="E55" s="15" t="str">
        <f t="shared" si="0"/>
        <v>Name.Character.rayhou</v>
      </c>
      <c r="F55" s="18" t="str">
        <f t="shared" si="1"/>
        <v>Desc.Character.rayhou</v>
      </c>
      <c r="G55" s="26" t="s">
        <v>662</v>
      </c>
      <c r="H55" s="42" t="s">
        <v>678</v>
      </c>
      <c r="I55" s="10" t="s">
        <v>499</v>
      </c>
      <c r="J55" s="15">
        <v>1040425036</v>
      </c>
      <c r="K55" s="15" t="s">
        <v>820</v>
      </c>
      <c r="L55" s="18" t="s">
        <v>130</v>
      </c>
      <c r="M55" s="16" t="s">
        <v>365</v>
      </c>
      <c r="N55" s="34" t="s">
        <v>519</v>
      </c>
      <c r="O55" s="15" t="s">
        <v>842</v>
      </c>
      <c r="P55" s="17" t="s">
        <v>727</v>
      </c>
      <c r="Q55" s="15" t="s">
        <v>521</v>
      </c>
      <c r="R55" s="15" t="s">
        <v>522</v>
      </c>
      <c r="S55" s="15" t="s">
        <v>523</v>
      </c>
      <c r="T55" s="15" t="s">
        <v>524</v>
      </c>
      <c r="U55" s="15" t="s">
        <v>525</v>
      </c>
      <c r="V55" s="15" t="s">
        <v>526</v>
      </c>
      <c r="W55" s="15" t="s">
        <v>527</v>
      </c>
      <c r="X55" s="15" t="s">
        <v>714</v>
      </c>
      <c r="Y55" s="3" t="b">
        <v>1</v>
      </c>
      <c r="Z55" s="15" t="b">
        <v>1</v>
      </c>
      <c r="AA55" s="3" t="b">
        <v>0</v>
      </c>
      <c r="AB55" s="15" t="b">
        <v>1</v>
      </c>
      <c r="AC55" s="15" t="b">
        <v>1</v>
      </c>
      <c r="AD55" s="15" t="b">
        <v>1</v>
      </c>
      <c r="AE55" s="15" t="b">
        <v>1</v>
      </c>
      <c r="AF55" s="15">
        <v>1</v>
      </c>
      <c r="AG55" s="15">
        <v>10</v>
      </c>
      <c r="AH55" s="15" t="s">
        <v>528</v>
      </c>
      <c r="AI55" s="15" t="str">
        <f t="shared" si="13"/>
        <v>Character/Prefabs/c_supporter_rayhou_1</v>
      </c>
      <c r="AJ55" s="15" t="str">
        <f t="shared" si="21"/>
        <v>CharacterSpine/c_supporter_rayhou_1</v>
      </c>
      <c r="AK55" s="15" t="str">
        <f t="shared" si="22"/>
        <v>Character/SDPrefabs/sd_head_c_supporter_rayhou_1</v>
      </c>
      <c r="AL55" s="15"/>
      <c r="AM55" s="15" t="str">
        <f t="shared" si="9"/>
        <v>character_rayhou_01</v>
      </c>
      <c r="AN55" s="15" t="str">
        <f t="shared" si="23"/>
        <v>Character/Timeline/01_CHA/ult_c_supporter_rayhou_1</v>
      </c>
      <c r="AO55" s="15" t="str">
        <f t="shared" si="24"/>
        <v>Character/Timeline/01_CHA/victory_c_supporter_rayhou_1</v>
      </c>
      <c r="AP55" s="15" t="str">
        <f t="shared" si="24"/>
        <v>Character/Timeline/01_CHA/victory_c_supporter_rayhou_1</v>
      </c>
      <c r="AQ55" s="15" t="str">
        <f t="shared" si="17"/>
        <v>rayhou</v>
      </c>
      <c r="AR55" s="3"/>
      <c r="AS55" s="15" t="s">
        <v>140</v>
      </c>
      <c r="AT55" s="15" t="s">
        <v>141</v>
      </c>
      <c r="AU55" s="3" t="s">
        <v>99</v>
      </c>
      <c r="AV55" s="15">
        <v>403</v>
      </c>
      <c r="AW55" s="32" t="s">
        <v>648</v>
      </c>
      <c r="AX55" s="13" t="s">
        <v>668</v>
      </c>
      <c r="AY55" s="13" t="s">
        <v>729</v>
      </c>
    </row>
    <row r="56" spans="1:51">
      <c r="A56" s="15">
        <v>1010740001</v>
      </c>
      <c r="B56" s="15" t="s">
        <v>529</v>
      </c>
      <c r="C56" s="15" t="s">
        <v>530</v>
      </c>
      <c r="D56" s="15" t="s">
        <v>656</v>
      </c>
      <c r="E56" s="15" t="str">
        <f t="shared" si="0"/>
        <v>Name.Character.hellen</v>
      </c>
      <c r="F56" s="18" t="str">
        <f t="shared" si="1"/>
        <v>Desc.Character.hellen</v>
      </c>
      <c r="G56" s="26" t="s">
        <v>662</v>
      </c>
      <c r="H56" s="48" t="s">
        <v>605</v>
      </c>
      <c r="I56" s="10" t="s">
        <v>499</v>
      </c>
      <c r="J56" s="15">
        <v>1040425037</v>
      </c>
      <c r="K56" s="15" t="s">
        <v>822</v>
      </c>
      <c r="L56" s="15" t="s">
        <v>107</v>
      </c>
      <c r="M56" s="16" t="s">
        <v>108</v>
      </c>
      <c r="N56" s="34" t="s">
        <v>529</v>
      </c>
      <c r="O56" s="15" t="s">
        <v>842</v>
      </c>
      <c r="P56" s="17" t="s">
        <v>727</v>
      </c>
      <c r="Q56" s="15" t="s">
        <v>531</v>
      </c>
      <c r="R56" s="15" t="s">
        <v>532</v>
      </c>
      <c r="S56" s="15" t="s">
        <v>533</v>
      </c>
      <c r="T56" s="15" t="s">
        <v>534</v>
      </c>
      <c r="U56" s="15" t="s">
        <v>535</v>
      </c>
      <c r="V56" s="15" t="s">
        <v>536</v>
      </c>
      <c r="W56" s="15" t="s">
        <v>537</v>
      </c>
      <c r="X56" s="15" t="s">
        <v>715</v>
      </c>
      <c r="Y56" s="3" t="b">
        <v>1</v>
      </c>
      <c r="Z56" s="15" t="b">
        <v>1</v>
      </c>
      <c r="AA56" s="28" t="b">
        <v>0</v>
      </c>
      <c r="AB56" s="15" t="b">
        <v>1</v>
      </c>
      <c r="AC56" s="15" t="b">
        <v>1</v>
      </c>
      <c r="AD56" s="15" t="b">
        <v>1</v>
      </c>
      <c r="AE56" s="15" t="b">
        <v>1</v>
      </c>
      <c r="AF56" s="15">
        <v>1</v>
      </c>
      <c r="AG56" s="15">
        <v>10</v>
      </c>
      <c r="AH56" s="15" t="s">
        <v>538</v>
      </c>
      <c r="AI56" s="15" t="str">
        <f t="shared" si="13"/>
        <v>Character/Prefabs/c_supporter_hellen_1</v>
      </c>
      <c r="AJ56" s="15" t="str">
        <f t="shared" si="21"/>
        <v>CharacterSpine/c_supporter_hellen_1</v>
      </c>
      <c r="AK56" s="15" t="str">
        <f t="shared" si="22"/>
        <v>Character/SDPrefabs/sd_head_c_supporter_hellen_1</v>
      </c>
      <c r="AL56" s="15"/>
      <c r="AM56" s="15" t="str">
        <f t="shared" si="9"/>
        <v>character_hellen_01</v>
      </c>
      <c r="AN56" s="15" t="str">
        <f t="shared" si="23"/>
        <v>Character/Timeline/01_CHA/ult_c_supporter_hellen_1</v>
      </c>
      <c r="AO56" s="15" t="str">
        <f t="shared" si="24"/>
        <v>Character/Timeline/01_CHA/victory_c_supporter_hellen_1</v>
      </c>
      <c r="AP56" s="15" t="str">
        <f t="shared" si="24"/>
        <v>Character/Timeline/01_CHA/victory_c_supporter_hellen_1</v>
      </c>
      <c r="AQ56" s="15" t="str">
        <f t="shared" si="17"/>
        <v>hellen</v>
      </c>
      <c r="AR56" s="3"/>
      <c r="AS56" s="15" t="s">
        <v>140</v>
      </c>
      <c r="AT56" s="15" t="s">
        <v>141</v>
      </c>
      <c r="AU56" s="3" t="s">
        <v>99</v>
      </c>
      <c r="AV56" s="15">
        <v>404</v>
      </c>
      <c r="AW56" s="32" t="s">
        <v>649</v>
      </c>
      <c r="AX56" s="13" t="s">
        <v>668</v>
      </c>
      <c r="AY56" s="13" t="s">
        <v>729</v>
      </c>
    </row>
    <row r="57" spans="1:51">
      <c r="A57" s="15">
        <v>1010740002</v>
      </c>
      <c r="B57" s="15" t="s">
        <v>781</v>
      </c>
      <c r="C57" s="15" t="s">
        <v>539</v>
      </c>
      <c r="D57" s="15" t="s">
        <v>736</v>
      </c>
      <c r="E57" s="15" t="str">
        <f t="shared" si="0"/>
        <v>Name.Character.hallona</v>
      </c>
      <c r="F57" s="18" t="str">
        <f t="shared" si="1"/>
        <v>Desc.Character.hallona</v>
      </c>
      <c r="G57" s="26" t="s">
        <v>662</v>
      </c>
      <c r="H57" s="45" t="s">
        <v>731</v>
      </c>
      <c r="I57" s="10" t="s">
        <v>499</v>
      </c>
      <c r="J57" s="15">
        <v>1040425038</v>
      </c>
      <c r="K57" s="15" t="s">
        <v>820</v>
      </c>
      <c r="L57" s="15" t="s">
        <v>130</v>
      </c>
      <c r="M57" s="16" t="s">
        <v>131</v>
      </c>
      <c r="N57" s="19" t="s">
        <v>829</v>
      </c>
      <c r="O57" s="15" t="s">
        <v>842</v>
      </c>
      <c r="P57" s="17" t="s">
        <v>727</v>
      </c>
      <c r="Q57" s="15" t="s">
        <v>782</v>
      </c>
      <c r="R57" s="15" t="s">
        <v>783</v>
      </c>
      <c r="S57" s="15" t="s">
        <v>784</v>
      </c>
      <c r="T57" s="15" t="s">
        <v>785</v>
      </c>
      <c r="U57" s="15" t="s">
        <v>786</v>
      </c>
      <c r="V57" s="15" t="s">
        <v>787</v>
      </c>
      <c r="W57" s="15" t="s">
        <v>834</v>
      </c>
      <c r="X57" s="21" t="s">
        <v>835</v>
      </c>
      <c r="Y57" s="3" t="b">
        <v>1</v>
      </c>
      <c r="Z57" s="28" t="b">
        <v>1</v>
      </c>
      <c r="AA57" s="28" t="b">
        <v>1</v>
      </c>
      <c r="AB57" s="15" t="b">
        <v>1</v>
      </c>
      <c r="AC57" s="15" t="b">
        <v>1</v>
      </c>
      <c r="AD57" s="15" t="b">
        <v>1</v>
      </c>
      <c r="AE57" s="15" t="b">
        <v>1</v>
      </c>
      <c r="AF57" s="15">
        <v>1</v>
      </c>
      <c r="AG57" s="15">
        <v>10</v>
      </c>
      <c r="AH57" s="15" t="s">
        <v>540</v>
      </c>
      <c r="AI57" s="15" t="str">
        <f t="shared" si="13"/>
        <v>Character/Prefabs/c_supporter_hallona_1</v>
      </c>
      <c r="AJ57" s="15" t="str">
        <f t="shared" si="21"/>
        <v>CharacterSpine/c_supporter_hallona_1</v>
      </c>
      <c r="AK57" s="15" t="str">
        <f t="shared" si="22"/>
        <v>Character/SDPrefabs/sd_head_c_supporter_hallona_1</v>
      </c>
      <c r="AL57" s="15"/>
      <c r="AM57" s="15" t="str">
        <f t="shared" si="9"/>
        <v>character_hallona_01</v>
      </c>
      <c r="AN57" s="15" t="str">
        <f t="shared" si="23"/>
        <v>Character/Timeline/01_CHA/ult_c_supporter_hallona_1</v>
      </c>
      <c r="AO57" s="15" t="str">
        <f t="shared" si="24"/>
        <v>Character/Timeline/01_CHA/victory_c_supporter_hallona_1</v>
      </c>
      <c r="AP57" s="15" t="str">
        <f t="shared" si="24"/>
        <v>Character/Timeline/01_CHA/victory_c_supporter_hallona_1</v>
      </c>
      <c r="AQ57" s="15" t="str">
        <f t="shared" si="17"/>
        <v>hallona</v>
      </c>
      <c r="AR57" s="3"/>
      <c r="AS57" s="15" t="s">
        <v>140</v>
      </c>
      <c r="AT57" s="15" t="s">
        <v>141</v>
      </c>
      <c r="AU57" s="3" t="s">
        <v>99</v>
      </c>
      <c r="AV57" s="15">
        <v>405</v>
      </c>
      <c r="AW57" s="32" t="s">
        <v>650</v>
      </c>
      <c r="AX57" s="13" t="s">
        <v>667</v>
      </c>
      <c r="AY57" s="13" t="s">
        <v>729</v>
      </c>
    </row>
    <row r="58" spans="1:51">
      <c r="A58" s="15">
        <v>1010540001</v>
      </c>
      <c r="B58" s="15" t="s">
        <v>541</v>
      </c>
      <c r="C58" s="15" t="s">
        <v>542</v>
      </c>
      <c r="D58" s="15" t="s">
        <v>656</v>
      </c>
      <c r="E58" s="15" t="str">
        <f t="shared" si="0"/>
        <v>Name.Character.elina</v>
      </c>
      <c r="F58" s="15" t="str">
        <f t="shared" si="1"/>
        <v>Desc.Character.elina</v>
      </c>
      <c r="G58" s="26" t="s">
        <v>662</v>
      </c>
      <c r="H58" s="47" t="s">
        <v>604</v>
      </c>
      <c r="I58" s="10" t="s">
        <v>499</v>
      </c>
      <c r="J58" s="15">
        <v>1040425039</v>
      </c>
      <c r="K58" s="15" t="s">
        <v>818</v>
      </c>
      <c r="L58" s="15" t="s">
        <v>157</v>
      </c>
      <c r="M58" s="16" t="s">
        <v>371</v>
      </c>
      <c r="N58" s="35" t="s">
        <v>564</v>
      </c>
      <c r="O58" s="15" t="s">
        <v>842</v>
      </c>
      <c r="P58" s="15" t="s">
        <v>727</v>
      </c>
      <c r="Q58" s="15" t="s">
        <v>565</v>
      </c>
      <c r="R58" s="15" t="s">
        <v>566</v>
      </c>
      <c r="S58" s="15" t="s">
        <v>567</v>
      </c>
      <c r="T58" s="15" t="s">
        <v>568</v>
      </c>
      <c r="U58" s="15" t="s">
        <v>569</v>
      </c>
      <c r="V58" s="31" t="s">
        <v>570</v>
      </c>
      <c r="W58" s="31" t="s">
        <v>571</v>
      </c>
      <c r="X58" s="31" t="s">
        <v>716</v>
      </c>
      <c r="Y58" s="3" t="b">
        <v>1</v>
      </c>
      <c r="Z58" s="15" t="b">
        <v>1</v>
      </c>
      <c r="AA58" s="3" t="b">
        <v>0</v>
      </c>
      <c r="AB58" s="15" t="b">
        <v>1</v>
      </c>
      <c r="AC58" s="15" t="b">
        <v>1</v>
      </c>
      <c r="AD58" s="15" t="b">
        <v>1</v>
      </c>
      <c r="AE58" s="15" t="b">
        <v>1</v>
      </c>
      <c r="AF58" s="15">
        <v>1</v>
      </c>
      <c r="AG58" s="15">
        <v>10</v>
      </c>
      <c r="AH58" s="15" t="s">
        <v>543</v>
      </c>
      <c r="AI58" s="15" t="str">
        <f t="shared" si="13"/>
        <v>Character/Prefabs/c_supporter_elina_1</v>
      </c>
      <c r="AJ58" s="15" t="str">
        <f t="shared" si="21"/>
        <v>CharacterSpine/c_supporter_elina_1</v>
      </c>
      <c r="AK58" s="15" t="str">
        <f t="shared" si="22"/>
        <v>Character/SDPrefabs/sd_head_c_supporter_elina_1</v>
      </c>
      <c r="AL58" s="15"/>
      <c r="AM58" s="15" t="str">
        <f t="shared" si="9"/>
        <v>character_elina_01</v>
      </c>
      <c r="AN58" s="15" t="str">
        <f t="shared" si="23"/>
        <v>Character/Timeline/01_CHA/ult_c_supporter_elina_1</v>
      </c>
      <c r="AO58" s="15" t="str">
        <f t="shared" si="24"/>
        <v>Character/Timeline/01_CHA/victory_c_supporter_elina_1</v>
      </c>
      <c r="AP58" s="15" t="str">
        <f t="shared" si="24"/>
        <v>Character/Timeline/01_CHA/victory_c_supporter_elina_1</v>
      </c>
      <c r="AQ58" s="15" t="str">
        <f t="shared" si="17"/>
        <v>elina</v>
      </c>
      <c r="AR58" s="3"/>
      <c r="AS58" s="15" t="s">
        <v>140</v>
      </c>
      <c r="AT58" s="15" t="s">
        <v>141</v>
      </c>
      <c r="AU58" s="3" t="s">
        <v>99</v>
      </c>
      <c r="AV58" s="15">
        <v>406</v>
      </c>
      <c r="AW58" s="33" t="s">
        <v>592</v>
      </c>
      <c r="AX58" s="13" t="s">
        <v>674</v>
      </c>
      <c r="AY58" s="13" t="s">
        <v>729</v>
      </c>
    </row>
    <row r="59" spans="1:51">
      <c r="A59" s="15">
        <v>1010340001</v>
      </c>
      <c r="B59" s="15" t="s">
        <v>544</v>
      </c>
      <c r="C59" s="15" t="s">
        <v>545</v>
      </c>
      <c r="D59" s="15" t="s">
        <v>656</v>
      </c>
      <c r="E59" s="15" t="str">
        <f t="shared" si="0"/>
        <v>Name.Character.siege</v>
      </c>
      <c r="F59" s="15" t="str">
        <f t="shared" si="1"/>
        <v>Desc.Character.siege</v>
      </c>
      <c r="G59" s="27" t="s">
        <v>83</v>
      </c>
      <c r="H59" s="48" t="s">
        <v>605</v>
      </c>
      <c r="I59" s="10" t="s">
        <v>499</v>
      </c>
      <c r="J59" s="15"/>
      <c r="K59" s="15"/>
      <c r="L59" s="15" t="s">
        <v>130</v>
      </c>
      <c r="M59" s="16" t="s">
        <v>238</v>
      </c>
      <c r="N59" s="34" t="s">
        <v>544</v>
      </c>
      <c r="O59" s="15" t="s">
        <v>842</v>
      </c>
      <c r="P59" s="15" t="s">
        <v>600</v>
      </c>
      <c r="Q59" s="15" t="s">
        <v>546</v>
      </c>
      <c r="R59" s="15" t="s">
        <v>547</v>
      </c>
      <c r="S59" s="15" t="s">
        <v>548</v>
      </c>
      <c r="T59" s="15" t="s">
        <v>549</v>
      </c>
      <c r="U59" s="15" t="s">
        <v>550</v>
      </c>
      <c r="V59" s="31" t="s">
        <v>551</v>
      </c>
      <c r="W59" s="31" t="s">
        <v>552</v>
      </c>
      <c r="X59" s="31"/>
      <c r="Y59" s="3" t="b">
        <v>1</v>
      </c>
      <c r="Z59" s="15" t="b">
        <v>1</v>
      </c>
      <c r="AA59" s="3" t="b">
        <v>0</v>
      </c>
      <c r="AB59" s="15" t="b">
        <v>1</v>
      </c>
      <c r="AC59" s="15" t="b">
        <v>1</v>
      </c>
      <c r="AD59" s="15" t="b">
        <v>1</v>
      </c>
      <c r="AE59" s="15" t="b">
        <v>1</v>
      </c>
      <c r="AF59" s="15">
        <v>1</v>
      </c>
      <c r="AG59" s="15">
        <v>10</v>
      </c>
      <c r="AH59" s="15" t="s">
        <v>553</v>
      </c>
      <c r="AI59" s="15" t="str">
        <f t="shared" si="13"/>
        <v>Character/Prefabs/c_supporter_siege_1</v>
      </c>
      <c r="AJ59" s="15" t="str">
        <f t="shared" si="21"/>
        <v>CharacterSpine/c_supporter_siege_1</v>
      </c>
      <c r="AK59" s="15" t="str">
        <f t="shared" si="22"/>
        <v>Character/SDPrefabs/sd_head_c_supporter_siege_1</v>
      </c>
      <c r="AL59" s="15"/>
      <c r="AM59" s="15" t="str">
        <f t="shared" si="9"/>
        <v>character_siege_01</v>
      </c>
      <c r="AN59" s="15" t="str">
        <f t="shared" si="23"/>
        <v>Character/Timeline/01_CHA/ult_c_supporter_siege_1</v>
      </c>
      <c r="AO59" s="15" t="str">
        <f t="shared" si="24"/>
        <v>Character/Timeline/01_CHA/victory_c_supporter_siege_1</v>
      </c>
      <c r="AP59" s="15" t="str">
        <f t="shared" si="24"/>
        <v>Character/Timeline/01_CHA/victory_c_supporter_siege_1</v>
      </c>
      <c r="AQ59" s="15" t="str">
        <f t="shared" si="17"/>
        <v>siege</v>
      </c>
      <c r="AR59" s="28"/>
      <c r="AS59" s="15" t="s">
        <v>140</v>
      </c>
      <c r="AT59" s="15" t="s">
        <v>141</v>
      </c>
      <c r="AU59" s="28" t="s">
        <v>99</v>
      </c>
      <c r="AV59" s="15">
        <v>407</v>
      </c>
      <c r="AW59" s="32" t="s">
        <v>651</v>
      </c>
      <c r="AX59" s="13" t="s">
        <v>668</v>
      </c>
    </row>
    <row r="60" spans="1:51">
      <c r="A60" s="15">
        <v>1010240001</v>
      </c>
      <c r="B60" s="15" t="s">
        <v>581</v>
      </c>
      <c r="C60" s="15" t="s">
        <v>582</v>
      </c>
      <c r="D60" s="15" t="s">
        <v>656</v>
      </c>
      <c r="E60" s="15" t="str">
        <f>"Name.Character."&amp;$B60</f>
        <v>Name.Character.reen</v>
      </c>
      <c r="F60" s="18" t="str">
        <f>"Desc.Character."&amp;$B60</f>
        <v>Desc.Character.reen</v>
      </c>
      <c r="G60" s="10" t="s">
        <v>663</v>
      </c>
      <c r="H60" s="45" t="s">
        <v>606</v>
      </c>
      <c r="I60" s="10" t="s">
        <v>499</v>
      </c>
      <c r="J60" s="15">
        <v>1040103101</v>
      </c>
      <c r="K60" s="15" t="s">
        <v>821</v>
      </c>
      <c r="L60" s="15" t="s">
        <v>130</v>
      </c>
      <c r="M60" s="16" t="s">
        <v>238</v>
      </c>
      <c r="N60" s="35" t="s">
        <v>585</v>
      </c>
      <c r="O60" s="15" t="s">
        <v>842</v>
      </c>
      <c r="P60" s="17"/>
      <c r="Q60" s="15" t="str">
        <f>$B60&amp;".attack"&amp;RIGHT(Q48,1)</f>
        <v>reen.attack1</v>
      </c>
      <c r="R60" s="15"/>
      <c r="S60" s="15"/>
      <c r="T60" s="15" t="str">
        <f>$B60&amp;".active"&amp;RIGHT(T48,1)</f>
        <v>reen.active1</v>
      </c>
      <c r="U60" s="15"/>
      <c r="V60" s="15"/>
      <c r="W60" s="15"/>
      <c r="X60" s="15"/>
      <c r="Y60" s="3" t="b">
        <v>1</v>
      </c>
      <c r="Z60" s="15" t="b">
        <v>1</v>
      </c>
      <c r="AA60" s="3" t="b">
        <v>0</v>
      </c>
      <c r="AB60" s="15" t="b">
        <v>0</v>
      </c>
      <c r="AC60" s="15" t="b">
        <v>0</v>
      </c>
      <c r="AD60" s="15" t="b">
        <v>0</v>
      </c>
      <c r="AE60" s="15" t="b">
        <v>0</v>
      </c>
      <c r="AF60" s="15">
        <v>1</v>
      </c>
      <c r="AG60" s="15">
        <v>10</v>
      </c>
      <c r="AH60" s="15" t="str">
        <f>"c_"&amp;LOWER(I60)&amp;"_"&amp;$B60&amp;"_1"</f>
        <v>c_supporter_reen_1</v>
      </c>
      <c r="AI60" s="15" t="str">
        <f t="shared" si="13"/>
        <v>Character/Prefabs/c_supporter_reen_1</v>
      </c>
      <c r="AJ60" s="15" t="str">
        <f t="shared" si="21"/>
        <v>CharacterSpine/c_supporter_reen_1</v>
      </c>
      <c r="AK60" s="15"/>
      <c r="AL60" s="15"/>
      <c r="AM60" s="15" t="str">
        <f t="shared" si="9"/>
        <v>character_reen_01</v>
      </c>
      <c r="AN60" s="15"/>
      <c r="AO60" s="15"/>
      <c r="AP60" s="15"/>
      <c r="AQ60" s="15" t="str">
        <f t="shared" si="17"/>
        <v>reen</v>
      </c>
      <c r="AR60" s="3"/>
      <c r="AS60" s="15" t="s">
        <v>140</v>
      </c>
      <c r="AT60" s="15" t="s">
        <v>141</v>
      </c>
      <c r="AU60" s="3" t="s">
        <v>99</v>
      </c>
      <c r="AV60" s="15">
        <v>404</v>
      </c>
      <c r="AW60" s="32"/>
      <c r="AX60" s="13" t="s">
        <v>668</v>
      </c>
    </row>
  </sheetData>
  <phoneticPr fontId="1" type="noConversion"/>
  <conditionalFormatting sqref="A1:A38 A40:A1048576">
    <cfRule type="duplicateValues" dxfId="14" priority="37"/>
  </conditionalFormatting>
  <conditionalFormatting sqref="A39">
    <cfRule type="duplicateValues" dxfId="13" priority="8"/>
  </conditionalFormatting>
  <conditionalFormatting sqref="D1:D1048576">
    <cfRule type="cellIs" dxfId="12" priority="7" operator="equal">
      <formula>"오픈"</formula>
    </cfRule>
  </conditionalFormatting>
  <conditionalFormatting sqref="H5:H38 H40:H60">
    <cfRule type="containsText" dxfId="11" priority="31" operator="containsText" text="AttributePurple">
      <formula>NOT(ISERROR(SEARCH("AttributePurple",H5)))</formula>
    </cfRule>
    <cfRule type="containsText" dxfId="10" priority="32" operator="containsText" text="AttributeGold">
      <formula>NOT(ISERROR(SEARCH("AttributeGold",H5)))</formula>
    </cfRule>
    <cfRule type="containsText" dxfId="9" priority="33" operator="containsText" text="AttributeGreen">
      <formula>NOT(ISERROR(SEARCH("AttributeGreen",H5)))</formula>
    </cfRule>
    <cfRule type="containsText" dxfId="8" priority="34" operator="containsText" text="AttributeBlue">
      <formula>NOT(ISERROR(SEARCH("AttributeBlue",H5)))</formula>
    </cfRule>
    <cfRule type="containsText" dxfId="7" priority="35" operator="containsText" text="AttributeRed">
      <formula>NOT(ISERROR(SEARCH("AttributeRed",H5)))</formula>
    </cfRule>
  </conditionalFormatting>
  <conditionalFormatting sqref="H39">
    <cfRule type="containsText" dxfId="6" priority="2" operator="containsText" text="AttributePurple">
      <formula>NOT(ISERROR(SEARCH("AttributePurple",H39)))</formula>
    </cfRule>
    <cfRule type="containsText" dxfId="5" priority="3" operator="containsText" text="AttributeGold">
      <formula>NOT(ISERROR(SEARCH("AttributeGold",H39)))</formula>
    </cfRule>
    <cfRule type="containsText" dxfId="4" priority="4" operator="containsText" text="AttributeGreen">
      <formula>NOT(ISERROR(SEARCH("AttributeGreen",H39)))</formula>
    </cfRule>
    <cfRule type="containsText" dxfId="3" priority="5" operator="containsText" text="AttributeBlue">
      <formula>NOT(ISERROR(SEARCH("AttributeBlue",H39)))</formula>
    </cfRule>
    <cfRule type="containsText" dxfId="2" priority="6" operator="containsText" text="AttributeRed">
      <formula>NOT(ISERROR(SEARCH("AttributeRed",H39)))</formula>
    </cfRule>
  </conditionalFormatting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" operator="containsText" id="{8DBE21B2-B609-4C34-80DC-C0785DBE140E}">
            <xm:f>NOT(ISERROR(SEARCH('#범례'!$C$7,H5)))</xm:f>
            <xm:f>'#범례'!$C$7</xm:f>
            <x14:dxf>
              <fill>
                <patternFill patternType="none">
                  <bgColor auto="1"/>
                </patternFill>
              </fill>
            </x14:dxf>
          </x14:cfRule>
          <xm:sqref>H5:H38 H40:H60</xm:sqref>
        </x14:conditionalFormatting>
        <x14:conditionalFormatting xmlns:xm="http://schemas.microsoft.com/office/excel/2006/main">
          <x14:cfRule type="containsText" priority="1" operator="containsText" id="{6875526F-A115-466F-93EA-EF218FB7265A}">
            <xm:f>NOT(ISERROR(SEARCH('\양윤호\0. 테이블\0605\[100_Character1.xlsx]#범례'!#REF!,H39)))</xm:f>
            <xm:f>'\양윤호\0. 테이블\0605\[100_Character1.xlsx]#범례'!#REF!</xm:f>
            <x14:dxf>
              <fill>
                <patternFill patternType="none">
                  <bgColor auto="1"/>
                </patternFill>
              </fill>
            </x14:dxf>
          </x14:cfRule>
          <xm:sqref>H39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'#범례'!$A$2:$A$4</xm:f>
          </x14:formula1>
          <xm:sqref>G5:G38 G40:G60</xm:sqref>
        </x14:dataValidation>
        <x14:dataValidation type="list" allowBlank="1" showInputMessage="1" showErrorMessage="1">
          <x14:formula1>
            <xm:f>'#범례'!$E:$E</xm:f>
          </x14:formula1>
          <xm:sqref>AX5:AX60</xm:sqref>
        </x14:dataValidation>
        <x14:dataValidation type="list" showInputMessage="1" showErrorMessage="1">
          <x14:formula1>
            <xm:f>'#범례'!$C$2:$C$7</xm:f>
          </x14:formula1>
          <xm:sqref>H5:H38 H40:H60</xm:sqref>
        </x14:dataValidation>
        <x14:dataValidation type="list" showInputMessage="1" showErrorMessage="1">
          <x14:formula1>
            <xm:f>'D:\양윤호\0. 테이블\0605\[100_Character1.xlsx]#범례'!#REF!</xm:f>
          </x14:formula1>
          <xm:sqref>H39</xm:sqref>
        </x14:dataValidation>
        <x14:dataValidation type="list" allowBlank="1" showInputMessage="1" showErrorMessage="1">
          <x14:formula1>
            <xm:f>'D:\양윤호\0. 테이블\0605\[100_Character1.xlsx]#범례'!#REF!</xm:f>
          </x14:formula1>
          <xm:sqref>G39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7" sqref="C7"/>
    </sheetView>
  </sheetViews>
  <sheetFormatPr defaultRowHeight="16.5"/>
  <cols>
    <col min="1" max="1" width="4.625" bestFit="1" customWidth="1"/>
    <col min="3" max="3" width="14.125" customWidth="1"/>
    <col min="5" max="5" width="7.125" bestFit="1" customWidth="1"/>
  </cols>
  <sheetData>
    <row r="1" spans="1:5" ht="17.25" thickBot="1"/>
    <row r="2" spans="1:5" ht="17.25" thickBot="1">
      <c r="A2" s="26" t="s">
        <v>662</v>
      </c>
      <c r="C2" s="36" t="s">
        <v>605</v>
      </c>
      <c r="E2" s="44" t="s">
        <v>667</v>
      </c>
    </row>
    <row r="3" spans="1:5" ht="17.25" thickBot="1">
      <c r="A3" s="27" t="s">
        <v>83</v>
      </c>
      <c r="C3" s="38" t="s">
        <v>606</v>
      </c>
      <c r="E3" s="44" t="s">
        <v>671</v>
      </c>
    </row>
    <row r="4" spans="1:5" ht="17.25" thickBot="1">
      <c r="A4" s="10" t="s">
        <v>663</v>
      </c>
      <c r="C4" s="37" t="s">
        <v>604</v>
      </c>
      <c r="E4" s="44" t="s">
        <v>668</v>
      </c>
    </row>
    <row r="5" spans="1:5" ht="17.25" thickBot="1">
      <c r="C5" s="42" t="s">
        <v>679</v>
      </c>
      <c r="E5" s="44" t="s">
        <v>669</v>
      </c>
    </row>
    <row r="6" spans="1:5" ht="17.25" thickBot="1">
      <c r="C6" s="43" t="s">
        <v>677</v>
      </c>
      <c r="E6" s="44" t="s">
        <v>674</v>
      </c>
    </row>
    <row r="7" spans="1:5" ht="17.25" thickBot="1">
      <c r="C7" t="s">
        <v>732</v>
      </c>
      <c r="E7" s="44" t="s">
        <v>672</v>
      </c>
    </row>
    <row r="8" spans="1:5" ht="17.25" thickBot="1">
      <c r="E8" s="44" t="s">
        <v>680</v>
      </c>
    </row>
    <row r="9" spans="1:5" ht="17.25" thickBot="1">
      <c r="E9" s="44" t="s">
        <v>681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Character</vt:lpstr>
      <vt:lpstr>#범례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고영도</cp:lastModifiedBy>
  <dcterms:created xsi:type="dcterms:W3CDTF">2020-12-22T17:36:25Z</dcterms:created>
  <dcterms:modified xsi:type="dcterms:W3CDTF">2024-06-10T06:27:30Z</dcterms:modified>
</cp:coreProperties>
</file>