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2670" yWindow="0" windowWidth="28800" windowHeight="13425" tabRatio="794" activeTab="9"/>
  </bookViews>
  <sheets>
    <sheet name="Buff.CM" sheetId="1" r:id="rId1"/>
    <sheet name="BuffEffect.CM" sheetId="2" r:id="rId2"/>
    <sheet name="Buff.T" sheetId="3" r:id="rId3"/>
    <sheet name="BuffEffect.T" sheetId="4" r:id="rId4"/>
    <sheet name="Buff.A" sheetId="5" r:id="rId5"/>
    <sheet name="BuffEffect.A" sheetId="6" r:id="rId6"/>
    <sheet name="Buff.R" sheetId="7" r:id="rId7"/>
    <sheet name="BuffEffect.R" sheetId="8" r:id="rId8"/>
    <sheet name="Buff.S" sheetId="11" r:id="rId9"/>
    <sheet name="BuffEffect.S" sheetId="12" r:id="rId10"/>
  </sheets>
  <externalReferences>
    <externalReference r:id="rId11"/>
  </externalReferences>
  <calcPr calcId="162913"/>
</workbook>
</file>

<file path=xl/calcChain.xml><?xml version="1.0" encoding="utf-8"?>
<calcChain xmlns="http://schemas.openxmlformats.org/spreadsheetml/2006/main">
  <c r="N165" i="12" l="1"/>
  <c r="N164" i="12"/>
  <c r="N163" i="12"/>
  <c r="N162" i="12"/>
  <c r="N161" i="12"/>
  <c r="N243" i="12" l="1"/>
  <c r="N242" i="12"/>
  <c r="N241" i="12"/>
  <c r="N240" i="12"/>
  <c r="N239" i="12"/>
  <c r="N238" i="12"/>
  <c r="N237" i="12"/>
  <c r="N236" i="12"/>
  <c r="N235" i="12"/>
  <c r="N234" i="12"/>
  <c r="N233" i="12"/>
  <c r="N232" i="12"/>
  <c r="N231" i="12"/>
  <c r="N230" i="12"/>
  <c r="N229" i="12"/>
  <c r="N228" i="12"/>
  <c r="N227" i="12"/>
  <c r="N226" i="12"/>
  <c r="N524" i="8" l="1"/>
  <c r="N523" i="8"/>
  <c r="N522" i="8"/>
  <c r="N521" i="8"/>
  <c r="N520" i="8"/>
  <c r="N519" i="8"/>
  <c r="N542" i="8" l="1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O583" i="7"/>
  <c r="N583" i="7"/>
  <c r="P582" i="7"/>
  <c r="O582" i="7"/>
  <c r="N582" i="7"/>
  <c r="P581" i="7"/>
  <c r="O581" i="7"/>
  <c r="N581" i="7"/>
  <c r="P580" i="7"/>
  <c r="O580" i="7"/>
  <c r="N580" i="7"/>
  <c r="P579" i="7"/>
  <c r="O579" i="7"/>
  <c r="N579" i="7"/>
  <c r="P578" i="7"/>
  <c r="O578" i="7"/>
  <c r="N578" i="7"/>
  <c r="P577" i="7"/>
  <c r="O577" i="7"/>
  <c r="N577" i="7"/>
  <c r="P576" i="7"/>
  <c r="O576" i="7"/>
  <c r="N576" i="7"/>
  <c r="P575" i="7"/>
  <c r="O575" i="7"/>
  <c r="N575" i="7"/>
  <c r="P574" i="7"/>
  <c r="O574" i="7"/>
  <c r="N574" i="7"/>
  <c r="P573" i="7"/>
  <c r="O573" i="7"/>
  <c r="N573" i="7"/>
  <c r="P572" i="7"/>
  <c r="O572" i="7"/>
  <c r="N572" i="7"/>
  <c r="P571" i="7"/>
  <c r="O571" i="7"/>
  <c r="N571" i="7"/>
  <c r="P570" i="7"/>
  <c r="O570" i="7"/>
  <c r="N570" i="7"/>
  <c r="P569" i="7"/>
  <c r="O569" i="7"/>
  <c r="N569" i="7"/>
  <c r="P568" i="7"/>
  <c r="O568" i="7"/>
  <c r="N568" i="7"/>
  <c r="P567" i="7"/>
  <c r="O567" i="7"/>
  <c r="N567" i="7"/>
  <c r="P566" i="7"/>
  <c r="O566" i="7"/>
  <c r="N566" i="7"/>
  <c r="P565" i="7"/>
  <c r="O565" i="7"/>
  <c r="N565" i="7"/>
  <c r="P564" i="7"/>
  <c r="O564" i="7"/>
  <c r="N564" i="7"/>
  <c r="P563" i="7"/>
  <c r="O563" i="7"/>
  <c r="N563" i="7"/>
  <c r="P562" i="7"/>
  <c r="O562" i="7"/>
  <c r="N562" i="7"/>
  <c r="P561" i="7"/>
  <c r="O561" i="7"/>
  <c r="N561" i="7"/>
  <c r="P560" i="7"/>
  <c r="O560" i="7"/>
  <c r="N560" i="7"/>
  <c r="P559" i="7"/>
  <c r="O559" i="7"/>
  <c r="N559" i="7"/>
  <c r="P558" i="7"/>
  <c r="O558" i="7"/>
  <c r="N558" i="7"/>
  <c r="P557" i="7"/>
  <c r="O557" i="7"/>
  <c r="N557" i="7"/>
  <c r="P556" i="7"/>
  <c r="O556" i="7"/>
  <c r="N556" i="7"/>
  <c r="P555" i="7"/>
  <c r="O555" i="7"/>
  <c r="N555" i="7"/>
  <c r="P554" i="7"/>
  <c r="O554" i="7"/>
  <c r="N554" i="7"/>
  <c r="P553" i="7"/>
  <c r="O553" i="7"/>
  <c r="N553" i="7"/>
  <c r="P552" i="7"/>
  <c r="O552" i="7"/>
  <c r="N552" i="7"/>
  <c r="P551" i="7"/>
  <c r="O551" i="7"/>
  <c r="N551" i="7"/>
  <c r="P550" i="7"/>
  <c r="O550" i="7"/>
  <c r="N550" i="7"/>
  <c r="P549" i="7"/>
  <c r="O549" i="7"/>
  <c r="N549" i="7"/>
  <c r="P548" i="7"/>
  <c r="O548" i="7"/>
  <c r="N548" i="7"/>
  <c r="P547" i="7"/>
  <c r="O547" i="7"/>
  <c r="N547" i="7"/>
  <c r="P546" i="7"/>
  <c r="O546" i="7"/>
  <c r="N546" i="7"/>
  <c r="P545" i="7"/>
  <c r="O545" i="7"/>
  <c r="N545" i="7"/>
  <c r="P544" i="7"/>
  <c r="O544" i="7"/>
  <c r="N544" i="7"/>
  <c r="P543" i="7"/>
  <c r="O543" i="7"/>
  <c r="N543" i="7"/>
  <c r="P542" i="7"/>
  <c r="O542" i="7"/>
  <c r="N542" i="7"/>
  <c r="P541" i="7"/>
  <c r="O541" i="7"/>
  <c r="N541" i="7"/>
  <c r="P540" i="7"/>
  <c r="O540" i="7"/>
  <c r="N540" i="7"/>
  <c r="P539" i="7"/>
  <c r="O539" i="7"/>
  <c r="N539" i="7"/>
  <c r="P538" i="7"/>
  <c r="O538" i="7"/>
  <c r="N538" i="7"/>
  <c r="P537" i="7"/>
  <c r="O537" i="7"/>
  <c r="N537" i="7"/>
  <c r="P536" i="7"/>
  <c r="O536" i="7"/>
  <c r="N536" i="7"/>
  <c r="P535" i="7"/>
  <c r="O535" i="7"/>
  <c r="N535" i="7"/>
  <c r="P534" i="7"/>
  <c r="O534" i="7"/>
  <c r="N534" i="7"/>
  <c r="P533" i="7"/>
  <c r="O533" i="7"/>
  <c r="N533" i="7"/>
  <c r="P532" i="7"/>
  <c r="O532" i="7"/>
  <c r="N532" i="7"/>
  <c r="P531" i="7"/>
  <c r="O531" i="7"/>
  <c r="N531" i="7"/>
  <c r="P530" i="7"/>
  <c r="O530" i="7"/>
  <c r="N530" i="7"/>
  <c r="P529" i="7"/>
  <c r="O529" i="7"/>
  <c r="N529" i="7"/>
  <c r="P528" i="7"/>
  <c r="O528" i="7"/>
  <c r="N528" i="7"/>
  <c r="P527" i="7"/>
  <c r="O527" i="7"/>
  <c r="N527" i="7"/>
  <c r="P526" i="7"/>
  <c r="O526" i="7"/>
  <c r="N526" i="7"/>
  <c r="P525" i="7"/>
  <c r="O525" i="7"/>
  <c r="N525" i="7"/>
  <c r="P524" i="7"/>
  <c r="O524" i="7"/>
  <c r="N524" i="7"/>
  <c r="P523" i="7"/>
  <c r="O523" i="7"/>
  <c r="N523" i="7"/>
  <c r="P522" i="7"/>
  <c r="O522" i="7"/>
  <c r="N522" i="7"/>
  <c r="P521" i="7"/>
  <c r="O521" i="7"/>
  <c r="N521" i="7"/>
  <c r="P520" i="7"/>
  <c r="O520" i="7"/>
  <c r="N520" i="7"/>
  <c r="P519" i="7"/>
  <c r="O519" i="7"/>
  <c r="N519" i="7"/>
  <c r="P518" i="7"/>
  <c r="O518" i="7"/>
  <c r="N518" i="7"/>
  <c r="P517" i="7"/>
  <c r="O517" i="7"/>
  <c r="N517" i="7"/>
  <c r="P586" i="7"/>
  <c r="O586" i="7"/>
  <c r="N586" i="7"/>
  <c r="P585" i="7"/>
  <c r="O585" i="7"/>
  <c r="N585" i="7"/>
  <c r="P584" i="7"/>
  <c r="O584" i="7"/>
  <c r="N584" i="7"/>
  <c r="P583" i="7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P853" i="5"/>
  <c r="O853" i="5"/>
  <c r="N853" i="5"/>
  <c r="P852" i="5"/>
  <c r="O852" i="5"/>
  <c r="N852" i="5"/>
  <c r="P851" i="5"/>
  <c r="O851" i="5"/>
  <c r="N851" i="5"/>
  <c r="P850" i="5"/>
  <c r="O850" i="5"/>
  <c r="N850" i="5"/>
  <c r="P849" i="5"/>
  <c r="O849" i="5"/>
  <c r="N849" i="5"/>
  <c r="P848" i="5"/>
  <c r="O848" i="5"/>
  <c r="N848" i="5"/>
  <c r="P847" i="5"/>
  <c r="O847" i="5"/>
  <c r="N847" i="5"/>
  <c r="P846" i="5"/>
  <c r="O846" i="5"/>
  <c r="N846" i="5"/>
  <c r="P845" i="5"/>
  <c r="O845" i="5"/>
  <c r="N845" i="5"/>
  <c r="P844" i="5"/>
  <c r="O844" i="5"/>
  <c r="N844" i="5"/>
  <c r="P843" i="5"/>
  <c r="O843" i="5"/>
  <c r="N843" i="5"/>
  <c r="P842" i="5"/>
  <c r="O842" i="5"/>
  <c r="N842" i="5"/>
  <c r="P841" i="5"/>
  <c r="O841" i="5"/>
  <c r="N841" i="5"/>
  <c r="P840" i="5"/>
  <c r="O840" i="5"/>
  <c r="N840" i="5"/>
  <c r="P839" i="5"/>
  <c r="O839" i="5"/>
  <c r="N839" i="5"/>
  <c r="P838" i="5"/>
  <c r="O838" i="5"/>
  <c r="N838" i="5"/>
  <c r="P837" i="5"/>
  <c r="O837" i="5"/>
  <c r="N837" i="5"/>
  <c r="P836" i="5"/>
  <c r="O836" i="5"/>
  <c r="N836" i="5"/>
  <c r="P835" i="5"/>
  <c r="O835" i="5"/>
  <c r="N835" i="5"/>
  <c r="P834" i="5"/>
  <c r="O834" i="5"/>
  <c r="N834" i="5"/>
  <c r="P833" i="5"/>
  <c r="O833" i="5"/>
  <c r="N833" i="5"/>
  <c r="P832" i="5"/>
  <c r="O832" i="5"/>
  <c r="N832" i="5"/>
  <c r="P831" i="5"/>
  <c r="O831" i="5"/>
  <c r="N831" i="5"/>
  <c r="P830" i="5"/>
  <c r="O830" i="5"/>
  <c r="N830" i="5"/>
  <c r="P829" i="5"/>
  <c r="O829" i="5"/>
  <c r="N829" i="5"/>
  <c r="P828" i="5"/>
  <c r="O828" i="5"/>
  <c r="N828" i="5"/>
  <c r="P827" i="5"/>
  <c r="O827" i="5"/>
  <c r="N827" i="5"/>
  <c r="P826" i="5"/>
  <c r="O826" i="5"/>
  <c r="N826" i="5"/>
  <c r="P825" i="5"/>
  <c r="O825" i="5"/>
  <c r="N825" i="5"/>
  <c r="P824" i="5"/>
  <c r="O824" i="5"/>
  <c r="N824" i="5"/>
  <c r="P823" i="5"/>
  <c r="O823" i="5"/>
  <c r="N823" i="5"/>
  <c r="P822" i="5"/>
  <c r="O822" i="5"/>
  <c r="N822" i="5"/>
  <c r="P821" i="5"/>
  <c r="O821" i="5"/>
  <c r="N821" i="5"/>
  <c r="P820" i="5"/>
  <c r="O820" i="5"/>
  <c r="N820" i="5"/>
  <c r="P819" i="5"/>
  <c r="O819" i="5"/>
  <c r="N819" i="5"/>
  <c r="P818" i="5"/>
  <c r="O818" i="5"/>
  <c r="N818" i="5"/>
  <c r="P817" i="5"/>
  <c r="O817" i="5"/>
  <c r="N817" i="5"/>
  <c r="P816" i="5"/>
  <c r="O816" i="5"/>
  <c r="N816" i="5"/>
  <c r="P815" i="5"/>
  <c r="O815" i="5"/>
  <c r="N815" i="5"/>
  <c r="P814" i="5"/>
  <c r="O814" i="5"/>
  <c r="N814" i="5"/>
  <c r="P813" i="5"/>
  <c r="O813" i="5"/>
  <c r="N813" i="5"/>
  <c r="P812" i="5"/>
  <c r="O812" i="5"/>
  <c r="N812" i="5"/>
  <c r="P811" i="5"/>
  <c r="O811" i="5"/>
  <c r="N811" i="5"/>
  <c r="P810" i="5"/>
  <c r="O810" i="5"/>
  <c r="N810" i="5"/>
  <c r="P809" i="5"/>
  <c r="O809" i="5"/>
  <c r="N809" i="5"/>
  <c r="P808" i="5"/>
  <c r="O808" i="5"/>
  <c r="N808" i="5"/>
  <c r="P807" i="5"/>
  <c r="O807" i="5"/>
  <c r="N807" i="5"/>
  <c r="P806" i="5"/>
  <c r="O806" i="5"/>
  <c r="N806" i="5"/>
  <c r="P805" i="5"/>
  <c r="O805" i="5"/>
  <c r="N805" i="5"/>
  <c r="P804" i="5"/>
  <c r="O804" i="5"/>
  <c r="N804" i="5"/>
  <c r="P803" i="5"/>
  <c r="O803" i="5"/>
  <c r="N803" i="5"/>
  <c r="P802" i="5"/>
  <c r="O802" i="5"/>
  <c r="N802" i="5"/>
  <c r="P801" i="5"/>
  <c r="O801" i="5"/>
  <c r="N801" i="5"/>
  <c r="P800" i="5"/>
  <c r="O800" i="5"/>
  <c r="N800" i="5"/>
  <c r="P799" i="5"/>
  <c r="O799" i="5"/>
  <c r="N799" i="5"/>
  <c r="P798" i="5"/>
  <c r="O798" i="5"/>
  <c r="N798" i="5"/>
  <c r="P797" i="5"/>
  <c r="O797" i="5"/>
  <c r="N797" i="5"/>
  <c r="P796" i="5"/>
  <c r="O796" i="5"/>
  <c r="N796" i="5"/>
  <c r="P795" i="5"/>
  <c r="O795" i="5"/>
  <c r="N795" i="5"/>
  <c r="P794" i="5"/>
  <c r="O794" i="5"/>
  <c r="N794" i="5"/>
  <c r="P793" i="5"/>
  <c r="O793" i="5"/>
  <c r="N793" i="5"/>
  <c r="P792" i="5"/>
  <c r="O792" i="5"/>
  <c r="N792" i="5"/>
  <c r="P791" i="5"/>
  <c r="O791" i="5"/>
  <c r="N791" i="5"/>
  <c r="P790" i="5"/>
  <c r="O790" i="5"/>
  <c r="N790" i="5"/>
  <c r="P397" i="3" l="1"/>
  <c r="O397" i="3"/>
  <c r="N397" i="3"/>
  <c r="P396" i="3"/>
  <c r="O396" i="3"/>
  <c r="N396" i="3"/>
  <c r="P395" i="3"/>
  <c r="O395" i="3"/>
  <c r="N395" i="3"/>
  <c r="P394" i="3"/>
  <c r="O394" i="3"/>
  <c r="N394" i="3"/>
  <c r="P393" i="3"/>
  <c r="O393" i="3"/>
  <c r="N393" i="3"/>
  <c r="P392" i="3"/>
  <c r="O392" i="3"/>
  <c r="N392" i="3"/>
  <c r="N319" i="4"/>
  <c r="N318" i="4"/>
  <c r="N317" i="4"/>
  <c r="N316" i="4"/>
  <c r="N315" i="4"/>
  <c r="N314" i="4"/>
  <c r="N262" i="8" l="1"/>
  <c r="N261" i="8"/>
  <c r="N260" i="8"/>
  <c r="N259" i="8"/>
  <c r="N258" i="8"/>
  <c r="N256" i="8"/>
  <c r="N255" i="8"/>
  <c r="N254" i="8"/>
  <c r="N253" i="8"/>
  <c r="N252" i="8"/>
  <c r="N250" i="8"/>
  <c r="N249" i="8"/>
  <c r="N248" i="8"/>
  <c r="N247" i="8"/>
  <c r="N246" i="8"/>
  <c r="P198" i="7" l="1"/>
  <c r="O198" i="7"/>
  <c r="N198" i="7"/>
  <c r="P197" i="7"/>
  <c r="O197" i="7"/>
  <c r="N197" i="7"/>
  <c r="P196" i="7"/>
  <c r="O196" i="7"/>
  <c r="N196" i="7"/>
  <c r="N257" i="8"/>
  <c r="N245" i="8"/>
  <c r="N251" i="8"/>
  <c r="N616" i="2" l="1"/>
  <c r="N615" i="2"/>
  <c r="N614" i="2"/>
  <c r="N613" i="2"/>
  <c r="N612" i="2"/>
  <c r="P225" i="7" l="1"/>
  <c r="O225" i="7"/>
  <c r="N225" i="7"/>
  <c r="P740" i="7" l="1"/>
  <c r="O740" i="7"/>
  <c r="N740" i="7"/>
  <c r="P739" i="7"/>
  <c r="O739" i="7"/>
  <c r="N739" i="7"/>
  <c r="P738" i="7"/>
  <c r="O738" i="7"/>
  <c r="N738" i="7"/>
  <c r="P737" i="7"/>
  <c r="O737" i="7"/>
  <c r="N737" i="7"/>
  <c r="P736" i="7"/>
  <c r="O736" i="7"/>
  <c r="N736" i="7"/>
  <c r="P735" i="7"/>
  <c r="O735" i="7"/>
  <c r="N735" i="7"/>
  <c r="P734" i="7"/>
  <c r="O734" i="7"/>
  <c r="N734" i="7"/>
  <c r="P733" i="7"/>
  <c r="O733" i="7"/>
  <c r="N733" i="7"/>
  <c r="P732" i="7"/>
  <c r="O732" i="7"/>
  <c r="N732" i="7"/>
  <c r="P731" i="7"/>
  <c r="O731" i="7"/>
  <c r="N731" i="7"/>
  <c r="P730" i="7"/>
  <c r="O730" i="7"/>
  <c r="N730" i="7"/>
  <c r="P729" i="7"/>
  <c r="O729" i="7"/>
  <c r="N729" i="7"/>
  <c r="P728" i="7"/>
  <c r="O728" i="7"/>
  <c r="N728" i="7"/>
  <c r="P727" i="7"/>
  <c r="O727" i="7"/>
  <c r="N727" i="7"/>
  <c r="P726" i="7"/>
  <c r="O726" i="7"/>
  <c r="N726" i="7"/>
  <c r="P725" i="7"/>
  <c r="O725" i="7"/>
  <c r="N725" i="7"/>
  <c r="P724" i="7"/>
  <c r="O724" i="7"/>
  <c r="N724" i="7"/>
  <c r="P723" i="7"/>
  <c r="O723" i="7"/>
  <c r="N723" i="7"/>
  <c r="P722" i="7"/>
  <c r="O722" i="7"/>
  <c r="N722" i="7"/>
  <c r="P721" i="7"/>
  <c r="O721" i="7"/>
  <c r="N721" i="7"/>
  <c r="P720" i="7"/>
  <c r="O720" i="7"/>
  <c r="N720" i="7"/>
  <c r="P719" i="7"/>
  <c r="O719" i="7"/>
  <c r="N719" i="7"/>
  <c r="P718" i="7"/>
  <c r="O718" i="7"/>
  <c r="N718" i="7"/>
  <c r="P717" i="7"/>
  <c r="O717" i="7"/>
  <c r="N717" i="7"/>
  <c r="P716" i="7"/>
  <c r="O716" i="7"/>
  <c r="N716" i="7"/>
  <c r="P715" i="7"/>
  <c r="O715" i="7"/>
  <c r="N715" i="7"/>
  <c r="P714" i="7"/>
  <c r="O714" i="7"/>
  <c r="N714" i="7"/>
  <c r="P713" i="7"/>
  <c r="O713" i="7"/>
  <c r="N713" i="7"/>
  <c r="P712" i="7"/>
  <c r="O712" i="7"/>
  <c r="N712" i="7"/>
  <c r="P711" i="7"/>
  <c r="O711" i="7"/>
  <c r="N711" i="7"/>
  <c r="P710" i="7"/>
  <c r="O710" i="7"/>
  <c r="N710" i="7"/>
  <c r="P709" i="7"/>
  <c r="O709" i="7"/>
  <c r="N709" i="7"/>
  <c r="P708" i="7"/>
  <c r="O708" i="7"/>
  <c r="N708" i="7"/>
  <c r="P707" i="7"/>
  <c r="O707" i="7"/>
  <c r="N707" i="7"/>
  <c r="P706" i="7"/>
  <c r="O706" i="7"/>
  <c r="N706" i="7"/>
  <c r="P705" i="7"/>
  <c r="O705" i="7"/>
  <c r="N705" i="7"/>
  <c r="P704" i="7"/>
  <c r="O704" i="7"/>
  <c r="N704" i="7"/>
  <c r="P703" i="7"/>
  <c r="O703" i="7"/>
  <c r="N703" i="7"/>
  <c r="P702" i="7"/>
  <c r="O702" i="7"/>
  <c r="N702" i="7"/>
  <c r="P701" i="7"/>
  <c r="O701" i="7"/>
  <c r="N701" i="7"/>
  <c r="P700" i="7"/>
  <c r="O700" i="7"/>
  <c r="N700" i="7"/>
  <c r="P699" i="7"/>
  <c r="O699" i="7"/>
  <c r="N699" i="7"/>
  <c r="P698" i="7"/>
  <c r="O698" i="7"/>
  <c r="N698" i="7"/>
  <c r="P697" i="7"/>
  <c r="O697" i="7"/>
  <c r="N697" i="7"/>
  <c r="P696" i="7"/>
  <c r="O696" i="7"/>
  <c r="N696" i="7"/>
  <c r="P695" i="7"/>
  <c r="O695" i="7"/>
  <c r="N695" i="7"/>
  <c r="P694" i="7"/>
  <c r="O694" i="7"/>
  <c r="N694" i="7"/>
  <c r="P693" i="7"/>
  <c r="O693" i="7"/>
  <c r="N693" i="7"/>
  <c r="P692" i="7"/>
  <c r="O692" i="7"/>
  <c r="N692" i="7"/>
  <c r="P691" i="7"/>
  <c r="O691" i="7"/>
  <c r="N691" i="7"/>
  <c r="P690" i="7"/>
  <c r="O690" i="7"/>
  <c r="N690" i="7"/>
  <c r="P689" i="7"/>
  <c r="O689" i="7"/>
  <c r="N689" i="7"/>
  <c r="P688" i="7"/>
  <c r="O688" i="7"/>
  <c r="N688" i="7"/>
  <c r="P687" i="7"/>
  <c r="O687" i="7"/>
  <c r="N687" i="7"/>
  <c r="P686" i="7"/>
  <c r="O686" i="7"/>
  <c r="N686" i="7"/>
  <c r="P685" i="7"/>
  <c r="O685" i="7"/>
  <c r="N685" i="7"/>
  <c r="P684" i="7"/>
  <c r="O684" i="7"/>
  <c r="N684" i="7"/>
  <c r="P683" i="7"/>
  <c r="O683" i="7"/>
  <c r="N683" i="7"/>
  <c r="P682" i="7"/>
  <c r="O682" i="7"/>
  <c r="N682" i="7"/>
  <c r="P681" i="7"/>
  <c r="O681" i="7"/>
  <c r="N681" i="7"/>
  <c r="P680" i="7"/>
  <c r="O680" i="7"/>
  <c r="N680" i="7"/>
  <c r="P679" i="7"/>
  <c r="O679" i="7"/>
  <c r="N679" i="7"/>
  <c r="P678" i="7"/>
  <c r="O678" i="7"/>
  <c r="N678" i="7"/>
  <c r="P677" i="7"/>
  <c r="O677" i="7"/>
  <c r="N677" i="7"/>
  <c r="P676" i="7"/>
  <c r="O676" i="7"/>
  <c r="N676" i="7"/>
  <c r="P675" i="7"/>
  <c r="O675" i="7"/>
  <c r="N675" i="7"/>
  <c r="P674" i="7"/>
  <c r="O674" i="7"/>
  <c r="N674" i="7"/>
  <c r="P673" i="7"/>
  <c r="O673" i="7"/>
  <c r="N673" i="7"/>
  <c r="P672" i="7"/>
  <c r="O672" i="7"/>
  <c r="N672" i="7"/>
  <c r="P671" i="7"/>
  <c r="O671" i="7"/>
  <c r="N671" i="7"/>
  <c r="P670" i="7"/>
  <c r="O670" i="7"/>
  <c r="N670" i="7"/>
  <c r="P669" i="7"/>
  <c r="O669" i="7"/>
  <c r="N669" i="7"/>
  <c r="P668" i="7"/>
  <c r="O668" i="7"/>
  <c r="N668" i="7"/>
  <c r="P667" i="7"/>
  <c r="O667" i="7"/>
  <c r="N667" i="7"/>
  <c r="P666" i="7"/>
  <c r="O666" i="7"/>
  <c r="N666" i="7"/>
  <c r="P665" i="7"/>
  <c r="O665" i="7"/>
  <c r="N665" i="7"/>
  <c r="P664" i="7"/>
  <c r="O664" i="7"/>
  <c r="N664" i="7"/>
  <c r="P663" i="7"/>
  <c r="O663" i="7"/>
  <c r="N663" i="7"/>
  <c r="P662" i="7"/>
  <c r="O662" i="7"/>
  <c r="N662" i="7"/>
  <c r="P661" i="7"/>
  <c r="O661" i="7"/>
  <c r="N661" i="7"/>
  <c r="P660" i="7"/>
  <c r="O660" i="7"/>
  <c r="N660" i="7"/>
  <c r="P659" i="7"/>
  <c r="O659" i="7"/>
  <c r="N659" i="7"/>
  <c r="P658" i="7"/>
  <c r="O658" i="7"/>
  <c r="N658" i="7"/>
  <c r="P657" i="7"/>
  <c r="O657" i="7"/>
  <c r="N657" i="7"/>
  <c r="P656" i="7"/>
  <c r="O656" i="7"/>
  <c r="N656" i="7"/>
  <c r="P655" i="7"/>
  <c r="O655" i="7"/>
  <c r="N655" i="7"/>
  <c r="P654" i="7"/>
  <c r="O654" i="7"/>
  <c r="N654" i="7"/>
  <c r="P653" i="7"/>
  <c r="O653" i="7"/>
  <c r="N653" i="7"/>
  <c r="P652" i="7"/>
  <c r="O652" i="7"/>
  <c r="N652" i="7"/>
  <c r="P651" i="7"/>
  <c r="O651" i="7"/>
  <c r="N651" i="7"/>
  <c r="P650" i="7"/>
  <c r="O650" i="7"/>
  <c r="N650" i="7"/>
  <c r="P649" i="7"/>
  <c r="O649" i="7"/>
  <c r="N649" i="7"/>
  <c r="P648" i="7"/>
  <c r="O648" i="7"/>
  <c r="N648" i="7"/>
  <c r="P647" i="7"/>
  <c r="O647" i="7"/>
  <c r="N647" i="7"/>
  <c r="P646" i="7"/>
  <c r="O646" i="7"/>
  <c r="N646" i="7"/>
  <c r="P645" i="7"/>
  <c r="O645" i="7"/>
  <c r="N645" i="7"/>
  <c r="P644" i="7"/>
  <c r="O644" i="7"/>
  <c r="N644" i="7"/>
  <c r="P643" i="7"/>
  <c r="O643" i="7"/>
  <c r="N643" i="7"/>
  <c r="P642" i="7"/>
  <c r="O642" i="7"/>
  <c r="N642" i="7"/>
  <c r="P641" i="7"/>
  <c r="O641" i="7"/>
  <c r="N641" i="7"/>
  <c r="P640" i="7"/>
  <c r="O640" i="7"/>
  <c r="N640" i="7"/>
  <c r="P639" i="7"/>
  <c r="O639" i="7"/>
  <c r="N639" i="7"/>
  <c r="P638" i="7"/>
  <c r="O638" i="7"/>
  <c r="N638" i="7"/>
  <c r="P637" i="7"/>
  <c r="O637" i="7"/>
  <c r="N637" i="7"/>
  <c r="P636" i="7"/>
  <c r="O636" i="7"/>
  <c r="N636" i="7"/>
  <c r="P635" i="7"/>
  <c r="O635" i="7"/>
  <c r="N635" i="7"/>
  <c r="P634" i="7"/>
  <c r="O634" i="7"/>
  <c r="N634" i="7"/>
  <c r="P633" i="7"/>
  <c r="O633" i="7"/>
  <c r="N633" i="7"/>
  <c r="P632" i="7"/>
  <c r="O632" i="7"/>
  <c r="N632" i="7"/>
  <c r="P631" i="7"/>
  <c r="O631" i="7"/>
  <c r="N631" i="7"/>
  <c r="P630" i="7"/>
  <c r="O630" i="7"/>
  <c r="N630" i="7"/>
  <c r="P629" i="7"/>
  <c r="O629" i="7"/>
  <c r="N629" i="7"/>
  <c r="P628" i="7"/>
  <c r="O628" i="7"/>
  <c r="N628" i="7"/>
  <c r="P627" i="7"/>
  <c r="O627" i="7"/>
  <c r="N627" i="7"/>
  <c r="P626" i="7"/>
  <c r="O626" i="7"/>
  <c r="N626" i="7"/>
  <c r="P625" i="7"/>
  <c r="O625" i="7"/>
  <c r="N625" i="7"/>
  <c r="P624" i="7"/>
  <c r="O624" i="7"/>
  <c r="N624" i="7"/>
  <c r="P623" i="7"/>
  <c r="O623" i="7"/>
  <c r="N623" i="7"/>
  <c r="P622" i="7"/>
  <c r="O622" i="7"/>
  <c r="N622" i="7"/>
  <c r="P621" i="7"/>
  <c r="O621" i="7"/>
  <c r="N621" i="7"/>
  <c r="P620" i="7"/>
  <c r="O620" i="7"/>
  <c r="N620" i="7"/>
  <c r="P619" i="7"/>
  <c r="O619" i="7"/>
  <c r="N619" i="7"/>
  <c r="P618" i="7"/>
  <c r="O618" i="7"/>
  <c r="N618" i="7"/>
  <c r="P617" i="7"/>
  <c r="O617" i="7"/>
  <c r="N617" i="7"/>
  <c r="P616" i="7"/>
  <c r="O616" i="7"/>
  <c r="N616" i="7"/>
  <c r="P615" i="7"/>
  <c r="O615" i="7"/>
  <c r="N615" i="7"/>
  <c r="P614" i="7"/>
  <c r="O614" i="7"/>
  <c r="N614" i="7"/>
  <c r="P613" i="7"/>
  <c r="O613" i="7"/>
  <c r="N613" i="7"/>
  <c r="P612" i="7"/>
  <c r="O612" i="7"/>
  <c r="N612" i="7"/>
  <c r="P611" i="7"/>
  <c r="O611" i="7"/>
  <c r="N611" i="7"/>
  <c r="P610" i="7"/>
  <c r="O610" i="7"/>
  <c r="N610" i="7"/>
  <c r="P609" i="7"/>
  <c r="O609" i="7"/>
  <c r="N609" i="7"/>
  <c r="P608" i="7"/>
  <c r="O608" i="7"/>
  <c r="N608" i="7"/>
  <c r="P607" i="7"/>
  <c r="O607" i="7"/>
  <c r="N607" i="7"/>
  <c r="P606" i="7"/>
  <c r="O606" i="7"/>
  <c r="N606" i="7"/>
  <c r="P605" i="7"/>
  <c r="O605" i="7"/>
  <c r="N605" i="7"/>
  <c r="P604" i="7"/>
  <c r="O604" i="7"/>
  <c r="N604" i="7"/>
  <c r="P603" i="7"/>
  <c r="O603" i="7"/>
  <c r="N603" i="7"/>
  <c r="P602" i="7"/>
  <c r="O602" i="7"/>
  <c r="N602" i="7"/>
  <c r="P601" i="7"/>
  <c r="O601" i="7"/>
  <c r="N601" i="7"/>
  <c r="P600" i="7"/>
  <c r="O600" i="7"/>
  <c r="N600" i="7"/>
  <c r="P599" i="7"/>
  <c r="O599" i="7"/>
  <c r="N599" i="7"/>
  <c r="P598" i="7"/>
  <c r="O598" i="7"/>
  <c r="N598" i="7"/>
  <c r="P597" i="7"/>
  <c r="O597" i="7"/>
  <c r="N597" i="7"/>
  <c r="P596" i="7"/>
  <c r="O596" i="7"/>
  <c r="N596" i="7"/>
  <c r="P595" i="7"/>
  <c r="O595" i="7"/>
  <c r="N595" i="7"/>
  <c r="P594" i="7"/>
  <c r="O594" i="7"/>
  <c r="N594" i="7"/>
  <c r="P593" i="7"/>
  <c r="O593" i="7"/>
  <c r="N593" i="7"/>
  <c r="P516" i="7"/>
  <c r="O516" i="7"/>
  <c r="N516" i="7"/>
  <c r="P515" i="7"/>
  <c r="O515" i="7"/>
  <c r="N515" i="7"/>
  <c r="P514" i="7"/>
  <c r="O514" i="7"/>
  <c r="N514" i="7"/>
  <c r="P513" i="7"/>
  <c r="O513" i="7"/>
  <c r="N513" i="7"/>
  <c r="P512" i="7"/>
  <c r="O512" i="7"/>
  <c r="N512" i="7"/>
  <c r="P511" i="7"/>
  <c r="O511" i="7"/>
  <c r="N511" i="7"/>
  <c r="P510" i="7"/>
  <c r="O510" i="7"/>
  <c r="N510" i="7"/>
  <c r="P509" i="7"/>
  <c r="O509" i="7"/>
  <c r="N509" i="7"/>
  <c r="P508" i="7"/>
  <c r="O508" i="7"/>
  <c r="N508" i="7"/>
  <c r="P507" i="7"/>
  <c r="O507" i="7"/>
  <c r="N507" i="7"/>
  <c r="P506" i="7"/>
  <c r="O506" i="7"/>
  <c r="N506" i="7"/>
  <c r="P505" i="7"/>
  <c r="O505" i="7"/>
  <c r="N505" i="7"/>
  <c r="P504" i="7"/>
  <c r="O504" i="7"/>
  <c r="N504" i="7"/>
  <c r="P503" i="7"/>
  <c r="O503" i="7"/>
  <c r="N503" i="7"/>
  <c r="P502" i="7"/>
  <c r="O502" i="7"/>
  <c r="N502" i="7"/>
  <c r="P501" i="7"/>
  <c r="O501" i="7"/>
  <c r="N501" i="7"/>
  <c r="P500" i="7"/>
  <c r="O500" i="7"/>
  <c r="N500" i="7"/>
  <c r="P499" i="7"/>
  <c r="O499" i="7"/>
  <c r="N499" i="7"/>
  <c r="P498" i="7"/>
  <c r="O498" i="7"/>
  <c r="N498" i="7"/>
  <c r="P497" i="7"/>
  <c r="O497" i="7"/>
  <c r="N497" i="7"/>
  <c r="P496" i="7"/>
  <c r="O496" i="7"/>
  <c r="N496" i="7"/>
  <c r="P495" i="7"/>
  <c r="O495" i="7"/>
  <c r="N495" i="7"/>
  <c r="P494" i="7"/>
  <c r="O494" i="7"/>
  <c r="N494" i="7"/>
  <c r="P493" i="7"/>
  <c r="O493" i="7"/>
  <c r="N493" i="7"/>
  <c r="P492" i="7"/>
  <c r="O492" i="7"/>
  <c r="N492" i="7"/>
  <c r="P491" i="7"/>
  <c r="O491" i="7"/>
  <c r="N491" i="7"/>
  <c r="P490" i="7"/>
  <c r="O490" i="7"/>
  <c r="N490" i="7"/>
  <c r="P489" i="7"/>
  <c r="O489" i="7"/>
  <c r="N489" i="7"/>
  <c r="P488" i="7"/>
  <c r="O488" i="7"/>
  <c r="N488" i="7"/>
  <c r="P487" i="7"/>
  <c r="O487" i="7"/>
  <c r="N487" i="7"/>
  <c r="P486" i="7"/>
  <c r="O486" i="7"/>
  <c r="N486" i="7"/>
  <c r="P485" i="7"/>
  <c r="O485" i="7"/>
  <c r="N485" i="7"/>
  <c r="P484" i="7"/>
  <c r="O484" i="7"/>
  <c r="N484" i="7"/>
  <c r="P483" i="7"/>
  <c r="O483" i="7"/>
  <c r="N483" i="7"/>
  <c r="P482" i="7"/>
  <c r="O482" i="7"/>
  <c r="N482" i="7"/>
  <c r="P481" i="7"/>
  <c r="O481" i="7"/>
  <c r="N481" i="7"/>
  <c r="P480" i="7"/>
  <c r="O480" i="7"/>
  <c r="N480" i="7"/>
  <c r="P479" i="7"/>
  <c r="O479" i="7"/>
  <c r="N479" i="7"/>
  <c r="P478" i="7"/>
  <c r="O478" i="7"/>
  <c r="N478" i="7"/>
  <c r="P477" i="7"/>
  <c r="O477" i="7"/>
  <c r="N477" i="7"/>
  <c r="P476" i="7"/>
  <c r="O476" i="7"/>
  <c r="N476" i="7"/>
  <c r="P475" i="7"/>
  <c r="O475" i="7"/>
  <c r="N475" i="7"/>
  <c r="P474" i="7"/>
  <c r="O474" i="7"/>
  <c r="N474" i="7"/>
  <c r="P473" i="7"/>
  <c r="O473" i="7"/>
  <c r="N473" i="7"/>
  <c r="P472" i="7"/>
  <c r="O472" i="7"/>
  <c r="N472" i="7"/>
  <c r="P471" i="7"/>
  <c r="O471" i="7"/>
  <c r="N471" i="7"/>
  <c r="P470" i="7"/>
  <c r="O470" i="7"/>
  <c r="N470" i="7"/>
  <c r="P469" i="7"/>
  <c r="O469" i="7"/>
  <c r="N469" i="7"/>
  <c r="P468" i="7"/>
  <c r="O468" i="7"/>
  <c r="N468" i="7"/>
  <c r="P467" i="7"/>
  <c r="O467" i="7"/>
  <c r="N467" i="7"/>
  <c r="P466" i="7"/>
  <c r="O466" i="7"/>
  <c r="N466" i="7"/>
  <c r="P465" i="7"/>
  <c r="O465" i="7"/>
  <c r="N465" i="7"/>
  <c r="P464" i="7"/>
  <c r="O464" i="7"/>
  <c r="N464" i="7"/>
  <c r="P463" i="7"/>
  <c r="O463" i="7"/>
  <c r="N463" i="7"/>
  <c r="P462" i="7"/>
  <c r="O462" i="7"/>
  <c r="N462" i="7"/>
  <c r="P461" i="7"/>
  <c r="O461" i="7"/>
  <c r="N461" i="7"/>
  <c r="P460" i="7"/>
  <c r="O460" i="7"/>
  <c r="N460" i="7"/>
  <c r="P459" i="7"/>
  <c r="O459" i="7"/>
  <c r="N459" i="7"/>
  <c r="P458" i="7"/>
  <c r="O458" i="7"/>
  <c r="N458" i="7"/>
  <c r="P457" i="7"/>
  <c r="O457" i="7"/>
  <c r="N457" i="7"/>
  <c r="P456" i="7"/>
  <c r="O456" i="7"/>
  <c r="N456" i="7"/>
  <c r="P455" i="7"/>
  <c r="O455" i="7"/>
  <c r="N455" i="7"/>
  <c r="P454" i="7"/>
  <c r="O454" i="7"/>
  <c r="N454" i="7"/>
  <c r="P453" i="7"/>
  <c r="O453" i="7"/>
  <c r="N453" i="7"/>
  <c r="P452" i="7"/>
  <c r="O452" i="7"/>
  <c r="N452" i="7"/>
  <c r="P451" i="7"/>
  <c r="O451" i="7"/>
  <c r="N451" i="7"/>
  <c r="P450" i="7"/>
  <c r="O450" i="7"/>
  <c r="N450" i="7"/>
  <c r="P449" i="7"/>
  <c r="O449" i="7"/>
  <c r="N449" i="7"/>
  <c r="P448" i="7"/>
  <c r="O448" i="7"/>
  <c r="N448" i="7"/>
  <c r="P447" i="7"/>
  <c r="O447" i="7"/>
  <c r="N447" i="7"/>
  <c r="P446" i="7"/>
  <c r="O446" i="7"/>
  <c r="N446" i="7"/>
  <c r="P445" i="7"/>
  <c r="O445" i="7"/>
  <c r="N445" i="7"/>
  <c r="P444" i="7"/>
  <c r="O444" i="7"/>
  <c r="N444" i="7"/>
  <c r="P443" i="7"/>
  <c r="O443" i="7"/>
  <c r="N443" i="7"/>
  <c r="P442" i="7"/>
  <c r="O442" i="7"/>
  <c r="N442" i="7"/>
  <c r="P441" i="7"/>
  <c r="O441" i="7"/>
  <c r="N441" i="7"/>
  <c r="P440" i="7"/>
  <c r="O440" i="7"/>
  <c r="N440" i="7"/>
  <c r="P439" i="7"/>
  <c r="O439" i="7"/>
  <c r="N439" i="7"/>
  <c r="P438" i="7"/>
  <c r="O438" i="7"/>
  <c r="N438" i="7"/>
  <c r="P437" i="7"/>
  <c r="O437" i="7"/>
  <c r="N437" i="7"/>
  <c r="P436" i="7"/>
  <c r="O436" i="7"/>
  <c r="N436" i="7"/>
  <c r="P435" i="7"/>
  <c r="O435" i="7"/>
  <c r="N435" i="7"/>
  <c r="P434" i="7"/>
  <c r="O434" i="7"/>
  <c r="N434" i="7"/>
  <c r="P433" i="7"/>
  <c r="O433" i="7"/>
  <c r="N433" i="7"/>
  <c r="P432" i="7"/>
  <c r="O432" i="7"/>
  <c r="N432" i="7"/>
  <c r="P431" i="7"/>
  <c r="O431" i="7"/>
  <c r="N431" i="7"/>
  <c r="P430" i="7"/>
  <c r="O430" i="7"/>
  <c r="N430" i="7"/>
  <c r="P429" i="7"/>
  <c r="O429" i="7"/>
  <c r="N429" i="7"/>
  <c r="P428" i="7"/>
  <c r="O428" i="7"/>
  <c r="N428" i="7"/>
  <c r="P427" i="7"/>
  <c r="O427" i="7"/>
  <c r="N427" i="7"/>
  <c r="P426" i="7"/>
  <c r="O426" i="7"/>
  <c r="N426" i="7"/>
  <c r="P425" i="7"/>
  <c r="O425" i="7"/>
  <c r="N425" i="7"/>
  <c r="P424" i="7"/>
  <c r="O424" i="7"/>
  <c r="N424" i="7"/>
  <c r="P423" i="7"/>
  <c r="O423" i="7"/>
  <c r="N423" i="7"/>
  <c r="P422" i="7"/>
  <c r="O422" i="7"/>
  <c r="N422" i="7"/>
  <c r="P421" i="7"/>
  <c r="O421" i="7"/>
  <c r="N421" i="7"/>
  <c r="P420" i="7"/>
  <c r="O420" i="7"/>
  <c r="N420" i="7"/>
  <c r="P419" i="7"/>
  <c r="O419" i="7"/>
  <c r="N419" i="7"/>
  <c r="P418" i="7"/>
  <c r="O418" i="7"/>
  <c r="N418" i="7"/>
  <c r="P417" i="7"/>
  <c r="O417" i="7"/>
  <c r="N417" i="7"/>
  <c r="P416" i="7"/>
  <c r="O416" i="7"/>
  <c r="N416" i="7"/>
  <c r="P415" i="7"/>
  <c r="O415" i="7"/>
  <c r="N415" i="7"/>
  <c r="P414" i="7"/>
  <c r="O414" i="7"/>
  <c r="N414" i="7"/>
  <c r="P413" i="7"/>
  <c r="O413" i="7"/>
  <c r="N413" i="7"/>
  <c r="P412" i="7"/>
  <c r="O412" i="7"/>
  <c r="N412" i="7"/>
  <c r="P411" i="7"/>
  <c r="O411" i="7"/>
  <c r="N411" i="7"/>
  <c r="P410" i="7"/>
  <c r="O410" i="7"/>
  <c r="N410" i="7"/>
  <c r="P409" i="7"/>
  <c r="O409" i="7"/>
  <c r="N409" i="7"/>
  <c r="P408" i="7"/>
  <c r="O408" i="7"/>
  <c r="N408" i="7"/>
  <c r="P407" i="7"/>
  <c r="O407" i="7"/>
  <c r="N407" i="7"/>
  <c r="P406" i="7"/>
  <c r="O406" i="7"/>
  <c r="N406" i="7"/>
  <c r="P405" i="7"/>
  <c r="O405" i="7"/>
  <c r="N405" i="7"/>
  <c r="P404" i="7"/>
  <c r="O404" i="7"/>
  <c r="N404" i="7"/>
  <c r="P403" i="7"/>
  <c r="O403" i="7"/>
  <c r="N403" i="7"/>
  <c r="P402" i="7"/>
  <c r="O402" i="7"/>
  <c r="N402" i="7"/>
  <c r="P401" i="7"/>
  <c r="O401" i="7"/>
  <c r="N401" i="7"/>
  <c r="P400" i="7"/>
  <c r="O400" i="7"/>
  <c r="N400" i="7"/>
  <c r="P399" i="7"/>
  <c r="O399" i="7"/>
  <c r="N399" i="7"/>
  <c r="P398" i="7"/>
  <c r="O398" i="7"/>
  <c r="N398" i="7"/>
  <c r="P397" i="7"/>
  <c r="O397" i="7"/>
  <c r="N397" i="7"/>
  <c r="P396" i="7"/>
  <c r="O396" i="7"/>
  <c r="N396" i="7"/>
  <c r="P395" i="7"/>
  <c r="O395" i="7"/>
  <c r="N395" i="7"/>
  <c r="P394" i="7"/>
  <c r="O394" i="7"/>
  <c r="N394" i="7"/>
  <c r="P393" i="7"/>
  <c r="O393" i="7"/>
  <c r="N393" i="7"/>
  <c r="P392" i="7"/>
  <c r="O392" i="7"/>
  <c r="N392" i="7"/>
  <c r="P391" i="7"/>
  <c r="O391" i="7"/>
  <c r="N391" i="7"/>
  <c r="P390" i="7"/>
  <c r="O390" i="7"/>
  <c r="N390" i="7"/>
  <c r="P389" i="7"/>
  <c r="O389" i="7"/>
  <c r="N389" i="7"/>
  <c r="P388" i="7"/>
  <c r="O388" i="7"/>
  <c r="N388" i="7"/>
  <c r="P387" i="7"/>
  <c r="O387" i="7"/>
  <c r="N387" i="7"/>
  <c r="P386" i="7"/>
  <c r="O386" i="7"/>
  <c r="N386" i="7"/>
  <c r="P385" i="7"/>
  <c r="O385" i="7"/>
  <c r="N385" i="7"/>
  <c r="P384" i="7"/>
  <c r="O384" i="7"/>
  <c r="N384" i="7"/>
  <c r="P383" i="7"/>
  <c r="O383" i="7"/>
  <c r="N383" i="7"/>
  <c r="P382" i="7"/>
  <c r="O382" i="7"/>
  <c r="N382" i="7"/>
  <c r="P381" i="7"/>
  <c r="O381" i="7"/>
  <c r="N381" i="7"/>
  <c r="P380" i="7"/>
  <c r="O380" i="7"/>
  <c r="N380" i="7"/>
  <c r="P379" i="7"/>
  <c r="O379" i="7"/>
  <c r="N379" i="7"/>
  <c r="P378" i="7"/>
  <c r="O378" i="7"/>
  <c r="N378" i="7"/>
  <c r="P377" i="7"/>
  <c r="O377" i="7"/>
  <c r="N377" i="7"/>
  <c r="P376" i="7"/>
  <c r="O376" i="7"/>
  <c r="N376" i="7"/>
  <c r="P375" i="7"/>
  <c r="O375" i="7"/>
  <c r="N375" i="7"/>
  <c r="P374" i="7"/>
  <c r="O374" i="7"/>
  <c r="N374" i="7"/>
  <c r="P373" i="7"/>
  <c r="O373" i="7"/>
  <c r="N373" i="7"/>
  <c r="P372" i="7"/>
  <c r="O372" i="7"/>
  <c r="N372" i="7"/>
  <c r="P371" i="7"/>
  <c r="O371" i="7"/>
  <c r="N371" i="7"/>
  <c r="P370" i="7"/>
  <c r="O370" i="7"/>
  <c r="N370" i="7"/>
  <c r="P369" i="7"/>
  <c r="O369" i="7"/>
  <c r="N369" i="7"/>
  <c r="P368" i="7"/>
  <c r="O368" i="7"/>
  <c r="N368" i="7"/>
  <c r="P367" i="7"/>
  <c r="O367" i="7"/>
  <c r="N367" i="7"/>
  <c r="P366" i="7"/>
  <c r="O366" i="7"/>
  <c r="N366" i="7"/>
  <c r="P365" i="7"/>
  <c r="O365" i="7"/>
  <c r="N365" i="7"/>
  <c r="P364" i="7"/>
  <c r="O364" i="7"/>
  <c r="N364" i="7"/>
  <c r="P363" i="7"/>
  <c r="O363" i="7"/>
  <c r="N363" i="7"/>
  <c r="P362" i="7"/>
  <c r="O362" i="7"/>
  <c r="N362" i="7"/>
  <c r="P361" i="7"/>
  <c r="O361" i="7"/>
  <c r="N361" i="7"/>
  <c r="P360" i="7"/>
  <c r="O360" i="7"/>
  <c r="N360" i="7"/>
  <c r="P359" i="7"/>
  <c r="O359" i="7"/>
  <c r="N359" i="7"/>
  <c r="P358" i="7"/>
  <c r="O358" i="7"/>
  <c r="N358" i="7"/>
  <c r="P357" i="7"/>
  <c r="O357" i="7"/>
  <c r="N357" i="7"/>
  <c r="P356" i="7"/>
  <c r="O356" i="7"/>
  <c r="N356" i="7"/>
  <c r="P355" i="7"/>
  <c r="O355" i="7"/>
  <c r="N355" i="7"/>
  <c r="P354" i="7"/>
  <c r="O354" i="7"/>
  <c r="N354" i="7"/>
  <c r="P353" i="7"/>
  <c r="O353" i="7"/>
  <c r="N353" i="7"/>
  <c r="P352" i="7"/>
  <c r="O352" i="7"/>
  <c r="N352" i="7"/>
  <c r="P351" i="7"/>
  <c r="O351" i="7"/>
  <c r="N351" i="7"/>
  <c r="P350" i="7"/>
  <c r="O350" i="7"/>
  <c r="N350" i="7"/>
  <c r="P349" i="7"/>
  <c r="O349" i="7"/>
  <c r="N349" i="7"/>
  <c r="P348" i="7"/>
  <c r="O348" i="7"/>
  <c r="N348" i="7"/>
  <c r="P347" i="7"/>
  <c r="O347" i="7"/>
  <c r="N347" i="7"/>
  <c r="P346" i="7"/>
  <c r="O346" i="7"/>
  <c r="N346" i="7"/>
  <c r="P345" i="7"/>
  <c r="O345" i="7"/>
  <c r="N345" i="7"/>
  <c r="P344" i="7"/>
  <c r="O344" i="7"/>
  <c r="N344" i="7"/>
  <c r="P343" i="7"/>
  <c r="O343" i="7"/>
  <c r="N343" i="7"/>
  <c r="P342" i="7"/>
  <c r="O342" i="7"/>
  <c r="N342" i="7"/>
  <c r="P341" i="7"/>
  <c r="O341" i="7"/>
  <c r="N341" i="7"/>
  <c r="P340" i="7"/>
  <c r="O340" i="7"/>
  <c r="N340" i="7"/>
  <c r="P339" i="7"/>
  <c r="O339" i="7"/>
  <c r="N339" i="7"/>
  <c r="P338" i="7"/>
  <c r="O338" i="7"/>
  <c r="N338" i="7"/>
  <c r="P337" i="7"/>
  <c r="O337" i="7"/>
  <c r="N337" i="7"/>
  <c r="P336" i="7"/>
  <c r="O336" i="7"/>
  <c r="N336" i="7"/>
  <c r="P335" i="7"/>
  <c r="O335" i="7"/>
  <c r="N335" i="7"/>
  <c r="P334" i="7"/>
  <c r="O334" i="7"/>
  <c r="N334" i="7"/>
  <c r="P333" i="7"/>
  <c r="O333" i="7"/>
  <c r="N333" i="7"/>
  <c r="P332" i="7"/>
  <c r="O332" i="7"/>
  <c r="N332" i="7"/>
  <c r="P331" i="7"/>
  <c r="O331" i="7"/>
  <c r="N331" i="7"/>
  <c r="P330" i="7"/>
  <c r="O330" i="7"/>
  <c r="N330" i="7"/>
  <c r="P329" i="7"/>
  <c r="O329" i="7"/>
  <c r="N329" i="7"/>
  <c r="P328" i="7"/>
  <c r="O328" i="7"/>
  <c r="N328" i="7"/>
  <c r="P327" i="7"/>
  <c r="O327" i="7"/>
  <c r="N327" i="7"/>
  <c r="P326" i="7"/>
  <c r="O326" i="7"/>
  <c r="N326" i="7"/>
  <c r="P325" i="7"/>
  <c r="O325" i="7"/>
  <c r="N325" i="7"/>
  <c r="P324" i="7"/>
  <c r="O324" i="7"/>
  <c r="N324" i="7"/>
  <c r="P323" i="7"/>
  <c r="O323" i="7"/>
  <c r="N323" i="7"/>
  <c r="P322" i="7"/>
  <c r="O322" i="7"/>
  <c r="N322" i="7"/>
  <c r="P321" i="7"/>
  <c r="O321" i="7"/>
  <c r="N321" i="7"/>
  <c r="P320" i="7"/>
  <c r="O320" i="7"/>
  <c r="N320" i="7"/>
  <c r="P319" i="7"/>
  <c r="O319" i="7"/>
  <c r="N319" i="7"/>
  <c r="P318" i="7"/>
  <c r="O318" i="7"/>
  <c r="N318" i="7"/>
  <c r="P317" i="7"/>
  <c r="O317" i="7"/>
  <c r="N317" i="7"/>
  <c r="P316" i="7"/>
  <c r="O316" i="7"/>
  <c r="N316" i="7"/>
  <c r="P315" i="7"/>
  <c r="O315" i="7"/>
  <c r="N315" i="7"/>
  <c r="P314" i="7"/>
  <c r="O314" i="7"/>
  <c r="N314" i="7"/>
  <c r="P313" i="7"/>
  <c r="O313" i="7"/>
  <c r="N313" i="7"/>
  <c r="P312" i="7"/>
  <c r="O312" i="7"/>
  <c r="N312" i="7"/>
  <c r="P311" i="7"/>
  <c r="O311" i="7"/>
  <c r="N311" i="7"/>
  <c r="P310" i="7"/>
  <c r="O310" i="7"/>
  <c r="N310" i="7"/>
  <c r="P309" i="7"/>
  <c r="O309" i="7"/>
  <c r="N309" i="7"/>
  <c r="P308" i="7"/>
  <c r="O308" i="7"/>
  <c r="N308" i="7"/>
  <c r="P307" i="7"/>
  <c r="O307" i="7"/>
  <c r="N307" i="7"/>
  <c r="P306" i="7"/>
  <c r="O306" i="7"/>
  <c r="N306" i="7"/>
  <c r="P305" i="7"/>
  <c r="O305" i="7"/>
  <c r="N305" i="7"/>
  <c r="P304" i="7"/>
  <c r="O304" i="7"/>
  <c r="N304" i="7"/>
  <c r="P303" i="7"/>
  <c r="O303" i="7"/>
  <c r="N303" i="7"/>
  <c r="P302" i="7"/>
  <c r="O302" i="7"/>
  <c r="N302" i="7"/>
  <c r="P301" i="7"/>
  <c r="O301" i="7"/>
  <c r="N301" i="7"/>
  <c r="P300" i="7"/>
  <c r="O300" i="7"/>
  <c r="N300" i="7"/>
  <c r="P299" i="7"/>
  <c r="O299" i="7"/>
  <c r="N299" i="7"/>
  <c r="P298" i="7"/>
  <c r="O298" i="7"/>
  <c r="N298" i="7"/>
  <c r="P297" i="7"/>
  <c r="O297" i="7"/>
  <c r="N297" i="7"/>
  <c r="P296" i="7"/>
  <c r="O296" i="7"/>
  <c r="N296" i="7"/>
  <c r="P295" i="7"/>
  <c r="O295" i="7"/>
  <c r="N295" i="7"/>
  <c r="P294" i="7"/>
  <c r="O294" i="7"/>
  <c r="N294" i="7"/>
  <c r="P293" i="7"/>
  <c r="O293" i="7"/>
  <c r="N293" i="7"/>
  <c r="P292" i="7"/>
  <c r="O292" i="7"/>
  <c r="N292" i="7"/>
  <c r="P291" i="7"/>
  <c r="O291" i="7"/>
  <c r="N291" i="7"/>
  <c r="P290" i="7"/>
  <c r="O290" i="7"/>
  <c r="N290" i="7"/>
  <c r="P289" i="7"/>
  <c r="O289" i="7"/>
  <c r="N289" i="7"/>
  <c r="P288" i="7"/>
  <c r="O288" i="7"/>
  <c r="N288" i="7"/>
  <c r="P287" i="7"/>
  <c r="O287" i="7"/>
  <c r="N287" i="7"/>
  <c r="P286" i="7"/>
  <c r="O286" i="7"/>
  <c r="N286" i="7"/>
  <c r="P285" i="7"/>
  <c r="O285" i="7"/>
  <c r="N285" i="7"/>
  <c r="P284" i="7"/>
  <c r="O284" i="7"/>
  <c r="N284" i="7"/>
  <c r="P283" i="7"/>
  <c r="O283" i="7"/>
  <c r="N283" i="7"/>
  <c r="P282" i="7"/>
  <c r="O282" i="7"/>
  <c r="N282" i="7"/>
  <c r="P281" i="7"/>
  <c r="O281" i="7"/>
  <c r="N281" i="7"/>
  <c r="P280" i="7"/>
  <c r="O280" i="7"/>
  <c r="N280" i="7"/>
  <c r="P279" i="7"/>
  <c r="O279" i="7"/>
  <c r="N279" i="7"/>
  <c r="P278" i="7"/>
  <c r="O278" i="7"/>
  <c r="N278" i="7"/>
  <c r="P277" i="7"/>
  <c r="O277" i="7"/>
  <c r="N277" i="7"/>
  <c r="P276" i="7"/>
  <c r="O276" i="7"/>
  <c r="N276" i="7"/>
  <c r="P275" i="7"/>
  <c r="O275" i="7"/>
  <c r="N275" i="7"/>
  <c r="P274" i="7"/>
  <c r="O274" i="7"/>
  <c r="N274" i="7"/>
  <c r="P273" i="7"/>
  <c r="O273" i="7"/>
  <c r="N273" i="7"/>
  <c r="P272" i="7"/>
  <c r="O272" i="7"/>
  <c r="N272" i="7"/>
  <c r="P271" i="7"/>
  <c r="O271" i="7"/>
  <c r="N271" i="7"/>
  <c r="P270" i="7"/>
  <c r="O270" i="7"/>
  <c r="N270" i="7"/>
  <c r="P269" i="7"/>
  <c r="O269" i="7"/>
  <c r="N269" i="7"/>
  <c r="P268" i="7"/>
  <c r="O268" i="7"/>
  <c r="N268" i="7"/>
  <c r="P267" i="7"/>
  <c r="O267" i="7"/>
  <c r="N267" i="7"/>
  <c r="P266" i="7"/>
  <c r="O266" i="7"/>
  <c r="N266" i="7"/>
  <c r="P265" i="7"/>
  <c r="O265" i="7"/>
  <c r="N265" i="7"/>
  <c r="P264" i="7"/>
  <c r="O264" i="7"/>
  <c r="N264" i="7"/>
  <c r="P263" i="7"/>
  <c r="O263" i="7"/>
  <c r="N263" i="7"/>
  <c r="P262" i="7"/>
  <c r="O262" i="7"/>
  <c r="N262" i="7"/>
  <c r="P261" i="7"/>
  <c r="O261" i="7"/>
  <c r="N261" i="7"/>
  <c r="P260" i="7"/>
  <c r="O260" i="7"/>
  <c r="N260" i="7"/>
  <c r="P259" i="7"/>
  <c r="O259" i="7"/>
  <c r="N259" i="7"/>
  <c r="P258" i="7"/>
  <c r="O258" i="7"/>
  <c r="N258" i="7"/>
  <c r="P257" i="7"/>
  <c r="O257" i="7"/>
  <c r="N257" i="7"/>
  <c r="P256" i="7"/>
  <c r="O256" i="7"/>
  <c r="N256" i="7"/>
  <c r="P255" i="7"/>
  <c r="O255" i="7"/>
  <c r="N255" i="7"/>
  <c r="P254" i="7"/>
  <c r="O254" i="7"/>
  <c r="N254" i="7"/>
  <c r="P253" i="7"/>
  <c r="O253" i="7"/>
  <c r="N253" i="7"/>
  <c r="P252" i="7"/>
  <c r="O252" i="7"/>
  <c r="N252" i="7"/>
  <c r="P251" i="7"/>
  <c r="O251" i="7"/>
  <c r="N251" i="7"/>
  <c r="P250" i="7"/>
  <c r="O250" i="7"/>
  <c r="N250" i="7"/>
  <c r="P249" i="7"/>
  <c r="O249" i="7"/>
  <c r="N249" i="7"/>
  <c r="P248" i="7"/>
  <c r="O248" i="7"/>
  <c r="N248" i="7"/>
  <c r="P247" i="7"/>
  <c r="O247" i="7"/>
  <c r="N247" i="7"/>
  <c r="P246" i="7"/>
  <c r="O246" i="7"/>
  <c r="N246" i="7"/>
  <c r="P245" i="7"/>
  <c r="O245" i="7"/>
  <c r="N245" i="7"/>
  <c r="P244" i="7"/>
  <c r="O244" i="7"/>
  <c r="N244" i="7"/>
  <c r="P243" i="7"/>
  <c r="O243" i="7"/>
  <c r="N243" i="7"/>
  <c r="P242" i="7"/>
  <c r="O242" i="7"/>
  <c r="N242" i="7"/>
  <c r="P241" i="7"/>
  <c r="O241" i="7"/>
  <c r="N241" i="7"/>
  <c r="P240" i="7"/>
  <c r="O240" i="7"/>
  <c r="N240" i="7"/>
  <c r="P239" i="7"/>
  <c r="O239" i="7"/>
  <c r="N239" i="7"/>
  <c r="P238" i="7"/>
  <c r="O238" i="7"/>
  <c r="N238" i="7"/>
  <c r="P237" i="7"/>
  <c r="O237" i="7"/>
  <c r="N237" i="7"/>
  <c r="P236" i="7"/>
  <c r="O236" i="7"/>
  <c r="N236" i="7"/>
  <c r="P235" i="7"/>
  <c r="O235" i="7"/>
  <c r="N235" i="7"/>
  <c r="P234" i="7"/>
  <c r="O234" i="7"/>
  <c r="N234" i="7"/>
  <c r="P233" i="7"/>
  <c r="O233" i="7"/>
  <c r="N233" i="7"/>
  <c r="P232" i="7"/>
  <c r="O232" i="7"/>
  <c r="N232" i="7"/>
  <c r="P231" i="7"/>
  <c r="O231" i="7"/>
  <c r="N231" i="7"/>
  <c r="P230" i="7"/>
  <c r="O230" i="7"/>
  <c r="N230" i="7"/>
  <c r="P229" i="7"/>
  <c r="O229" i="7"/>
  <c r="N229" i="7"/>
  <c r="P228" i="7"/>
  <c r="O228" i="7"/>
  <c r="N228" i="7"/>
  <c r="P227" i="7"/>
  <c r="O227" i="7"/>
  <c r="N227" i="7"/>
  <c r="P226" i="7"/>
  <c r="O226" i="7"/>
  <c r="N226" i="7"/>
  <c r="P224" i="7"/>
  <c r="O224" i="7"/>
  <c r="N224" i="7"/>
  <c r="P223" i="7"/>
  <c r="O223" i="7"/>
  <c r="N223" i="7"/>
  <c r="P222" i="7"/>
  <c r="O222" i="7"/>
  <c r="N222" i="7"/>
  <c r="P221" i="7"/>
  <c r="O221" i="7"/>
  <c r="N221" i="7"/>
  <c r="P220" i="7"/>
  <c r="O220" i="7"/>
  <c r="N220" i="7"/>
  <c r="P219" i="7"/>
  <c r="O219" i="7"/>
  <c r="N219" i="7"/>
  <c r="P218" i="7"/>
  <c r="O218" i="7"/>
  <c r="N218" i="7"/>
  <c r="P217" i="7"/>
  <c r="O217" i="7"/>
  <c r="N217" i="7"/>
  <c r="P216" i="7"/>
  <c r="O216" i="7"/>
  <c r="N216" i="7"/>
  <c r="P215" i="7"/>
  <c r="O215" i="7"/>
  <c r="N215" i="7"/>
  <c r="P214" i="7"/>
  <c r="O214" i="7"/>
  <c r="N214" i="7"/>
  <c r="P213" i="7"/>
  <c r="O213" i="7"/>
  <c r="N213" i="7"/>
  <c r="P212" i="7"/>
  <c r="O212" i="7"/>
  <c r="N212" i="7"/>
  <c r="P211" i="7"/>
  <c r="O211" i="7"/>
  <c r="N211" i="7"/>
  <c r="P210" i="7"/>
  <c r="O210" i="7"/>
  <c r="N210" i="7"/>
  <c r="P209" i="7"/>
  <c r="O209" i="7"/>
  <c r="N209" i="7"/>
  <c r="P208" i="7"/>
  <c r="O208" i="7"/>
  <c r="N208" i="7"/>
  <c r="P207" i="7"/>
  <c r="O207" i="7"/>
  <c r="N207" i="7"/>
  <c r="P206" i="7"/>
  <c r="O206" i="7"/>
  <c r="N206" i="7"/>
  <c r="P205" i="7"/>
  <c r="O205" i="7"/>
  <c r="N205" i="7"/>
  <c r="P204" i="7"/>
  <c r="O204" i="7"/>
  <c r="N204" i="7"/>
  <c r="P203" i="7"/>
  <c r="O203" i="7"/>
  <c r="N203" i="7"/>
  <c r="P202" i="7"/>
  <c r="O202" i="7"/>
  <c r="N202" i="7"/>
  <c r="P201" i="7"/>
  <c r="O201" i="7"/>
  <c r="N201" i="7"/>
  <c r="P200" i="7"/>
  <c r="O200" i="7"/>
  <c r="N200" i="7"/>
  <c r="P199" i="7"/>
  <c r="O199" i="7"/>
  <c r="N199" i="7"/>
  <c r="P195" i="7"/>
  <c r="O195" i="7"/>
  <c r="N195" i="7"/>
  <c r="P194" i="7"/>
  <c r="O194" i="7"/>
  <c r="N194" i="7"/>
  <c r="P193" i="7"/>
  <c r="O193" i="7"/>
  <c r="N193" i="7"/>
  <c r="P192" i="7"/>
  <c r="O192" i="7"/>
  <c r="N192" i="7"/>
  <c r="P191" i="7"/>
  <c r="O191" i="7"/>
  <c r="N191" i="7"/>
  <c r="P190" i="7"/>
  <c r="O190" i="7"/>
  <c r="N190" i="7"/>
  <c r="P189" i="7"/>
  <c r="O189" i="7"/>
  <c r="N189" i="7"/>
  <c r="P188" i="7"/>
  <c r="O188" i="7"/>
  <c r="N188" i="7"/>
  <c r="P187" i="7"/>
  <c r="O187" i="7"/>
  <c r="N187" i="7"/>
  <c r="P186" i="7"/>
  <c r="O186" i="7"/>
  <c r="N186" i="7"/>
  <c r="P185" i="7"/>
  <c r="O185" i="7"/>
  <c r="N185" i="7"/>
  <c r="P184" i="7"/>
  <c r="O184" i="7"/>
  <c r="N184" i="7"/>
  <c r="P183" i="7"/>
  <c r="O183" i="7"/>
  <c r="N183" i="7"/>
  <c r="P182" i="7"/>
  <c r="O182" i="7"/>
  <c r="N182" i="7"/>
  <c r="P181" i="7"/>
  <c r="O181" i="7"/>
  <c r="N181" i="7"/>
  <c r="P180" i="7"/>
  <c r="O180" i="7"/>
  <c r="N180" i="7"/>
  <c r="P179" i="7"/>
  <c r="O179" i="7"/>
  <c r="N179" i="7"/>
  <c r="P178" i="7"/>
  <c r="O178" i="7"/>
  <c r="N178" i="7"/>
  <c r="P177" i="7"/>
  <c r="O177" i="7"/>
  <c r="N177" i="7"/>
  <c r="P176" i="7"/>
  <c r="O176" i="7"/>
  <c r="N176" i="7"/>
  <c r="P175" i="7"/>
  <c r="O175" i="7"/>
  <c r="N175" i="7"/>
  <c r="P174" i="7"/>
  <c r="O174" i="7"/>
  <c r="N174" i="7"/>
  <c r="P173" i="7"/>
  <c r="O173" i="7"/>
  <c r="N173" i="7"/>
  <c r="P172" i="7"/>
  <c r="O172" i="7"/>
  <c r="N172" i="7"/>
  <c r="P171" i="7"/>
  <c r="O171" i="7"/>
  <c r="N171" i="7"/>
  <c r="P170" i="7"/>
  <c r="O170" i="7"/>
  <c r="N170" i="7"/>
  <c r="P169" i="7"/>
  <c r="O169" i="7"/>
  <c r="N169" i="7"/>
  <c r="P168" i="7"/>
  <c r="O168" i="7"/>
  <c r="N168" i="7"/>
  <c r="P167" i="7"/>
  <c r="O167" i="7"/>
  <c r="N167" i="7"/>
  <c r="P166" i="7"/>
  <c r="O166" i="7"/>
  <c r="N166" i="7"/>
  <c r="P165" i="7"/>
  <c r="O165" i="7"/>
  <c r="N165" i="7"/>
  <c r="P164" i="7"/>
  <c r="O164" i="7"/>
  <c r="N164" i="7"/>
  <c r="P163" i="7"/>
  <c r="O163" i="7"/>
  <c r="N163" i="7"/>
  <c r="P162" i="7"/>
  <c r="O162" i="7"/>
  <c r="N162" i="7"/>
  <c r="P161" i="7"/>
  <c r="O161" i="7"/>
  <c r="N161" i="7"/>
  <c r="P160" i="7"/>
  <c r="O160" i="7"/>
  <c r="N160" i="7"/>
  <c r="P159" i="7"/>
  <c r="O159" i="7"/>
  <c r="N159" i="7"/>
  <c r="P158" i="7"/>
  <c r="O158" i="7"/>
  <c r="N158" i="7"/>
  <c r="P157" i="7"/>
  <c r="O157" i="7"/>
  <c r="N157" i="7"/>
  <c r="P156" i="7"/>
  <c r="O156" i="7"/>
  <c r="N156" i="7"/>
  <c r="P155" i="7"/>
  <c r="O155" i="7"/>
  <c r="N155" i="7"/>
  <c r="P154" i="7"/>
  <c r="O154" i="7"/>
  <c r="N154" i="7"/>
  <c r="P153" i="7"/>
  <c r="O153" i="7"/>
  <c r="N153" i="7"/>
  <c r="P152" i="7"/>
  <c r="O152" i="7"/>
  <c r="N152" i="7"/>
  <c r="P151" i="7"/>
  <c r="O151" i="7"/>
  <c r="N151" i="7"/>
  <c r="P150" i="7"/>
  <c r="O150" i="7"/>
  <c r="N150" i="7"/>
  <c r="P149" i="7"/>
  <c r="O149" i="7"/>
  <c r="N149" i="7"/>
  <c r="P148" i="7"/>
  <c r="O148" i="7"/>
  <c r="N148" i="7"/>
  <c r="P147" i="7"/>
  <c r="O147" i="7"/>
  <c r="N147" i="7"/>
  <c r="P146" i="7"/>
  <c r="O146" i="7"/>
  <c r="N146" i="7"/>
  <c r="P145" i="7"/>
  <c r="O145" i="7"/>
  <c r="N145" i="7"/>
  <c r="P144" i="7"/>
  <c r="O144" i="7"/>
  <c r="N144" i="7"/>
  <c r="P143" i="7"/>
  <c r="O143" i="7"/>
  <c r="N143" i="7"/>
  <c r="P142" i="7"/>
  <c r="O142" i="7"/>
  <c r="N142" i="7"/>
  <c r="P141" i="7"/>
  <c r="O141" i="7"/>
  <c r="N141" i="7"/>
  <c r="P140" i="7"/>
  <c r="O140" i="7"/>
  <c r="N140" i="7"/>
  <c r="P139" i="7"/>
  <c r="O139" i="7"/>
  <c r="N139" i="7"/>
  <c r="P138" i="7"/>
  <c r="O138" i="7"/>
  <c r="N138" i="7"/>
  <c r="P137" i="7"/>
  <c r="O137" i="7"/>
  <c r="N137" i="7"/>
  <c r="P136" i="7"/>
  <c r="O136" i="7"/>
  <c r="N136" i="7"/>
  <c r="P135" i="7"/>
  <c r="O135" i="7"/>
  <c r="N135" i="7"/>
  <c r="P134" i="7"/>
  <c r="O134" i="7"/>
  <c r="N134" i="7"/>
  <c r="P133" i="7"/>
  <c r="O133" i="7"/>
  <c r="N133" i="7"/>
  <c r="P132" i="7"/>
  <c r="O132" i="7"/>
  <c r="N132" i="7"/>
  <c r="P131" i="7"/>
  <c r="O131" i="7"/>
  <c r="N131" i="7"/>
  <c r="P130" i="7"/>
  <c r="O130" i="7"/>
  <c r="N130" i="7"/>
  <c r="P129" i="7"/>
  <c r="O129" i="7"/>
  <c r="N129" i="7"/>
  <c r="P128" i="7"/>
  <c r="O128" i="7"/>
  <c r="N128" i="7"/>
  <c r="P127" i="7"/>
  <c r="O127" i="7"/>
  <c r="N127" i="7"/>
  <c r="P126" i="7"/>
  <c r="O126" i="7"/>
  <c r="N126" i="7"/>
  <c r="P125" i="7"/>
  <c r="O125" i="7"/>
  <c r="N125" i="7"/>
  <c r="P124" i="7"/>
  <c r="O124" i="7"/>
  <c r="N124" i="7"/>
  <c r="P123" i="7"/>
  <c r="O123" i="7"/>
  <c r="N123" i="7"/>
  <c r="P122" i="7"/>
  <c r="O122" i="7"/>
  <c r="N122" i="7"/>
  <c r="P121" i="7"/>
  <c r="O121" i="7"/>
  <c r="N121" i="7"/>
  <c r="P120" i="7"/>
  <c r="O120" i="7"/>
  <c r="N120" i="7"/>
  <c r="P119" i="7"/>
  <c r="O119" i="7"/>
  <c r="N119" i="7"/>
  <c r="P118" i="7"/>
  <c r="O118" i="7"/>
  <c r="N118" i="7"/>
  <c r="P117" i="7"/>
  <c r="O117" i="7"/>
  <c r="N117" i="7"/>
  <c r="P116" i="7"/>
  <c r="O116" i="7"/>
  <c r="N116" i="7"/>
  <c r="P115" i="7"/>
  <c r="O115" i="7"/>
  <c r="N115" i="7"/>
  <c r="P114" i="7"/>
  <c r="O114" i="7"/>
  <c r="N114" i="7"/>
  <c r="P113" i="7"/>
  <c r="O113" i="7"/>
  <c r="N113" i="7"/>
  <c r="P112" i="7"/>
  <c r="O112" i="7"/>
  <c r="N112" i="7"/>
  <c r="P111" i="7"/>
  <c r="O111" i="7"/>
  <c r="N111" i="7"/>
  <c r="P110" i="7"/>
  <c r="O110" i="7"/>
  <c r="N110" i="7"/>
  <c r="P109" i="7"/>
  <c r="O109" i="7"/>
  <c r="N109" i="7"/>
  <c r="P108" i="7"/>
  <c r="O108" i="7"/>
  <c r="N108" i="7"/>
  <c r="P107" i="7"/>
  <c r="O107" i="7"/>
  <c r="N107" i="7"/>
  <c r="P106" i="7"/>
  <c r="O106" i="7"/>
  <c r="N106" i="7"/>
  <c r="P105" i="7"/>
  <c r="O105" i="7"/>
  <c r="N105" i="7"/>
  <c r="P104" i="7"/>
  <c r="O104" i="7"/>
  <c r="N104" i="7"/>
  <c r="P103" i="7"/>
  <c r="O103" i="7"/>
  <c r="N103" i="7"/>
  <c r="P102" i="7"/>
  <c r="O102" i="7"/>
  <c r="N102" i="7"/>
  <c r="P101" i="7"/>
  <c r="O101" i="7"/>
  <c r="N101" i="7"/>
  <c r="P100" i="7"/>
  <c r="O100" i="7"/>
  <c r="N100" i="7"/>
  <c r="P99" i="7"/>
  <c r="O99" i="7"/>
  <c r="N99" i="7"/>
  <c r="P98" i="7"/>
  <c r="O98" i="7"/>
  <c r="N98" i="7"/>
  <c r="P97" i="7"/>
  <c r="O97" i="7"/>
  <c r="N97" i="7"/>
  <c r="P96" i="7"/>
  <c r="O96" i="7"/>
  <c r="N96" i="7"/>
  <c r="P95" i="7"/>
  <c r="O95" i="7"/>
  <c r="N95" i="7"/>
  <c r="P94" i="7"/>
  <c r="O94" i="7"/>
  <c r="N94" i="7"/>
  <c r="P93" i="7"/>
  <c r="O93" i="7"/>
  <c r="N93" i="7"/>
  <c r="P92" i="7"/>
  <c r="O92" i="7"/>
  <c r="N92" i="7"/>
  <c r="P91" i="7"/>
  <c r="O91" i="7"/>
  <c r="N91" i="7"/>
  <c r="P90" i="7"/>
  <c r="O90" i="7"/>
  <c r="N90" i="7"/>
  <c r="P89" i="7"/>
  <c r="O89" i="7"/>
  <c r="N89" i="7"/>
  <c r="P88" i="7"/>
  <c r="O88" i="7"/>
  <c r="N88" i="7"/>
  <c r="P87" i="7"/>
  <c r="O87" i="7"/>
  <c r="N87" i="7"/>
  <c r="P86" i="7"/>
  <c r="O86" i="7"/>
  <c r="N86" i="7"/>
  <c r="P85" i="7"/>
  <c r="O85" i="7"/>
  <c r="N85" i="7"/>
  <c r="P84" i="7"/>
  <c r="O84" i="7"/>
  <c r="N84" i="7"/>
  <c r="P83" i="7"/>
  <c r="O83" i="7"/>
  <c r="N83" i="7"/>
  <c r="P82" i="7"/>
  <c r="O82" i="7"/>
  <c r="N82" i="7"/>
  <c r="P81" i="7"/>
  <c r="O81" i="7"/>
  <c r="N81" i="7"/>
  <c r="P80" i="7"/>
  <c r="O80" i="7"/>
  <c r="N80" i="7"/>
  <c r="P79" i="7"/>
  <c r="O79" i="7"/>
  <c r="N79" i="7"/>
  <c r="P78" i="7"/>
  <c r="O78" i="7"/>
  <c r="N78" i="7"/>
  <c r="P77" i="7"/>
  <c r="O77" i="7"/>
  <c r="N77" i="7"/>
  <c r="P76" i="7"/>
  <c r="O76" i="7"/>
  <c r="N76" i="7"/>
  <c r="P75" i="7"/>
  <c r="O75" i="7"/>
  <c r="N75" i="7"/>
  <c r="P74" i="7"/>
  <c r="O74" i="7"/>
  <c r="N74" i="7"/>
  <c r="P73" i="7"/>
  <c r="O73" i="7"/>
  <c r="N73" i="7"/>
  <c r="P72" i="7"/>
  <c r="O72" i="7"/>
  <c r="N72" i="7"/>
  <c r="P71" i="7"/>
  <c r="O71" i="7"/>
  <c r="N71" i="7"/>
  <c r="P70" i="7"/>
  <c r="O70" i="7"/>
  <c r="N70" i="7"/>
  <c r="P69" i="7"/>
  <c r="O69" i="7"/>
  <c r="N69" i="7"/>
  <c r="P68" i="7"/>
  <c r="O68" i="7"/>
  <c r="N68" i="7"/>
  <c r="P67" i="7"/>
  <c r="O67" i="7"/>
  <c r="N67" i="7"/>
  <c r="P66" i="7"/>
  <c r="O66" i="7"/>
  <c r="N66" i="7"/>
  <c r="P65" i="7"/>
  <c r="O65" i="7"/>
  <c r="N65" i="7"/>
  <c r="P64" i="7"/>
  <c r="O64" i="7"/>
  <c r="N64" i="7"/>
  <c r="P63" i="7"/>
  <c r="O63" i="7"/>
  <c r="N63" i="7"/>
  <c r="P62" i="7"/>
  <c r="O62" i="7"/>
  <c r="N62" i="7"/>
  <c r="P61" i="7"/>
  <c r="O61" i="7"/>
  <c r="N61" i="7"/>
  <c r="P60" i="7"/>
  <c r="O60" i="7"/>
  <c r="N60" i="7"/>
  <c r="P59" i="7"/>
  <c r="O59" i="7"/>
  <c r="N59" i="7"/>
  <c r="P58" i="7"/>
  <c r="O58" i="7"/>
  <c r="N58" i="7"/>
  <c r="P57" i="7"/>
  <c r="O57" i="7"/>
  <c r="N57" i="7"/>
  <c r="P56" i="7"/>
  <c r="O56" i="7"/>
  <c r="N56" i="7"/>
  <c r="P55" i="7"/>
  <c r="O55" i="7"/>
  <c r="N55" i="7"/>
  <c r="P54" i="7"/>
  <c r="O54" i="7"/>
  <c r="N54" i="7"/>
  <c r="P53" i="7"/>
  <c r="O53" i="7"/>
  <c r="N53" i="7"/>
  <c r="P52" i="7"/>
  <c r="O52" i="7"/>
  <c r="N52" i="7"/>
  <c r="P51" i="7"/>
  <c r="O51" i="7"/>
  <c r="N51" i="7"/>
  <c r="P50" i="7"/>
  <c r="O50" i="7"/>
  <c r="N50" i="7"/>
  <c r="P49" i="7"/>
  <c r="O49" i="7"/>
  <c r="N49" i="7"/>
  <c r="P48" i="7"/>
  <c r="O48" i="7"/>
  <c r="N48" i="7"/>
  <c r="P47" i="7"/>
  <c r="O47" i="7"/>
  <c r="N47" i="7"/>
  <c r="P46" i="7"/>
  <c r="O46" i="7"/>
  <c r="N46" i="7"/>
  <c r="P45" i="7"/>
  <c r="O45" i="7"/>
  <c r="N45" i="7"/>
  <c r="P44" i="7"/>
  <c r="O44" i="7"/>
  <c r="N44" i="7"/>
  <c r="P43" i="7"/>
  <c r="O43" i="7"/>
  <c r="N43" i="7"/>
  <c r="P42" i="7"/>
  <c r="O42" i="7"/>
  <c r="N42" i="7"/>
  <c r="P41" i="7"/>
  <c r="O41" i="7"/>
  <c r="N41" i="7"/>
  <c r="P40" i="7"/>
  <c r="O40" i="7"/>
  <c r="N40" i="7"/>
  <c r="P39" i="7"/>
  <c r="O39" i="7"/>
  <c r="N39" i="7"/>
  <c r="P38" i="7"/>
  <c r="O38" i="7"/>
  <c r="N38" i="7"/>
  <c r="P37" i="7"/>
  <c r="O37" i="7"/>
  <c r="N37" i="7"/>
  <c r="P36" i="7"/>
  <c r="O36" i="7"/>
  <c r="N36" i="7"/>
  <c r="P35" i="7"/>
  <c r="O35" i="7"/>
  <c r="N35" i="7"/>
  <c r="P34" i="7"/>
  <c r="O34" i="7"/>
  <c r="N34" i="7"/>
  <c r="P33" i="7"/>
  <c r="O33" i="7"/>
  <c r="N33" i="7"/>
  <c r="P32" i="7"/>
  <c r="O32" i="7"/>
  <c r="N32" i="7"/>
  <c r="P31" i="7"/>
  <c r="O31" i="7"/>
  <c r="N31" i="7"/>
  <c r="P30" i="7"/>
  <c r="O30" i="7"/>
  <c r="N30" i="7"/>
  <c r="P29" i="7"/>
  <c r="O29" i="7"/>
  <c r="N29" i="7"/>
  <c r="P28" i="7"/>
  <c r="O28" i="7"/>
  <c r="N28" i="7"/>
  <c r="P27" i="7"/>
  <c r="O27" i="7"/>
  <c r="N27" i="7"/>
  <c r="P26" i="7"/>
  <c r="O26" i="7"/>
  <c r="N26" i="7"/>
  <c r="P25" i="7"/>
  <c r="O25" i="7"/>
  <c r="N25" i="7"/>
  <c r="P24" i="7"/>
  <c r="O24" i="7"/>
  <c r="N24" i="7"/>
  <c r="P23" i="7"/>
  <c r="O23" i="7"/>
  <c r="N23" i="7"/>
  <c r="P22" i="7"/>
  <c r="O22" i="7"/>
  <c r="N22" i="7"/>
  <c r="P21" i="7"/>
  <c r="O21" i="7"/>
  <c r="N21" i="7"/>
  <c r="P20" i="7"/>
  <c r="O20" i="7"/>
  <c r="N20" i="7"/>
  <c r="P18" i="7"/>
  <c r="O18" i="7"/>
  <c r="N18" i="7"/>
  <c r="P17" i="7"/>
  <c r="O17" i="7"/>
  <c r="N17" i="7"/>
  <c r="P16" i="7"/>
  <c r="O16" i="7"/>
  <c r="N16" i="7"/>
  <c r="P15" i="7"/>
  <c r="O15" i="7"/>
  <c r="N15" i="7"/>
  <c r="P14" i="7"/>
  <c r="O14" i="7"/>
  <c r="N14" i="7"/>
  <c r="P13" i="7"/>
  <c r="O13" i="7"/>
  <c r="N13" i="7"/>
  <c r="P12" i="7"/>
  <c r="O12" i="7"/>
  <c r="N12" i="7"/>
  <c r="P11" i="7"/>
  <c r="O11" i="7"/>
  <c r="N11" i="7"/>
  <c r="P10" i="7"/>
  <c r="O10" i="7"/>
  <c r="N10" i="7"/>
  <c r="P9" i="7"/>
  <c r="O9" i="7"/>
  <c r="N9" i="7"/>
  <c r="P8" i="7"/>
  <c r="O8" i="7"/>
  <c r="N8" i="7"/>
  <c r="P7" i="7"/>
  <c r="O7" i="7"/>
  <c r="N7" i="7"/>
  <c r="P6" i="7"/>
  <c r="O6" i="7"/>
  <c r="N6" i="7"/>
  <c r="P5" i="7"/>
  <c r="O5" i="7"/>
  <c r="N5" i="7"/>
  <c r="P19" i="7"/>
  <c r="O19" i="7"/>
  <c r="N19" i="7"/>
  <c r="N611" i="2"/>
  <c r="N610" i="2"/>
  <c r="N609" i="2"/>
  <c r="N608" i="2"/>
  <c r="N607" i="2"/>
  <c r="N606" i="2"/>
  <c r="N605" i="2"/>
  <c r="N604" i="2"/>
  <c r="N603" i="2"/>
  <c r="N602" i="2"/>
  <c r="N5" i="8" l="1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L204" i="8"/>
  <c r="N204" i="8" s="1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543" i="8"/>
  <c r="N544" i="8"/>
  <c r="N545" i="8"/>
  <c r="N546" i="8"/>
  <c r="N547" i="8"/>
  <c r="N548" i="8"/>
  <c r="N549" i="8"/>
  <c r="L550" i="8"/>
  <c r="N550" i="8" s="1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P1005" i="5"/>
  <c r="O1005" i="5"/>
  <c r="N1005" i="5"/>
  <c r="P1004" i="5"/>
  <c r="O1004" i="5"/>
  <c r="N1004" i="5"/>
  <c r="P1003" i="5"/>
  <c r="O1003" i="5"/>
  <c r="N1003" i="5"/>
  <c r="P1002" i="5"/>
  <c r="O1002" i="5"/>
  <c r="N1002" i="5"/>
  <c r="P1001" i="5"/>
  <c r="O1001" i="5"/>
  <c r="N1001" i="5"/>
  <c r="P1000" i="5"/>
  <c r="O1000" i="5"/>
  <c r="N1000" i="5"/>
  <c r="P999" i="5"/>
  <c r="O999" i="5"/>
  <c r="N999" i="5"/>
  <c r="P998" i="5"/>
  <c r="O998" i="5"/>
  <c r="N998" i="5"/>
  <c r="P997" i="5"/>
  <c r="O997" i="5"/>
  <c r="N997" i="5"/>
  <c r="P996" i="5"/>
  <c r="O996" i="5"/>
  <c r="N996" i="5"/>
  <c r="P995" i="5"/>
  <c r="O995" i="5"/>
  <c r="N995" i="5"/>
  <c r="P993" i="5"/>
  <c r="O993" i="5"/>
  <c r="N993" i="5"/>
  <c r="P992" i="5"/>
  <c r="O992" i="5"/>
  <c r="N992" i="5"/>
  <c r="P991" i="5"/>
  <c r="O991" i="5"/>
  <c r="N991" i="5"/>
  <c r="P990" i="5"/>
  <c r="O990" i="5"/>
  <c r="N990" i="5"/>
  <c r="P989" i="5"/>
  <c r="O989" i="5"/>
  <c r="N989" i="5"/>
  <c r="P988" i="5"/>
  <c r="O988" i="5"/>
  <c r="N988" i="5"/>
  <c r="P987" i="5"/>
  <c r="O987" i="5"/>
  <c r="N987" i="5"/>
  <c r="P986" i="5"/>
  <c r="O986" i="5"/>
  <c r="N986" i="5"/>
  <c r="P985" i="5"/>
  <c r="O985" i="5"/>
  <c r="N985" i="5"/>
  <c r="P984" i="5"/>
  <c r="O984" i="5"/>
  <c r="N984" i="5"/>
  <c r="P983" i="5"/>
  <c r="O983" i="5"/>
  <c r="N983" i="5"/>
  <c r="P982" i="5"/>
  <c r="O982" i="5"/>
  <c r="N982" i="5"/>
  <c r="P981" i="5"/>
  <c r="O981" i="5"/>
  <c r="N981" i="5"/>
  <c r="P980" i="5"/>
  <c r="O980" i="5"/>
  <c r="N980" i="5"/>
  <c r="P979" i="5"/>
  <c r="O979" i="5"/>
  <c r="N979" i="5"/>
  <c r="P978" i="5"/>
  <c r="O978" i="5"/>
  <c r="N978" i="5"/>
  <c r="P977" i="5"/>
  <c r="O977" i="5"/>
  <c r="N977" i="5"/>
  <c r="P976" i="5"/>
  <c r="O976" i="5"/>
  <c r="N976" i="5"/>
  <c r="P975" i="5"/>
  <c r="O975" i="5"/>
  <c r="N975" i="5"/>
  <c r="P974" i="5"/>
  <c r="O974" i="5"/>
  <c r="N974" i="5"/>
  <c r="P973" i="5"/>
  <c r="O973" i="5"/>
  <c r="N973" i="5"/>
  <c r="P972" i="5"/>
  <c r="O972" i="5"/>
  <c r="N972" i="5"/>
  <c r="P971" i="5"/>
  <c r="O971" i="5"/>
  <c r="N971" i="5"/>
  <c r="P970" i="5"/>
  <c r="O970" i="5"/>
  <c r="N970" i="5"/>
  <c r="P969" i="5"/>
  <c r="O969" i="5"/>
  <c r="N969" i="5"/>
  <c r="P968" i="5"/>
  <c r="O968" i="5"/>
  <c r="N968" i="5"/>
  <c r="P967" i="5"/>
  <c r="O967" i="5"/>
  <c r="N967" i="5"/>
  <c r="P966" i="5"/>
  <c r="O966" i="5"/>
  <c r="N966" i="5"/>
  <c r="P965" i="5"/>
  <c r="O965" i="5"/>
  <c r="N965" i="5"/>
  <c r="P964" i="5"/>
  <c r="O964" i="5"/>
  <c r="N964" i="5"/>
  <c r="P963" i="5"/>
  <c r="O963" i="5"/>
  <c r="N963" i="5"/>
  <c r="P962" i="5"/>
  <c r="O962" i="5"/>
  <c r="N962" i="5"/>
  <c r="P961" i="5"/>
  <c r="O961" i="5"/>
  <c r="N961" i="5"/>
  <c r="P960" i="5"/>
  <c r="O960" i="5"/>
  <c r="N960" i="5"/>
  <c r="P959" i="5"/>
  <c r="O959" i="5"/>
  <c r="N959" i="5"/>
  <c r="P958" i="5"/>
  <c r="O958" i="5"/>
  <c r="N958" i="5"/>
  <c r="P957" i="5"/>
  <c r="O957" i="5"/>
  <c r="N957" i="5"/>
  <c r="P956" i="5"/>
  <c r="O956" i="5"/>
  <c r="N956" i="5"/>
  <c r="P955" i="5"/>
  <c r="O955" i="5"/>
  <c r="N955" i="5"/>
  <c r="P954" i="5"/>
  <c r="O954" i="5"/>
  <c r="N954" i="5"/>
  <c r="P953" i="5"/>
  <c r="O953" i="5"/>
  <c r="N953" i="5"/>
  <c r="P952" i="5"/>
  <c r="O952" i="5"/>
  <c r="N952" i="5"/>
  <c r="P951" i="5"/>
  <c r="O951" i="5"/>
  <c r="N951" i="5"/>
  <c r="P950" i="5"/>
  <c r="O950" i="5"/>
  <c r="N950" i="5"/>
  <c r="P949" i="5"/>
  <c r="O949" i="5"/>
  <c r="N949" i="5"/>
  <c r="P948" i="5"/>
  <c r="O948" i="5"/>
  <c r="N948" i="5"/>
  <c r="P947" i="5"/>
  <c r="O947" i="5"/>
  <c r="N947" i="5"/>
  <c r="P946" i="5"/>
  <c r="O946" i="5"/>
  <c r="N946" i="5"/>
  <c r="P945" i="5"/>
  <c r="O945" i="5"/>
  <c r="N945" i="5"/>
  <c r="P944" i="5"/>
  <c r="O944" i="5"/>
  <c r="N944" i="5"/>
  <c r="P943" i="5"/>
  <c r="O943" i="5"/>
  <c r="N943" i="5"/>
  <c r="P942" i="5"/>
  <c r="O942" i="5"/>
  <c r="N942" i="5"/>
  <c r="P941" i="5"/>
  <c r="O941" i="5"/>
  <c r="N941" i="5"/>
  <c r="P940" i="5"/>
  <c r="O940" i="5"/>
  <c r="N940" i="5"/>
  <c r="P939" i="5"/>
  <c r="O939" i="5"/>
  <c r="N939" i="5"/>
  <c r="P938" i="5"/>
  <c r="O938" i="5"/>
  <c r="N938" i="5"/>
  <c r="P937" i="5"/>
  <c r="O937" i="5"/>
  <c r="N937" i="5"/>
  <c r="P936" i="5"/>
  <c r="O936" i="5"/>
  <c r="N936" i="5"/>
  <c r="P935" i="5"/>
  <c r="O935" i="5"/>
  <c r="N935" i="5"/>
  <c r="P934" i="5"/>
  <c r="O934" i="5"/>
  <c r="N934" i="5"/>
  <c r="P933" i="5"/>
  <c r="O933" i="5"/>
  <c r="N933" i="5"/>
  <c r="P932" i="5"/>
  <c r="O932" i="5"/>
  <c r="N932" i="5"/>
  <c r="P931" i="5"/>
  <c r="O931" i="5"/>
  <c r="N931" i="5"/>
  <c r="P930" i="5"/>
  <c r="O930" i="5"/>
  <c r="N930" i="5"/>
  <c r="P929" i="5"/>
  <c r="O929" i="5"/>
  <c r="N929" i="5"/>
  <c r="P928" i="5"/>
  <c r="O928" i="5"/>
  <c r="N928" i="5"/>
  <c r="P927" i="5"/>
  <c r="O927" i="5"/>
  <c r="N927" i="5"/>
  <c r="P926" i="5"/>
  <c r="O926" i="5"/>
  <c r="N926" i="5"/>
  <c r="P925" i="5"/>
  <c r="O925" i="5"/>
  <c r="N925" i="5"/>
  <c r="P924" i="5"/>
  <c r="O924" i="5"/>
  <c r="N924" i="5"/>
  <c r="P923" i="5"/>
  <c r="O923" i="5"/>
  <c r="N923" i="5"/>
  <c r="P922" i="5"/>
  <c r="O922" i="5"/>
  <c r="N922" i="5"/>
  <c r="P921" i="5"/>
  <c r="O921" i="5"/>
  <c r="N921" i="5"/>
  <c r="P920" i="5"/>
  <c r="O920" i="5"/>
  <c r="N920" i="5"/>
  <c r="P919" i="5"/>
  <c r="O919" i="5"/>
  <c r="N919" i="5"/>
  <c r="P918" i="5"/>
  <c r="O918" i="5"/>
  <c r="N918" i="5"/>
  <c r="P917" i="5"/>
  <c r="O917" i="5"/>
  <c r="N917" i="5"/>
  <c r="P916" i="5"/>
  <c r="O916" i="5"/>
  <c r="N916" i="5"/>
  <c r="P915" i="5"/>
  <c r="O915" i="5"/>
  <c r="N915" i="5"/>
  <c r="P914" i="5"/>
  <c r="O914" i="5"/>
  <c r="N914" i="5"/>
  <c r="P913" i="5"/>
  <c r="O913" i="5"/>
  <c r="N913" i="5"/>
  <c r="P912" i="5"/>
  <c r="O912" i="5"/>
  <c r="N912" i="5"/>
  <c r="P911" i="5"/>
  <c r="O911" i="5"/>
  <c r="N911" i="5"/>
  <c r="P910" i="5"/>
  <c r="O910" i="5"/>
  <c r="N910" i="5"/>
  <c r="P909" i="5"/>
  <c r="O909" i="5"/>
  <c r="N909" i="5"/>
  <c r="P908" i="5"/>
  <c r="O908" i="5"/>
  <c r="N908" i="5"/>
  <c r="P907" i="5"/>
  <c r="O907" i="5"/>
  <c r="N907" i="5"/>
  <c r="P906" i="5"/>
  <c r="O906" i="5"/>
  <c r="N906" i="5"/>
  <c r="P905" i="5"/>
  <c r="O905" i="5"/>
  <c r="N905" i="5"/>
  <c r="P904" i="5"/>
  <c r="O904" i="5"/>
  <c r="N904" i="5"/>
  <c r="P903" i="5"/>
  <c r="O903" i="5"/>
  <c r="N903" i="5"/>
  <c r="P902" i="5"/>
  <c r="O902" i="5"/>
  <c r="N902" i="5"/>
  <c r="P901" i="5"/>
  <c r="O901" i="5"/>
  <c r="N901" i="5"/>
  <c r="P900" i="5"/>
  <c r="O900" i="5"/>
  <c r="N900" i="5"/>
  <c r="P899" i="5"/>
  <c r="O899" i="5"/>
  <c r="N899" i="5"/>
  <c r="P898" i="5"/>
  <c r="O898" i="5"/>
  <c r="N898" i="5"/>
  <c r="P897" i="5"/>
  <c r="O897" i="5"/>
  <c r="N897" i="5"/>
  <c r="P896" i="5"/>
  <c r="O896" i="5"/>
  <c r="N896" i="5"/>
  <c r="P895" i="5"/>
  <c r="O895" i="5"/>
  <c r="N895" i="5"/>
  <c r="P894" i="5"/>
  <c r="O894" i="5"/>
  <c r="N894" i="5"/>
  <c r="P893" i="5"/>
  <c r="O893" i="5"/>
  <c r="N893" i="5"/>
  <c r="P892" i="5"/>
  <c r="O892" i="5"/>
  <c r="N892" i="5"/>
  <c r="P891" i="5"/>
  <c r="O891" i="5"/>
  <c r="N891" i="5"/>
  <c r="P890" i="5"/>
  <c r="O890" i="5"/>
  <c r="N890" i="5"/>
  <c r="P889" i="5"/>
  <c r="O889" i="5"/>
  <c r="N889" i="5"/>
  <c r="P888" i="5"/>
  <c r="O888" i="5"/>
  <c r="N888" i="5"/>
  <c r="P887" i="5"/>
  <c r="O887" i="5"/>
  <c r="N887" i="5"/>
  <c r="P886" i="5"/>
  <c r="O886" i="5"/>
  <c r="N886" i="5"/>
  <c r="P885" i="5"/>
  <c r="O885" i="5"/>
  <c r="N885" i="5"/>
  <c r="P884" i="5"/>
  <c r="O884" i="5"/>
  <c r="N884" i="5"/>
  <c r="P883" i="5"/>
  <c r="O883" i="5"/>
  <c r="N883" i="5"/>
  <c r="P882" i="5"/>
  <c r="O882" i="5"/>
  <c r="N882" i="5"/>
  <c r="P881" i="5"/>
  <c r="O881" i="5"/>
  <c r="N881" i="5"/>
  <c r="P880" i="5"/>
  <c r="O880" i="5"/>
  <c r="N880" i="5"/>
  <c r="P879" i="5"/>
  <c r="O879" i="5"/>
  <c r="N879" i="5"/>
  <c r="P878" i="5"/>
  <c r="O878" i="5"/>
  <c r="N878" i="5"/>
  <c r="P877" i="5"/>
  <c r="O877" i="5"/>
  <c r="N877" i="5"/>
  <c r="P876" i="5"/>
  <c r="O876" i="5"/>
  <c r="N876" i="5"/>
  <c r="P875" i="5"/>
  <c r="O875" i="5"/>
  <c r="N875" i="5"/>
  <c r="P874" i="5"/>
  <c r="O874" i="5"/>
  <c r="N874" i="5"/>
  <c r="P873" i="5"/>
  <c r="O873" i="5"/>
  <c r="N873" i="5"/>
  <c r="P872" i="5"/>
  <c r="O872" i="5"/>
  <c r="N872" i="5"/>
  <c r="P871" i="5"/>
  <c r="O871" i="5"/>
  <c r="N871" i="5"/>
  <c r="P870" i="5"/>
  <c r="O870" i="5"/>
  <c r="N870" i="5"/>
  <c r="P869" i="5"/>
  <c r="O869" i="5"/>
  <c r="N869" i="5"/>
  <c r="P868" i="5"/>
  <c r="O868" i="5"/>
  <c r="N868" i="5"/>
  <c r="P867" i="5"/>
  <c r="O867" i="5"/>
  <c r="N867" i="5"/>
  <c r="P866" i="5"/>
  <c r="O866" i="5"/>
  <c r="N866" i="5"/>
  <c r="P865" i="5"/>
  <c r="O865" i="5"/>
  <c r="N865" i="5"/>
  <c r="P864" i="5"/>
  <c r="O864" i="5"/>
  <c r="N864" i="5"/>
  <c r="P863" i="5"/>
  <c r="O863" i="5"/>
  <c r="N863" i="5"/>
  <c r="P862" i="5"/>
  <c r="O862" i="5"/>
  <c r="N862" i="5"/>
  <c r="P861" i="5"/>
  <c r="O861" i="5"/>
  <c r="N861" i="5"/>
  <c r="P860" i="5"/>
  <c r="O860" i="5"/>
  <c r="N860" i="5"/>
  <c r="P859" i="5"/>
  <c r="O859" i="5"/>
  <c r="N859" i="5"/>
  <c r="P858" i="5"/>
  <c r="O858" i="5"/>
  <c r="N858" i="5"/>
  <c r="P857" i="5"/>
  <c r="O857" i="5"/>
  <c r="N857" i="5"/>
  <c r="P856" i="5"/>
  <c r="O856" i="5"/>
  <c r="N856" i="5"/>
  <c r="P855" i="5"/>
  <c r="O855" i="5"/>
  <c r="N855" i="5"/>
  <c r="P854" i="5"/>
  <c r="O854" i="5"/>
  <c r="N854" i="5"/>
  <c r="P789" i="5"/>
  <c r="O789" i="5"/>
  <c r="N789" i="5"/>
  <c r="P788" i="5"/>
  <c r="O788" i="5"/>
  <c r="N788" i="5"/>
  <c r="P787" i="5"/>
  <c r="O787" i="5"/>
  <c r="N787" i="5"/>
  <c r="P786" i="5"/>
  <c r="O786" i="5"/>
  <c r="N786" i="5"/>
  <c r="P785" i="5"/>
  <c r="O785" i="5"/>
  <c r="N785" i="5"/>
  <c r="P784" i="5"/>
  <c r="O784" i="5"/>
  <c r="N784" i="5"/>
  <c r="P783" i="5"/>
  <c r="O783" i="5"/>
  <c r="N783" i="5"/>
  <c r="P782" i="5"/>
  <c r="O782" i="5"/>
  <c r="N782" i="5"/>
  <c r="P781" i="5"/>
  <c r="O781" i="5"/>
  <c r="N781" i="5"/>
  <c r="P780" i="5"/>
  <c r="O780" i="5"/>
  <c r="N780" i="5"/>
  <c r="P779" i="5"/>
  <c r="O779" i="5"/>
  <c r="N779" i="5"/>
  <c r="P778" i="5"/>
  <c r="O778" i="5"/>
  <c r="N778" i="5"/>
  <c r="P777" i="5"/>
  <c r="O777" i="5"/>
  <c r="N777" i="5"/>
  <c r="P776" i="5"/>
  <c r="O776" i="5"/>
  <c r="N776" i="5"/>
  <c r="P775" i="5"/>
  <c r="O775" i="5"/>
  <c r="N775" i="5"/>
  <c r="P774" i="5"/>
  <c r="O774" i="5"/>
  <c r="N774" i="5"/>
  <c r="P773" i="5"/>
  <c r="O773" i="5"/>
  <c r="N773" i="5"/>
  <c r="P772" i="5"/>
  <c r="O772" i="5"/>
  <c r="N772" i="5"/>
  <c r="P771" i="5"/>
  <c r="O771" i="5"/>
  <c r="N771" i="5"/>
  <c r="P770" i="5"/>
  <c r="O770" i="5"/>
  <c r="N770" i="5"/>
  <c r="P769" i="5"/>
  <c r="O769" i="5"/>
  <c r="N769" i="5"/>
  <c r="P768" i="5"/>
  <c r="O768" i="5"/>
  <c r="N768" i="5"/>
  <c r="P767" i="5"/>
  <c r="O767" i="5"/>
  <c r="N767" i="5"/>
  <c r="P766" i="5"/>
  <c r="O766" i="5"/>
  <c r="N766" i="5"/>
  <c r="P765" i="5"/>
  <c r="O765" i="5"/>
  <c r="N765" i="5"/>
  <c r="P764" i="5"/>
  <c r="O764" i="5"/>
  <c r="N764" i="5"/>
  <c r="P763" i="5"/>
  <c r="O763" i="5"/>
  <c r="N763" i="5"/>
  <c r="P762" i="5"/>
  <c r="O762" i="5"/>
  <c r="N762" i="5"/>
  <c r="P761" i="5"/>
  <c r="O761" i="5"/>
  <c r="N761" i="5"/>
  <c r="P760" i="5"/>
  <c r="O760" i="5"/>
  <c r="N760" i="5"/>
  <c r="P759" i="5"/>
  <c r="O759" i="5"/>
  <c r="N759" i="5"/>
  <c r="P758" i="5"/>
  <c r="O758" i="5"/>
  <c r="N758" i="5"/>
  <c r="P757" i="5"/>
  <c r="O757" i="5"/>
  <c r="N757" i="5"/>
  <c r="P756" i="5"/>
  <c r="O756" i="5"/>
  <c r="N756" i="5"/>
  <c r="P755" i="5"/>
  <c r="O755" i="5"/>
  <c r="N755" i="5"/>
  <c r="P754" i="5"/>
  <c r="O754" i="5"/>
  <c r="N754" i="5"/>
  <c r="P753" i="5"/>
  <c r="O753" i="5"/>
  <c r="N753" i="5"/>
  <c r="P752" i="5"/>
  <c r="O752" i="5"/>
  <c r="N752" i="5"/>
  <c r="P751" i="5"/>
  <c r="O751" i="5"/>
  <c r="N751" i="5"/>
  <c r="P750" i="5"/>
  <c r="O750" i="5"/>
  <c r="N750" i="5"/>
  <c r="P749" i="5"/>
  <c r="O749" i="5"/>
  <c r="N749" i="5"/>
  <c r="P748" i="5"/>
  <c r="O748" i="5"/>
  <c r="N748" i="5"/>
  <c r="P747" i="5"/>
  <c r="O747" i="5"/>
  <c r="N747" i="5"/>
  <c r="P746" i="5"/>
  <c r="O746" i="5"/>
  <c r="N746" i="5"/>
  <c r="P745" i="5"/>
  <c r="O745" i="5"/>
  <c r="N745" i="5"/>
  <c r="P744" i="5"/>
  <c r="O744" i="5"/>
  <c r="N744" i="5"/>
  <c r="P743" i="5"/>
  <c r="O743" i="5"/>
  <c r="N743" i="5"/>
  <c r="P742" i="5"/>
  <c r="O742" i="5"/>
  <c r="N742" i="5"/>
  <c r="P741" i="5"/>
  <c r="O741" i="5"/>
  <c r="N741" i="5"/>
  <c r="P740" i="5"/>
  <c r="O740" i="5"/>
  <c r="N740" i="5"/>
  <c r="P739" i="5"/>
  <c r="O739" i="5"/>
  <c r="N739" i="5"/>
  <c r="P738" i="5"/>
  <c r="O738" i="5"/>
  <c r="N738" i="5"/>
  <c r="P737" i="5"/>
  <c r="O737" i="5"/>
  <c r="N737" i="5"/>
  <c r="P736" i="5"/>
  <c r="O736" i="5"/>
  <c r="N736" i="5"/>
  <c r="P735" i="5"/>
  <c r="O735" i="5"/>
  <c r="N735" i="5"/>
  <c r="P734" i="5"/>
  <c r="O734" i="5"/>
  <c r="N734" i="5"/>
  <c r="P733" i="5"/>
  <c r="O733" i="5"/>
  <c r="N733" i="5"/>
  <c r="P732" i="5"/>
  <c r="O732" i="5"/>
  <c r="N732" i="5"/>
  <c r="P731" i="5"/>
  <c r="O731" i="5"/>
  <c r="N731" i="5"/>
  <c r="P730" i="5"/>
  <c r="O730" i="5"/>
  <c r="N730" i="5"/>
  <c r="P729" i="5"/>
  <c r="O729" i="5"/>
  <c r="N729" i="5"/>
  <c r="P728" i="5"/>
  <c r="O728" i="5"/>
  <c r="N728" i="5"/>
  <c r="P727" i="5"/>
  <c r="O727" i="5"/>
  <c r="N727" i="5"/>
  <c r="P726" i="5"/>
  <c r="O726" i="5"/>
  <c r="N726" i="5"/>
  <c r="P725" i="5"/>
  <c r="O725" i="5"/>
  <c r="N725" i="5"/>
  <c r="P724" i="5"/>
  <c r="O724" i="5"/>
  <c r="N724" i="5"/>
  <c r="P723" i="5"/>
  <c r="O723" i="5"/>
  <c r="N723" i="5"/>
  <c r="P722" i="5"/>
  <c r="O722" i="5"/>
  <c r="N722" i="5"/>
  <c r="P721" i="5"/>
  <c r="O721" i="5"/>
  <c r="N721" i="5"/>
  <c r="P720" i="5"/>
  <c r="O720" i="5"/>
  <c r="N720" i="5"/>
  <c r="P719" i="5"/>
  <c r="O719" i="5"/>
  <c r="N719" i="5"/>
  <c r="P718" i="5"/>
  <c r="O718" i="5"/>
  <c r="N718" i="5"/>
  <c r="P717" i="5"/>
  <c r="O717" i="5"/>
  <c r="N717" i="5"/>
  <c r="P716" i="5"/>
  <c r="O716" i="5"/>
  <c r="N716" i="5"/>
  <c r="P715" i="5"/>
  <c r="O715" i="5"/>
  <c r="N715" i="5"/>
  <c r="P714" i="5"/>
  <c r="O714" i="5"/>
  <c r="N714" i="5"/>
  <c r="P713" i="5"/>
  <c r="O713" i="5"/>
  <c r="N713" i="5"/>
  <c r="P712" i="5"/>
  <c r="O712" i="5"/>
  <c r="N712" i="5"/>
  <c r="P711" i="5"/>
  <c r="O711" i="5"/>
  <c r="N711" i="5"/>
  <c r="P710" i="5"/>
  <c r="O710" i="5"/>
  <c r="N710" i="5"/>
  <c r="P709" i="5"/>
  <c r="O709" i="5"/>
  <c r="N709" i="5"/>
  <c r="P708" i="5"/>
  <c r="O708" i="5"/>
  <c r="N708" i="5"/>
  <c r="P707" i="5"/>
  <c r="O707" i="5"/>
  <c r="N707" i="5"/>
  <c r="P706" i="5"/>
  <c r="O706" i="5"/>
  <c r="N706" i="5"/>
  <c r="P705" i="5"/>
  <c r="O705" i="5"/>
  <c r="N705" i="5"/>
  <c r="P704" i="5"/>
  <c r="O704" i="5"/>
  <c r="N704" i="5"/>
  <c r="P703" i="5"/>
  <c r="O703" i="5"/>
  <c r="N703" i="5"/>
  <c r="P702" i="5"/>
  <c r="O702" i="5"/>
  <c r="N702" i="5"/>
  <c r="P701" i="5"/>
  <c r="O701" i="5"/>
  <c r="N701" i="5"/>
  <c r="P700" i="5"/>
  <c r="O700" i="5"/>
  <c r="N700" i="5"/>
  <c r="P699" i="5"/>
  <c r="O699" i="5"/>
  <c r="N699" i="5"/>
  <c r="P698" i="5"/>
  <c r="O698" i="5"/>
  <c r="N698" i="5"/>
  <c r="P697" i="5"/>
  <c r="O697" i="5"/>
  <c r="N697" i="5"/>
  <c r="P696" i="5"/>
  <c r="O696" i="5"/>
  <c r="N696" i="5"/>
  <c r="P695" i="5"/>
  <c r="O695" i="5"/>
  <c r="N695" i="5"/>
  <c r="P694" i="5"/>
  <c r="O694" i="5"/>
  <c r="N694" i="5"/>
  <c r="P693" i="5"/>
  <c r="O693" i="5"/>
  <c r="N693" i="5"/>
  <c r="P692" i="5"/>
  <c r="O692" i="5"/>
  <c r="N692" i="5"/>
  <c r="P691" i="5"/>
  <c r="O691" i="5"/>
  <c r="N691" i="5"/>
  <c r="P690" i="5"/>
  <c r="O690" i="5"/>
  <c r="N690" i="5"/>
  <c r="P689" i="5"/>
  <c r="O689" i="5"/>
  <c r="N689" i="5"/>
  <c r="P688" i="5"/>
  <c r="O688" i="5"/>
  <c r="N688" i="5"/>
  <c r="P687" i="5"/>
  <c r="O687" i="5"/>
  <c r="N687" i="5"/>
  <c r="P686" i="5"/>
  <c r="O686" i="5"/>
  <c r="N686" i="5"/>
  <c r="P685" i="5"/>
  <c r="O685" i="5"/>
  <c r="N685" i="5"/>
  <c r="P684" i="5"/>
  <c r="O684" i="5"/>
  <c r="N684" i="5"/>
  <c r="P683" i="5"/>
  <c r="O683" i="5"/>
  <c r="N683" i="5"/>
  <c r="P682" i="5"/>
  <c r="O682" i="5"/>
  <c r="N682" i="5"/>
  <c r="P681" i="5"/>
  <c r="O681" i="5"/>
  <c r="N681" i="5"/>
  <c r="P680" i="5"/>
  <c r="O680" i="5"/>
  <c r="N680" i="5"/>
  <c r="P679" i="5"/>
  <c r="O679" i="5"/>
  <c r="N679" i="5"/>
  <c r="P678" i="5"/>
  <c r="O678" i="5"/>
  <c r="N678" i="5"/>
  <c r="P677" i="5"/>
  <c r="O677" i="5"/>
  <c r="N677" i="5"/>
  <c r="P676" i="5"/>
  <c r="O676" i="5"/>
  <c r="N676" i="5"/>
  <c r="P675" i="5"/>
  <c r="O675" i="5"/>
  <c r="N675" i="5"/>
  <c r="P674" i="5"/>
  <c r="O674" i="5"/>
  <c r="N674" i="5"/>
  <c r="P673" i="5"/>
  <c r="O673" i="5"/>
  <c r="N673" i="5"/>
  <c r="P672" i="5"/>
  <c r="O672" i="5"/>
  <c r="N672" i="5"/>
  <c r="P671" i="5"/>
  <c r="O671" i="5"/>
  <c r="N671" i="5"/>
  <c r="P670" i="5"/>
  <c r="O670" i="5"/>
  <c r="N670" i="5"/>
  <c r="P669" i="5"/>
  <c r="O669" i="5"/>
  <c r="N669" i="5"/>
  <c r="P668" i="5"/>
  <c r="O668" i="5"/>
  <c r="N668" i="5"/>
  <c r="P667" i="5"/>
  <c r="O667" i="5"/>
  <c r="N667" i="5"/>
  <c r="P666" i="5"/>
  <c r="O666" i="5"/>
  <c r="N666" i="5"/>
  <c r="P665" i="5"/>
  <c r="O665" i="5"/>
  <c r="N665" i="5"/>
  <c r="P664" i="5"/>
  <c r="O664" i="5"/>
  <c r="N664" i="5"/>
  <c r="P663" i="5"/>
  <c r="O663" i="5"/>
  <c r="N663" i="5"/>
  <c r="P662" i="5"/>
  <c r="O662" i="5"/>
  <c r="N662" i="5"/>
  <c r="P661" i="5"/>
  <c r="O661" i="5"/>
  <c r="N661" i="5"/>
  <c r="P660" i="5"/>
  <c r="O660" i="5"/>
  <c r="N660" i="5"/>
  <c r="P659" i="5"/>
  <c r="O659" i="5"/>
  <c r="N659" i="5"/>
  <c r="P658" i="5"/>
  <c r="O658" i="5"/>
  <c r="N658" i="5"/>
  <c r="P657" i="5"/>
  <c r="O657" i="5"/>
  <c r="N657" i="5"/>
  <c r="P656" i="5"/>
  <c r="O656" i="5"/>
  <c r="N656" i="5"/>
  <c r="P655" i="5"/>
  <c r="O655" i="5"/>
  <c r="N655" i="5"/>
  <c r="P654" i="5"/>
  <c r="O654" i="5"/>
  <c r="N654" i="5"/>
  <c r="P653" i="5"/>
  <c r="O653" i="5"/>
  <c r="N653" i="5"/>
  <c r="P652" i="5"/>
  <c r="O652" i="5"/>
  <c r="N652" i="5"/>
  <c r="P651" i="5"/>
  <c r="O651" i="5"/>
  <c r="N651" i="5"/>
  <c r="P650" i="5"/>
  <c r="O650" i="5"/>
  <c r="N650" i="5"/>
  <c r="P649" i="5"/>
  <c r="O649" i="5"/>
  <c r="N649" i="5"/>
  <c r="P648" i="5"/>
  <c r="O648" i="5"/>
  <c r="N648" i="5"/>
  <c r="P647" i="5"/>
  <c r="O647" i="5"/>
  <c r="N647" i="5"/>
  <c r="P646" i="5"/>
  <c r="O646" i="5"/>
  <c r="N646" i="5"/>
  <c r="P645" i="5"/>
  <c r="O645" i="5"/>
  <c r="N645" i="5"/>
  <c r="P644" i="5"/>
  <c r="O644" i="5"/>
  <c r="N644" i="5"/>
  <c r="P643" i="5"/>
  <c r="O643" i="5"/>
  <c r="N643" i="5"/>
  <c r="P642" i="5"/>
  <c r="O642" i="5"/>
  <c r="N642" i="5"/>
  <c r="P641" i="5"/>
  <c r="O641" i="5"/>
  <c r="N641" i="5"/>
  <c r="P640" i="5"/>
  <c r="O640" i="5"/>
  <c r="N640" i="5"/>
  <c r="P639" i="5"/>
  <c r="O639" i="5"/>
  <c r="N639" i="5"/>
  <c r="P638" i="5"/>
  <c r="O638" i="5"/>
  <c r="N638" i="5"/>
  <c r="P637" i="5"/>
  <c r="O637" i="5"/>
  <c r="N637" i="5"/>
  <c r="P636" i="5"/>
  <c r="O636" i="5"/>
  <c r="N636" i="5"/>
  <c r="P635" i="5"/>
  <c r="O635" i="5"/>
  <c r="N635" i="5"/>
  <c r="P634" i="5"/>
  <c r="O634" i="5"/>
  <c r="N634" i="5"/>
  <c r="P633" i="5"/>
  <c r="O633" i="5"/>
  <c r="N633" i="5"/>
  <c r="P632" i="5"/>
  <c r="O632" i="5"/>
  <c r="N632" i="5"/>
  <c r="P631" i="5"/>
  <c r="O631" i="5"/>
  <c r="N631" i="5"/>
  <c r="P630" i="5"/>
  <c r="O630" i="5"/>
  <c r="N630" i="5"/>
  <c r="P629" i="5"/>
  <c r="O629" i="5"/>
  <c r="N629" i="5"/>
  <c r="P628" i="5"/>
  <c r="O628" i="5"/>
  <c r="N628" i="5"/>
  <c r="P627" i="5"/>
  <c r="O627" i="5"/>
  <c r="N627" i="5"/>
  <c r="P626" i="5"/>
  <c r="O626" i="5"/>
  <c r="N626" i="5"/>
  <c r="P625" i="5"/>
  <c r="O625" i="5"/>
  <c r="N625" i="5"/>
  <c r="P624" i="5"/>
  <c r="O624" i="5"/>
  <c r="N624" i="5"/>
  <c r="P623" i="5"/>
  <c r="O623" i="5"/>
  <c r="N623" i="5"/>
  <c r="P622" i="5"/>
  <c r="O622" i="5"/>
  <c r="N622" i="5"/>
  <c r="P621" i="5"/>
  <c r="O621" i="5"/>
  <c r="N621" i="5"/>
  <c r="P620" i="5"/>
  <c r="O620" i="5"/>
  <c r="N620" i="5"/>
  <c r="P619" i="5"/>
  <c r="O619" i="5"/>
  <c r="N619" i="5"/>
  <c r="P618" i="5"/>
  <c r="O618" i="5"/>
  <c r="N618" i="5"/>
  <c r="P617" i="5"/>
  <c r="O617" i="5"/>
  <c r="N617" i="5"/>
  <c r="P616" i="5"/>
  <c r="O616" i="5"/>
  <c r="N616" i="5"/>
  <c r="P615" i="5"/>
  <c r="O615" i="5"/>
  <c r="N615" i="5"/>
  <c r="P614" i="5"/>
  <c r="O614" i="5"/>
  <c r="N614" i="5"/>
  <c r="P613" i="5"/>
  <c r="O613" i="5"/>
  <c r="N613" i="5"/>
  <c r="P612" i="5"/>
  <c r="O612" i="5"/>
  <c r="N612" i="5"/>
  <c r="P611" i="5"/>
  <c r="O611" i="5"/>
  <c r="N611" i="5"/>
  <c r="P610" i="5"/>
  <c r="O610" i="5"/>
  <c r="N610" i="5"/>
  <c r="P609" i="5"/>
  <c r="O609" i="5"/>
  <c r="N609" i="5"/>
  <c r="P608" i="5"/>
  <c r="O608" i="5"/>
  <c r="N608" i="5"/>
  <c r="P607" i="5"/>
  <c r="O607" i="5"/>
  <c r="N607" i="5"/>
  <c r="P606" i="5"/>
  <c r="O606" i="5"/>
  <c r="N606" i="5"/>
  <c r="P605" i="5"/>
  <c r="O605" i="5"/>
  <c r="N605" i="5"/>
  <c r="P604" i="5"/>
  <c r="O604" i="5"/>
  <c r="N604" i="5"/>
  <c r="P603" i="5"/>
  <c r="O603" i="5"/>
  <c r="N603" i="5"/>
  <c r="P602" i="5"/>
  <c r="O602" i="5"/>
  <c r="N602" i="5"/>
  <c r="P601" i="5"/>
  <c r="O601" i="5"/>
  <c r="N601" i="5"/>
  <c r="P600" i="5"/>
  <c r="O600" i="5"/>
  <c r="N600" i="5"/>
  <c r="P599" i="5"/>
  <c r="O599" i="5"/>
  <c r="N599" i="5"/>
  <c r="P598" i="5"/>
  <c r="O598" i="5"/>
  <c r="N598" i="5"/>
  <c r="P597" i="5"/>
  <c r="O597" i="5"/>
  <c r="N597" i="5"/>
  <c r="P596" i="5"/>
  <c r="O596" i="5"/>
  <c r="N596" i="5"/>
  <c r="P595" i="5"/>
  <c r="O595" i="5"/>
  <c r="N595" i="5"/>
  <c r="P594" i="5"/>
  <c r="O594" i="5"/>
  <c r="N594" i="5"/>
  <c r="P593" i="5"/>
  <c r="O593" i="5"/>
  <c r="N593" i="5"/>
  <c r="P592" i="5"/>
  <c r="O592" i="5"/>
  <c r="N592" i="5"/>
  <c r="P591" i="5"/>
  <c r="O591" i="5"/>
  <c r="N591" i="5"/>
  <c r="P590" i="5"/>
  <c r="O590" i="5"/>
  <c r="N590" i="5"/>
  <c r="P589" i="5"/>
  <c r="O589" i="5"/>
  <c r="N589" i="5"/>
  <c r="P588" i="5"/>
  <c r="O588" i="5"/>
  <c r="N588" i="5"/>
  <c r="P587" i="5"/>
  <c r="O587" i="5"/>
  <c r="N587" i="5"/>
  <c r="P586" i="5"/>
  <c r="O586" i="5"/>
  <c r="N586" i="5"/>
  <c r="P585" i="5"/>
  <c r="O585" i="5"/>
  <c r="N585" i="5"/>
  <c r="P584" i="5"/>
  <c r="O584" i="5"/>
  <c r="N584" i="5"/>
  <c r="P583" i="5"/>
  <c r="O583" i="5"/>
  <c r="N583" i="5"/>
  <c r="P582" i="5"/>
  <c r="O582" i="5"/>
  <c r="N582" i="5"/>
  <c r="P581" i="5"/>
  <c r="O581" i="5"/>
  <c r="N581" i="5"/>
  <c r="P580" i="5"/>
  <c r="O580" i="5"/>
  <c r="N580" i="5"/>
  <c r="P579" i="5"/>
  <c r="O579" i="5"/>
  <c r="N579" i="5"/>
  <c r="P578" i="5"/>
  <c r="O578" i="5"/>
  <c r="N578" i="5"/>
  <c r="P577" i="5"/>
  <c r="O577" i="5"/>
  <c r="N577" i="5"/>
  <c r="P576" i="5"/>
  <c r="O576" i="5"/>
  <c r="N576" i="5"/>
  <c r="P575" i="5"/>
  <c r="O575" i="5"/>
  <c r="N575" i="5"/>
  <c r="P574" i="5"/>
  <c r="O574" i="5"/>
  <c r="N574" i="5"/>
  <c r="P573" i="5"/>
  <c r="O573" i="5"/>
  <c r="N573" i="5"/>
  <c r="P572" i="5"/>
  <c r="O572" i="5"/>
  <c r="N572" i="5"/>
  <c r="P571" i="5"/>
  <c r="O571" i="5"/>
  <c r="N571" i="5"/>
  <c r="P570" i="5"/>
  <c r="O570" i="5"/>
  <c r="N570" i="5"/>
  <c r="P569" i="5"/>
  <c r="O569" i="5"/>
  <c r="N569" i="5"/>
  <c r="P568" i="5"/>
  <c r="O568" i="5"/>
  <c r="N568" i="5"/>
  <c r="P567" i="5"/>
  <c r="O567" i="5"/>
  <c r="N567" i="5"/>
  <c r="P566" i="5"/>
  <c r="O566" i="5"/>
  <c r="N566" i="5"/>
  <c r="P565" i="5"/>
  <c r="O565" i="5"/>
  <c r="N565" i="5"/>
  <c r="P564" i="5"/>
  <c r="O564" i="5"/>
  <c r="N564" i="5"/>
  <c r="P563" i="5"/>
  <c r="O563" i="5"/>
  <c r="N563" i="5"/>
  <c r="P562" i="5"/>
  <c r="O562" i="5"/>
  <c r="N562" i="5"/>
  <c r="P561" i="5"/>
  <c r="O561" i="5"/>
  <c r="N561" i="5"/>
  <c r="P560" i="5"/>
  <c r="O560" i="5"/>
  <c r="N560" i="5"/>
  <c r="P559" i="5"/>
  <c r="O559" i="5"/>
  <c r="N559" i="5"/>
  <c r="P558" i="5"/>
  <c r="O558" i="5"/>
  <c r="N558" i="5"/>
  <c r="P557" i="5"/>
  <c r="O557" i="5"/>
  <c r="N557" i="5"/>
  <c r="P556" i="5"/>
  <c r="O556" i="5"/>
  <c r="N556" i="5"/>
  <c r="P555" i="5"/>
  <c r="O555" i="5"/>
  <c r="N555" i="5"/>
  <c r="P554" i="5"/>
  <c r="O554" i="5"/>
  <c r="N554" i="5"/>
  <c r="P553" i="5"/>
  <c r="O553" i="5"/>
  <c r="N553" i="5"/>
  <c r="P552" i="5"/>
  <c r="O552" i="5"/>
  <c r="N552" i="5"/>
  <c r="P551" i="5"/>
  <c r="O551" i="5"/>
  <c r="N551" i="5"/>
  <c r="P550" i="5"/>
  <c r="O550" i="5"/>
  <c r="N550" i="5"/>
  <c r="P549" i="5"/>
  <c r="O549" i="5"/>
  <c r="N549" i="5"/>
  <c r="P548" i="5"/>
  <c r="O548" i="5"/>
  <c r="N548" i="5"/>
  <c r="P547" i="5"/>
  <c r="O547" i="5"/>
  <c r="N547" i="5"/>
  <c r="P546" i="5"/>
  <c r="O546" i="5"/>
  <c r="N546" i="5"/>
  <c r="P545" i="5"/>
  <c r="O545" i="5"/>
  <c r="N545" i="5"/>
  <c r="P544" i="5"/>
  <c r="O544" i="5"/>
  <c r="N544" i="5"/>
  <c r="P543" i="5"/>
  <c r="O543" i="5"/>
  <c r="N543" i="5"/>
  <c r="P542" i="5"/>
  <c r="O542" i="5"/>
  <c r="N542" i="5"/>
  <c r="P541" i="5"/>
  <c r="O541" i="5"/>
  <c r="N541" i="5"/>
  <c r="P540" i="5"/>
  <c r="O540" i="5"/>
  <c r="N540" i="5"/>
  <c r="P539" i="5"/>
  <c r="O539" i="5"/>
  <c r="N539" i="5"/>
  <c r="P538" i="5"/>
  <c r="O538" i="5"/>
  <c r="N538" i="5"/>
  <c r="P537" i="5"/>
  <c r="O537" i="5"/>
  <c r="N537" i="5"/>
  <c r="P536" i="5"/>
  <c r="O536" i="5"/>
  <c r="N536" i="5"/>
  <c r="P535" i="5"/>
  <c r="O535" i="5"/>
  <c r="N535" i="5"/>
  <c r="P534" i="5"/>
  <c r="O534" i="5"/>
  <c r="N534" i="5"/>
  <c r="P533" i="5"/>
  <c r="O533" i="5"/>
  <c r="N533" i="5"/>
  <c r="P532" i="5"/>
  <c r="O532" i="5"/>
  <c r="N532" i="5"/>
  <c r="P531" i="5"/>
  <c r="O531" i="5"/>
  <c r="N531" i="5"/>
  <c r="P530" i="5"/>
  <c r="O530" i="5"/>
  <c r="N530" i="5"/>
  <c r="P529" i="5"/>
  <c r="O529" i="5"/>
  <c r="N529" i="5"/>
  <c r="P528" i="5"/>
  <c r="O528" i="5"/>
  <c r="N528" i="5"/>
  <c r="P527" i="5"/>
  <c r="O527" i="5"/>
  <c r="N527" i="5"/>
  <c r="P526" i="5"/>
  <c r="O526" i="5"/>
  <c r="N526" i="5"/>
  <c r="P525" i="5"/>
  <c r="O525" i="5"/>
  <c r="N525" i="5"/>
  <c r="P524" i="5"/>
  <c r="O524" i="5"/>
  <c r="N524" i="5"/>
  <c r="P523" i="5"/>
  <c r="O523" i="5"/>
  <c r="N523" i="5"/>
  <c r="P522" i="5"/>
  <c r="O522" i="5"/>
  <c r="N522" i="5"/>
  <c r="P521" i="5"/>
  <c r="O521" i="5"/>
  <c r="N521" i="5"/>
  <c r="P520" i="5"/>
  <c r="O520" i="5"/>
  <c r="N520" i="5"/>
  <c r="P519" i="5"/>
  <c r="O519" i="5"/>
  <c r="N519" i="5"/>
  <c r="P518" i="5"/>
  <c r="O518" i="5"/>
  <c r="N518" i="5"/>
  <c r="P517" i="5"/>
  <c r="O517" i="5"/>
  <c r="N517" i="5"/>
  <c r="P516" i="5"/>
  <c r="O516" i="5"/>
  <c r="N516" i="5"/>
  <c r="P515" i="5"/>
  <c r="O515" i="5"/>
  <c r="N515" i="5"/>
  <c r="P514" i="5"/>
  <c r="O514" i="5"/>
  <c r="N514" i="5"/>
  <c r="P513" i="5"/>
  <c r="O513" i="5"/>
  <c r="N513" i="5"/>
  <c r="P512" i="5"/>
  <c r="O512" i="5"/>
  <c r="N512" i="5"/>
  <c r="P511" i="5"/>
  <c r="O511" i="5"/>
  <c r="N511" i="5"/>
  <c r="P510" i="5"/>
  <c r="O510" i="5"/>
  <c r="N510" i="5"/>
  <c r="P509" i="5"/>
  <c r="O509" i="5"/>
  <c r="N509" i="5"/>
  <c r="P508" i="5"/>
  <c r="O508" i="5"/>
  <c r="N508" i="5"/>
  <c r="P507" i="5"/>
  <c r="O507" i="5"/>
  <c r="N507" i="5"/>
  <c r="P506" i="5"/>
  <c r="O506" i="5"/>
  <c r="N506" i="5"/>
  <c r="P505" i="5"/>
  <c r="O505" i="5"/>
  <c r="N505" i="5"/>
  <c r="P504" i="5"/>
  <c r="O504" i="5"/>
  <c r="N504" i="5"/>
  <c r="P503" i="5"/>
  <c r="O503" i="5"/>
  <c r="N503" i="5"/>
  <c r="P502" i="5"/>
  <c r="O502" i="5"/>
  <c r="N502" i="5"/>
  <c r="P501" i="5"/>
  <c r="O501" i="5"/>
  <c r="N501" i="5"/>
  <c r="P500" i="5"/>
  <c r="O500" i="5"/>
  <c r="N500" i="5"/>
  <c r="P499" i="5"/>
  <c r="O499" i="5"/>
  <c r="N499" i="5"/>
  <c r="P498" i="5"/>
  <c r="O498" i="5"/>
  <c r="N498" i="5"/>
  <c r="P497" i="5"/>
  <c r="O497" i="5"/>
  <c r="N497" i="5"/>
  <c r="P496" i="5"/>
  <c r="O496" i="5"/>
  <c r="N496" i="5"/>
  <c r="P495" i="5"/>
  <c r="O495" i="5"/>
  <c r="N495" i="5"/>
  <c r="P494" i="5"/>
  <c r="O494" i="5"/>
  <c r="N494" i="5"/>
  <c r="P493" i="5"/>
  <c r="O493" i="5"/>
  <c r="N493" i="5"/>
  <c r="P492" i="5"/>
  <c r="O492" i="5"/>
  <c r="N492" i="5"/>
  <c r="P491" i="5"/>
  <c r="O491" i="5"/>
  <c r="N491" i="5"/>
  <c r="P490" i="5"/>
  <c r="O490" i="5"/>
  <c r="N490" i="5"/>
  <c r="P489" i="5"/>
  <c r="O489" i="5"/>
  <c r="N489" i="5"/>
  <c r="P488" i="5"/>
  <c r="O488" i="5"/>
  <c r="N488" i="5"/>
  <c r="P487" i="5"/>
  <c r="O487" i="5"/>
  <c r="N487" i="5"/>
  <c r="P486" i="5"/>
  <c r="O486" i="5"/>
  <c r="N486" i="5"/>
  <c r="P485" i="5"/>
  <c r="O485" i="5"/>
  <c r="N485" i="5"/>
  <c r="P484" i="5"/>
  <c r="O484" i="5"/>
  <c r="N484" i="5"/>
  <c r="P483" i="5"/>
  <c r="O483" i="5"/>
  <c r="N483" i="5"/>
  <c r="P482" i="5"/>
  <c r="O482" i="5"/>
  <c r="N482" i="5"/>
  <c r="P481" i="5"/>
  <c r="O481" i="5"/>
  <c r="N481" i="5"/>
  <c r="P480" i="5"/>
  <c r="O480" i="5"/>
  <c r="N480" i="5"/>
  <c r="P479" i="5"/>
  <c r="O479" i="5"/>
  <c r="N479" i="5"/>
  <c r="P478" i="5"/>
  <c r="O478" i="5"/>
  <c r="N478" i="5"/>
  <c r="P477" i="5"/>
  <c r="O477" i="5"/>
  <c r="N477" i="5"/>
  <c r="P476" i="5"/>
  <c r="O476" i="5"/>
  <c r="N476" i="5"/>
  <c r="P475" i="5"/>
  <c r="O475" i="5"/>
  <c r="N475" i="5"/>
  <c r="P474" i="5"/>
  <c r="O474" i="5"/>
  <c r="N474" i="5"/>
  <c r="P473" i="5"/>
  <c r="O473" i="5"/>
  <c r="N473" i="5"/>
  <c r="P472" i="5"/>
  <c r="O472" i="5"/>
  <c r="N472" i="5"/>
  <c r="P471" i="5"/>
  <c r="O471" i="5"/>
  <c r="N471" i="5"/>
  <c r="P470" i="5"/>
  <c r="O470" i="5"/>
  <c r="N470" i="5"/>
  <c r="P469" i="5"/>
  <c r="O469" i="5"/>
  <c r="N469" i="5"/>
  <c r="P468" i="5"/>
  <c r="O468" i="5"/>
  <c r="N468" i="5"/>
  <c r="P467" i="5"/>
  <c r="O467" i="5"/>
  <c r="N467" i="5"/>
  <c r="P466" i="5"/>
  <c r="O466" i="5"/>
  <c r="N466" i="5"/>
  <c r="P465" i="5"/>
  <c r="O465" i="5"/>
  <c r="N465" i="5"/>
  <c r="P464" i="5"/>
  <c r="O464" i="5"/>
  <c r="N464" i="5"/>
  <c r="P463" i="5"/>
  <c r="O463" i="5"/>
  <c r="N463" i="5"/>
  <c r="P462" i="5"/>
  <c r="O462" i="5"/>
  <c r="N462" i="5"/>
  <c r="P461" i="5"/>
  <c r="O461" i="5"/>
  <c r="N461" i="5"/>
  <c r="P460" i="5"/>
  <c r="O460" i="5"/>
  <c r="N460" i="5"/>
  <c r="P459" i="5"/>
  <c r="O459" i="5"/>
  <c r="N459" i="5"/>
  <c r="P458" i="5"/>
  <c r="O458" i="5"/>
  <c r="N458" i="5"/>
  <c r="P457" i="5"/>
  <c r="O457" i="5"/>
  <c r="N457" i="5"/>
  <c r="P456" i="5"/>
  <c r="O456" i="5"/>
  <c r="N456" i="5"/>
  <c r="P455" i="5"/>
  <c r="O455" i="5"/>
  <c r="N455" i="5"/>
  <c r="P454" i="5"/>
  <c r="O454" i="5"/>
  <c r="N454" i="5"/>
  <c r="P453" i="5"/>
  <c r="O453" i="5"/>
  <c r="N453" i="5"/>
  <c r="P452" i="5"/>
  <c r="O452" i="5"/>
  <c r="N452" i="5"/>
  <c r="P451" i="5"/>
  <c r="O451" i="5"/>
  <c r="N451" i="5"/>
  <c r="P450" i="5"/>
  <c r="O450" i="5"/>
  <c r="N450" i="5"/>
  <c r="P449" i="5"/>
  <c r="O449" i="5"/>
  <c r="N449" i="5"/>
  <c r="P448" i="5"/>
  <c r="O448" i="5"/>
  <c r="N448" i="5"/>
  <c r="P447" i="5"/>
  <c r="O447" i="5"/>
  <c r="N447" i="5"/>
  <c r="P446" i="5"/>
  <c r="O446" i="5"/>
  <c r="N446" i="5"/>
  <c r="P445" i="5"/>
  <c r="O445" i="5"/>
  <c r="N445" i="5"/>
  <c r="P444" i="5"/>
  <c r="O444" i="5"/>
  <c r="N444" i="5"/>
  <c r="P443" i="5"/>
  <c r="O443" i="5"/>
  <c r="N443" i="5"/>
  <c r="P442" i="5"/>
  <c r="O442" i="5"/>
  <c r="N442" i="5"/>
  <c r="P441" i="5"/>
  <c r="O441" i="5"/>
  <c r="N441" i="5"/>
  <c r="P440" i="5"/>
  <c r="O440" i="5"/>
  <c r="N440" i="5"/>
  <c r="P439" i="5"/>
  <c r="O439" i="5"/>
  <c r="N439" i="5"/>
  <c r="P438" i="5"/>
  <c r="O438" i="5"/>
  <c r="N438" i="5"/>
  <c r="P437" i="5"/>
  <c r="O437" i="5"/>
  <c r="N437" i="5"/>
  <c r="P436" i="5"/>
  <c r="O436" i="5"/>
  <c r="N436" i="5"/>
  <c r="P435" i="5"/>
  <c r="O435" i="5"/>
  <c r="N435" i="5"/>
  <c r="P434" i="5"/>
  <c r="O434" i="5"/>
  <c r="N434" i="5"/>
  <c r="P433" i="5"/>
  <c r="O433" i="5"/>
  <c r="N433" i="5"/>
  <c r="P432" i="5"/>
  <c r="O432" i="5"/>
  <c r="N432" i="5"/>
  <c r="P431" i="5"/>
  <c r="O431" i="5"/>
  <c r="N431" i="5"/>
  <c r="P430" i="5"/>
  <c r="O430" i="5"/>
  <c r="N430" i="5"/>
  <c r="P429" i="5"/>
  <c r="O429" i="5"/>
  <c r="N429" i="5"/>
  <c r="P428" i="5"/>
  <c r="O428" i="5"/>
  <c r="N428" i="5"/>
  <c r="P427" i="5"/>
  <c r="O427" i="5"/>
  <c r="N427" i="5"/>
  <c r="P426" i="5"/>
  <c r="O426" i="5"/>
  <c r="N426" i="5"/>
  <c r="P425" i="5"/>
  <c r="O425" i="5"/>
  <c r="N425" i="5"/>
  <c r="P424" i="5"/>
  <c r="O424" i="5"/>
  <c r="N424" i="5"/>
  <c r="P423" i="5"/>
  <c r="O423" i="5"/>
  <c r="N423" i="5"/>
  <c r="P422" i="5"/>
  <c r="O422" i="5"/>
  <c r="N422" i="5"/>
  <c r="P421" i="5"/>
  <c r="O421" i="5"/>
  <c r="N421" i="5"/>
  <c r="P420" i="5"/>
  <c r="O420" i="5"/>
  <c r="N420" i="5"/>
  <c r="P419" i="5"/>
  <c r="O419" i="5"/>
  <c r="N419" i="5"/>
  <c r="P418" i="5"/>
  <c r="O418" i="5"/>
  <c r="N418" i="5"/>
  <c r="P417" i="5"/>
  <c r="O417" i="5"/>
  <c r="N417" i="5"/>
  <c r="P416" i="5"/>
  <c r="O416" i="5"/>
  <c r="N416" i="5"/>
  <c r="P415" i="5"/>
  <c r="O415" i="5"/>
  <c r="N415" i="5"/>
  <c r="P414" i="5"/>
  <c r="O414" i="5"/>
  <c r="N414" i="5"/>
  <c r="P413" i="5"/>
  <c r="O413" i="5"/>
  <c r="N413" i="5"/>
  <c r="P412" i="5"/>
  <c r="O412" i="5"/>
  <c r="N412" i="5"/>
  <c r="P411" i="5"/>
  <c r="O411" i="5"/>
  <c r="N411" i="5"/>
  <c r="P410" i="5"/>
  <c r="O410" i="5"/>
  <c r="N410" i="5"/>
  <c r="P409" i="5"/>
  <c r="O409" i="5"/>
  <c r="N409" i="5"/>
  <c r="P408" i="5"/>
  <c r="O408" i="5"/>
  <c r="N408" i="5"/>
  <c r="P407" i="5"/>
  <c r="O407" i="5"/>
  <c r="N407" i="5"/>
  <c r="P406" i="5"/>
  <c r="O406" i="5"/>
  <c r="N406" i="5"/>
  <c r="P405" i="5"/>
  <c r="O405" i="5"/>
  <c r="N405" i="5"/>
  <c r="P404" i="5"/>
  <c r="O404" i="5"/>
  <c r="N404" i="5"/>
  <c r="P403" i="5"/>
  <c r="O403" i="5"/>
  <c r="N403" i="5"/>
  <c r="P402" i="5"/>
  <c r="O402" i="5"/>
  <c r="N402" i="5"/>
  <c r="P401" i="5"/>
  <c r="O401" i="5"/>
  <c r="N401" i="5"/>
  <c r="P400" i="5"/>
  <c r="O400" i="5"/>
  <c r="N400" i="5"/>
  <c r="P399" i="5"/>
  <c r="O399" i="5"/>
  <c r="N399" i="5"/>
  <c r="P398" i="5"/>
  <c r="O398" i="5"/>
  <c r="N398" i="5"/>
  <c r="P397" i="5"/>
  <c r="O397" i="5"/>
  <c r="N397" i="5"/>
  <c r="P396" i="5"/>
  <c r="O396" i="5"/>
  <c r="N396" i="5"/>
  <c r="P395" i="5"/>
  <c r="O395" i="5"/>
  <c r="N395" i="5"/>
  <c r="P394" i="5"/>
  <c r="O394" i="5"/>
  <c r="N394" i="5"/>
  <c r="P393" i="5"/>
  <c r="O393" i="5"/>
  <c r="N393" i="5"/>
  <c r="P392" i="5"/>
  <c r="O392" i="5"/>
  <c r="N392" i="5"/>
  <c r="P391" i="5"/>
  <c r="O391" i="5"/>
  <c r="N391" i="5"/>
  <c r="P390" i="5"/>
  <c r="O390" i="5"/>
  <c r="N390" i="5"/>
  <c r="P389" i="5"/>
  <c r="O389" i="5"/>
  <c r="N389" i="5"/>
  <c r="P388" i="5"/>
  <c r="O388" i="5"/>
  <c r="N388" i="5"/>
  <c r="P387" i="5"/>
  <c r="O387" i="5"/>
  <c r="N387" i="5"/>
  <c r="P386" i="5"/>
  <c r="O386" i="5"/>
  <c r="N386" i="5"/>
  <c r="P385" i="5"/>
  <c r="O385" i="5"/>
  <c r="N385" i="5"/>
  <c r="P384" i="5"/>
  <c r="O384" i="5"/>
  <c r="N384" i="5"/>
  <c r="P383" i="5"/>
  <c r="O383" i="5"/>
  <c r="N383" i="5"/>
  <c r="P382" i="5"/>
  <c r="O382" i="5"/>
  <c r="N382" i="5"/>
  <c r="P381" i="5"/>
  <c r="O381" i="5"/>
  <c r="N381" i="5"/>
  <c r="P380" i="5"/>
  <c r="O380" i="5"/>
  <c r="N380" i="5"/>
  <c r="P379" i="5"/>
  <c r="O379" i="5"/>
  <c r="N379" i="5"/>
  <c r="P378" i="5"/>
  <c r="O378" i="5"/>
  <c r="N378" i="5"/>
  <c r="P377" i="5"/>
  <c r="O377" i="5"/>
  <c r="N377" i="5"/>
  <c r="P376" i="5"/>
  <c r="O376" i="5"/>
  <c r="N376" i="5"/>
  <c r="P375" i="5"/>
  <c r="O375" i="5"/>
  <c r="N375" i="5"/>
  <c r="P374" i="5"/>
  <c r="O374" i="5"/>
  <c r="N374" i="5"/>
  <c r="P373" i="5"/>
  <c r="O373" i="5"/>
  <c r="N373" i="5"/>
  <c r="P372" i="5"/>
  <c r="O372" i="5"/>
  <c r="N372" i="5"/>
  <c r="P371" i="5"/>
  <c r="O371" i="5"/>
  <c r="N371" i="5"/>
  <c r="P370" i="5"/>
  <c r="O370" i="5"/>
  <c r="N370" i="5"/>
  <c r="P369" i="5"/>
  <c r="O369" i="5"/>
  <c r="N369" i="5"/>
  <c r="P368" i="5"/>
  <c r="O368" i="5"/>
  <c r="N368" i="5"/>
  <c r="P367" i="5"/>
  <c r="O367" i="5"/>
  <c r="N367" i="5"/>
  <c r="P366" i="5"/>
  <c r="O366" i="5"/>
  <c r="N366" i="5"/>
  <c r="P365" i="5"/>
  <c r="O365" i="5"/>
  <c r="N365" i="5"/>
  <c r="P364" i="5"/>
  <c r="O364" i="5"/>
  <c r="N364" i="5"/>
  <c r="P363" i="5"/>
  <c r="O363" i="5"/>
  <c r="N363" i="5"/>
  <c r="P362" i="5"/>
  <c r="O362" i="5"/>
  <c r="N362" i="5"/>
  <c r="P361" i="5"/>
  <c r="O361" i="5"/>
  <c r="N361" i="5"/>
  <c r="P360" i="5"/>
  <c r="O360" i="5"/>
  <c r="N360" i="5"/>
  <c r="P359" i="5"/>
  <c r="O359" i="5"/>
  <c r="N359" i="5"/>
  <c r="P358" i="5"/>
  <c r="O358" i="5"/>
  <c r="N358" i="5"/>
  <c r="P357" i="5"/>
  <c r="O357" i="5"/>
  <c r="N357" i="5"/>
  <c r="P356" i="5"/>
  <c r="O356" i="5"/>
  <c r="N356" i="5"/>
  <c r="P355" i="5"/>
  <c r="O355" i="5"/>
  <c r="N355" i="5"/>
  <c r="P354" i="5"/>
  <c r="O354" i="5"/>
  <c r="N354" i="5"/>
  <c r="P353" i="5"/>
  <c r="O353" i="5"/>
  <c r="N353" i="5"/>
  <c r="P352" i="5"/>
  <c r="O352" i="5"/>
  <c r="N352" i="5"/>
  <c r="P351" i="5"/>
  <c r="O351" i="5"/>
  <c r="N351" i="5"/>
  <c r="P350" i="5"/>
  <c r="O350" i="5"/>
  <c r="N350" i="5"/>
  <c r="P349" i="5"/>
  <c r="O349" i="5"/>
  <c r="N349" i="5"/>
  <c r="P348" i="5"/>
  <c r="O348" i="5"/>
  <c r="N348" i="5"/>
  <c r="P347" i="5"/>
  <c r="O347" i="5"/>
  <c r="N347" i="5"/>
  <c r="P346" i="5"/>
  <c r="O346" i="5"/>
  <c r="N346" i="5"/>
  <c r="P345" i="5"/>
  <c r="O345" i="5"/>
  <c r="N345" i="5"/>
  <c r="P344" i="5"/>
  <c r="O344" i="5"/>
  <c r="N344" i="5"/>
  <c r="P343" i="5"/>
  <c r="O343" i="5"/>
  <c r="N343" i="5"/>
  <c r="P342" i="5"/>
  <c r="O342" i="5"/>
  <c r="N342" i="5"/>
  <c r="P341" i="5"/>
  <c r="O341" i="5"/>
  <c r="N341" i="5"/>
  <c r="P340" i="5"/>
  <c r="O340" i="5"/>
  <c r="N340" i="5"/>
  <c r="P339" i="5"/>
  <c r="O339" i="5"/>
  <c r="N339" i="5"/>
  <c r="P338" i="5"/>
  <c r="O338" i="5"/>
  <c r="N338" i="5"/>
  <c r="P337" i="5"/>
  <c r="O337" i="5"/>
  <c r="N337" i="5"/>
  <c r="P336" i="5"/>
  <c r="O336" i="5"/>
  <c r="N336" i="5"/>
  <c r="P335" i="5"/>
  <c r="O335" i="5"/>
  <c r="N335" i="5"/>
  <c r="P334" i="5"/>
  <c r="O334" i="5"/>
  <c r="N334" i="5"/>
  <c r="P333" i="5"/>
  <c r="O333" i="5"/>
  <c r="N333" i="5"/>
  <c r="P332" i="5"/>
  <c r="O332" i="5"/>
  <c r="N332" i="5"/>
  <c r="P331" i="5"/>
  <c r="O331" i="5"/>
  <c r="N331" i="5"/>
  <c r="P330" i="5"/>
  <c r="O330" i="5"/>
  <c r="N330" i="5"/>
  <c r="P329" i="5"/>
  <c r="O329" i="5"/>
  <c r="N329" i="5"/>
  <c r="P328" i="5"/>
  <c r="O328" i="5"/>
  <c r="N328" i="5"/>
  <c r="P327" i="5"/>
  <c r="O327" i="5"/>
  <c r="N327" i="5"/>
  <c r="P326" i="5"/>
  <c r="O326" i="5"/>
  <c r="N326" i="5"/>
  <c r="P325" i="5"/>
  <c r="O325" i="5"/>
  <c r="N325" i="5"/>
  <c r="P324" i="5"/>
  <c r="O324" i="5"/>
  <c r="N324" i="5"/>
  <c r="P323" i="5"/>
  <c r="O323" i="5"/>
  <c r="N323" i="5"/>
  <c r="P322" i="5"/>
  <c r="O322" i="5"/>
  <c r="N322" i="5"/>
  <c r="P321" i="5"/>
  <c r="O321" i="5"/>
  <c r="N321" i="5"/>
  <c r="P320" i="5"/>
  <c r="O320" i="5"/>
  <c r="N320" i="5"/>
  <c r="P319" i="5"/>
  <c r="O319" i="5"/>
  <c r="N319" i="5"/>
  <c r="P318" i="5"/>
  <c r="O318" i="5"/>
  <c r="N318" i="5"/>
  <c r="P317" i="5"/>
  <c r="O317" i="5"/>
  <c r="N317" i="5"/>
  <c r="P316" i="5"/>
  <c r="O316" i="5"/>
  <c r="N316" i="5"/>
  <c r="P315" i="5"/>
  <c r="O315" i="5"/>
  <c r="N315" i="5"/>
  <c r="P314" i="5"/>
  <c r="O314" i="5"/>
  <c r="N314" i="5"/>
  <c r="P313" i="5"/>
  <c r="O313" i="5"/>
  <c r="N313" i="5"/>
  <c r="P312" i="5"/>
  <c r="O312" i="5"/>
  <c r="N312" i="5"/>
  <c r="P311" i="5"/>
  <c r="O311" i="5"/>
  <c r="N311" i="5"/>
  <c r="P310" i="5"/>
  <c r="O310" i="5"/>
  <c r="N310" i="5"/>
  <c r="P309" i="5"/>
  <c r="O309" i="5"/>
  <c r="N309" i="5"/>
  <c r="P308" i="5"/>
  <c r="O308" i="5"/>
  <c r="N308" i="5"/>
  <c r="P307" i="5"/>
  <c r="O307" i="5"/>
  <c r="N307" i="5"/>
  <c r="P306" i="5"/>
  <c r="O306" i="5"/>
  <c r="N306" i="5"/>
  <c r="P305" i="5"/>
  <c r="O305" i="5"/>
  <c r="N305" i="5"/>
  <c r="P304" i="5"/>
  <c r="O304" i="5"/>
  <c r="N304" i="5"/>
  <c r="P303" i="5"/>
  <c r="O303" i="5"/>
  <c r="N303" i="5"/>
  <c r="P302" i="5"/>
  <c r="O302" i="5"/>
  <c r="N302" i="5"/>
  <c r="P301" i="5"/>
  <c r="O301" i="5"/>
  <c r="N301" i="5"/>
  <c r="P300" i="5"/>
  <c r="O300" i="5"/>
  <c r="N300" i="5"/>
  <c r="P299" i="5"/>
  <c r="O299" i="5"/>
  <c r="N299" i="5"/>
  <c r="P298" i="5"/>
  <c r="O298" i="5"/>
  <c r="N298" i="5"/>
  <c r="P297" i="5"/>
  <c r="O297" i="5"/>
  <c r="N297" i="5"/>
  <c r="P296" i="5"/>
  <c r="O296" i="5"/>
  <c r="N296" i="5"/>
  <c r="P295" i="5"/>
  <c r="O295" i="5"/>
  <c r="N295" i="5"/>
  <c r="P294" i="5"/>
  <c r="O294" i="5"/>
  <c r="N294" i="5"/>
  <c r="P293" i="5"/>
  <c r="O293" i="5"/>
  <c r="N293" i="5"/>
  <c r="P292" i="5"/>
  <c r="O292" i="5"/>
  <c r="N292" i="5"/>
  <c r="P291" i="5"/>
  <c r="O291" i="5"/>
  <c r="N291" i="5"/>
  <c r="P290" i="5"/>
  <c r="O290" i="5"/>
  <c r="N290" i="5"/>
  <c r="P289" i="5"/>
  <c r="O289" i="5"/>
  <c r="N289" i="5"/>
  <c r="P288" i="5"/>
  <c r="O288" i="5"/>
  <c r="N288" i="5"/>
  <c r="P287" i="5"/>
  <c r="O287" i="5"/>
  <c r="N287" i="5"/>
  <c r="P286" i="5"/>
  <c r="O286" i="5"/>
  <c r="N286" i="5"/>
  <c r="P285" i="5"/>
  <c r="O285" i="5"/>
  <c r="N285" i="5"/>
  <c r="P284" i="5"/>
  <c r="O284" i="5"/>
  <c r="N284" i="5"/>
  <c r="P283" i="5"/>
  <c r="O283" i="5"/>
  <c r="N283" i="5"/>
  <c r="P282" i="5"/>
  <c r="O282" i="5"/>
  <c r="N282" i="5"/>
  <c r="P281" i="5"/>
  <c r="O281" i="5"/>
  <c r="N281" i="5"/>
  <c r="P280" i="5"/>
  <c r="O280" i="5"/>
  <c r="N280" i="5"/>
  <c r="P279" i="5"/>
  <c r="O279" i="5"/>
  <c r="N279" i="5"/>
  <c r="P278" i="5"/>
  <c r="O278" i="5"/>
  <c r="N278" i="5"/>
  <c r="P277" i="5"/>
  <c r="O277" i="5"/>
  <c r="N277" i="5"/>
  <c r="P276" i="5"/>
  <c r="O276" i="5"/>
  <c r="N276" i="5"/>
  <c r="P275" i="5"/>
  <c r="O275" i="5"/>
  <c r="N275" i="5"/>
  <c r="P274" i="5"/>
  <c r="O274" i="5"/>
  <c r="N274" i="5"/>
  <c r="P273" i="5"/>
  <c r="O273" i="5"/>
  <c r="N273" i="5"/>
  <c r="P272" i="5"/>
  <c r="O272" i="5"/>
  <c r="N272" i="5"/>
  <c r="P271" i="5"/>
  <c r="O271" i="5"/>
  <c r="N271" i="5"/>
  <c r="P270" i="5"/>
  <c r="O270" i="5"/>
  <c r="N270" i="5"/>
  <c r="P269" i="5"/>
  <c r="O269" i="5"/>
  <c r="N269" i="5"/>
  <c r="P268" i="5"/>
  <c r="O268" i="5"/>
  <c r="N268" i="5"/>
  <c r="P267" i="5"/>
  <c r="O267" i="5"/>
  <c r="N267" i="5"/>
  <c r="P266" i="5"/>
  <c r="O266" i="5"/>
  <c r="N266" i="5"/>
  <c r="P265" i="5"/>
  <c r="O265" i="5"/>
  <c r="N265" i="5"/>
  <c r="P264" i="5"/>
  <c r="O264" i="5"/>
  <c r="N264" i="5"/>
  <c r="P263" i="5"/>
  <c r="O263" i="5"/>
  <c r="N263" i="5"/>
  <c r="P262" i="5"/>
  <c r="O262" i="5"/>
  <c r="N262" i="5"/>
  <c r="P261" i="5"/>
  <c r="O261" i="5"/>
  <c r="N261" i="5"/>
  <c r="P260" i="5"/>
  <c r="O260" i="5"/>
  <c r="N260" i="5"/>
  <c r="P259" i="5"/>
  <c r="O259" i="5"/>
  <c r="N259" i="5"/>
  <c r="P258" i="5"/>
  <c r="O258" i="5"/>
  <c r="N258" i="5"/>
  <c r="P257" i="5"/>
  <c r="O257" i="5"/>
  <c r="N257" i="5"/>
  <c r="P256" i="5"/>
  <c r="O256" i="5"/>
  <c r="N256" i="5"/>
  <c r="P255" i="5"/>
  <c r="O255" i="5"/>
  <c r="N255" i="5"/>
  <c r="P254" i="5"/>
  <c r="O254" i="5"/>
  <c r="N254" i="5"/>
  <c r="P253" i="5"/>
  <c r="O253" i="5"/>
  <c r="N253" i="5"/>
  <c r="P252" i="5"/>
  <c r="O252" i="5"/>
  <c r="N252" i="5"/>
  <c r="P251" i="5"/>
  <c r="O251" i="5"/>
  <c r="N251" i="5"/>
  <c r="P250" i="5"/>
  <c r="O250" i="5"/>
  <c r="N250" i="5"/>
  <c r="P249" i="5"/>
  <c r="O249" i="5"/>
  <c r="N249" i="5"/>
  <c r="P248" i="5"/>
  <c r="O248" i="5"/>
  <c r="N248" i="5"/>
  <c r="P247" i="5"/>
  <c r="O247" i="5"/>
  <c r="N247" i="5"/>
  <c r="P246" i="5"/>
  <c r="O246" i="5"/>
  <c r="N246" i="5"/>
  <c r="P245" i="5"/>
  <c r="O245" i="5"/>
  <c r="N245" i="5"/>
  <c r="P244" i="5"/>
  <c r="O244" i="5"/>
  <c r="N244" i="5"/>
  <c r="P243" i="5"/>
  <c r="O243" i="5"/>
  <c r="N243" i="5"/>
  <c r="P242" i="5"/>
  <c r="O242" i="5"/>
  <c r="N242" i="5"/>
  <c r="P241" i="5"/>
  <c r="O241" i="5"/>
  <c r="N241" i="5"/>
  <c r="P240" i="5"/>
  <c r="O240" i="5"/>
  <c r="N240" i="5"/>
  <c r="P239" i="5"/>
  <c r="O239" i="5"/>
  <c r="N239" i="5"/>
  <c r="P238" i="5"/>
  <c r="O238" i="5"/>
  <c r="N238" i="5"/>
  <c r="P237" i="5"/>
  <c r="O237" i="5"/>
  <c r="N237" i="5"/>
  <c r="P236" i="5"/>
  <c r="O236" i="5"/>
  <c r="N236" i="5"/>
  <c r="P235" i="5"/>
  <c r="O235" i="5"/>
  <c r="N235" i="5"/>
  <c r="P234" i="5"/>
  <c r="O234" i="5"/>
  <c r="N234" i="5"/>
  <c r="P233" i="5"/>
  <c r="O233" i="5"/>
  <c r="N233" i="5"/>
  <c r="P232" i="5"/>
  <c r="O232" i="5"/>
  <c r="N232" i="5"/>
  <c r="P231" i="5"/>
  <c r="O231" i="5"/>
  <c r="N231" i="5"/>
  <c r="P230" i="5"/>
  <c r="O230" i="5"/>
  <c r="N230" i="5"/>
  <c r="P229" i="5"/>
  <c r="O229" i="5"/>
  <c r="N229" i="5"/>
  <c r="P228" i="5"/>
  <c r="O228" i="5"/>
  <c r="N228" i="5"/>
  <c r="P227" i="5"/>
  <c r="O227" i="5"/>
  <c r="N227" i="5"/>
  <c r="P226" i="5"/>
  <c r="O226" i="5"/>
  <c r="N226" i="5"/>
  <c r="P225" i="5"/>
  <c r="O225" i="5"/>
  <c r="N225" i="5"/>
  <c r="P224" i="5"/>
  <c r="O224" i="5"/>
  <c r="N224" i="5"/>
  <c r="P223" i="5"/>
  <c r="O223" i="5"/>
  <c r="N223" i="5"/>
  <c r="P222" i="5"/>
  <c r="O222" i="5"/>
  <c r="N222" i="5"/>
  <c r="P221" i="5"/>
  <c r="O221" i="5"/>
  <c r="N221" i="5"/>
  <c r="P220" i="5"/>
  <c r="O220" i="5"/>
  <c r="N220" i="5"/>
  <c r="P219" i="5"/>
  <c r="O219" i="5"/>
  <c r="N219" i="5"/>
  <c r="P218" i="5"/>
  <c r="O218" i="5"/>
  <c r="N218" i="5"/>
  <c r="P217" i="5"/>
  <c r="O217" i="5"/>
  <c r="N217" i="5"/>
  <c r="P216" i="5"/>
  <c r="O216" i="5"/>
  <c r="N216" i="5"/>
  <c r="P215" i="5"/>
  <c r="O215" i="5"/>
  <c r="N215" i="5"/>
  <c r="P214" i="5"/>
  <c r="O214" i="5"/>
  <c r="N214" i="5"/>
  <c r="P213" i="5"/>
  <c r="O213" i="5"/>
  <c r="N213" i="5"/>
  <c r="P212" i="5"/>
  <c r="O212" i="5"/>
  <c r="N212" i="5"/>
  <c r="P211" i="5"/>
  <c r="O211" i="5"/>
  <c r="N211" i="5"/>
  <c r="P210" i="5"/>
  <c r="O210" i="5"/>
  <c r="N210" i="5"/>
  <c r="P209" i="5"/>
  <c r="O209" i="5"/>
  <c r="N209" i="5"/>
  <c r="P208" i="5"/>
  <c r="O208" i="5"/>
  <c r="N208" i="5"/>
  <c r="P207" i="5"/>
  <c r="O207" i="5"/>
  <c r="N207" i="5"/>
  <c r="P206" i="5"/>
  <c r="O206" i="5"/>
  <c r="N206" i="5"/>
  <c r="P205" i="5"/>
  <c r="O205" i="5"/>
  <c r="N205" i="5"/>
  <c r="P204" i="5"/>
  <c r="O204" i="5"/>
  <c r="N204" i="5"/>
  <c r="P203" i="5"/>
  <c r="O203" i="5"/>
  <c r="N203" i="5"/>
  <c r="P202" i="5"/>
  <c r="O202" i="5"/>
  <c r="N202" i="5"/>
  <c r="P201" i="5"/>
  <c r="O201" i="5"/>
  <c r="N201" i="5"/>
  <c r="P200" i="5"/>
  <c r="O200" i="5"/>
  <c r="N200" i="5"/>
  <c r="P199" i="5"/>
  <c r="O199" i="5"/>
  <c r="N199" i="5"/>
  <c r="P198" i="5"/>
  <c r="O198" i="5"/>
  <c r="N198" i="5"/>
  <c r="P197" i="5"/>
  <c r="O197" i="5"/>
  <c r="N197" i="5"/>
  <c r="P196" i="5"/>
  <c r="O196" i="5"/>
  <c r="N196" i="5"/>
  <c r="P195" i="5"/>
  <c r="O195" i="5"/>
  <c r="N195" i="5"/>
  <c r="P194" i="5"/>
  <c r="O194" i="5"/>
  <c r="N194" i="5"/>
  <c r="P193" i="5"/>
  <c r="O193" i="5"/>
  <c r="N193" i="5"/>
  <c r="P192" i="5"/>
  <c r="O192" i="5"/>
  <c r="N192" i="5"/>
  <c r="P191" i="5"/>
  <c r="O191" i="5"/>
  <c r="N191" i="5"/>
  <c r="P190" i="5"/>
  <c r="O190" i="5"/>
  <c r="N190" i="5"/>
  <c r="P189" i="5"/>
  <c r="O189" i="5"/>
  <c r="N189" i="5"/>
  <c r="P188" i="5"/>
  <c r="O188" i="5"/>
  <c r="N188" i="5"/>
  <c r="P187" i="5"/>
  <c r="O187" i="5"/>
  <c r="N187" i="5"/>
  <c r="P186" i="5"/>
  <c r="O186" i="5"/>
  <c r="N186" i="5"/>
  <c r="P185" i="5"/>
  <c r="O185" i="5"/>
  <c r="N185" i="5"/>
  <c r="P184" i="5"/>
  <c r="O184" i="5"/>
  <c r="N184" i="5"/>
  <c r="P183" i="5"/>
  <c r="O183" i="5"/>
  <c r="N183" i="5"/>
  <c r="P182" i="5"/>
  <c r="O182" i="5"/>
  <c r="N182" i="5"/>
  <c r="P181" i="5"/>
  <c r="O181" i="5"/>
  <c r="N181" i="5"/>
  <c r="P180" i="5"/>
  <c r="O180" i="5"/>
  <c r="N180" i="5"/>
  <c r="P179" i="5"/>
  <c r="O179" i="5"/>
  <c r="N179" i="5"/>
  <c r="P178" i="5"/>
  <c r="O178" i="5"/>
  <c r="N178" i="5"/>
  <c r="P177" i="5"/>
  <c r="O177" i="5"/>
  <c r="N177" i="5"/>
  <c r="P176" i="5"/>
  <c r="O176" i="5"/>
  <c r="N176" i="5"/>
  <c r="P175" i="5"/>
  <c r="O175" i="5"/>
  <c r="N175" i="5"/>
  <c r="P174" i="5"/>
  <c r="O174" i="5"/>
  <c r="N174" i="5"/>
  <c r="P173" i="5"/>
  <c r="O173" i="5"/>
  <c r="N173" i="5"/>
  <c r="P172" i="5"/>
  <c r="O172" i="5"/>
  <c r="N172" i="5"/>
  <c r="P171" i="5"/>
  <c r="O171" i="5"/>
  <c r="N171" i="5"/>
  <c r="P170" i="5"/>
  <c r="O170" i="5"/>
  <c r="N170" i="5"/>
  <c r="P169" i="5"/>
  <c r="O169" i="5"/>
  <c r="N169" i="5"/>
  <c r="P168" i="5"/>
  <c r="O168" i="5"/>
  <c r="N168" i="5"/>
  <c r="P167" i="5"/>
  <c r="O167" i="5"/>
  <c r="N167" i="5"/>
  <c r="P166" i="5"/>
  <c r="O166" i="5"/>
  <c r="N166" i="5"/>
  <c r="P165" i="5"/>
  <c r="O165" i="5"/>
  <c r="N165" i="5"/>
  <c r="P164" i="5"/>
  <c r="O164" i="5"/>
  <c r="N164" i="5"/>
  <c r="P163" i="5"/>
  <c r="O163" i="5"/>
  <c r="N163" i="5"/>
  <c r="P162" i="5"/>
  <c r="O162" i="5"/>
  <c r="N162" i="5"/>
  <c r="P161" i="5"/>
  <c r="O161" i="5"/>
  <c r="N161" i="5"/>
  <c r="P160" i="5"/>
  <c r="O160" i="5"/>
  <c r="N160" i="5"/>
  <c r="P159" i="5"/>
  <c r="O159" i="5"/>
  <c r="N159" i="5"/>
  <c r="P158" i="5"/>
  <c r="O158" i="5"/>
  <c r="N158" i="5"/>
  <c r="P157" i="5"/>
  <c r="O157" i="5"/>
  <c r="N157" i="5"/>
  <c r="P156" i="5"/>
  <c r="O156" i="5"/>
  <c r="N156" i="5"/>
  <c r="P155" i="5"/>
  <c r="O155" i="5"/>
  <c r="N155" i="5"/>
  <c r="P154" i="5"/>
  <c r="O154" i="5"/>
  <c r="N154" i="5"/>
  <c r="P153" i="5"/>
  <c r="O153" i="5"/>
  <c r="N153" i="5"/>
  <c r="P152" i="5"/>
  <c r="O152" i="5"/>
  <c r="N152" i="5"/>
  <c r="P151" i="5"/>
  <c r="O151" i="5"/>
  <c r="N151" i="5"/>
  <c r="P150" i="5"/>
  <c r="O150" i="5"/>
  <c r="N150" i="5"/>
  <c r="P149" i="5"/>
  <c r="O149" i="5"/>
  <c r="N149" i="5"/>
  <c r="P148" i="5"/>
  <c r="O148" i="5"/>
  <c r="N148" i="5"/>
  <c r="P147" i="5"/>
  <c r="O147" i="5"/>
  <c r="N147" i="5"/>
  <c r="P146" i="5"/>
  <c r="O146" i="5"/>
  <c r="N146" i="5"/>
  <c r="P145" i="5"/>
  <c r="O145" i="5"/>
  <c r="N145" i="5"/>
  <c r="P144" i="5"/>
  <c r="O144" i="5"/>
  <c r="N144" i="5"/>
  <c r="P143" i="5"/>
  <c r="O143" i="5"/>
  <c r="N143" i="5"/>
  <c r="P142" i="5"/>
  <c r="O142" i="5"/>
  <c r="N142" i="5"/>
  <c r="P141" i="5"/>
  <c r="O141" i="5"/>
  <c r="N141" i="5"/>
  <c r="P140" i="5"/>
  <c r="O140" i="5"/>
  <c r="N140" i="5"/>
  <c r="P139" i="5"/>
  <c r="O139" i="5"/>
  <c r="N139" i="5"/>
  <c r="P138" i="5"/>
  <c r="O138" i="5"/>
  <c r="N138" i="5"/>
  <c r="P137" i="5"/>
  <c r="O137" i="5"/>
  <c r="N137" i="5"/>
  <c r="P136" i="5"/>
  <c r="O136" i="5"/>
  <c r="N136" i="5"/>
  <c r="P135" i="5"/>
  <c r="O135" i="5"/>
  <c r="N135" i="5"/>
  <c r="P134" i="5"/>
  <c r="O134" i="5"/>
  <c r="N134" i="5"/>
  <c r="P133" i="5"/>
  <c r="O133" i="5"/>
  <c r="N133" i="5"/>
  <c r="P132" i="5"/>
  <c r="O132" i="5"/>
  <c r="N132" i="5"/>
  <c r="P131" i="5"/>
  <c r="O131" i="5"/>
  <c r="N131" i="5"/>
  <c r="P130" i="5"/>
  <c r="O130" i="5"/>
  <c r="N130" i="5"/>
  <c r="P129" i="5"/>
  <c r="O129" i="5"/>
  <c r="N129" i="5"/>
  <c r="P128" i="5"/>
  <c r="O128" i="5"/>
  <c r="N128" i="5"/>
  <c r="P127" i="5"/>
  <c r="O127" i="5"/>
  <c r="N127" i="5"/>
  <c r="P126" i="5"/>
  <c r="O126" i="5"/>
  <c r="N126" i="5"/>
  <c r="P125" i="5"/>
  <c r="O125" i="5"/>
  <c r="N125" i="5"/>
  <c r="P124" i="5"/>
  <c r="O124" i="5"/>
  <c r="N124" i="5"/>
  <c r="P123" i="5"/>
  <c r="O123" i="5"/>
  <c r="N123" i="5"/>
  <c r="P122" i="5"/>
  <c r="O122" i="5"/>
  <c r="N122" i="5"/>
  <c r="P121" i="5"/>
  <c r="O121" i="5"/>
  <c r="N121" i="5"/>
  <c r="P120" i="5"/>
  <c r="O120" i="5"/>
  <c r="N120" i="5"/>
  <c r="P119" i="5"/>
  <c r="O119" i="5"/>
  <c r="N119" i="5"/>
  <c r="P118" i="5"/>
  <c r="O118" i="5"/>
  <c r="N118" i="5"/>
  <c r="P117" i="5"/>
  <c r="O117" i="5"/>
  <c r="N117" i="5"/>
  <c r="P116" i="5"/>
  <c r="O116" i="5"/>
  <c r="N116" i="5"/>
  <c r="P115" i="5"/>
  <c r="O115" i="5"/>
  <c r="N115" i="5"/>
  <c r="P114" i="5"/>
  <c r="O114" i="5"/>
  <c r="N114" i="5"/>
  <c r="P113" i="5"/>
  <c r="O113" i="5"/>
  <c r="N113" i="5"/>
  <c r="P112" i="5"/>
  <c r="O112" i="5"/>
  <c r="N112" i="5"/>
  <c r="P111" i="5"/>
  <c r="O111" i="5"/>
  <c r="N111" i="5"/>
  <c r="P110" i="5"/>
  <c r="O110" i="5"/>
  <c r="N110" i="5"/>
  <c r="P109" i="5"/>
  <c r="O109" i="5"/>
  <c r="N109" i="5"/>
  <c r="P108" i="5"/>
  <c r="O108" i="5"/>
  <c r="N108" i="5"/>
  <c r="P107" i="5"/>
  <c r="O107" i="5"/>
  <c r="N107" i="5"/>
  <c r="P106" i="5"/>
  <c r="O106" i="5"/>
  <c r="N106" i="5"/>
  <c r="P105" i="5"/>
  <c r="O105" i="5"/>
  <c r="N105" i="5"/>
  <c r="P104" i="5"/>
  <c r="O104" i="5"/>
  <c r="N104" i="5"/>
  <c r="P103" i="5"/>
  <c r="O103" i="5"/>
  <c r="N103" i="5"/>
  <c r="P102" i="5"/>
  <c r="O102" i="5"/>
  <c r="N102" i="5"/>
  <c r="P101" i="5"/>
  <c r="O101" i="5"/>
  <c r="N101" i="5"/>
  <c r="P100" i="5"/>
  <c r="O100" i="5"/>
  <c r="N100" i="5"/>
  <c r="P99" i="5"/>
  <c r="O99" i="5"/>
  <c r="N99" i="5"/>
  <c r="P98" i="5"/>
  <c r="O98" i="5"/>
  <c r="N98" i="5"/>
  <c r="P97" i="5"/>
  <c r="O97" i="5"/>
  <c r="N97" i="5"/>
  <c r="P96" i="5"/>
  <c r="O96" i="5"/>
  <c r="N96" i="5"/>
  <c r="P95" i="5"/>
  <c r="O95" i="5"/>
  <c r="N95" i="5"/>
  <c r="P94" i="5"/>
  <c r="O94" i="5"/>
  <c r="N94" i="5"/>
  <c r="P93" i="5"/>
  <c r="O93" i="5"/>
  <c r="N93" i="5"/>
  <c r="P92" i="5"/>
  <c r="O92" i="5"/>
  <c r="N92" i="5"/>
  <c r="P91" i="5"/>
  <c r="O91" i="5"/>
  <c r="N91" i="5"/>
  <c r="P90" i="5"/>
  <c r="O90" i="5"/>
  <c r="N90" i="5"/>
  <c r="P89" i="5"/>
  <c r="O89" i="5"/>
  <c r="N89" i="5"/>
  <c r="P88" i="5"/>
  <c r="O88" i="5"/>
  <c r="N88" i="5"/>
  <c r="P87" i="5"/>
  <c r="O87" i="5"/>
  <c r="N87" i="5"/>
  <c r="P86" i="5"/>
  <c r="O86" i="5"/>
  <c r="N86" i="5"/>
  <c r="P85" i="5"/>
  <c r="O85" i="5"/>
  <c r="N85" i="5"/>
  <c r="P84" i="5"/>
  <c r="O84" i="5"/>
  <c r="N84" i="5"/>
  <c r="P83" i="5"/>
  <c r="O83" i="5"/>
  <c r="N83" i="5"/>
  <c r="P82" i="5"/>
  <c r="O82" i="5"/>
  <c r="N82" i="5"/>
  <c r="P81" i="5"/>
  <c r="O81" i="5"/>
  <c r="N81" i="5"/>
  <c r="P80" i="5"/>
  <c r="O80" i="5"/>
  <c r="N80" i="5"/>
  <c r="P79" i="5"/>
  <c r="O79" i="5"/>
  <c r="N79" i="5"/>
  <c r="P78" i="5"/>
  <c r="O78" i="5"/>
  <c r="N78" i="5"/>
  <c r="P77" i="5"/>
  <c r="O77" i="5"/>
  <c r="N77" i="5"/>
  <c r="P76" i="5"/>
  <c r="O76" i="5"/>
  <c r="N76" i="5"/>
  <c r="P75" i="5"/>
  <c r="O75" i="5"/>
  <c r="N75" i="5"/>
  <c r="P74" i="5"/>
  <c r="O74" i="5"/>
  <c r="N74" i="5"/>
  <c r="P73" i="5"/>
  <c r="O73" i="5"/>
  <c r="N73" i="5"/>
  <c r="P72" i="5"/>
  <c r="O72" i="5"/>
  <c r="N72" i="5"/>
  <c r="P71" i="5"/>
  <c r="O71" i="5"/>
  <c r="N71" i="5"/>
  <c r="P70" i="5"/>
  <c r="O70" i="5"/>
  <c r="N70" i="5"/>
  <c r="P69" i="5"/>
  <c r="O69" i="5"/>
  <c r="N69" i="5"/>
  <c r="P68" i="5"/>
  <c r="O68" i="5"/>
  <c r="N68" i="5"/>
  <c r="P67" i="5"/>
  <c r="O67" i="5"/>
  <c r="N67" i="5"/>
  <c r="P66" i="5"/>
  <c r="O66" i="5"/>
  <c r="N66" i="5"/>
  <c r="P65" i="5"/>
  <c r="O65" i="5"/>
  <c r="N65" i="5"/>
  <c r="P64" i="5"/>
  <c r="O64" i="5"/>
  <c r="N64" i="5"/>
  <c r="P63" i="5"/>
  <c r="O63" i="5"/>
  <c r="N63" i="5"/>
  <c r="P62" i="5"/>
  <c r="O62" i="5"/>
  <c r="N62" i="5"/>
  <c r="P61" i="5"/>
  <c r="O61" i="5"/>
  <c r="N61" i="5"/>
  <c r="P60" i="5"/>
  <c r="O60" i="5"/>
  <c r="N60" i="5"/>
  <c r="P59" i="5"/>
  <c r="O59" i="5"/>
  <c r="N59" i="5"/>
  <c r="P58" i="5"/>
  <c r="O58" i="5"/>
  <c r="N58" i="5"/>
  <c r="P57" i="5"/>
  <c r="O57" i="5"/>
  <c r="N57" i="5"/>
  <c r="P56" i="5"/>
  <c r="O56" i="5"/>
  <c r="N56" i="5"/>
  <c r="P55" i="5"/>
  <c r="O55" i="5"/>
  <c r="N55" i="5"/>
  <c r="P54" i="5"/>
  <c r="O54" i="5"/>
  <c r="N54" i="5"/>
  <c r="P53" i="5"/>
  <c r="O53" i="5"/>
  <c r="N53" i="5"/>
  <c r="P52" i="5"/>
  <c r="O52" i="5"/>
  <c r="N52" i="5"/>
  <c r="P51" i="5"/>
  <c r="O51" i="5"/>
  <c r="N51" i="5"/>
  <c r="P50" i="5"/>
  <c r="O50" i="5"/>
  <c r="N50" i="5"/>
  <c r="P49" i="5"/>
  <c r="O49" i="5"/>
  <c r="N49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P12" i="5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O994" i="5"/>
  <c r="G614" i="7"/>
  <c r="N320" i="6" l="1"/>
  <c r="N449" i="6" l="1"/>
  <c r="N448" i="6"/>
  <c r="N429" i="6"/>
  <c r="N423" i="6"/>
  <c r="N428" i="6"/>
  <c r="N427" i="6"/>
  <c r="N426" i="6"/>
  <c r="N425" i="6"/>
  <c r="N424" i="6"/>
  <c r="N335" i="6" l="1"/>
  <c r="N369" i="6"/>
  <c r="N354" i="6"/>
  <c r="N59" i="2" l="1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2" i="6"/>
  <c r="N197" i="6"/>
  <c r="N206" i="6"/>
  <c r="N205" i="6"/>
  <c r="N204" i="6"/>
  <c r="N203" i="6"/>
  <c r="N201" i="6"/>
  <c r="N200" i="6"/>
  <c r="N199" i="6"/>
  <c r="N198" i="6"/>
  <c r="N177" i="6"/>
  <c r="N176" i="6"/>
  <c r="N190" i="6"/>
  <c r="N196" i="6"/>
  <c r="N195" i="6"/>
  <c r="N194" i="6"/>
  <c r="N193" i="6"/>
  <c r="N192" i="6"/>
  <c r="N191" i="6"/>
  <c r="N189" i="6"/>
  <c r="N188" i="6"/>
  <c r="N187" i="6"/>
  <c r="N186" i="6"/>
  <c r="N185" i="6"/>
  <c r="N184" i="6"/>
  <c r="N175" i="6"/>
  <c r="N174" i="6"/>
  <c r="N173" i="6"/>
  <c r="N172" i="6"/>
  <c r="N171" i="6"/>
  <c r="N170" i="6"/>
  <c r="N169" i="6"/>
  <c r="N168" i="6"/>
  <c r="P85" i="11"/>
  <c r="O85" i="11"/>
  <c r="N85" i="11"/>
  <c r="P84" i="11"/>
  <c r="O84" i="11"/>
  <c r="N84" i="11"/>
  <c r="P83" i="11"/>
  <c r="O83" i="11"/>
  <c r="N83" i="11"/>
  <c r="P82" i="11"/>
  <c r="O82" i="11"/>
  <c r="N82" i="11"/>
  <c r="P81" i="11"/>
  <c r="O81" i="11"/>
  <c r="N81" i="11"/>
  <c r="P80" i="11"/>
  <c r="O80" i="11"/>
  <c r="N80" i="11"/>
  <c r="P97" i="11"/>
  <c r="O97" i="11"/>
  <c r="N97" i="11"/>
  <c r="P96" i="11"/>
  <c r="O96" i="11"/>
  <c r="N96" i="11"/>
  <c r="P95" i="11"/>
  <c r="O95" i="11"/>
  <c r="N95" i="11"/>
  <c r="P94" i="11"/>
  <c r="O94" i="11"/>
  <c r="N94" i="11"/>
  <c r="P93" i="11"/>
  <c r="O93" i="11"/>
  <c r="N93" i="11"/>
  <c r="P92" i="11"/>
  <c r="O92" i="11"/>
  <c r="N92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P39" i="11"/>
  <c r="O39" i="11"/>
  <c r="P38" i="11"/>
  <c r="O38" i="11"/>
  <c r="P37" i="11"/>
  <c r="O37" i="11"/>
  <c r="P36" i="11"/>
  <c r="O36" i="11"/>
  <c r="P49" i="11"/>
  <c r="O49" i="11"/>
  <c r="P48" i="11"/>
  <c r="O48" i="11"/>
  <c r="P47" i="11"/>
  <c r="O47" i="11"/>
  <c r="P46" i="11"/>
  <c r="O46" i="11"/>
  <c r="P45" i="11"/>
  <c r="O45" i="11"/>
  <c r="P44" i="11"/>
  <c r="O44" i="11"/>
  <c r="P43" i="11"/>
  <c r="O43" i="11"/>
  <c r="P42" i="11"/>
  <c r="O42" i="11"/>
  <c r="P41" i="11"/>
  <c r="O41" i="11"/>
  <c r="P40" i="11"/>
  <c r="O40" i="11"/>
  <c r="P994" i="5"/>
  <c r="N994" i="5"/>
  <c r="P470" i="3"/>
  <c r="O470" i="3"/>
  <c r="N470" i="3"/>
  <c r="P469" i="3"/>
  <c r="O469" i="3"/>
  <c r="N469" i="3"/>
  <c r="P468" i="3"/>
  <c r="O468" i="3"/>
  <c r="N468" i="3"/>
  <c r="P467" i="3"/>
  <c r="O467" i="3"/>
  <c r="N467" i="3"/>
  <c r="P466" i="3"/>
  <c r="O466" i="3"/>
  <c r="N466" i="3"/>
  <c r="P465" i="3"/>
  <c r="O465" i="3"/>
  <c r="N465" i="3"/>
  <c r="P464" i="3"/>
  <c r="O464" i="3"/>
  <c r="N464" i="3"/>
  <c r="P463" i="3"/>
  <c r="O463" i="3"/>
  <c r="N463" i="3"/>
  <c r="P462" i="3"/>
  <c r="O462" i="3"/>
  <c r="N462" i="3"/>
  <c r="P461" i="3"/>
  <c r="O461" i="3"/>
  <c r="N461" i="3"/>
  <c r="P460" i="3"/>
  <c r="O460" i="3"/>
  <c r="N460" i="3"/>
  <c r="P459" i="3"/>
  <c r="O459" i="3"/>
  <c r="N459" i="3"/>
  <c r="P458" i="3"/>
  <c r="O458" i="3"/>
  <c r="N458" i="3"/>
  <c r="P457" i="3"/>
  <c r="O457" i="3"/>
  <c r="N457" i="3"/>
  <c r="P456" i="3"/>
  <c r="O456" i="3"/>
  <c r="N456" i="3"/>
  <c r="P455" i="3"/>
  <c r="O455" i="3"/>
  <c r="N455" i="3"/>
  <c r="P454" i="3"/>
  <c r="O454" i="3"/>
  <c r="N454" i="3"/>
  <c r="P453" i="3"/>
  <c r="O453" i="3"/>
  <c r="N453" i="3"/>
  <c r="P452" i="3"/>
  <c r="O452" i="3"/>
  <c r="N452" i="3"/>
  <c r="P451" i="3"/>
  <c r="O451" i="3"/>
  <c r="N451" i="3"/>
  <c r="P450" i="3"/>
  <c r="O450" i="3"/>
  <c r="N450" i="3"/>
  <c r="P449" i="3"/>
  <c r="O449" i="3"/>
  <c r="N449" i="3"/>
  <c r="P448" i="3"/>
  <c r="O448" i="3"/>
  <c r="N448" i="3"/>
  <c r="P447" i="3"/>
  <c r="O447" i="3"/>
  <c r="N447" i="3"/>
  <c r="P446" i="3"/>
  <c r="O446" i="3"/>
  <c r="N446" i="3"/>
  <c r="P445" i="3"/>
  <c r="O445" i="3"/>
  <c r="N445" i="3"/>
  <c r="P444" i="3"/>
  <c r="O444" i="3"/>
  <c r="N444" i="3"/>
  <c r="P443" i="3"/>
  <c r="O443" i="3"/>
  <c r="N443" i="3"/>
  <c r="P442" i="3"/>
  <c r="O442" i="3"/>
  <c r="N442" i="3"/>
  <c r="P441" i="3"/>
  <c r="O441" i="3"/>
  <c r="N441" i="3"/>
  <c r="P440" i="3"/>
  <c r="O440" i="3"/>
  <c r="N440" i="3"/>
  <c r="P439" i="3"/>
  <c r="O439" i="3"/>
  <c r="N439" i="3"/>
  <c r="P438" i="3"/>
  <c r="O438" i="3"/>
  <c r="N438" i="3"/>
  <c r="P437" i="3"/>
  <c r="O437" i="3"/>
  <c r="N437" i="3"/>
  <c r="P436" i="3"/>
  <c r="O436" i="3"/>
  <c r="N436" i="3"/>
  <c r="P435" i="3"/>
  <c r="O435" i="3"/>
  <c r="N435" i="3"/>
  <c r="P434" i="3"/>
  <c r="O434" i="3"/>
  <c r="N434" i="3"/>
  <c r="P433" i="3"/>
  <c r="O433" i="3"/>
  <c r="N433" i="3"/>
  <c r="P432" i="3"/>
  <c r="O432" i="3"/>
  <c r="N432" i="3"/>
  <c r="P431" i="3"/>
  <c r="O431" i="3"/>
  <c r="N431" i="3"/>
  <c r="P430" i="3"/>
  <c r="O430" i="3"/>
  <c r="N430" i="3"/>
  <c r="P429" i="3"/>
  <c r="O429" i="3"/>
  <c r="N429" i="3"/>
  <c r="P428" i="3"/>
  <c r="O428" i="3"/>
  <c r="N428" i="3"/>
  <c r="P427" i="3"/>
  <c r="O427" i="3"/>
  <c r="N427" i="3"/>
  <c r="P426" i="3"/>
  <c r="O426" i="3"/>
  <c r="N426" i="3"/>
  <c r="P425" i="3"/>
  <c r="O425" i="3"/>
  <c r="N425" i="3"/>
  <c r="P424" i="3"/>
  <c r="O424" i="3"/>
  <c r="N424" i="3"/>
  <c r="P423" i="3"/>
  <c r="O423" i="3"/>
  <c r="N423" i="3"/>
  <c r="P422" i="3"/>
  <c r="O422" i="3"/>
  <c r="N422" i="3"/>
  <c r="P421" i="3"/>
  <c r="O421" i="3"/>
  <c r="N421" i="3"/>
  <c r="P420" i="3"/>
  <c r="O420" i="3"/>
  <c r="N420" i="3"/>
  <c r="P419" i="3"/>
  <c r="O419" i="3"/>
  <c r="N419" i="3"/>
  <c r="P418" i="3"/>
  <c r="O418" i="3"/>
  <c r="N418" i="3"/>
  <c r="P417" i="3"/>
  <c r="O417" i="3"/>
  <c r="N417" i="3"/>
  <c r="P416" i="3"/>
  <c r="O416" i="3"/>
  <c r="N416" i="3"/>
  <c r="P415" i="3"/>
  <c r="O415" i="3"/>
  <c r="N415" i="3"/>
  <c r="P414" i="3"/>
  <c r="O414" i="3"/>
  <c r="N414" i="3"/>
  <c r="P413" i="3"/>
  <c r="O413" i="3"/>
  <c r="N413" i="3"/>
  <c r="P412" i="3"/>
  <c r="O412" i="3"/>
  <c r="N412" i="3"/>
  <c r="P411" i="3"/>
  <c r="O411" i="3"/>
  <c r="N411" i="3"/>
  <c r="P410" i="3"/>
  <c r="O410" i="3"/>
  <c r="N410" i="3"/>
  <c r="P409" i="3"/>
  <c r="O409" i="3"/>
  <c r="N409" i="3"/>
  <c r="P408" i="3"/>
  <c r="O408" i="3"/>
  <c r="N408" i="3"/>
  <c r="P407" i="3"/>
  <c r="O407" i="3"/>
  <c r="N407" i="3"/>
  <c r="P406" i="3"/>
  <c r="O406" i="3"/>
  <c r="N406" i="3"/>
  <c r="P405" i="3"/>
  <c r="O405" i="3"/>
  <c r="N405" i="3"/>
  <c r="P404" i="3"/>
  <c r="O404" i="3"/>
  <c r="N404" i="3"/>
  <c r="P403" i="3"/>
  <c r="O403" i="3"/>
  <c r="N403" i="3"/>
  <c r="P402" i="3"/>
  <c r="O402" i="3"/>
  <c r="N402" i="3"/>
  <c r="P401" i="3"/>
  <c r="O401" i="3"/>
  <c r="N401" i="3"/>
  <c r="P400" i="3"/>
  <c r="O400" i="3"/>
  <c r="N400" i="3"/>
  <c r="P399" i="3"/>
  <c r="O399" i="3"/>
  <c r="N399" i="3"/>
  <c r="P398" i="3"/>
  <c r="O398" i="3"/>
  <c r="N398" i="3"/>
  <c r="P391" i="3"/>
  <c r="O391" i="3"/>
  <c r="N391" i="3"/>
  <c r="P390" i="3"/>
  <c r="O390" i="3"/>
  <c r="N390" i="3"/>
  <c r="P389" i="3"/>
  <c r="O389" i="3"/>
  <c r="N389" i="3"/>
  <c r="P388" i="3"/>
  <c r="O388" i="3"/>
  <c r="N388" i="3"/>
  <c r="P387" i="3"/>
  <c r="O387" i="3"/>
  <c r="N387" i="3"/>
  <c r="P386" i="3"/>
  <c r="O386" i="3"/>
  <c r="N386" i="3"/>
  <c r="P385" i="3"/>
  <c r="O385" i="3"/>
  <c r="N385" i="3"/>
  <c r="P384" i="3"/>
  <c r="O384" i="3"/>
  <c r="N384" i="3"/>
  <c r="P383" i="3"/>
  <c r="O383" i="3"/>
  <c r="N383" i="3"/>
  <c r="P382" i="3"/>
  <c r="O382" i="3"/>
  <c r="N382" i="3"/>
  <c r="P381" i="3"/>
  <c r="O381" i="3"/>
  <c r="N381" i="3"/>
  <c r="P380" i="3"/>
  <c r="O380" i="3"/>
  <c r="N380" i="3"/>
  <c r="P379" i="3"/>
  <c r="O379" i="3"/>
  <c r="N379" i="3"/>
  <c r="P378" i="3"/>
  <c r="O378" i="3"/>
  <c r="N378" i="3"/>
  <c r="P377" i="3"/>
  <c r="O377" i="3"/>
  <c r="N377" i="3"/>
  <c r="P376" i="3"/>
  <c r="O376" i="3"/>
  <c r="N376" i="3"/>
  <c r="P375" i="3"/>
  <c r="O375" i="3"/>
  <c r="N375" i="3"/>
  <c r="P374" i="3"/>
  <c r="O374" i="3"/>
  <c r="N374" i="3"/>
  <c r="P373" i="3"/>
  <c r="O373" i="3"/>
  <c r="N373" i="3"/>
  <c r="P372" i="3"/>
  <c r="O372" i="3"/>
  <c r="N372" i="3"/>
  <c r="P371" i="3"/>
  <c r="O371" i="3"/>
  <c r="N371" i="3"/>
  <c r="P370" i="3"/>
  <c r="O370" i="3"/>
  <c r="N370" i="3"/>
  <c r="P369" i="3"/>
  <c r="O369" i="3"/>
  <c r="N369" i="3"/>
  <c r="P368" i="3"/>
  <c r="O368" i="3"/>
  <c r="N368" i="3"/>
  <c r="P367" i="3"/>
  <c r="O367" i="3"/>
  <c r="N367" i="3"/>
  <c r="P366" i="3"/>
  <c r="O366" i="3"/>
  <c r="N366" i="3"/>
  <c r="P365" i="3"/>
  <c r="O365" i="3"/>
  <c r="N365" i="3"/>
  <c r="P364" i="3"/>
  <c r="O364" i="3"/>
  <c r="N364" i="3"/>
  <c r="P363" i="3"/>
  <c r="O363" i="3"/>
  <c r="N363" i="3"/>
  <c r="P362" i="3"/>
  <c r="O362" i="3"/>
  <c r="N362" i="3"/>
  <c r="P361" i="3"/>
  <c r="O361" i="3"/>
  <c r="N361" i="3"/>
  <c r="P360" i="3"/>
  <c r="O360" i="3"/>
  <c r="N360" i="3"/>
  <c r="P359" i="3"/>
  <c r="O359" i="3"/>
  <c r="N359" i="3"/>
  <c r="P358" i="3"/>
  <c r="O358" i="3"/>
  <c r="N358" i="3"/>
  <c r="P357" i="3"/>
  <c r="O357" i="3"/>
  <c r="N357" i="3"/>
  <c r="P356" i="3"/>
  <c r="O356" i="3"/>
  <c r="N356" i="3"/>
  <c r="P355" i="3"/>
  <c r="O355" i="3"/>
  <c r="N355" i="3"/>
  <c r="P354" i="3"/>
  <c r="O354" i="3"/>
  <c r="N354" i="3"/>
  <c r="P353" i="3"/>
  <c r="O353" i="3"/>
  <c r="N353" i="3"/>
  <c r="P352" i="3"/>
  <c r="O352" i="3"/>
  <c r="N352" i="3"/>
  <c r="P351" i="3"/>
  <c r="O351" i="3"/>
  <c r="N351" i="3"/>
  <c r="P350" i="3"/>
  <c r="O350" i="3"/>
  <c r="N350" i="3"/>
  <c r="P349" i="3"/>
  <c r="O349" i="3"/>
  <c r="N349" i="3"/>
  <c r="P348" i="3"/>
  <c r="O348" i="3"/>
  <c r="N348" i="3"/>
  <c r="P347" i="3"/>
  <c r="O347" i="3"/>
  <c r="N347" i="3"/>
  <c r="P346" i="3"/>
  <c r="O346" i="3"/>
  <c r="N346" i="3"/>
  <c r="P345" i="3"/>
  <c r="O345" i="3"/>
  <c r="N345" i="3"/>
  <c r="P344" i="3"/>
  <c r="O344" i="3"/>
  <c r="N344" i="3"/>
  <c r="P343" i="3"/>
  <c r="O343" i="3"/>
  <c r="N343" i="3"/>
  <c r="P342" i="3"/>
  <c r="O342" i="3"/>
  <c r="N342" i="3"/>
  <c r="P341" i="3"/>
  <c r="O341" i="3"/>
  <c r="N341" i="3"/>
  <c r="P340" i="3"/>
  <c r="O340" i="3"/>
  <c r="N340" i="3"/>
  <c r="P339" i="3"/>
  <c r="O339" i="3"/>
  <c r="N339" i="3"/>
  <c r="P338" i="3"/>
  <c r="O338" i="3"/>
  <c r="N338" i="3"/>
  <c r="P337" i="3"/>
  <c r="O337" i="3"/>
  <c r="N337" i="3"/>
  <c r="P336" i="3"/>
  <c r="O336" i="3"/>
  <c r="N336" i="3"/>
  <c r="P335" i="3"/>
  <c r="O335" i="3"/>
  <c r="N335" i="3"/>
  <c r="P334" i="3"/>
  <c r="O334" i="3"/>
  <c r="N334" i="3"/>
  <c r="P333" i="3"/>
  <c r="O333" i="3"/>
  <c r="N333" i="3"/>
  <c r="P332" i="3"/>
  <c r="O332" i="3"/>
  <c r="N332" i="3"/>
  <c r="P331" i="3"/>
  <c r="O331" i="3"/>
  <c r="N331" i="3"/>
  <c r="P330" i="3"/>
  <c r="O330" i="3"/>
  <c r="N330" i="3"/>
  <c r="P329" i="3"/>
  <c r="O329" i="3"/>
  <c r="N329" i="3"/>
  <c r="P328" i="3"/>
  <c r="O328" i="3"/>
  <c r="N328" i="3"/>
  <c r="P327" i="3"/>
  <c r="O327" i="3"/>
  <c r="N327" i="3"/>
  <c r="P326" i="3"/>
  <c r="O326" i="3"/>
  <c r="N326" i="3"/>
  <c r="P325" i="3"/>
  <c r="O325" i="3"/>
  <c r="N325" i="3"/>
  <c r="P324" i="3"/>
  <c r="O324" i="3"/>
  <c r="N324" i="3"/>
  <c r="P323" i="3"/>
  <c r="O323" i="3"/>
  <c r="N323" i="3"/>
  <c r="P322" i="3"/>
  <c r="O322" i="3"/>
  <c r="N322" i="3"/>
  <c r="P321" i="3"/>
  <c r="O321" i="3"/>
  <c r="N321" i="3"/>
  <c r="P320" i="3"/>
  <c r="O320" i="3"/>
  <c r="N320" i="3"/>
  <c r="P319" i="3"/>
  <c r="O319" i="3"/>
  <c r="N319" i="3"/>
  <c r="P318" i="3"/>
  <c r="O318" i="3"/>
  <c r="N318" i="3"/>
  <c r="P317" i="3"/>
  <c r="O317" i="3"/>
  <c r="N317" i="3"/>
  <c r="P316" i="3"/>
  <c r="O316" i="3"/>
  <c r="N316" i="3"/>
  <c r="P315" i="3"/>
  <c r="O315" i="3"/>
  <c r="N315" i="3"/>
  <c r="P314" i="3"/>
  <c r="O314" i="3"/>
  <c r="N314" i="3"/>
  <c r="P313" i="3"/>
  <c r="O313" i="3"/>
  <c r="N313" i="3"/>
  <c r="P312" i="3"/>
  <c r="O312" i="3"/>
  <c r="N312" i="3"/>
  <c r="P311" i="3"/>
  <c r="O311" i="3"/>
  <c r="N311" i="3"/>
  <c r="P310" i="3"/>
  <c r="O310" i="3"/>
  <c r="N310" i="3"/>
  <c r="P309" i="3"/>
  <c r="O309" i="3"/>
  <c r="N309" i="3"/>
  <c r="P308" i="3"/>
  <c r="O308" i="3"/>
  <c r="N308" i="3"/>
  <c r="P307" i="3"/>
  <c r="O307" i="3"/>
  <c r="N307" i="3"/>
  <c r="P306" i="3"/>
  <c r="O306" i="3"/>
  <c r="N306" i="3"/>
  <c r="P305" i="3"/>
  <c r="O305" i="3"/>
  <c r="N305" i="3"/>
  <c r="P304" i="3"/>
  <c r="O304" i="3"/>
  <c r="N304" i="3"/>
  <c r="P303" i="3"/>
  <c r="O303" i="3"/>
  <c r="N303" i="3"/>
  <c r="P302" i="3"/>
  <c r="O302" i="3"/>
  <c r="N302" i="3"/>
  <c r="P301" i="3"/>
  <c r="O301" i="3"/>
  <c r="N301" i="3"/>
  <c r="P300" i="3"/>
  <c r="O300" i="3"/>
  <c r="N300" i="3"/>
  <c r="P299" i="3"/>
  <c r="O299" i="3"/>
  <c r="N299" i="3"/>
  <c r="P298" i="3"/>
  <c r="O298" i="3"/>
  <c r="N298" i="3"/>
  <c r="P297" i="3"/>
  <c r="O297" i="3"/>
  <c r="N297" i="3"/>
  <c r="P296" i="3"/>
  <c r="O296" i="3"/>
  <c r="N296" i="3"/>
  <c r="P295" i="3"/>
  <c r="O295" i="3"/>
  <c r="N295" i="3"/>
  <c r="P294" i="3"/>
  <c r="O294" i="3"/>
  <c r="N294" i="3"/>
  <c r="P293" i="3"/>
  <c r="O293" i="3"/>
  <c r="N293" i="3"/>
  <c r="P292" i="3"/>
  <c r="O292" i="3"/>
  <c r="N292" i="3"/>
  <c r="P291" i="3"/>
  <c r="O291" i="3"/>
  <c r="N291" i="3"/>
  <c r="P290" i="3"/>
  <c r="O290" i="3"/>
  <c r="N290" i="3"/>
  <c r="P289" i="3"/>
  <c r="O289" i="3"/>
  <c r="N289" i="3"/>
  <c r="P288" i="3"/>
  <c r="O288" i="3"/>
  <c r="N288" i="3"/>
  <c r="P287" i="3"/>
  <c r="O287" i="3"/>
  <c r="N287" i="3"/>
  <c r="P286" i="3"/>
  <c r="O286" i="3"/>
  <c r="N286" i="3"/>
  <c r="P285" i="3"/>
  <c r="O285" i="3"/>
  <c r="N285" i="3"/>
  <c r="P284" i="3"/>
  <c r="O284" i="3"/>
  <c r="N284" i="3"/>
  <c r="P283" i="3"/>
  <c r="O283" i="3"/>
  <c r="N283" i="3"/>
  <c r="P282" i="3"/>
  <c r="O282" i="3"/>
  <c r="N282" i="3"/>
  <c r="P281" i="3"/>
  <c r="O281" i="3"/>
  <c r="N281" i="3"/>
  <c r="P280" i="3"/>
  <c r="O280" i="3"/>
  <c r="N280" i="3"/>
  <c r="P279" i="3"/>
  <c r="O279" i="3"/>
  <c r="N279" i="3"/>
  <c r="P278" i="3"/>
  <c r="O278" i="3"/>
  <c r="N278" i="3"/>
  <c r="P277" i="3"/>
  <c r="O277" i="3"/>
  <c r="N277" i="3"/>
  <c r="P276" i="3"/>
  <c r="O276" i="3"/>
  <c r="N276" i="3"/>
  <c r="P275" i="3"/>
  <c r="O275" i="3"/>
  <c r="N275" i="3"/>
  <c r="P274" i="3"/>
  <c r="O274" i="3"/>
  <c r="N274" i="3"/>
  <c r="P273" i="3"/>
  <c r="O273" i="3"/>
  <c r="N273" i="3"/>
  <c r="P272" i="3"/>
  <c r="O272" i="3"/>
  <c r="N272" i="3"/>
  <c r="P271" i="3"/>
  <c r="O271" i="3"/>
  <c r="N271" i="3"/>
  <c r="P270" i="3"/>
  <c r="O270" i="3"/>
  <c r="N270" i="3"/>
  <c r="P269" i="3"/>
  <c r="O269" i="3"/>
  <c r="N269" i="3"/>
  <c r="P268" i="3"/>
  <c r="O268" i="3"/>
  <c r="N268" i="3"/>
  <c r="P267" i="3"/>
  <c r="O267" i="3"/>
  <c r="N267" i="3"/>
  <c r="P266" i="3"/>
  <c r="O266" i="3"/>
  <c r="N266" i="3"/>
  <c r="P265" i="3"/>
  <c r="O265" i="3"/>
  <c r="N265" i="3"/>
  <c r="P264" i="3"/>
  <c r="O264" i="3"/>
  <c r="N264" i="3"/>
  <c r="P263" i="3"/>
  <c r="O263" i="3"/>
  <c r="N263" i="3"/>
  <c r="P262" i="3"/>
  <c r="O262" i="3"/>
  <c r="N262" i="3"/>
  <c r="P261" i="3"/>
  <c r="O261" i="3"/>
  <c r="N261" i="3"/>
  <c r="P260" i="3"/>
  <c r="O260" i="3"/>
  <c r="N260" i="3"/>
  <c r="P259" i="3"/>
  <c r="O259" i="3"/>
  <c r="N259" i="3"/>
  <c r="P258" i="3"/>
  <c r="O258" i="3"/>
  <c r="N258" i="3"/>
  <c r="P257" i="3"/>
  <c r="O257" i="3"/>
  <c r="N257" i="3"/>
  <c r="P256" i="3"/>
  <c r="O256" i="3"/>
  <c r="N256" i="3"/>
  <c r="P255" i="3"/>
  <c r="O255" i="3"/>
  <c r="N255" i="3"/>
  <c r="P254" i="3"/>
  <c r="O254" i="3"/>
  <c r="N254" i="3"/>
  <c r="P253" i="3"/>
  <c r="O253" i="3"/>
  <c r="N253" i="3"/>
  <c r="P252" i="3"/>
  <c r="O252" i="3"/>
  <c r="N252" i="3"/>
  <c r="P251" i="3"/>
  <c r="O251" i="3"/>
  <c r="N251" i="3"/>
  <c r="P250" i="3"/>
  <c r="O250" i="3"/>
  <c r="N250" i="3"/>
  <c r="P249" i="3"/>
  <c r="O249" i="3"/>
  <c r="N249" i="3"/>
  <c r="P248" i="3"/>
  <c r="O248" i="3"/>
  <c r="N248" i="3"/>
  <c r="P247" i="3"/>
  <c r="O247" i="3"/>
  <c r="N247" i="3"/>
  <c r="P246" i="3"/>
  <c r="O246" i="3"/>
  <c r="N246" i="3"/>
  <c r="P245" i="3"/>
  <c r="O245" i="3"/>
  <c r="N245" i="3"/>
  <c r="P244" i="3"/>
  <c r="O244" i="3"/>
  <c r="N244" i="3"/>
  <c r="P243" i="3"/>
  <c r="O243" i="3"/>
  <c r="N243" i="3"/>
  <c r="P242" i="3"/>
  <c r="O242" i="3"/>
  <c r="N242" i="3"/>
  <c r="P241" i="3"/>
  <c r="O241" i="3"/>
  <c r="N241" i="3"/>
  <c r="P240" i="3"/>
  <c r="O240" i="3"/>
  <c r="N240" i="3"/>
  <c r="P239" i="3"/>
  <c r="O239" i="3"/>
  <c r="N239" i="3"/>
  <c r="P238" i="3"/>
  <c r="O238" i="3"/>
  <c r="N238" i="3"/>
  <c r="P237" i="3"/>
  <c r="O237" i="3"/>
  <c r="N237" i="3"/>
  <c r="P236" i="3"/>
  <c r="O236" i="3"/>
  <c r="N236" i="3"/>
  <c r="P235" i="3"/>
  <c r="O235" i="3"/>
  <c r="N235" i="3"/>
  <c r="P234" i="3"/>
  <c r="O234" i="3"/>
  <c r="N234" i="3"/>
  <c r="P233" i="3"/>
  <c r="O233" i="3"/>
  <c r="N233" i="3"/>
  <c r="P232" i="3"/>
  <c r="O232" i="3"/>
  <c r="N232" i="3"/>
  <c r="P231" i="3"/>
  <c r="O231" i="3"/>
  <c r="N231" i="3"/>
  <c r="P230" i="3"/>
  <c r="O230" i="3"/>
  <c r="N230" i="3"/>
  <c r="P229" i="3"/>
  <c r="O229" i="3"/>
  <c r="N229" i="3"/>
  <c r="P228" i="3"/>
  <c r="O228" i="3"/>
  <c r="N228" i="3"/>
  <c r="P227" i="3"/>
  <c r="O227" i="3"/>
  <c r="N227" i="3"/>
  <c r="P226" i="3"/>
  <c r="O226" i="3"/>
  <c r="N226" i="3"/>
  <c r="P225" i="3"/>
  <c r="O225" i="3"/>
  <c r="N225" i="3"/>
  <c r="P224" i="3"/>
  <c r="O224" i="3"/>
  <c r="N224" i="3"/>
  <c r="P223" i="3"/>
  <c r="O223" i="3"/>
  <c r="N223" i="3"/>
  <c r="P222" i="3"/>
  <c r="O222" i="3"/>
  <c r="N222" i="3"/>
  <c r="P221" i="3"/>
  <c r="O221" i="3"/>
  <c r="N221" i="3"/>
  <c r="P220" i="3"/>
  <c r="O220" i="3"/>
  <c r="N220" i="3"/>
  <c r="P219" i="3"/>
  <c r="O219" i="3"/>
  <c r="N219" i="3"/>
  <c r="P218" i="3"/>
  <c r="O218" i="3"/>
  <c r="N218" i="3"/>
  <c r="P217" i="3"/>
  <c r="O217" i="3"/>
  <c r="N217" i="3"/>
  <c r="P216" i="3"/>
  <c r="O216" i="3"/>
  <c r="N216" i="3"/>
  <c r="P215" i="3"/>
  <c r="O215" i="3"/>
  <c r="N215" i="3"/>
  <c r="P214" i="3"/>
  <c r="O214" i="3"/>
  <c r="N214" i="3"/>
  <c r="P213" i="3"/>
  <c r="O213" i="3"/>
  <c r="N213" i="3"/>
  <c r="P212" i="3"/>
  <c r="O212" i="3"/>
  <c r="N212" i="3"/>
  <c r="P211" i="3"/>
  <c r="O211" i="3"/>
  <c r="N211" i="3"/>
  <c r="P210" i="3"/>
  <c r="O210" i="3"/>
  <c r="N210" i="3"/>
  <c r="P209" i="3"/>
  <c r="O209" i="3"/>
  <c r="N209" i="3"/>
  <c r="P208" i="3"/>
  <c r="O208" i="3"/>
  <c r="N208" i="3"/>
  <c r="P207" i="3"/>
  <c r="O207" i="3"/>
  <c r="N207" i="3"/>
  <c r="P206" i="3"/>
  <c r="O206" i="3"/>
  <c r="N206" i="3"/>
  <c r="P205" i="3"/>
  <c r="O205" i="3"/>
  <c r="N205" i="3"/>
  <c r="P204" i="3"/>
  <c r="O204" i="3"/>
  <c r="N204" i="3"/>
  <c r="P203" i="3"/>
  <c r="O203" i="3"/>
  <c r="N203" i="3"/>
  <c r="P202" i="3"/>
  <c r="O202" i="3"/>
  <c r="N202" i="3"/>
  <c r="P201" i="3"/>
  <c r="O201" i="3"/>
  <c r="N201" i="3"/>
  <c r="P200" i="3"/>
  <c r="O200" i="3"/>
  <c r="N200" i="3"/>
  <c r="P199" i="3"/>
  <c r="O199" i="3"/>
  <c r="N199" i="3"/>
  <c r="P198" i="3"/>
  <c r="O198" i="3"/>
  <c r="N198" i="3"/>
  <c r="P197" i="3"/>
  <c r="O197" i="3"/>
  <c r="N197" i="3"/>
  <c r="P196" i="3"/>
  <c r="O196" i="3"/>
  <c r="N196" i="3"/>
  <c r="P195" i="3"/>
  <c r="O195" i="3"/>
  <c r="N195" i="3"/>
  <c r="P194" i="3"/>
  <c r="O194" i="3"/>
  <c r="N194" i="3"/>
  <c r="P193" i="3"/>
  <c r="O193" i="3"/>
  <c r="N193" i="3"/>
  <c r="P192" i="3"/>
  <c r="O192" i="3"/>
  <c r="N192" i="3"/>
  <c r="P191" i="3"/>
  <c r="O191" i="3"/>
  <c r="N191" i="3"/>
  <c r="P190" i="3"/>
  <c r="O190" i="3"/>
  <c r="N190" i="3"/>
  <c r="P189" i="3"/>
  <c r="O189" i="3"/>
  <c r="N189" i="3"/>
  <c r="P188" i="3"/>
  <c r="O188" i="3"/>
  <c r="N188" i="3"/>
  <c r="P187" i="3"/>
  <c r="O187" i="3"/>
  <c r="N187" i="3"/>
  <c r="P186" i="3"/>
  <c r="O186" i="3"/>
  <c r="N186" i="3"/>
  <c r="P185" i="3"/>
  <c r="O185" i="3"/>
  <c r="N185" i="3"/>
  <c r="P184" i="3"/>
  <c r="O184" i="3"/>
  <c r="N184" i="3"/>
  <c r="P183" i="3"/>
  <c r="O183" i="3"/>
  <c r="N183" i="3"/>
  <c r="P182" i="3"/>
  <c r="O182" i="3"/>
  <c r="N182" i="3"/>
  <c r="P181" i="3"/>
  <c r="O181" i="3"/>
  <c r="N181" i="3"/>
  <c r="P180" i="3"/>
  <c r="O180" i="3"/>
  <c r="N180" i="3"/>
  <c r="P179" i="3"/>
  <c r="O179" i="3"/>
  <c r="N179" i="3"/>
  <c r="P178" i="3"/>
  <c r="O178" i="3"/>
  <c r="N178" i="3"/>
  <c r="P177" i="3"/>
  <c r="O177" i="3"/>
  <c r="N177" i="3"/>
  <c r="P176" i="3"/>
  <c r="O176" i="3"/>
  <c r="N176" i="3"/>
  <c r="P175" i="3"/>
  <c r="O175" i="3"/>
  <c r="N175" i="3"/>
  <c r="P174" i="3"/>
  <c r="O174" i="3"/>
  <c r="N174" i="3"/>
  <c r="P173" i="3"/>
  <c r="O173" i="3"/>
  <c r="N173" i="3"/>
  <c r="P172" i="3"/>
  <c r="O172" i="3"/>
  <c r="N172" i="3"/>
  <c r="P171" i="3"/>
  <c r="O171" i="3"/>
  <c r="N171" i="3"/>
  <c r="P170" i="3"/>
  <c r="O170" i="3"/>
  <c r="N170" i="3"/>
  <c r="P169" i="3"/>
  <c r="O169" i="3"/>
  <c r="N169" i="3"/>
  <c r="P168" i="3"/>
  <c r="O168" i="3"/>
  <c r="N168" i="3"/>
  <c r="P167" i="3"/>
  <c r="O167" i="3"/>
  <c r="N167" i="3"/>
  <c r="P166" i="3"/>
  <c r="O166" i="3"/>
  <c r="N166" i="3"/>
  <c r="P165" i="3"/>
  <c r="O165" i="3"/>
  <c r="N165" i="3"/>
  <c r="P164" i="3"/>
  <c r="O164" i="3"/>
  <c r="N164" i="3"/>
  <c r="P163" i="3"/>
  <c r="O163" i="3"/>
  <c r="N163" i="3"/>
  <c r="P162" i="3"/>
  <c r="O162" i="3"/>
  <c r="N162" i="3"/>
  <c r="P161" i="3"/>
  <c r="O161" i="3"/>
  <c r="N161" i="3"/>
  <c r="P160" i="3"/>
  <c r="O160" i="3"/>
  <c r="N160" i="3"/>
  <c r="P159" i="3"/>
  <c r="O159" i="3"/>
  <c r="N159" i="3"/>
  <c r="P158" i="3"/>
  <c r="O158" i="3"/>
  <c r="N158" i="3"/>
  <c r="P157" i="3"/>
  <c r="O157" i="3"/>
  <c r="N157" i="3"/>
  <c r="P156" i="3"/>
  <c r="O156" i="3"/>
  <c r="N156" i="3"/>
  <c r="P155" i="3"/>
  <c r="O155" i="3"/>
  <c r="N155" i="3"/>
  <c r="P154" i="3"/>
  <c r="O154" i="3"/>
  <c r="N154" i="3"/>
  <c r="P153" i="3"/>
  <c r="O153" i="3"/>
  <c r="N153" i="3"/>
  <c r="P152" i="3"/>
  <c r="O152" i="3"/>
  <c r="N152" i="3"/>
  <c r="P151" i="3"/>
  <c r="O151" i="3"/>
  <c r="N151" i="3"/>
  <c r="P150" i="3"/>
  <c r="O150" i="3"/>
  <c r="N150" i="3"/>
  <c r="P149" i="3"/>
  <c r="O149" i="3"/>
  <c r="N149" i="3"/>
  <c r="P148" i="3"/>
  <c r="O148" i="3"/>
  <c r="N148" i="3"/>
  <c r="P147" i="3"/>
  <c r="O147" i="3"/>
  <c r="N147" i="3"/>
  <c r="P146" i="3"/>
  <c r="O146" i="3"/>
  <c r="N146" i="3"/>
  <c r="P145" i="3"/>
  <c r="O145" i="3"/>
  <c r="N145" i="3"/>
  <c r="P144" i="3"/>
  <c r="O144" i="3"/>
  <c r="N144" i="3"/>
  <c r="P143" i="3"/>
  <c r="O143" i="3"/>
  <c r="N143" i="3"/>
  <c r="P142" i="3"/>
  <c r="O142" i="3"/>
  <c r="N142" i="3"/>
  <c r="P141" i="3"/>
  <c r="O141" i="3"/>
  <c r="N141" i="3"/>
  <c r="P140" i="3"/>
  <c r="O140" i="3"/>
  <c r="N140" i="3"/>
  <c r="P139" i="3"/>
  <c r="O139" i="3"/>
  <c r="N139" i="3"/>
  <c r="P138" i="3"/>
  <c r="O138" i="3"/>
  <c r="N138" i="3"/>
  <c r="P137" i="3"/>
  <c r="O137" i="3"/>
  <c r="N137" i="3"/>
  <c r="P136" i="3"/>
  <c r="O136" i="3"/>
  <c r="N136" i="3"/>
  <c r="P135" i="3"/>
  <c r="O135" i="3"/>
  <c r="N135" i="3"/>
  <c r="P134" i="3"/>
  <c r="O134" i="3"/>
  <c r="N134" i="3"/>
  <c r="P133" i="3"/>
  <c r="O133" i="3"/>
  <c r="N133" i="3"/>
  <c r="P132" i="3"/>
  <c r="O132" i="3"/>
  <c r="N132" i="3"/>
  <c r="P131" i="3"/>
  <c r="O131" i="3"/>
  <c r="N131" i="3"/>
  <c r="P130" i="3"/>
  <c r="O130" i="3"/>
  <c r="N130" i="3"/>
  <c r="P129" i="3"/>
  <c r="O129" i="3"/>
  <c r="N129" i="3"/>
  <c r="P128" i="3"/>
  <c r="O128" i="3"/>
  <c r="N128" i="3"/>
  <c r="P127" i="3"/>
  <c r="O127" i="3"/>
  <c r="N127" i="3"/>
  <c r="P126" i="3"/>
  <c r="O126" i="3"/>
  <c r="N126" i="3"/>
  <c r="P125" i="3"/>
  <c r="O125" i="3"/>
  <c r="N125" i="3"/>
  <c r="P124" i="3"/>
  <c r="O124" i="3"/>
  <c r="N124" i="3"/>
  <c r="P123" i="3"/>
  <c r="O123" i="3"/>
  <c r="N123" i="3"/>
  <c r="P122" i="3"/>
  <c r="O122" i="3"/>
  <c r="N122" i="3"/>
  <c r="P121" i="3"/>
  <c r="O121" i="3"/>
  <c r="N121" i="3"/>
  <c r="P120" i="3"/>
  <c r="O120" i="3"/>
  <c r="N120" i="3"/>
  <c r="P119" i="3"/>
  <c r="O119" i="3"/>
  <c r="N119" i="3"/>
  <c r="P118" i="3"/>
  <c r="O118" i="3"/>
  <c r="N118" i="3"/>
  <c r="P117" i="3"/>
  <c r="O117" i="3"/>
  <c r="N117" i="3"/>
  <c r="P116" i="3"/>
  <c r="O116" i="3"/>
  <c r="N116" i="3"/>
  <c r="N61" i="4"/>
  <c r="N60" i="4"/>
  <c r="N59" i="4"/>
  <c r="N58" i="4"/>
  <c r="N57" i="4"/>
  <c r="N56" i="4"/>
  <c r="N55" i="4"/>
  <c r="P60" i="3"/>
  <c r="O60" i="3"/>
  <c r="N60" i="3"/>
  <c r="P59" i="3"/>
  <c r="O59" i="3"/>
  <c r="N59" i="3"/>
  <c r="P58" i="3"/>
  <c r="O58" i="3"/>
  <c r="N58" i="3"/>
  <c r="P57" i="3"/>
  <c r="O57" i="3"/>
  <c r="N57" i="3"/>
  <c r="P56" i="3"/>
  <c r="O56" i="3"/>
  <c r="N56" i="3"/>
  <c r="P55" i="3"/>
  <c r="O55" i="3"/>
  <c r="N55" i="3"/>
  <c r="P54" i="3"/>
  <c r="O54" i="3"/>
  <c r="N54" i="3"/>
  <c r="N132" i="4"/>
  <c r="N131" i="4"/>
  <c r="N130" i="4"/>
  <c r="N129" i="4"/>
  <c r="N134" i="4"/>
  <c r="N133" i="4"/>
  <c r="N71" i="4"/>
  <c r="N70" i="4"/>
  <c r="N69" i="4"/>
  <c r="N68" i="4"/>
  <c r="N73" i="4"/>
  <c r="N72" i="4"/>
  <c r="P79" i="3"/>
  <c r="O79" i="3"/>
  <c r="N79" i="3"/>
  <c r="P78" i="3"/>
  <c r="O78" i="3"/>
  <c r="N78" i="3"/>
  <c r="P77" i="3"/>
  <c r="O77" i="3"/>
  <c r="N77" i="3"/>
  <c r="P76" i="3"/>
  <c r="O76" i="3"/>
  <c r="N76" i="3"/>
  <c r="P75" i="3"/>
  <c r="O75" i="3"/>
  <c r="N75" i="3"/>
  <c r="P74" i="3"/>
  <c r="O74" i="3"/>
  <c r="N74" i="3"/>
  <c r="N289" i="12"/>
  <c r="N288" i="12"/>
  <c r="N287" i="12"/>
  <c r="N286" i="12"/>
  <c r="N285" i="12"/>
  <c r="N284" i="12"/>
  <c r="N283" i="12"/>
  <c r="N282" i="12"/>
  <c r="N281" i="12"/>
  <c r="N280" i="12"/>
  <c r="N279" i="12"/>
  <c r="N278" i="12"/>
  <c r="N277" i="12"/>
  <c r="N276" i="12"/>
  <c r="N275" i="12"/>
  <c r="N274" i="12"/>
  <c r="N273" i="12"/>
  <c r="N272" i="12"/>
  <c r="N271" i="12"/>
  <c r="N270" i="12"/>
  <c r="N269" i="12"/>
  <c r="N268" i="12"/>
  <c r="N267" i="12"/>
  <c r="N266" i="12"/>
  <c r="N265" i="12"/>
  <c r="N264" i="12"/>
  <c r="N263" i="12"/>
  <c r="N262" i="12"/>
  <c r="N261" i="12"/>
  <c r="N260" i="12"/>
  <c r="N259" i="12"/>
  <c r="N258" i="12"/>
  <c r="N257" i="12"/>
  <c r="N256" i="12"/>
  <c r="N255" i="12"/>
  <c r="N254" i="12"/>
  <c r="N253" i="12"/>
  <c r="N252" i="12"/>
  <c r="N251" i="12"/>
  <c r="N250" i="12"/>
  <c r="N249" i="12"/>
  <c r="N248" i="12"/>
  <c r="N247" i="12"/>
  <c r="N246" i="12"/>
  <c r="N245" i="12"/>
  <c r="N244" i="12"/>
  <c r="N225" i="12"/>
  <c r="N224" i="12"/>
  <c r="N223" i="12"/>
  <c r="N222" i="12"/>
  <c r="N221" i="12"/>
  <c r="N220" i="12"/>
  <c r="N219" i="12"/>
  <c r="N218" i="12"/>
  <c r="N217" i="12"/>
  <c r="N216" i="12"/>
  <c r="N215" i="12"/>
  <c r="N214" i="12"/>
  <c r="N213" i="12"/>
  <c r="N212" i="12"/>
  <c r="N2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K548" i="6"/>
  <c r="N548" i="6" s="1"/>
  <c r="K547" i="6"/>
  <c r="N547" i="6" s="1"/>
  <c r="K546" i="6"/>
  <c r="N546" i="6" s="1"/>
  <c r="K545" i="6"/>
  <c r="N545" i="6" s="1"/>
  <c r="K544" i="6"/>
  <c r="N544" i="6" s="1"/>
  <c r="K543" i="6"/>
  <c r="N543" i="6" s="1"/>
  <c r="N542" i="6"/>
  <c r="N541" i="6"/>
  <c r="N540" i="6"/>
  <c r="N539" i="6"/>
  <c r="N538" i="6"/>
  <c r="N537" i="6"/>
  <c r="N536" i="6"/>
  <c r="N535" i="6"/>
  <c r="N534" i="6"/>
  <c r="N533" i="6"/>
  <c r="N532" i="6"/>
  <c r="N531" i="6"/>
  <c r="K530" i="6"/>
  <c r="N530" i="6" s="1"/>
  <c r="K529" i="6"/>
  <c r="N529" i="6" s="1"/>
  <c r="K528" i="6"/>
  <c r="N528" i="6" s="1"/>
  <c r="K527" i="6"/>
  <c r="N527" i="6" s="1"/>
  <c r="K526" i="6"/>
  <c r="N526" i="6" s="1"/>
  <c r="K525" i="6"/>
  <c r="N525" i="6" s="1"/>
  <c r="L524" i="6"/>
  <c r="N524" i="6" s="1"/>
  <c r="L523" i="6"/>
  <c r="N523" i="6" s="1"/>
  <c r="L522" i="6"/>
  <c r="N522" i="6" s="1"/>
  <c r="L521" i="6"/>
  <c r="N521" i="6" s="1"/>
  <c r="L520" i="6"/>
  <c r="N520" i="6" s="1"/>
  <c r="L519" i="6"/>
  <c r="N519" i="6"/>
  <c r="L518" i="6"/>
  <c r="N518" i="6" s="1"/>
  <c r="L517" i="6"/>
  <c r="N517" i="6" s="1"/>
  <c r="L516" i="6"/>
  <c r="N516" i="6" s="1"/>
  <c r="L515" i="6"/>
  <c r="N515" i="6" s="1"/>
  <c r="L514" i="6"/>
  <c r="N514" i="6" s="1"/>
  <c r="L513" i="6"/>
  <c r="N513" i="6" s="1"/>
  <c r="N512" i="6"/>
  <c r="L511" i="6"/>
  <c r="N511" i="6" s="1"/>
  <c r="L510" i="6"/>
  <c r="N510" i="6" s="1"/>
  <c r="L509" i="6"/>
  <c r="N509" i="6" s="1"/>
  <c r="L508" i="6"/>
  <c r="N508" i="6" s="1"/>
  <c r="L507" i="6"/>
  <c r="N507" i="6" s="1"/>
  <c r="L506" i="6"/>
  <c r="N506" i="6" s="1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L303" i="6"/>
  <c r="N303" i="6" s="1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183" i="6"/>
  <c r="N182" i="6"/>
  <c r="N181" i="6"/>
  <c r="N180" i="6"/>
  <c r="N179" i="6"/>
  <c r="N17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L18" i="6"/>
  <c r="N18" i="6" s="1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G312" i="5"/>
  <c r="G186" i="5"/>
  <c r="G27" i="5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L278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G330" i="3"/>
  <c r="G329" i="3"/>
  <c r="N19" i="3"/>
  <c r="O19" i="3"/>
  <c r="P19" i="3"/>
  <c r="N20" i="3"/>
  <c r="O20" i="3"/>
  <c r="P20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N74" i="4"/>
  <c r="N116" i="4"/>
  <c r="N115" i="4"/>
  <c r="N114" i="4"/>
  <c r="N113" i="4"/>
  <c r="N112" i="4"/>
  <c r="N111" i="4"/>
  <c r="P73" i="3"/>
  <c r="O73" i="3"/>
  <c r="N73" i="3"/>
  <c r="P72" i="3"/>
  <c r="O72" i="3"/>
  <c r="N72" i="3"/>
  <c r="P71" i="3"/>
  <c r="O71" i="3"/>
  <c r="N71" i="3"/>
  <c r="P70" i="3"/>
  <c r="O70" i="3"/>
  <c r="N70" i="3"/>
  <c r="P69" i="3"/>
  <c r="O69" i="3"/>
  <c r="N69" i="3"/>
  <c r="P68" i="3"/>
  <c r="O68" i="3"/>
  <c r="N68" i="3"/>
  <c r="N9" i="4"/>
  <c r="N12" i="4"/>
  <c r="N11" i="4"/>
  <c r="N10" i="4"/>
  <c r="N8" i="4"/>
  <c r="N7" i="4"/>
  <c r="N6" i="4"/>
  <c r="P11" i="3"/>
  <c r="O11" i="3"/>
  <c r="N11" i="3"/>
  <c r="P10" i="3"/>
  <c r="O10" i="3"/>
  <c r="N10" i="3"/>
  <c r="P9" i="3"/>
  <c r="O9" i="3"/>
  <c r="N9" i="3"/>
  <c r="P8" i="3"/>
  <c r="O8" i="3"/>
  <c r="N8" i="3"/>
  <c r="P7" i="3"/>
  <c r="O7" i="3"/>
  <c r="N7" i="3"/>
  <c r="P6" i="3"/>
  <c r="O6" i="3"/>
  <c r="N6" i="3"/>
  <c r="N33" i="4"/>
  <c r="N32" i="4"/>
  <c r="N31" i="4"/>
  <c r="N30" i="4"/>
  <c r="N29" i="4"/>
  <c r="N28" i="4"/>
  <c r="N27" i="4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5" i="3"/>
  <c r="O5" i="3"/>
  <c r="N5" i="3"/>
  <c r="N12" i="3"/>
  <c r="N13" i="3"/>
  <c r="N14" i="3"/>
  <c r="N15" i="3"/>
  <c r="N16" i="3"/>
  <c r="N17" i="3"/>
  <c r="N18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61" i="3"/>
  <c r="N62" i="3"/>
  <c r="N63" i="3"/>
  <c r="N64" i="3"/>
  <c r="N65" i="3"/>
  <c r="N66" i="3"/>
  <c r="N67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565" i="2"/>
  <c r="N564" i="2"/>
  <c r="N563" i="2"/>
  <c r="N562" i="2"/>
  <c r="N561" i="2"/>
  <c r="N560" i="2"/>
  <c r="N559" i="2"/>
  <c r="N558" i="2"/>
  <c r="N557" i="2"/>
  <c r="N556" i="2"/>
  <c r="N67" i="4"/>
  <c r="N66" i="4"/>
  <c r="N65" i="4"/>
  <c r="N64" i="4"/>
  <c r="N63" i="4"/>
  <c r="N62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40" i="4"/>
  <c r="N39" i="4"/>
  <c r="N38" i="4"/>
  <c r="N37" i="4"/>
  <c r="N36" i="4"/>
  <c r="N35" i="4"/>
  <c r="N34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5" i="4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545" i="2"/>
  <c r="N544" i="2"/>
  <c r="N543" i="2"/>
  <c r="N542" i="2"/>
  <c r="N541" i="2"/>
  <c r="G134" i="1"/>
  <c r="G133" i="1"/>
  <c r="G132" i="1"/>
  <c r="G131" i="1"/>
  <c r="G130" i="1"/>
  <c r="G129" i="1"/>
  <c r="G128" i="1"/>
  <c r="G127" i="1"/>
  <c r="G126" i="1"/>
  <c r="G125" i="1"/>
  <c r="N586" i="2"/>
  <c r="N585" i="2"/>
  <c r="N584" i="2"/>
  <c r="N583" i="2"/>
  <c r="N582" i="2"/>
  <c r="N576" i="2"/>
  <c r="N575" i="2"/>
  <c r="N574" i="2"/>
  <c r="N573" i="2"/>
  <c r="N572" i="2"/>
  <c r="N641" i="2"/>
  <c r="N640" i="2"/>
  <c r="N639" i="2"/>
  <c r="N638" i="2"/>
  <c r="N637" i="2"/>
  <c r="N631" i="2"/>
  <c r="N630" i="2"/>
  <c r="N629" i="2"/>
  <c r="N628" i="2"/>
  <c r="N627" i="2"/>
  <c r="N580" i="2"/>
  <c r="N636" i="2"/>
  <c r="N635" i="2"/>
  <c r="N634" i="2"/>
  <c r="N633" i="2"/>
  <c r="N632" i="2"/>
  <c r="N581" i="2"/>
  <c r="N579" i="2"/>
  <c r="N578" i="2"/>
  <c r="N577" i="2"/>
  <c r="N596" i="2"/>
  <c r="N595" i="2"/>
  <c r="N594" i="2"/>
  <c r="N593" i="2"/>
  <c r="N592" i="2"/>
  <c r="N555" i="2"/>
  <c r="N554" i="2"/>
  <c r="N553" i="2"/>
  <c r="N552" i="2"/>
  <c r="N551" i="2"/>
  <c r="N550" i="2"/>
  <c r="N549" i="2"/>
  <c r="N548" i="2"/>
  <c r="N547" i="2"/>
  <c r="N546" i="2"/>
  <c r="N479" i="2"/>
  <c r="N478" i="2"/>
  <c r="N477" i="2"/>
  <c r="N476" i="2"/>
  <c r="N475" i="2"/>
  <c r="N7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515" i="2"/>
  <c r="N454" i="2"/>
  <c r="N453" i="2"/>
  <c r="N452" i="2"/>
  <c r="N451" i="2"/>
  <c r="N450" i="2"/>
  <c r="N449" i="2"/>
  <c r="N448" i="2"/>
  <c r="N447" i="2"/>
  <c r="N446" i="2"/>
  <c r="N445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353" i="2"/>
  <c r="N352" i="2"/>
  <c r="N351" i="2"/>
  <c r="N350" i="2"/>
  <c r="N349" i="2"/>
  <c r="N514" i="2"/>
  <c r="N513" i="2"/>
  <c r="N512" i="2"/>
  <c r="N511" i="2"/>
  <c r="N510" i="2"/>
  <c r="N201" i="2"/>
  <c r="N200" i="2"/>
  <c r="N199" i="2"/>
  <c r="N198" i="2"/>
  <c r="N525" i="2"/>
  <c r="N524" i="2"/>
  <c r="N523" i="2"/>
  <c r="N522" i="2"/>
  <c r="N521" i="2"/>
  <c r="N106" i="2"/>
  <c r="N107" i="2"/>
  <c r="N348" i="2"/>
  <c r="N347" i="2"/>
  <c r="N346" i="2"/>
  <c r="N345" i="2"/>
  <c r="N344" i="2"/>
  <c r="N343" i="2"/>
  <c r="N342" i="2"/>
  <c r="N341" i="2"/>
  <c r="N340" i="2"/>
  <c r="N339" i="2"/>
  <c r="N128" i="2"/>
  <c r="N158" i="2"/>
  <c r="N157" i="2"/>
  <c r="N156" i="2"/>
  <c r="N155" i="2"/>
  <c r="N154" i="2"/>
  <c r="N126" i="2"/>
  <c r="N499" i="2"/>
  <c r="N498" i="2"/>
  <c r="N497" i="2"/>
  <c r="N496" i="2"/>
  <c r="N495" i="2"/>
  <c r="N626" i="2"/>
  <c r="N625" i="2"/>
  <c r="N624" i="2"/>
  <c r="N623" i="2"/>
  <c r="N622" i="2"/>
  <c r="N621" i="2"/>
  <c r="N620" i="2"/>
  <c r="N619" i="2"/>
  <c r="N618" i="2"/>
  <c r="N617" i="2"/>
  <c r="N601" i="2"/>
  <c r="N600" i="2"/>
  <c r="N599" i="2"/>
  <c r="N598" i="2"/>
  <c r="N597" i="2"/>
  <c r="N591" i="2"/>
  <c r="N590" i="2"/>
  <c r="N589" i="2"/>
  <c r="N588" i="2"/>
  <c r="N587" i="2"/>
  <c r="N571" i="2"/>
  <c r="N570" i="2"/>
  <c r="N569" i="2"/>
  <c r="N212" i="2"/>
  <c r="N211" i="2"/>
  <c r="N210" i="2"/>
  <c r="N209" i="2"/>
  <c r="N568" i="2"/>
  <c r="N567" i="2"/>
  <c r="N520" i="2"/>
  <c r="N519" i="2"/>
  <c r="N518" i="2"/>
  <c r="N517" i="2"/>
  <c r="N516" i="2"/>
  <c r="N509" i="2"/>
  <c r="N508" i="2"/>
  <c r="N507" i="2"/>
  <c r="N506" i="2"/>
  <c r="N505" i="2"/>
  <c r="N504" i="2"/>
  <c r="N503" i="2"/>
  <c r="N502" i="2"/>
  <c r="N501" i="2"/>
  <c r="N500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112" i="2"/>
  <c r="N111" i="2"/>
  <c r="N170" i="2"/>
  <c r="N171" i="2"/>
  <c r="N169" i="2"/>
  <c r="N174" i="2"/>
  <c r="N173" i="2"/>
  <c r="N208" i="2"/>
  <c r="N207" i="2"/>
  <c r="N206" i="2"/>
  <c r="N205" i="2"/>
  <c r="N204" i="2"/>
  <c r="N203" i="2"/>
  <c r="N195" i="2"/>
  <c r="N196" i="2"/>
  <c r="N194" i="2"/>
  <c r="N29" i="2"/>
  <c r="N28" i="2"/>
  <c r="N190" i="2"/>
  <c r="N193" i="2"/>
  <c r="N192" i="2"/>
  <c r="N191" i="2"/>
  <c r="N109" i="2"/>
  <c r="N108" i="2"/>
  <c r="N82" i="2"/>
  <c r="N81" i="2"/>
  <c r="N80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177" i="2"/>
  <c r="N176" i="2"/>
  <c r="N175" i="2"/>
  <c r="N172" i="2"/>
  <c r="N168" i="2"/>
  <c r="N167" i="2"/>
  <c r="N166" i="2"/>
  <c r="N165" i="2"/>
  <c r="N164" i="2"/>
  <c r="N163" i="2"/>
  <c r="N162" i="2"/>
  <c r="N161" i="2"/>
  <c r="N160" i="2"/>
  <c r="N159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7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0" i="2"/>
  <c r="N189" i="2"/>
  <c r="N188" i="2"/>
  <c r="N187" i="2"/>
  <c r="N186" i="2"/>
  <c r="N185" i="2"/>
  <c r="N184" i="2"/>
  <c r="N183" i="2"/>
  <c r="N182" i="2"/>
  <c r="N181" i="2"/>
  <c r="N180" i="2"/>
  <c r="N179" i="2"/>
  <c r="N178" i="2"/>
</calcChain>
</file>

<file path=xl/comments1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comments3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comments4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comments5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sharedStrings.xml><?xml version="1.0" encoding="utf-8"?>
<sst xmlns="http://schemas.openxmlformats.org/spreadsheetml/2006/main" count="29059" uniqueCount="8890">
  <si>
    <t>#ID</t>
  </si>
  <si>
    <t>#조건</t>
  </si>
  <si>
    <t>#조건 값
(백분율)</t>
  </si>
  <si>
    <t>#지속시간
천분율</t>
  </si>
  <si>
    <t>#맥스
스택</t>
  </si>
  <si>
    <t>#추가
스택</t>
  </si>
  <si>
    <t>#Buff Effect</t>
  </si>
  <si>
    <t>#END
Effect</t>
  </si>
  <si>
    <t>#Ture버프
해제불가</t>
  </si>
  <si>
    <t>#사망
버프삭제</t>
  </si>
  <si>
    <t>#버프,
디버프</t>
  </si>
  <si>
    <t>#프리팹</t>
  </si>
  <si>
    <t>#아이콘</t>
  </si>
  <si>
    <t>#이름</t>
  </si>
  <si>
    <t>#설명</t>
  </si>
  <si>
    <t>#자동
설명</t>
  </si>
  <si>
    <t>#Hud
노출</t>
  </si>
  <si>
    <t>Id</t>
  </si>
  <si>
    <t>ActiveCondition</t>
  </si>
  <si>
    <t>ConditionValue</t>
  </si>
  <si>
    <t>Duration</t>
  </si>
  <si>
    <t>MaxStack</t>
  </si>
  <si>
    <t>AddStack</t>
  </si>
  <si>
    <t>Effects</t>
  </si>
  <si>
    <t>EndEffects</t>
  </si>
  <si>
    <t>Removeable</t>
  </si>
  <si>
    <t>RemoveDead</t>
  </si>
  <si>
    <t>BuffType</t>
  </si>
  <si>
    <t>Prefabs</t>
  </si>
  <si>
    <t>Icon</t>
  </si>
  <si>
    <t>Name</t>
  </si>
  <si>
    <t>Desc</t>
  </si>
  <si>
    <t>UseAutoDesc</t>
  </si>
  <si>
    <t>Showhit</t>
  </si>
  <si>
    <t>*string</t>
  </si>
  <si>
    <t>ActiveCondition?</t>
  </si>
  <si>
    <t>string</t>
  </si>
  <si>
    <t>int</t>
  </si>
  <si>
    <t>[$BuffEffect]</t>
  </si>
  <si>
    <t>[$SkillEffect]</t>
  </si>
  <si>
    <t>bool</t>
  </si>
  <si>
    <t>[string]</t>
  </si>
  <si>
    <t>common</t>
  </si>
  <si>
    <t>client</t>
  </si>
  <si>
    <t>comingsoon</t>
  </si>
  <si>
    <t>comingsoon.test.buff.01</t>
  </si>
  <si>
    <t>comingsoon.test.buff.buffeffect.01</t>
  </si>
  <si>
    <t>icon_battle_damagederate</t>
  </si>
  <si>
    <t>comingsoon.test.buff.02</t>
  </si>
  <si>
    <t>comingsoon.test.buff.buffeffect.02</t>
  </si>
  <si>
    <t>ccimmune</t>
  </si>
  <si>
    <t>Effect/Prefab/10_buff/EFF_buff_invincible
Effect/Prefab/10_buff/EFF_immune</t>
  </si>
  <si>
    <t>icon_battle_ccimmune</t>
  </si>
  <si>
    <t>Buff.Name.CCImmune</t>
  </si>
  <si>
    <t>damageimmune</t>
  </si>
  <si>
    <t>damageimmune
burndamageimmune
poisondamageimmune
bleeddamageimmune</t>
  </si>
  <si>
    <t>icon_battle_damageimmune</t>
  </si>
  <si>
    <t>Buff.Name.DamageImmune</t>
  </si>
  <si>
    <t>normaldamageimmune</t>
  </si>
  <si>
    <t>Buff.Name.NormalDamageImmune</t>
  </si>
  <si>
    <t>dotdamageimmune</t>
  </si>
  <si>
    <t>burndamageimmune
poisondamageimmune
bleeddamageimmune</t>
  </si>
  <si>
    <t>Buff.Name.DotDamageImmune</t>
  </si>
  <si>
    <t>pre.normaldamageimmune</t>
  </si>
  <si>
    <t>pre.dotdamageimmune</t>
  </si>
  <si>
    <t>guardrate25</t>
  </si>
  <si>
    <t>Effect/Prefab/10_buff/EFF_buff_up</t>
  </si>
  <si>
    <t>icon_battle_guard</t>
  </si>
  <si>
    <t>Buff.Name.GuardUp</t>
  </si>
  <si>
    <t>guardrate28</t>
  </si>
  <si>
    <t>guardrate30</t>
  </si>
  <si>
    <t>guardrate35</t>
  </si>
  <si>
    <t>guardrate40</t>
  </si>
  <si>
    <t>guardrate45</t>
  </si>
  <si>
    <t>guardrate50</t>
  </si>
  <si>
    <t>guardrate100</t>
  </si>
  <si>
    <t>critical.20</t>
  </si>
  <si>
    <t>icon_battle_critical</t>
  </si>
  <si>
    <t>Buff.Name.CriticalUp</t>
  </si>
  <si>
    <t>critical.30</t>
  </si>
  <si>
    <t>critical.35</t>
  </si>
  <si>
    <t>critical.40</t>
  </si>
  <si>
    <t>critical.45</t>
  </si>
  <si>
    <t>critical.50</t>
  </si>
  <si>
    <t>critical.100</t>
  </si>
  <si>
    <t>ignoredefense.10</t>
  </si>
  <si>
    <t>icon_battle_ignoredefense</t>
  </si>
  <si>
    <t>Buff.Name.IgnoredefenseUp</t>
  </si>
  <si>
    <t>ignoredefense.20</t>
  </si>
  <si>
    <t>ignoredefense.25</t>
  </si>
  <si>
    <t>ignoredefense.30</t>
  </si>
  <si>
    <t>ignoredefense.40</t>
  </si>
  <si>
    <t>ignoredefense.50</t>
  </si>
  <si>
    <t>ignoredefense.60</t>
  </si>
  <si>
    <t>ignoredefense.65</t>
  </si>
  <si>
    <t>ignoredefense.70</t>
  </si>
  <si>
    <t>ignoredefense.75</t>
  </si>
  <si>
    <t>ignoredefense.80</t>
  </si>
  <si>
    <t>ignoredefense.85</t>
  </si>
  <si>
    <t>ignoredefense.90</t>
  </si>
  <si>
    <t>ignoredefense.95</t>
  </si>
  <si>
    <t>ignoredefense.100</t>
  </si>
  <si>
    <t>evasion.50</t>
  </si>
  <si>
    <t>icon_battle_evasion</t>
  </si>
  <si>
    <t>Buff.Name.EvasionUp</t>
  </si>
  <si>
    <t>evasion.100</t>
  </si>
  <si>
    <t>accuracy.20</t>
  </si>
  <si>
    <t>icon_battle_accuracy</t>
  </si>
  <si>
    <t>Buff.Name.AccuracyUp</t>
  </si>
  <si>
    <t>accuracy.30</t>
  </si>
  <si>
    <t>accuracy.50</t>
  </si>
  <si>
    <t>accuracy.100</t>
  </si>
  <si>
    <t>knockback</t>
  </si>
  <si>
    <t>knockback100</t>
  </si>
  <si>
    <t>knockback150</t>
  </si>
  <si>
    <t>knockback200</t>
  </si>
  <si>
    <t>knockback250</t>
  </si>
  <si>
    <t>pushed100</t>
  </si>
  <si>
    <t>pushed</t>
  </si>
  <si>
    <t>pushed150</t>
  </si>
  <si>
    <t>pushed200</t>
  </si>
  <si>
    <t>info.ccimmune</t>
  </si>
  <si>
    <t>none</t>
  </si>
  <si>
    <t>info.damageimmune</t>
  </si>
  <si>
    <t>info.normaldamageimmune</t>
  </si>
  <si>
    <t>icon_battle_grab</t>
  </si>
  <si>
    <t>Buff.Name.Pull</t>
  </si>
  <si>
    <t>icon_battle_black_hole</t>
  </si>
  <si>
    <t>Buff.Name.BlackHole</t>
  </si>
  <si>
    <t>icon_battle_target_attacker</t>
  </si>
  <si>
    <t>Buff.Name.TargetClass.Attacker</t>
  </si>
  <si>
    <t>icon_battle_target_tanker</t>
  </si>
  <si>
    <t>icon_battle_target_supporter</t>
  </si>
  <si>
    <t>Buff.Name.TargetClass.Supporter</t>
  </si>
  <si>
    <t>info.target.ranger</t>
  </si>
  <si>
    <t>icon_battle_target_ranger</t>
  </si>
  <si>
    <t>Buff.Name.TargetClass.Ranger</t>
  </si>
  <si>
    <t>info.targetattack.attacker</t>
  </si>
  <si>
    <t>icon_battle_defense_attacker</t>
  </si>
  <si>
    <t>Buff.Name.TargetAttackClass.Attacker</t>
  </si>
  <si>
    <t>info.targetattack</t>
  </si>
  <si>
    <t>icon_battle_defense_tanker</t>
  </si>
  <si>
    <t>info.targetattack.supporter</t>
  </si>
  <si>
    <t>icon_battle_defense_supporter</t>
  </si>
  <si>
    <t>Buff.Name.TargetAttackClass.Supporter</t>
  </si>
  <si>
    <t>icon_battle_defense_ranger</t>
  </si>
  <si>
    <t>Buff.Name.TargetAttackClass.Ranger</t>
  </si>
  <si>
    <t>icon_battle_freezing</t>
  </si>
  <si>
    <t>Buff.Name.Freeze</t>
  </si>
  <si>
    <t>info.freeze.patricia.01</t>
  </si>
  <si>
    <t>info.freeze.patricia.02</t>
  </si>
  <si>
    <t>info.addattack.paralysis</t>
  </si>
  <si>
    <t>icon_battle_addattack_paralysis</t>
  </si>
  <si>
    <t>Buff.Name.AddAttack.Paralysis</t>
  </si>
  <si>
    <t>info.addattack.eletric</t>
  </si>
  <si>
    <t>icon_battle_addattack_electric</t>
  </si>
  <si>
    <t>Buff.Name.AddAttack.Electric</t>
  </si>
  <si>
    <t>info.addattack.poison</t>
  </si>
  <si>
    <t>icon_battle_addattack_poison</t>
  </si>
  <si>
    <t>Buff.Name.AddAttack.Poison</t>
  </si>
  <si>
    <t>sample.dot.burn</t>
  </si>
  <si>
    <t>Effect/Prefab/10_buff/EFF_debuff_fire</t>
  </si>
  <si>
    <t>icon_battle_burn</t>
  </si>
  <si>
    <t>Buff.Name.burn</t>
  </si>
  <si>
    <t>sample.dot.poison</t>
  </si>
  <si>
    <t xml:space="preserve">Effect/Prefab/10_buff/EFF_debuff_poison </t>
  </si>
  <si>
    <t>icon_battle_poison</t>
  </si>
  <si>
    <t>sample.dot.bleed</t>
  </si>
  <si>
    <t>Effect/Prefab/10_buff/EFF_debuff_bleeding</t>
  </si>
  <si>
    <t>icon_battle_bleeding</t>
  </si>
  <si>
    <t>Buff.Name.Bleeding</t>
  </si>
  <si>
    <t>sample.cooldown</t>
  </si>
  <si>
    <t>icon_battle_cooldown</t>
  </si>
  <si>
    <t>Buff.Name.CooldownDown</t>
  </si>
  <si>
    <t>sample.coolup</t>
  </si>
  <si>
    <t>Effect/Prefab/10_buff/EFF_debuff_down</t>
  </si>
  <si>
    <t>Buff.Name.CooldownUp</t>
  </si>
  <si>
    <t>sample.knockback</t>
  </si>
  <si>
    <t>#타겟</t>
  </si>
  <si>
    <t>#광여
타이</t>
  </si>
  <si>
    <t>#값</t>
  </si>
  <si>
    <t>#수</t>
  </si>
  <si>
    <t>#이펙트</t>
  </si>
  <si>
    <t>#사용
스택</t>
  </si>
  <si>
    <t>#틱</t>
  </si>
  <si>
    <t>#이펙트
이름</t>
  </si>
  <si>
    <t>#Hud</t>
  </si>
  <si>
    <t>TargetTendency</t>
  </si>
  <si>
    <t>AreaType</t>
  </si>
  <si>
    <t>AreaValue</t>
  </si>
  <si>
    <t>TargetCount</t>
  </si>
  <si>
    <t>Effect</t>
  </si>
  <si>
    <t>UseStack</t>
  </si>
  <si>
    <t>Tick</t>
  </si>
  <si>
    <t>ShowHit</t>
  </si>
  <si>
    <t>[int]</t>
  </si>
  <si>
    <t>dsl</t>
  </si>
  <si>
    <t>Self</t>
  </si>
  <si>
    <t>Single</t>
  </si>
  <si>
    <t>resist.silence</t>
  </si>
  <si>
    <t>resist.blind</t>
  </si>
  <si>
    <t>resist.bind</t>
  </si>
  <si>
    <t>resist.wound</t>
  </si>
  <si>
    <t>resist.sleep</t>
  </si>
  <si>
    <t>resist.stun</t>
  </si>
  <si>
    <t>resist.shock</t>
  </si>
  <si>
    <t>resist.paralysis</t>
  </si>
  <si>
    <t>resist.fear</t>
  </si>
  <si>
    <t>resist.charm</t>
  </si>
  <si>
    <t>resist.knockback</t>
  </si>
  <si>
    <t>resist.airborne</t>
  </si>
  <si>
    <t>resist.pull</t>
  </si>
  <si>
    <t>resist.freeze</t>
  </si>
  <si>
    <t>resist.exile</t>
  </si>
  <si>
    <t>resist.groggy</t>
  </si>
  <si>
    <t>resist.provoke</t>
  </si>
  <si>
    <t>resist.polymorph</t>
  </si>
  <si>
    <t>burndamageimmune</t>
  </si>
  <si>
    <t>poisondamageimmune</t>
  </si>
  <si>
    <t>bleeddamageimmune</t>
  </si>
  <si>
    <t>resist.cc.50</t>
  </si>
  <si>
    <t>resist.silence.50</t>
  </si>
  <si>
    <t>resist.blind.50</t>
  </si>
  <si>
    <t>resist.bind.50</t>
  </si>
  <si>
    <t>resist.wound.50</t>
  </si>
  <si>
    <t>resist.sleep.50</t>
  </si>
  <si>
    <t>resist.stun.50</t>
  </si>
  <si>
    <t>resist.shock.50</t>
  </si>
  <si>
    <t>resist.paralysis.50</t>
  </si>
  <si>
    <t>resist.fear.50</t>
  </si>
  <si>
    <t>resist.charm.50</t>
  </si>
  <si>
    <t>resist.knockback.50</t>
  </si>
  <si>
    <t>resist.airborne.50</t>
  </si>
  <si>
    <t>resist.pull.50</t>
  </si>
  <si>
    <t>resist.freeze.50</t>
  </si>
  <si>
    <t>resist.exile.50</t>
  </si>
  <si>
    <t>resist.provoke.50</t>
  </si>
  <si>
    <t>resist.polymorph.50</t>
  </si>
  <si>
    <t>damageimmune.50</t>
  </si>
  <si>
    <t>burndamageimmune.50</t>
  </si>
  <si>
    <t>poisondamageimmune.50</t>
  </si>
  <si>
    <t>bleeddamageimmune.50</t>
  </si>
  <si>
    <t>Invincible</t>
  </si>
  <si>
    <t>stun</t>
  </si>
  <si>
    <t>Buff.Name.Stun</t>
  </si>
  <si>
    <t>Buff.Name.Bind</t>
  </si>
  <si>
    <t>freeze</t>
  </si>
  <si>
    <t>shock</t>
  </si>
  <si>
    <t>Buff.Name.Shock</t>
  </si>
  <si>
    <t>Buff.Name.Paralysis</t>
  </si>
  <si>
    <t>Buff.Name.Wound</t>
  </si>
  <si>
    <t>fear</t>
  </si>
  <si>
    <t>Buff.Name.Fear</t>
  </si>
  <si>
    <t>charm</t>
  </si>
  <si>
    <t>Buff.Name.Charm</t>
  </si>
  <si>
    <t>Buff.Name.Silence</t>
  </si>
  <si>
    <t>blind</t>
  </si>
  <si>
    <t>Buff.Name.Blindess</t>
  </si>
  <si>
    <t>sleep</t>
  </si>
  <si>
    <t>Buff.Name.Sleep</t>
  </si>
  <si>
    <t>exile</t>
  </si>
  <si>
    <t>Buff.Name.exile</t>
  </si>
  <si>
    <t>Buff.Name.KnockBack</t>
  </si>
  <si>
    <t>airborne</t>
  </si>
  <si>
    <t>Buff.Name.Pushed</t>
  </si>
  <si>
    <t>provoke</t>
  </si>
  <si>
    <t>linkall</t>
  </si>
  <si>
    <t>linkto</t>
  </si>
  <si>
    <t>pull5000</t>
  </si>
  <si>
    <t>pull7500</t>
  </si>
  <si>
    <t>pull10000</t>
  </si>
  <si>
    <t>movespeedratedown80</t>
  </si>
  <si>
    <t>movespeedratedown90</t>
  </si>
  <si>
    <t>movespeedratedown100</t>
  </si>
  <si>
    <t>recoveryratedown50</t>
  </si>
  <si>
    <t>recoveryratedown100</t>
  </si>
  <si>
    <t>receiverecoveryratedown20</t>
  </si>
  <si>
    <t>receiverecoveryratedown25</t>
  </si>
  <si>
    <t>receiverecoveryratedown30</t>
  </si>
  <si>
    <t>receiverecoveryratedown50</t>
  </si>
  <si>
    <t>receiverecoveryratedown100</t>
  </si>
  <si>
    <t>sample.dechpoverrate</t>
  </si>
  <si>
    <t>sample.inchpoverrate</t>
  </si>
  <si>
    <t>Effect/Prefab/10_buff/EFF_buff_link</t>
  </si>
  <si>
    <t>icon_battle_link</t>
  </si>
  <si>
    <t>Buff.Name.Link</t>
  </si>
  <si>
    <t xml:space="preserve">Effect/Prefab/10_buff/EFF_debuff_taunt </t>
  </si>
  <si>
    <t>icon_battle_provoke</t>
  </si>
  <si>
    <t>Buff.Name.Provoke</t>
  </si>
  <si>
    <t>melissa.summon.passive.buff.01</t>
  </si>
  <si>
    <t>icon_battle_reflection</t>
  </si>
  <si>
    <t>Buff.Name.Reflection</t>
  </si>
  <si>
    <t>melissa.summon.passive.buff.02</t>
  </si>
  <si>
    <t>melissa.summon.passive.buff.buffeffect.02</t>
  </si>
  <si>
    <t>melissa.summon.passive.buff.03</t>
  </si>
  <si>
    <t>melissa.summon.passive.buff.buffeffect.03</t>
  </si>
  <si>
    <t>melissa.passive.buff.01</t>
  </si>
  <si>
    <t>melissa.passive.buff.buffeffect.01</t>
  </si>
  <si>
    <t>melissa.passive.buff.02</t>
  </si>
  <si>
    <t>melissa.passive.buff.buffeffect.02</t>
  </si>
  <si>
    <t>melissa.passive.buff.03</t>
  </si>
  <si>
    <t>melissa.passive.buff.buffeffect.03</t>
  </si>
  <si>
    <t>melissa.passive.buff.04</t>
  </si>
  <si>
    <t>melissa.passive.buff.buffeffect.04</t>
  </si>
  <si>
    <t>melissa.passive.buff.05</t>
  </si>
  <si>
    <t>melissa.passive.buff.buffeffect.05</t>
  </si>
  <si>
    <t>melissa.passive.buff.06</t>
  </si>
  <si>
    <t>melissa.passive.buff.buffeffect.06</t>
  </si>
  <si>
    <t>melissa.passive.effect</t>
  </si>
  <si>
    <t>melissa.passive.effect.buffeffect</t>
  </si>
  <si>
    <t>melissa.passive.effect.buffeffect.skilleffect.buff</t>
  </si>
  <si>
    <t>Effect/Prefab/01.Character/28_melissa/EFF_melissa_buff_shield</t>
  </si>
  <si>
    <t>melissa.passive.reflect.effect.buff</t>
  </si>
  <si>
    <t>Effect/Prefab/01.Character/28_melissa/EFF_melissa_buff_shield_act</t>
  </si>
  <si>
    <t>Effect/Prefab/10_buff/EFF_debuff_stun</t>
  </si>
  <si>
    <t>icon_battle_stun</t>
  </si>
  <si>
    <t>icon_battle_defense</t>
  </si>
  <si>
    <t>Effect/Prefab/10_buff/EFF_buff_shield</t>
  </si>
  <si>
    <t>icon_battle_shield</t>
  </si>
  <si>
    <t>Buff.Name.Shield</t>
  </si>
  <si>
    <t>Buff.Name.DamageDerateUp</t>
  </si>
  <si>
    <t>lilian.passive.buff.01</t>
  </si>
  <si>
    <t>lilian.passive.buff.buffeffect.01</t>
  </si>
  <si>
    <t>lilian.passive.buff.02</t>
  </si>
  <si>
    <t>lilian.passive.buff.buffeffect.02</t>
  </si>
  <si>
    <t>lilian.passive.buff.03</t>
  </si>
  <si>
    <t>lilian.passive.buff.buffeffect.03</t>
  </si>
  <si>
    <t>lilian.passive.buff.04</t>
  </si>
  <si>
    <t>lilian.passive.buff.buffeffect.04</t>
  </si>
  <si>
    <t>lilian.passive.buff.05</t>
  </si>
  <si>
    <t>lilian.passive.buff.buffeffect.05</t>
  </si>
  <si>
    <t>lilian.passive.buff.06</t>
  </si>
  <si>
    <t>lilian.passive.buff.buffeffect.06</t>
  </si>
  <si>
    <t>daria.active2.effect.buff.01</t>
  </si>
  <si>
    <t>daria.active2.effect.buff.02</t>
  </si>
  <si>
    <t>daria.active2.effect.buff.03</t>
  </si>
  <si>
    <t>daria.active2.effect.buff.04</t>
  </si>
  <si>
    <t>daria.active2.effect.buff.05</t>
  </si>
  <si>
    <t>daria.active2.effect.buff.06</t>
  </si>
  <si>
    <t>daria.active2.effect.shield.buff.01</t>
  </si>
  <si>
    <t>daria.active2.effect.shield.buff.buffeffect.01</t>
  </si>
  <si>
    <t>daria.active2.effect.shield.buff.02</t>
  </si>
  <si>
    <t>daria.active2.effect.shield.buff.buffeffect.02</t>
  </si>
  <si>
    <t>daria.active2.effect.shield.buff.03</t>
  </si>
  <si>
    <t>daria.active2.effect.shield.buff.buffeffect.03</t>
  </si>
  <si>
    <t>daria.active2.effect.event.effect.buff.01</t>
  </si>
  <si>
    <t>daria.active2.effect.event.effect.buff.02</t>
  </si>
  <si>
    <t>daria.active2.effect.event.effect.buff.03</t>
  </si>
  <si>
    <t>Effect/Prefab/10_buff/EFF_debuff_freezing</t>
  </si>
  <si>
    <t>snopril.passive.buff.02</t>
  </si>
  <si>
    <t>snopril.passive.buff.buffeffect.02</t>
  </si>
  <si>
    <t>snopril.passive.buff.03</t>
  </si>
  <si>
    <t>snopril.passive.buff.buffeffect.03</t>
  </si>
  <si>
    <t>snopril.passive.buff.04</t>
  </si>
  <si>
    <t>snopril.passive.buff.buffeffect.04</t>
  </si>
  <si>
    <t>snopril.passive.buff.05</t>
  </si>
  <si>
    <t>snopril.passive.buff.buffeffect.05</t>
  </si>
  <si>
    <t>snopril.passive.buff.06</t>
  </si>
  <si>
    <t>snopril.passive.buff.buffeffect.06</t>
  </si>
  <si>
    <t>anne.ult.effect.event.buff.01</t>
  </si>
  <si>
    <t>anne.ult.effect.event.buff.buffeffect.01</t>
  </si>
  <si>
    <t>icon_battle_damagerate</t>
  </si>
  <si>
    <t>anne.ult.effect.event.buff.02</t>
  </si>
  <si>
    <t>anne.ult.effect.event.buff.buffeffect.02</t>
  </si>
  <si>
    <t>anne.ult.effect.event.buff.03</t>
  </si>
  <si>
    <t>anne.ult.effect.event.buff.buffeffect.03</t>
  </si>
  <si>
    <t>anne.active2.pre.buff</t>
  </si>
  <si>
    <t>anne.active2.effect.event.buff.01</t>
  </si>
  <si>
    <t>anne.active2.effect.event.buff.02</t>
  </si>
  <si>
    <t>anne.active2.buff.01</t>
  </si>
  <si>
    <t>anne.active2.buff.buffeffect.01</t>
  </si>
  <si>
    <t>anne.active2.buff.02</t>
  </si>
  <si>
    <t>anne.active2.buff.buffeffect.02</t>
  </si>
  <si>
    <t>anne.active2.buff.buffeffect.skilleffect.buff.01</t>
  </si>
  <si>
    <t>anne.active2.buff.buffeffect.skilleffect.buff.buffeffect.01</t>
  </si>
  <si>
    <t>icon_battle_attack</t>
  </si>
  <si>
    <t>Buff.Name.AttackDown</t>
  </si>
  <si>
    <t>anne.active2.buff.buffeffect.skilleffect.buff.02</t>
  </si>
  <si>
    <t>anne.active2.buff.buffeffect.skilleffect.buff.buffeffect.02</t>
  </si>
  <si>
    <t>anne.passive.guard.heal.buff.01</t>
  </si>
  <si>
    <t>anne.passive.guard.heal.buff.buffeffect.01</t>
  </si>
  <si>
    <t>anne.passive.guard.heal.buff.02</t>
  </si>
  <si>
    <t>anne.passive.guard.heal.buff.buffeffect.02</t>
  </si>
  <si>
    <t>anne.passive.guard.heal.buff.03</t>
  </si>
  <si>
    <t>anne.passive.guard.heal.buff.buffeffect.03</t>
  </si>
  <si>
    <t>anne.passive.guard.heal.buff.04</t>
  </si>
  <si>
    <t>anne.passive.guard.heal.buff.buffeffect.04</t>
  </si>
  <si>
    <t>anne.passive.guard.heal.buff.05</t>
  </si>
  <si>
    <t>anne.passive.guard.heal.buff.buffeffect.05</t>
  </si>
  <si>
    <t>anne.passive.guard.heal.buff.06</t>
  </si>
  <si>
    <t>anne.passive.guard.heal.buff.buffeffect.06</t>
  </si>
  <si>
    <t>Buff.Name.DefenseUp</t>
  </si>
  <si>
    <t>taina.passive.buff.01</t>
  </si>
  <si>
    <t>taina.passive.buff.buffeffect.01</t>
  </si>
  <si>
    <t>taina.passive.buff.02</t>
  </si>
  <si>
    <t>taina.passive.buff.buffeffect.02</t>
  </si>
  <si>
    <t>taina.passive.buff.03</t>
  </si>
  <si>
    <t>taina.passive.buff.buffeffect.03</t>
  </si>
  <si>
    <t>taina.passive.buff.04</t>
  </si>
  <si>
    <t>taina.passive.buff.buffeffect.04</t>
  </si>
  <si>
    <t>taina.passive.buff.05</t>
  </si>
  <si>
    <t>taina.passive.buff.buffeffect.05</t>
  </si>
  <si>
    <t>taina.passive.buff.06</t>
  </si>
  <si>
    <t>taina.passive.buff.buffeffect.06</t>
  </si>
  <si>
    <t>diana.ult.effect.shield.buff.01</t>
  </si>
  <si>
    <t>diana.ult.effect.shield.buff.buffeffect.01</t>
  </si>
  <si>
    <t>diana.ult.effect.shield.buff.02</t>
  </si>
  <si>
    <t>diana.ult.effect.shield.buff.buffeffect.02</t>
  </si>
  <si>
    <t>diana.ult.effect.shield.buff.03</t>
  </si>
  <si>
    <t>diana.ult.effect.shield.buff.buffeffect.03</t>
  </si>
  <si>
    <t>ambrosia.ult.airborne.buff.01</t>
  </si>
  <si>
    <t>ambrosia.active1.defup.buff.01</t>
  </si>
  <si>
    <t>ambrosia.active1.defup.buff.02</t>
  </si>
  <si>
    <t>ambrosia.active1.defup.buff.03</t>
  </si>
  <si>
    <t>ambrosia.active1.defup.buff.04</t>
  </si>
  <si>
    <t>ambrosia.active1.defup.buff.05</t>
  </si>
  <si>
    <t>ambrosia.active1.defup.buff.06</t>
  </si>
  <si>
    <t>AllyNSelf</t>
  </si>
  <si>
    <t>All</t>
  </si>
  <si>
    <t>Hp</t>
  </si>
  <si>
    <t>#조건 값 (백분율)</t>
  </si>
  <si>
    <t>#맥스스택</t>
  </si>
  <si>
    <t>#추가스택</t>
  </si>
  <si>
    <t>#END Effect</t>
  </si>
  <si>
    <t>#Ture
버프 해제 불가</t>
  </si>
  <si>
    <t>#버프, 디버프</t>
  </si>
  <si>
    <t>#자동 설명</t>
  </si>
  <si>
    <t>#Hud 노출</t>
  </si>
  <si>
    <t>Effect/Prefab/10_buff/EFF_buff_serapulsar_loop</t>
  </si>
  <si>
    <t>Buff.Name.AttackUp</t>
  </si>
  <si>
    <t>serapulsar.active1.effect.event.buff.01</t>
  </si>
  <si>
    <t>serapulsar.active1.effect.event.buff.02</t>
  </si>
  <si>
    <t>serapulsar.passive.buff.01</t>
  </si>
  <si>
    <t>serapulsar.passive.buff.buffeffect.01</t>
  </si>
  <si>
    <t>serapulsar.passive.buff.02</t>
  </si>
  <si>
    <t>serapulsar.passive.buff.buffeffect.02</t>
  </si>
  <si>
    <t>serapulsar.passive.buff.03</t>
  </si>
  <si>
    <t>serapulsar.passive.buff.buffeffect.03</t>
  </si>
  <si>
    <t>serapulsar.passive.buff.04</t>
  </si>
  <si>
    <t>serapulsar.passive.buff.buffeffect.04</t>
  </si>
  <si>
    <t>serapulsar.passive.buff.05</t>
  </si>
  <si>
    <t>serapulsar.passive.buff.buffeffect.05</t>
  </si>
  <si>
    <t>serapulsar.passive.buff.06</t>
  </si>
  <si>
    <t>serapulsar.passive.buff.buffeffect.06</t>
  </si>
  <si>
    <t>icon_battle_shock</t>
  </si>
  <si>
    <t>Buff.Name.EPRechargeRateUP</t>
  </si>
  <si>
    <t>iras.passive.buff.01</t>
  </si>
  <si>
    <t>iras.passive.buff.buffeffect.01</t>
  </si>
  <si>
    <t>iras.passive.buff.02</t>
  </si>
  <si>
    <t>iras.passive.buff.buffeffect.02</t>
  </si>
  <si>
    <t>iras.passive.buff.03</t>
  </si>
  <si>
    <t>iras.passive.buff.buffeffect.03</t>
  </si>
  <si>
    <t>iras.passive.buff.04</t>
  </si>
  <si>
    <t>iras.passive.buff.buffeffect.04</t>
  </si>
  <si>
    <t>iras.passive.buff.05</t>
  </si>
  <si>
    <t>iras.passive.buff.buffeffect.05</t>
  </si>
  <si>
    <t>iras.passive.buff.06</t>
  </si>
  <si>
    <t>iras.passive.buff.buffeffect.06</t>
  </si>
  <si>
    <t>sia.passive.buff.01</t>
  </si>
  <si>
    <t>sia.passive.buff.02</t>
  </si>
  <si>
    <t>sia.passive.buff.03</t>
  </si>
  <si>
    <t>sia.passive.buff.04</t>
  </si>
  <si>
    <t>sia.passive.buff.05</t>
  </si>
  <si>
    <t>sia.passive.buff.06</t>
  </si>
  <si>
    <t>mea.ult.pull.buff.02</t>
  </si>
  <si>
    <t>mea.ult.pull.buff.03</t>
  </si>
  <si>
    <t>Effect/Prefab/10_buff/EFF_debuff_fear</t>
  </si>
  <si>
    <t>icon_battle_fear</t>
  </si>
  <si>
    <t>rachel.ult.effect.event.buff.01</t>
  </si>
  <si>
    <t>rachel.ult.effect.event.buff.buffeffect.01</t>
  </si>
  <si>
    <t>rachel.ult.effect.event.buff.02</t>
  </si>
  <si>
    <t>rachel.ult.effect.event.buff.buffeffect.02</t>
  </si>
  <si>
    <t>rachel.ult.effect.event.buff.03</t>
  </si>
  <si>
    <t>rachel.ult.effect.event.buff.buffeffect.03</t>
  </si>
  <si>
    <t>rachel.active1.effect.event.buff.01</t>
  </si>
  <si>
    <t>rachel.active1.effect.event.buff.02</t>
  </si>
  <si>
    <t>rachel.active1.effect.event.buff.03</t>
  </si>
  <si>
    <t>rachel.active2.effect.event.buff.01</t>
  </si>
  <si>
    <t>rachel.active2.effect.event.buff.buffeffect.01</t>
  </si>
  <si>
    <t>rachel.active2.effect.event.buff.02</t>
  </si>
  <si>
    <t>rachel.active2.effect.event.buff.buffeffect.02</t>
  </si>
  <si>
    <t>rachel.active2.effect.event.buff.03</t>
  </si>
  <si>
    <t>rachel.active2.effect.event.buff.buffeffect.03</t>
  </si>
  <si>
    <t>rachel.active2.effect.event.buff.04</t>
  </si>
  <si>
    <t>rachel.active2.effect.event.buff.buffeffect.04</t>
  </si>
  <si>
    <t>rachel.passive.buff.01</t>
  </si>
  <si>
    <t>rachel.passive.buff.effect.01</t>
  </si>
  <si>
    <t>rachel.passive.buff.02</t>
  </si>
  <si>
    <t>rachel.passive.buff.effect.02</t>
  </si>
  <si>
    <t>rachel.passive.buff.03</t>
  </si>
  <si>
    <t>rachel.passive.buff.effect.03</t>
  </si>
  <si>
    <t>rachel.passive.buff.04</t>
  </si>
  <si>
    <t>rachel.passive.buff.effect.04</t>
  </si>
  <si>
    <t>rachel.passive.buff.05</t>
  </si>
  <si>
    <t>rachel.passive.buff.effect.05</t>
  </si>
  <si>
    <t>rachel.passive.buff.effect.06</t>
  </si>
  <si>
    <t>icon_battle_attackspeed</t>
  </si>
  <si>
    <t>Buff.Name.AttackSpeedUp</t>
  </si>
  <si>
    <t>balencia.passive.buff.01</t>
  </si>
  <si>
    <t>balencia.passive.buff.02</t>
  </si>
  <si>
    <t>balencia.passive.buff.03</t>
  </si>
  <si>
    <t>balencia.passive.buff.04</t>
  </si>
  <si>
    <t>belebeta.passive.buff.01</t>
  </si>
  <si>
    <t>belebeta.passive.buff.buffeffect.01</t>
  </si>
  <si>
    <t>belebeta.passive.buff.02</t>
  </si>
  <si>
    <t>belebeta.passive.buff.buffeffect.02</t>
  </si>
  <si>
    <t>belebeta.passive.buff.03</t>
  </si>
  <si>
    <t>belebeta.passive.buff.buffeffect.03</t>
  </si>
  <si>
    <t>belebeta.passive.buff.04</t>
  </si>
  <si>
    <t>belebeta.passive.buff.buffeffect.04</t>
  </si>
  <si>
    <t>belebeta.passive.buff.05</t>
  </si>
  <si>
    <t>belebeta.passive.buff.buffeffect.05</t>
  </si>
  <si>
    <t>belebeta.passive.buff.06</t>
  </si>
  <si>
    <t>belebeta.passive.buff.buffeffect.06</t>
  </si>
  <si>
    <t>arcels.passive.damage.buff.01</t>
  </si>
  <si>
    <t>arcels.passive.damage.buff.buffeffect.01</t>
  </si>
  <si>
    <t>arcels.passive.damage.buff.02</t>
  </si>
  <si>
    <t>arcels.passive.damage.buff.buffeffect.02</t>
  </si>
  <si>
    <t>arcels.passive.damage.buff.03</t>
  </si>
  <si>
    <t>arcels.passive.damage.buff.buffeffect.03</t>
  </si>
  <si>
    <t>arcels.passive.damage.buff.04</t>
  </si>
  <si>
    <t>arcels.passive.damage.buff.buffeffect.04</t>
  </si>
  <si>
    <t>arcels.passive.damage.buff.05</t>
  </si>
  <si>
    <t>arcels.passive.damage.buff.buffeffect.05</t>
  </si>
  <si>
    <t>arcels.passive.damage.buff.06</t>
  </si>
  <si>
    <t>arcels.passive.damage.buff.buffeffect.06</t>
  </si>
  <si>
    <t>arcels.passive.effect</t>
  </si>
  <si>
    <t>arcels.passive.effect.buffeffect</t>
  </si>
  <si>
    <t>arcels.passive.effect.buffeffect.skilleffect.buff</t>
  </si>
  <si>
    <t>Effect/Prefab/10_buff/EFF_buff_arcels_passive</t>
  </si>
  <si>
    <t>angelica.passive.buff.01</t>
  </si>
  <si>
    <t>angelica.passive.buff.buffeffect.01</t>
  </si>
  <si>
    <t>angelica.passive.buff.02</t>
  </si>
  <si>
    <t>angelica.passive.buff.buffeffect.02</t>
  </si>
  <si>
    <t>angelica.passive.buff.03</t>
  </si>
  <si>
    <t>angelica.passive.buff.buffeffect.03</t>
  </si>
  <si>
    <t>angelica.passive.buff.04</t>
  </si>
  <si>
    <t>angelica.passive.buff.buffeffect.04</t>
  </si>
  <si>
    <t>angelica.passive.buff.05</t>
  </si>
  <si>
    <t>angelica.passive.buff.buffeffect.05</t>
  </si>
  <si>
    <t>angelica.passive.buff.06</t>
  </si>
  <si>
    <t>angelica.passive.buff.buffeffect.06</t>
  </si>
  <si>
    <t>brynhild.passive.buff.01</t>
  </si>
  <si>
    <t>brynhild.passive.buff.buffeffect.01</t>
  </si>
  <si>
    <t>brynhild.passive.buff.02</t>
  </si>
  <si>
    <t>brynhild.passive.buff.buffeffect.02</t>
  </si>
  <si>
    <t>brynhild.passive.buff.03</t>
  </si>
  <si>
    <t>brynhild.passive.buff.buffeffect.03</t>
  </si>
  <si>
    <t>brynhild.passive.buff.04</t>
  </si>
  <si>
    <t>brynhild.passive.buff.buffeffect.04</t>
  </si>
  <si>
    <t>brynhild.passive.buff.05</t>
  </si>
  <si>
    <t>brynhild.passive.buff.buffeffect.05</t>
  </si>
  <si>
    <t>brynhild.passive.buff.06</t>
  </si>
  <si>
    <t>brynhild.passive.buff.buffeffect.06</t>
  </si>
  <si>
    <t>yuna.passive.buff.01</t>
  </si>
  <si>
    <t>yuna.passive.buff.02</t>
  </si>
  <si>
    <t>yuna.passive.buff.03</t>
  </si>
  <si>
    <t>yuna.passive.buff.04</t>
  </si>
  <si>
    <t>yuna.passive.buff.05</t>
  </si>
  <si>
    <t>yuna.passive.buff.06</t>
  </si>
  <si>
    <t>Buff.Name.DamageRateUp</t>
  </si>
  <si>
    <t>gray.passive.buff.01</t>
  </si>
  <si>
    <t>gray.passive.buff.buffeffect.01</t>
  </si>
  <si>
    <t>gray.passive.buff.02</t>
  </si>
  <si>
    <t>gray.passive.buff.buffeffect.02</t>
  </si>
  <si>
    <t>gray.passive.buff.03</t>
  </si>
  <si>
    <t>gray.passive.buff.buffeffect.03</t>
  </si>
  <si>
    <t>gray.passive.buff.04</t>
  </si>
  <si>
    <t>gray.passive.buff.buffeffect.04</t>
  </si>
  <si>
    <t>fei.passive.buff.01</t>
  </si>
  <si>
    <t>fei.passive.buff.02</t>
  </si>
  <si>
    <t>fei.passive.buff.03</t>
  </si>
  <si>
    <t>fei.passive.buff.04</t>
  </si>
  <si>
    <t>fei.passive.buff.05</t>
  </si>
  <si>
    <t>fei.passive.buff.06</t>
  </si>
  <si>
    <t>airen.passive.buff.01</t>
  </si>
  <si>
    <t>airen.passive.buff.buffeffect.01</t>
  </si>
  <si>
    <t>Buff.Name.DamageDerateDown</t>
  </si>
  <si>
    <t>airen.passive.buff.02</t>
  </si>
  <si>
    <t>airen.passive.buff.buffeffect.02</t>
  </si>
  <si>
    <t>airen.passive.buff.03</t>
  </si>
  <si>
    <t>airen.passive.buff.buffeffect.03</t>
  </si>
  <si>
    <t>airen.passive.buff.04</t>
  </si>
  <si>
    <t>airen.passive.buff.buffeffect.04</t>
  </si>
  <si>
    <t>airen.passive.buff.05</t>
  </si>
  <si>
    <t>airen.passive.buff.buffeffect.05</t>
  </si>
  <si>
    <t>airen.passive.buff.06</t>
  </si>
  <si>
    <t>airen.passive.buff.buffeffect.06</t>
  </si>
  <si>
    <t>rachel.ult.effect.event.buff.buffeffect.04</t>
  </si>
  <si>
    <t>freyja.active1.effect.event.buff.02</t>
  </si>
  <si>
    <t>freyja.active1.effect.event.buff.03</t>
  </si>
  <si>
    <t>freyja.passive.buff.01</t>
  </si>
  <si>
    <t>freyja.passive.buff.02</t>
  </si>
  <si>
    <t>freyja.passive.buff.03</t>
  </si>
  <si>
    <t>freyja.passive.buff.04</t>
  </si>
  <si>
    <t>freyja.passive.buff.05</t>
  </si>
  <si>
    <t>freyja.passive.buff.06</t>
  </si>
  <si>
    <t>kanata.tracking.buff.01</t>
  </si>
  <si>
    <t>kanata.tracking</t>
  </si>
  <si>
    <t>Effect/Prefab/10_buff/EFF_debuff_tracking</t>
  </si>
  <si>
    <t>Buff.Name.Tracking</t>
  </si>
  <si>
    <t>kanata.tracking.buff.02</t>
  </si>
  <si>
    <t>kanata.tracking.buff.03</t>
  </si>
  <si>
    <t>kanata.active2.effect.event.buff.02</t>
  </si>
  <si>
    <t>kanata.active2.effect.event.buff.03</t>
  </si>
  <si>
    <t>kanata.passive.buff.01</t>
  </si>
  <si>
    <t>kanata.passive.buff.buffeffect.01</t>
  </si>
  <si>
    <t>kanata.passive.buff.02</t>
  </si>
  <si>
    <t>kanata.passive.buff.buffeffect.02</t>
  </si>
  <si>
    <t>kanata.passive.buff.03</t>
  </si>
  <si>
    <t>kanata.passive.buff.buffeffect.03</t>
  </si>
  <si>
    <t>kanata.passive.buff.04</t>
  </si>
  <si>
    <t>kanata.passive.buff.buffeffect.04</t>
  </si>
  <si>
    <t>kanata.passive.buff.05</t>
  </si>
  <si>
    <t>kanata.passive.buff.buffeffect.05</t>
  </si>
  <si>
    <t>kanata.passive.buff.06</t>
  </si>
  <si>
    <t>kanata.passive.buff.buffeffect.06</t>
  </si>
  <si>
    <t>kanata.passive.criticaldamage.buff.01</t>
  </si>
  <si>
    <t>kanata.passive.criticaldamage.buff.buffeffect.01</t>
  </si>
  <si>
    <t>kanata.passive.criticaldamage.buff.02</t>
  </si>
  <si>
    <t>kanata.passive.criticaldamage.buff.buffeffect.02</t>
  </si>
  <si>
    <t>kanata.passive.criticaldamage.buff.03</t>
  </si>
  <si>
    <t>kanata.passive.criticaldamage.buff.buffeffect.03</t>
  </si>
  <si>
    <t>Buff.Name.Poison</t>
  </si>
  <si>
    <t>id.passive.buff.01</t>
  </si>
  <si>
    <t>id.passive.buff.02</t>
  </si>
  <si>
    <t>id.passive.buff.03</t>
  </si>
  <si>
    <t>id.passive.buff.04</t>
  </si>
  <si>
    <t>id.passive.buff.05</t>
  </si>
  <si>
    <t>id.passive.buff.06</t>
  </si>
  <si>
    <t>archphase.passive.buff.02</t>
  </si>
  <si>
    <t>archphase.passive.buff.03</t>
  </si>
  <si>
    <t>archphase.passive.buff.04</t>
  </si>
  <si>
    <t>archphase.passive.buff.05</t>
  </si>
  <si>
    <t>archphase.passive.buff.06</t>
  </si>
  <si>
    <t>shery.passive.buff.01</t>
  </si>
  <si>
    <t>shery.passive.buff.buffeffect.01</t>
  </si>
  <si>
    <t>shery.passive.buff.02</t>
  </si>
  <si>
    <t>shery.passive.buff.buffeffect.02</t>
  </si>
  <si>
    <t>shery.passive.buff.03</t>
  </si>
  <si>
    <t>shery.passive.buff.buffeffect.03</t>
  </si>
  <si>
    <t>shery.passive.buff.04</t>
  </si>
  <si>
    <t>shery.passive.buff.buffeffect.04</t>
  </si>
  <si>
    <t>shery.passive.buff.05</t>
  </si>
  <si>
    <t>shery.passive.buff.buffeffect.05</t>
  </si>
  <si>
    <t>shery.passive.buff.06</t>
  </si>
  <si>
    <t>shery.passive.buff.buffeffect.06</t>
  </si>
  <si>
    <t>patricia.passive.buff.01</t>
  </si>
  <si>
    <t>icon_battle_frostbite</t>
  </si>
  <si>
    <t>patricia.passive.buff.02</t>
  </si>
  <si>
    <t>patricia.passive.buff.buffeffect.02</t>
  </si>
  <si>
    <t>patricia.passive.buff.03</t>
  </si>
  <si>
    <t>patricia.passive.buff.buffeffect.03</t>
  </si>
  <si>
    <t>patricia.passive.buff.04</t>
  </si>
  <si>
    <t>patricia.passive.buff.buffeffect.04</t>
  </si>
  <si>
    <t>patricia.passive.buff.05</t>
  </si>
  <si>
    <t>patricia.passive.buff.buffeffect.05</t>
  </si>
  <si>
    <t>patricia.passive.buff.06</t>
  </si>
  <si>
    <t>patricia.passive.buff.buffeffect.06</t>
  </si>
  <si>
    <t>renas.passive.buff.01</t>
  </si>
  <si>
    <t>renas.passive.buff.02</t>
  </si>
  <si>
    <t>renas.passive.buff.03</t>
  </si>
  <si>
    <t>renas.passive.buff.04</t>
  </si>
  <si>
    <t>renas.passive.buff.05</t>
  </si>
  <si>
    <t>renas.passive.buff.06</t>
  </si>
  <si>
    <t>leila.active2.effect.buff.01</t>
  </si>
  <si>
    <t>leila.active2.effect.buff.02</t>
  </si>
  <si>
    <t>leila.active2.effect.buff.03</t>
  </si>
  <si>
    <t>leila.active2.effect.buff.04</t>
  </si>
  <si>
    <t>leila.active2.effect.buff.05</t>
  </si>
  <si>
    <t>leila.active2.effect.buff.06</t>
  </si>
  <si>
    <t>leila.passive.buff.01</t>
  </si>
  <si>
    <t>leila.passive.buff.buffeffect.01</t>
  </si>
  <si>
    <t>leila.passive.buff.02</t>
  </si>
  <si>
    <t>leila.passive.buff.buffeffect.02</t>
  </si>
  <si>
    <t>leila.passive.buff.03</t>
  </si>
  <si>
    <t>leila.passive.buff.buffeffect.03</t>
  </si>
  <si>
    <t>leila.passive.buff.04</t>
  </si>
  <si>
    <t>leila.passive.buff.buffeffect.04</t>
  </si>
  <si>
    <t>leila.passive.buff.05</t>
  </si>
  <si>
    <t>leila.passive.buff.buffeffect.05</t>
  </si>
  <si>
    <t>leila.passive.buff.06</t>
  </si>
  <si>
    <t>leila.passive.buff.buffeffect.06</t>
  </si>
  <si>
    <t>erica.passive.buff.01</t>
  </si>
  <si>
    <t>erica.passive.buff.buffeffect.01</t>
  </si>
  <si>
    <t>erica.passive.buff.02</t>
  </si>
  <si>
    <t>erica.passive.buff.buffeffect.02</t>
  </si>
  <si>
    <t>erica.passive.buff.03</t>
  </si>
  <si>
    <t>erica.passive.buff.buffeffect.03</t>
  </si>
  <si>
    <t>erica.passive.buff.04</t>
  </si>
  <si>
    <t>erica.passive.buff.buffeffect.04</t>
  </si>
  <si>
    <t>erica.passive.buff.05</t>
  </si>
  <si>
    <t>erica.passive.buff.buffeffect.05</t>
  </si>
  <si>
    <t>erica.passive.buff.06</t>
  </si>
  <si>
    <t>erica.passive.buff.buffeffect.06</t>
  </si>
  <si>
    <t>eiko.ult.effect.event.buff.01</t>
  </si>
  <si>
    <t>eiko.ult.effect.event.buff.02</t>
  </si>
  <si>
    <t>eiko.ult.effect.event.buff.03</t>
  </si>
  <si>
    <t>eiko.passive.buff.01</t>
  </si>
  <si>
    <t>eiko.passive.buff.02</t>
  </si>
  <si>
    <t>eiko.passive.buff.buffeffect.02</t>
  </si>
  <si>
    <t>eiko.passive.buff.03</t>
  </si>
  <si>
    <t>eiko.passive.buff.buffeffect.03</t>
  </si>
  <si>
    <t>eiko.passive.buff.04</t>
  </si>
  <si>
    <t>eiko.passive.buff.buffeffect.04</t>
  </si>
  <si>
    <t>eiko.passive.buff.05</t>
  </si>
  <si>
    <t>eiko.passive.buff.buffeffect.05</t>
  </si>
  <si>
    <t>eiko.passive.buff.06</t>
  </si>
  <si>
    <t>eiko.passive.buff.buffeffect.06</t>
  </si>
  <si>
    <t>crimson.passive.buff.01</t>
  </si>
  <si>
    <t>crimson.passive.buff.buffeffect.01</t>
  </si>
  <si>
    <t>crimson.passive.buff.02</t>
  </si>
  <si>
    <t>crimson.passive.buff.buffeffect.02</t>
  </si>
  <si>
    <t>crimson.passive.buff.03</t>
  </si>
  <si>
    <t>crimson.passive.buff.buffeffect.03</t>
  </si>
  <si>
    <t>crimson.passive.buff.04</t>
  </si>
  <si>
    <t>crimson.passive.buff.buffeffect.04</t>
  </si>
  <si>
    <t>ferrel.passive.buff.01</t>
  </si>
  <si>
    <t>ferrel.passive.buff.02</t>
  </si>
  <si>
    <t>ferrel.passive.buff.03</t>
  </si>
  <si>
    <t>ferrel.passive.buff.04</t>
  </si>
  <si>
    <t>ferrel.passive.buff.05</t>
  </si>
  <si>
    <t>ferrel.passive.buff.06</t>
  </si>
  <si>
    <t>ino.passive.buff.01</t>
  </si>
  <si>
    <t>ino.passive.buff.02</t>
  </si>
  <si>
    <t>ino.passive.buff.03</t>
  </si>
  <si>
    <t>ino.passive.buff.04</t>
  </si>
  <si>
    <t>ino.passive.buff.05</t>
  </si>
  <si>
    <t>ino.passive.buff.06</t>
  </si>
  <si>
    <t>mana.active1.effect.event.buff.02</t>
  </si>
  <si>
    <t>mana.passive.buff.buffeffect.01</t>
  </si>
  <si>
    <t>mana.passive.buff.02</t>
  </si>
  <si>
    <t>mana.passive.buff.buffeffect.02</t>
  </si>
  <si>
    <t>mana.passive.buff.03</t>
  </si>
  <si>
    <t>mana.passive.buff.buffeffect.03</t>
  </si>
  <si>
    <t>mana.passive.buff.04</t>
  </si>
  <si>
    <t>mana.passive.buff.buffeffect.04</t>
  </si>
  <si>
    <t>mana.passive.buff.05</t>
  </si>
  <si>
    <t>mana.passive.buff.buffeffect.05</t>
  </si>
  <si>
    <t>mana.passive.buff.06</t>
  </si>
  <si>
    <t>mana.passive.buff.buffeffect.06</t>
  </si>
  <si>
    <t>aurora.active1.effect.buff.01</t>
  </si>
  <si>
    <t>aurora.active1.effect.buff.buffeffect.01</t>
  </si>
  <si>
    <t>aurora.active1.effect.buff.02</t>
  </si>
  <si>
    <t>aurora.active1.effect.buff.buffeffect.02</t>
  </si>
  <si>
    <t>aurora.active1.effect.buff.03</t>
  </si>
  <si>
    <t>aurora.active1.effect.buff.buffeffect.03</t>
  </si>
  <si>
    <t>aurora.active1.effect.buff.04</t>
  </si>
  <si>
    <t>aurora.active1.effect.buff.buffeffect.04</t>
  </si>
  <si>
    <t>aurora.active1.effect.buff.05</t>
  </si>
  <si>
    <t>aurora.active1.effect.buff.buffeffect.05</t>
  </si>
  <si>
    <t>aurora.active1.effect.buff.06</t>
  </si>
  <si>
    <t>aurora.active1.effect.buff.buffeffect.06</t>
  </si>
  <si>
    <t>aurora.passive.buff.01</t>
  </si>
  <si>
    <t>aurora.passive.buff.buffeffect.01</t>
  </si>
  <si>
    <t>aurora.passive.buff.02</t>
  </si>
  <si>
    <t>aurora.passive.buff.buffeffect.02</t>
  </si>
  <si>
    <t>aurora.passive.buff.03</t>
  </si>
  <si>
    <t>aurora.passive.buff.buffeffect.03</t>
  </si>
  <si>
    <t>aurora.passive.buff.04</t>
  </si>
  <si>
    <t>aurora.passive.buff.buffeffect.04</t>
  </si>
  <si>
    <t>aurora.passive.buff.05</t>
  </si>
  <si>
    <t>aurora.passive.buff.buffeffect.05</t>
  </si>
  <si>
    <t>aurora.passive.buff.06</t>
  </si>
  <si>
    <t>aurora.passive.buff.buffeffect.06</t>
  </si>
  <si>
    <t>#범위</t>
  </si>
  <si>
    <t>yurizia.active1.effect.event.buff.01</t>
  </si>
  <si>
    <t>yurizia.active1.effect.event.buff.02</t>
  </si>
  <si>
    <t>yurizia.active1.effect.event.buff.03</t>
  </si>
  <si>
    <t>yurizia.active2.effect.attackup.buff.01</t>
  </si>
  <si>
    <t>yurizia.active2.effect.attackup.buff.02</t>
  </si>
  <si>
    <t>yurizia.active2.effect.attackup.buff.03</t>
  </si>
  <si>
    <t>yurizia.active2.effect.rechargereteup.buff.01</t>
  </si>
  <si>
    <t>yurizia.active2.effect.rechargereteup.buff.02</t>
  </si>
  <si>
    <t>yurizia.active2.effect.rechargereteup.buff.03</t>
  </si>
  <si>
    <t>yurizia.active2.effect.rechargereteup.buff.04</t>
  </si>
  <si>
    <t>yurizia.active2.effect.rechargereteup.buff.05</t>
  </si>
  <si>
    <t>yurizia.active2.effect.rechargereteup.buff.06</t>
  </si>
  <si>
    <t>yurizia.passive.consume.buff.01</t>
  </si>
  <si>
    <t>yurizia.passive.consume.buff.02</t>
  </si>
  <si>
    <t>yurizia.passive.consume.buff.03</t>
  </si>
  <si>
    <t>yurizia.passive.consume.buff.04</t>
  </si>
  <si>
    <t>yurizia.passive.consume.buff.05</t>
  </si>
  <si>
    <t>yurizia.passive.consume.buff.06</t>
  </si>
  <si>
    <t>yurizia.passive.recharge.buff.buffeffect.01</t>
  </si>
  <si>
    <t>yurizia.passive.recharge.buff.buffeffect.02</t>
  </si>
  <si>
    <t>yurizia.passive.recharge.buff.buffeffect.03</t>
  </si>
  <si>
    <t>yurizia.passive.recharge.buff.buffeffect.04</t>
  </si>
  <si>
    <t>yurizia.passive.recharge.buff.buffeffect.05</t>
  </si>
  <si>
    <t>yurizia.passive.recharge.buff.buffeffect.06</t>
  </si>
  <si>
    <t>Effect/Prefab/10_buff/EFF_buff_dotheal</t>
  </si>
  <si>
    <t>rayhou.passive.buff.01</t>
  </si>
  <si>
    <t>rayhou.passive.buff.buffeffect.01</t>
  </si>
  <si>
    <t>rayhou.passive.buff.02</t>
  </si>
  <si>
    <t>rayhou.passive.buff.buffeffect.02</t>
  </si>
  <si>
    <t>rayhou.passive.buff.03</t>
  </si>
  <si>
    <t>rayhou.passive.buff.buffeffect.03</t>
  </si>
  <si>
    <t>rayhou.passive.buff.04</t>
  </si>
  <si>
    <t>rayhou.passive.buff.buffeffect.04</t>
  </si>
  <si>
    <t>rayhou.passive.buff.05</t>
  </si>
  <si>
    <t>rayhou.passive.buff.buffeffect.05</t>
  </si>
  <si>
    <t>rayhou.passive.buff.06</t>
  </si>
  <si>
    <t>rayhou.passive.buff.buffeffect.06</t>
  </si>
  <si>
    <t>shale.bookchange</t>
  </si>
  <si>
    <t>shale.passive.buff.01</t>
  </si>
  <si>
    <t>shale.passive.buff.02</t>
  </si>
  <si>
    <t>shale.passive.buff.03</t>
  </si>
  <si>
    <t>shale.passive.buff.04</t>
  </si>
  <si>
    <t>shale.passive.buff.05</t>
  </si>
  <si>
    <t>shale.passive.buff.06</t>
  </si>
  <si>
    <t>hellen.active1.effect.event.buff.buffeffect.01</t>
  </si>
  <si>
    <t>hellen.active1.effect.event.buff.buffeffect.02</t>
  </si>
  <si>
    <t>hellen.active1.effect.event.buff.buffeffect.03</t>
  </si>
  <si>
    <t>hallona.ult.attackspeed.buff.01</t>
  </si>
  <si>
    <t>hallona.ult.attackspeed.buff.buffeffect.01</t>
  </si>
  <si>
    <t>hallona.ult.attackspeed.buff.02</t>
  </si>
  <si>
    <t>hallona.ult.attackspeed.buff.buffeffect.02</t>
  </si>
  <si>
    <t>hallona.ult.attackspeed.buff.03</t>
  </si>
  <si>
    <t>hallona.ult.attackspeed.buff.buffeffect.03</t>
  </si>
  <si>
    <t>hallona.ult.attackspeed.buff.buffeffect.04</t>
  </si>
  <si>
    <t>hallona.ult.attackspeed.buff.05</t>
  </si>
  <si>
    <t>hallona.ult.attackspeed.buff.buffeffect.05</t>
  </si>
  <si>
    <t>hallona.ult.attackspeed.buff.06</t>
  </si>
  <si>
    <t>hallona.ult.attackspeed.buff.buffeffect.06</t>
  </si>
  <si>
    <t>hallona.ult.attackspeed.buff.buffeffect.07</t>
  </si>
  <si>
    <t>hallona.active1.effect.envet.buff.01</t>
  </si>
  <si>
    <t>Effect/Prefab/10_buff/EFF_debuff_sleep</t>
  </si>
  <si>
    <t>hallona.active1.effect.envet.buff.02</t>
  </si>
  <si>
    <t>hallona.passive.attackspeed.buff.buffeffect.01</t>
  </si>
  <si>
    <t>hallona.passive.attackspeed.buff.buffeffect.02</t>
  </si>
  <si>
    <t>hallona.passive.attackspeed.buff.buffeffect.03</t>
  </si>
  <si>
    <t>hallona.passive.attackspeed.buff.buffeffect.04</t>
  </si>
  <si>
    <t>hallona.passive.attackspeed.buff.buffeffect.05</t>
  </si>
  <si>
    <t>hallona.passive.attackspeed.buff.buffeffect.06</t>
  </si>
  <si>
    <t>#타입</t>
  </si>
  <si>
    <t>#값 %</t>
  </si>
  <si>
    <t>#값
(상수)</t>
  </si>
  <si>
    <t>None</t>
  </si>
  <si>
    <t>Status</t>
  </si>
  <si>
    <t>DamageDerate</t>
  </si>
  <si>
    <t>DebuffResist</t>
  </si>
  <si>
    <t>CrowdControl</t>
  </si>
  <si>
    <t>CCResist</t>
  </si>
  <si>
    <t>Silence</t>
  </si>
  <si>
    <t>Blind</t>
  </si>
  <si>
    <t>Bind</t>
  </si>
  <si>
    <t>Wound</t>
  </si>
  <si>
    <t>Sleep</t>
  </si>
  <si>
    <t>Stun</t>
  </si>
  <si>
    <t>Shock</t>
  </si>
  <si>
    <t>Paralysis</t>
  </si>
  <si>
    <t>Fear</t>
  </si>
  <si>
    <t>Charm</t>
  </si>
  <si>
    <t>Knockback</t>
  </si>
  <si>
    <t>Airborn</t>
  </si>
  <si>
    <t>Pull</t>
  </si>
  <si>
    <t>Freeze</t>
  </si>
  <si>
    <t>Exile</t>
  </si>
  <si>
    <t>Groggy</t>
  </si>
  <si>
    <t>Provoke</t>
  </si>
  <si>
    <t>Polymorph</t>
  </si>
  <si>
    <t>EffectResist</t>
  </si>
  <si>
    <t>Damage</t>
  </si>
  <si>
    <t>Burn</t>
  </si>
  <si>
    <t>Poison</t>
  </si>
  <si>
    <t>Bleed</t>
  </si>
  <si>
    <t>Pushed</t>
  </si>
  <si>
    <t>CriticalRate</t>
  </si>
  <si>
    <t>IgnoreDefenseRate</t>
  </si>
  <si>
    <t>AccuracyDerate</t>
  </si>
  <si>
    <t>AccuracyRate</t>
  </si>
  <si>
    <t>GuardRate</t>
  </si>
  <si>
    <t>MoveSpeedRate</t>
  </si>
  <si>
    <t>RecoveryRate</t>
  </si>
  <si>
    <t>ReceiveRecoveryRate</t>
  </si>
  <si>
    <t>Attack</t>
  </si>
  <si>
    <t>Event</t>
  </si>
  <si>
    <t>DecHpOverRate</t>
  </si>
  <si>
    <t>sample.dechpoverrate.skilleffect</t>
  </si>
  <si>
    <t>IncHpOverRate</t>
  </si>
  <si>
    <t>sample.inchpoverrate.skilleffect</t>
  </si>
  <si>
    <t>#Type</t>
    <phoneticPr fontId="3" type="noConversion"/>
  </si>
  <si>
    <t>#BuffEffectType</t>
    <phoneticPr fontId="3" type="noConversion"/>
  </si>
  <si>
    <t>#</t>
  </si>
  <si>
    <t>#</t>
    <phoneticPr fontId="3" type="noConversion"/>
  </si>
  <si>
    <t>#Value1</t>
    <phoneticPr fontId="3" type="noConversion"/>
  </si>
  <si>
    <t>#string</t>
    <phoneticPr fontId="3" type="noConversion"/>
  </si>
  <si>
    <t>#Value2</t>
    <phoneticPr fontId="3" type="noConversion"/>
  </si>
  <si>
    <t>#Value3</t>
    <phoneticPr fontId="3" type="noConversion"/>
  </si>
  <si>
    <t>Shield</t>
  </si>
  <si>
    <t>Defense</t>
  </si>
  <si>
    <t>Reflect</t>
  </si>
  <si>
    <t>BeHit</t>
  </si>
  <si>
    <t>Active</t>
  </si>
  <si>
    <t>melissa.passive.effect.buffeffect.skilleffect</t>
  </si>
  <si>
    <t>SkillEffectModifier</t>
  </si>
  <si>
    <t>Op</t>
  </si>
  <si>
    <t>DefenseRatio</t>
  </si>
  <si>
    <t>lilian.passive.buff.buffeffect.skilleffect.01</t>
  </si>
  <si>
    <t>lilian.passive.buff.buffeffect.skilleffect.02</t>
  </si>
  <si>
    <t>lilian.passive.buff.buffeffect.skilleffect.03</t>
  </si>
  <si>
    <t>lilian.passive.buff.buffeffect.skilleffect.04</t>
  </si>
  <si>
    <t>lilian.passive.buff.buffeffect.skilleffect.05</t>
  </si>
  <si>
    <t>lilian.passive.buff.buffeffect.skilleffect.06</t>
  </si>
  <si>
    <t>RangeDamageDerate</t>
  </si>
  <si>
    <t>DamageRate</t>
  </si>
  <si>
    <t>BeHitMelee</t>
  </si>
  <si>
    <t>anne.active2.buff.buffeffect.skilleffect.01</t>
  </si>
  <si>
    <t>AttackRatio</t>
  </si>
  <si>
    <t>OnBlock</t>
  </si>
  <si>
    <t>anne.passive.guard.heal.buff.buffeffect.skilleffect.01</t>
  </si>
  <si>
    <t>anne.passive.guard.heal.buff.buffeffect.skilleffect.02</t>
  </si>
  <si>
    <t>anne.passive.guard.heal.buff.buffeffect.skilleffect.03</t>
  </si>
  <si>
    <t>anne.passive.guard.heal.buff.buffeffect.skilleffect.04</t>
  </si>
  <si>
    <t>anne.passive.guard.heal.buff.buffeffect.skilleffect.05</t>
  </si>
  <si>
    <t>anne.passive.guard.heal.buff.buffeffect.skilleffect.06</t>
  </si>
  <si>
    <t>ChangeSkill</t>
  </si>
  <si>
    <t>Normal</t>
  </si>
  <si>
    <t>AttackSpeedRate</t>
  </si>
  <si>
    <t>serapulsar.passive.buff.buffeffect.skilleffect.02</t>
  </si>
  <si>
    <t>serapulsar.passive.buff.buffeffect.skilleffect.03</t>
  </si>
  <si>
    <t>serapulsar.passive.buff.buffeffect.skilleffect.04</t>
  </si>
  <si>
    <t>serapulsar.passive.buff.buffeffect.skilleffect.05</t>
  </si>
  <si>
    <t>OnHit</t>
  </si>
  <si>
    <t>HpDrainRate</t>
  </si>
  <si>
    <t>AddEnergyRate</t>
  </si>
  <si>
    <t>CriticalDamageRate</t>
  </si>
  <si>
    <t>OnHitNormal</t>
  </si>
  <si>
    <t>OnBackHitNormal</t>
  </si>
  <si>
    <t>rachel.passive.buff.effect.skilleffect.01</t>
  </si>
  <si>
    <t>rachel.passive.buff.effect.skilleffect.02</t>
  </si>
  <si>
    <t>rachel.passive.buff.effect.skilleffect.03</t>
  </si>
  <si>
    <t>rachel.passive.buff.effect.skilleffect.04</t>
  </si>
  <si>
    <t>rachel.passive.buff.effect.skilleffect.05</t>
  </si>
  <si>
    <t>rachel.passive.buff.effect.skilleffect.06</t>
  </si>
  <si>
    <t>AreaDamageRate</t>
  </si>
  <si>
    <t>arcels.passive.damage.buff.buffeffect.skilleffect.01</t>
  </si>
  <si>
    <t>arcels.passive.damage.buff.buffeffect.skilleffect.02</t>
  </si>
  <si>
    <t>arcels.passive.damage.buff.buffeffect.skilleffect.03</t>
  </si>
  <si>
    <t>arcels.passive.damage.buff.buffeffect.skilleffect.04</t>
  </si>
  <si>
    <t>arcels.passive.damage.buff.buffeffect.skilleffect.05</t>
  </si>
  <si>
    <t>arcels.passive.damage.buff.buffeffect.skilleffect.06</t>
  </si>
  <si>
    <t>arcels.passive.effect.buffeffect.skilleffect</t>
  </si>
  <si>
    <t>brynhild.passive.buff.buffeffect.skilleffect.01</t>
  </si>
  <si>
    <t>brynhild.passive.buff.buffeffect.skilleffect.02</t>
  </si>
  <si>
    <t>brynhild.passive.buff.buffeffect.skilleffect.03</t>
  </si>
  <si>
    <t>brynhild.passive.buff.buffeffect.skilleffect.04</t>
  </si>
  <si>
    <t>brynhild.passive.buff.buffeffect.skilleffect.05</t>
  </si>
  <si>
    <t>brynhild.passive.buff.buffeffect.skilleffect.06</t>
  </si>
  <si>
    <t>airen.passive.buff.buffeffect.skilleffect.01</t>
  </si>
  <si>
    <t>airen.passive.buff.buffeffect.skilleffect.02</t>
  </si>
  <si>
    <t>airen.passive.buff.buffeffect.skilleffect.03</t>
  </si>
  <si>
    <t>airen.passive.buff.buffeffect.skilleffect.04</t>
  </si>
  <si>
    <t>airen.passive.buff.buffeffect.skilleffect.05</t>
  </si>
  <si>
    <t>airen.passive.buff.buffeffect.skilleffect.06</t>
  </si>
  <si>
    <t>kanata.passive.buff.buffeffect.skilleffect.01</t>
  </si>
  <si>
    <t>kanata.passive.buff.buffeffect.skilleffect.02</t>
  </si>
  <si>
    <t>kanata.passive.buff.buffeffect.skilleffect.03</t>
  </si>
  <si>
    <t>kanata.passive.buff.buffeffect.skilleffect.04</t>
  </si>
  <si>
    <t>kanata.passive.buff.buffeffect.skilleffect.05</t>
  </si>
  <si>
    <t>kanata.passive.buff.buffeffect.skilleffect.06</t>
  </si>
  <si>
    <t>StatusTargetBuffEffect</t>
  </si>
  <si>
    <t>patricia.passive.buff.buffeffect.skilleffect.01</t>
  </si>
  <si>
    <t>patricia.passive.buff.buffeffect.skilleffect.02</t>
  </si>
  <si>
    <t>patricia.passive.buff.buffeffect.skilleffect.03</t>
  </si>
  <si>
    <t>patricia.passive.buff.buffeffect.skilleffect.04</t>
  </si>
  <si>
    <t>patricia.passive.buff.buffeffect.skilleffect.05</t>
  </si>
  <si>
    <t>patricia.passive.buff.buffeffect.skilleffect.06</t>
  </si>
  <si>
    <t>leila.passive.buff.buffeffect.skilleffect.01</t>
  </si>
  <si>
    <t>leila.passive.buff.buffeffect.skilleffect.02</t>
  </si>
  <si>
    <t>leila.passive.buff.buffeffect.skilleffect.03</t>
  </si>
  <si>
    <t>leila.passive.buff.buffeffect.skilleffect.04</t>
  </si>
  <si>
    <t>leila.passive.buff.buffeffect.skilleffect.05</t>
  </si>
  <si>
    <t>leila.passive.buff.buffeffect.skilleffect.06</t>
  </si>
  <si>
    <t>OnCritical</t>
  </si>
  <si>
    <t>mana.passive.buff.buffeffect.skilleffect.02</t>
  </si>
  <si>
    <t>mana.passive.buff.buffeffect.skilleffect.03</t>
  </si>
  <si>
    <t>mana.passive.buff.buffeffect.skilleffect.04</t>
  </si>
  <si>
    <t>mana.passive.buff.buffeffect.skilleffect.05</t>
  </si>
  <si>
    <t>mana.passive.buff.buffeffect.skilleffect.06</t>
  </si>
  <si>
    <t>yurizia.passive.consume.buff.buffeffect.skilleffect.01</t>
  </si>
  <si>
    <t>yurizia.passive.consume.buff.buffeffect.skilleffect.02</t>
  </si>
  <si>
    <t>yurizia.passive.consume.buff.buffeffect.skilleffect.03</t>
  </si>
  <si>
    <t>yurizia.passive.consume.buff.buffeffect.skilleffect.04</t>
  </si>
  <si>
    <t>yurizia.passive.consume.buff.buffeffect.skilleffect.05</t>
  </si>
  <si>
    <t>yurizia.passive.consume.buff.buffeffect.skilleffect.06</t>
  </si>
  <si>
    <t>yurizia.passive.recharge.effect.01</t>
  </si>
  <si>
    <t>yurizia.passive.recharge.effect.02</t>
  </si>
  <si>
    <t>yurizia.passive.recharge.effect.03</t>
  </si>
  <si>
    <t>yurizia.passive.recharge.effect.04</t>
  </si>
  <si>
    <t>yurizia.passive.recharge.effect.05</t>
  </si>
  <si>
    <t>yurizia.passive.recharge.effect.06</t>
  </si>
  <si>
    <t>Hot</t>
  </si>
  <si>
    <t>MaxHp</t>
  </si>
  <si>
    <t>UseSkill</t>
  </si>
  <si>
    <t>DefenseRatio</t>
    <phoneticPr fontId="3" type="noConversion"/>
  </si>
  <si>
    <t>ignoredefense.55</t>
    <phoneticPr fontId="3" type="noConversion"/>
  </si>
  <si>
    <t>critical.60</t>
    <phoneticPr fontId="3" type="noConversion"/>
  </si>
  <si>
    <t>critical.55</t>
    <phoneticPr fontId="3" type="noConversion"/>
  </si>
  <si>
    <t>UltimateDamageRate</t>
  </si>
  <si>
    <t>anne.ult.ex.buff</t>
  </si>
  <si>
    <t>anne.ult.ex.hitdown.buff</t>
  </si>
  <si>
    <t>anne.ult.ex.buff.buffeffect</t>
  </si>
  <si>
    <t>anne.ult.ex.hitdown.buff.buffeffect</t>
  </si>
  <si>
    <t>EffectImmune</t>
  </si>
  <si>
    <t>kanata.ult.ex.buff</t>
  </si>
  <si>
    <t>kanata.ult.ex.buff.buffeffect.01</t>
  </si>
  <si>
    <t>kanata.ult.ex.buff.buffeffect.02</t>
  </si>
  <si>
    <t>ferrel.ult.ex.buff</t>
  </si>
  <si>
    <t>ferrel.ult.ex.buff.buffeffect</t>
  </si>
  <si>
    <t>rachel.ult.ex.buff</t>
  </si>
  <si>
    <t>rachel.ult.ex.buff.buffeffect</t>
  </si>
  <si>
    <t>reen.active1.effect.event.buff.buffeffect.01</t>
  </si>
  <si>
    <t>reen.active1.effect.event.buff.01</t>
  </si>
  <si>
    <t>iolet.active1.effect.event.buff.01</t>
  </si>
  <si>
    <t>kaito.aile.passive.buff.01</t>
  </si>
  <si>
    <t>kaito.aile.passive.buff.buffeffect.01</t>
  </si>
  <si>
    <t>kaito.aile.passive.buff.02</t>
  </si>
  <si>
    <t>kaito.aile.passive.buff.buffeffect.02</t>
  </si>
  <si>
    <t>kaito.aile.passive.buff.03</t>
  </si>
  <si>
    <t>kaito.aile.passive.buff.buffeffect.03</t>
  </si>
  <si>
    <t>kaito.aile.passive.buff.04</t>
  </si>
  <si>
    <t>kaito.aile.passive.buff.buffeffect.04</t>
  </si>
  <si>
    <t>kaito.aile.passive.buff.05</t>
  </si>
  <si>
    <t>kaito.aile.passive.buff.buffeffect.05</t>
  </si>
  <si>
    <t>kaito.aile.passive.buff.06</t>
  </si>
  <si>
    <t>kaito.aile.passive.buff.buffeffect.06</t>
  </si>
  <si>
    <t>kaito.aile.ult.effect.event.shock.buff.01</t>
  </si>
  <si>
    <t>kaito.aile.ult.effect.event.shock.buff.02</t>
  </si>
  <si>
    <t>kaito.aile.ult.effect.event.shock.buff.03</t>
  </si>
  <si>
    <t>kaito.aile.ult.effect.event.shock.buff.04</t>
  </si>
  <si>
    <t>kaito.aile.summon.passive.buff.01</t>
  </si>
  <si>
    <t>kaito.aile.summon.passive.buff.02</t>
  </si>
  <si>
    <t>kaito.aile.summon.passive.buff.03</t>
  </si>
  <si>
    <t>kaito.aile.summon.passive.buff.04</t>
  </si>
  <si>
    <t>kaito.aile.summon.passive.buff.05</t>
  </si>
  <si>
    <t>kaito.aile.summon.passive.buff.06</t>
  </si>
  <si>
    <t>kaito.aile.passive.buff.buffeffect.skilleffect.01</t>
  </si>
  <si>
    <t>kaito.aile.summon.passive.buff.buffeffect.02.01</t>
  </si>
  <si>
    <t>kaito.aile.summon.passive.buff.buffeffect.02.02</t>
  </si>
  <si>
    <t>kaito.aile.summon.passive.buff.buffeffect.02.03</t>
  </si>
  <si>
    <t>kaito.aile.summon.passive.buff.buffeffect.02.04</t>
  </si>
  <si>
    <t>kaito.aile.summon.passive.buff.buffeffect.02.05</t>
  </si>
  <si>
    <t>kaito.aile.summon.passive.buff.buffeffect.02.06</t>
  </si>
  <si>
    <t>OnDie</t>
  </si>
  <si>
    <t>kaito.aile.summon.passive.buff.taunt.skilleffect.02</t>
  </si>
  <si>
    <t>kaito.aile.summon.passive.buff.taunt.skilleffect.03</t>
  </si>
  <si>
    <t>kaito.aile.summon.passive.buff.taunt.skilleffect.04</t>
  </si>
  <si>
    <t>kaito.aile.summon.passive.buff.taunt.skilleffect.05</t>
  </si>
  <si>
    <t>kaito.aile.summon.passive.buff.taunt.skilleffect.06</t>
  </si>
  <si>
    <t>kaito.aile.summon.passive.die.skilleffect.02</t>
  </si>
  <si>
    <t>kaito.aile.summon.passive.die.skilleffect.03</t>
  </si>
  <si>
    <t>kaito.aile.summon.passive.die.skilleffect.04</t>
  </si>
  <si>
    <t>kaito.aile.summon.passive.die.skilleffect.05</t>
  </si>
  <si>
    <t>kaito.aile.summon.passive.die.skilleffect.06</t>
  </si>
  <si>
    <t>kaito.aile.summon.taunt.buff.01</t>
  </si>
  <si>
    <t>kaito.aile.summon.taunt.buff.02</t>
  </si>
  <si>
    <t>kaito.aile.summon.taunt.buff.03</t>
  </si>
  <si>
    <t>kaito.aile.summon.taunt.buff.04</t>
  </si>
  <si>
    <t>kaito.aile.summon.taunt.buff.05</t>
  </si>
  <si>
    <t>kaito.aile.summon.taunt.buff.06</t>
  </si>
  <si>
    <t>kaito.aile.summon.die.confuse.buff.01</t>
  </si>
  <si>
    <t>kaito.aile.summon.die.confuse.buff.02</t>
  </si>
  <si>
    <t>kaito.aile.summon.die.confuse.buff.03</t>
  </si>
  <si>
    <t>kaito.aile.summon.die.confuse.buff.04</t>
  </si>
  <si>
    <t>kaito.aile.summon.die.confuse.buff.05</t>
  </si>
  <si>
    <t>kaito.aile.summon.die.confuse.buff.06</t>
  </si>
  <si>
    <t>kaito.aile.ult.ex.buff</t>
  </si>
  <si>
    <t>kaito.aile.ult.ex.buff.buffeffect</t>
  </si>
  <si>
    <t>eradica.passive.buff.01</t>
  </si>
  <si>
    <t>eradica.passive.buff.02</t>
  </si>
  <si>
    <t>eradica.passive.buff.03</t>
  </si>
  <si>
    <t>eradica.passive.buff.04</t>
  </si>
  <si>
    <t>eradica.passive.buff.05</t>
  </si>
  <si>
    <t>eradica.passive.buff.06</t>
  </si>
  <si>
    <t>Buff.Name.Barrier</t>
  </si>
  <si>
    <t>Buff.Desc.Barrier</t>
  </si>
  <si>
    <t>anne.active1.effect.movespeeddown.buff.02</t>
  </si>
  <si>
    <t>anne.active1.effect.movespeeddown.buff.03</t>
  </si>
  <si>
    <t>anne.active1.effect.movespeeddown.buff.buffeffect.02</t>
  </si>
  <si>
    <t>anne.active1.effect.movespeeddown.buff.buffeffect.03</t>
  </si>
  <si>
    <t>Effect/Prefab/10_buff/EFF_debuff_exile_ed</t>
  </si>
  <si>
    <t>exile.end.buff</t>
  </si>
  <si>
    <t>Confusion</t>
  </si>
  <si>
    <t>DeathHeal</t>
  </si>
  <si>
    <t>Confusion</t>
    <phoneticPr fontId="3" type="noConversion"/>
  </si>
  <si>
    <t>DeathHeal</t>
    <phoneticPr fontId="3" type="noConversion"/>
  </si>
  <si>
    <t>Buff.Name.DeathHeal</t>
    <phoneticPr fontId="3" type="noConversion"/>
  </si>
  <si>
    <t>Buff.Name.Confusion</t>
    <phoneticPr fontId="3" type="noConversion"/>
  </si>
  <si>
    <t>anne.passive.rangedamagederate.buff.buffeffect.02</t>
  </si>
  <si>
    <t>anne.passive.rangedamagederate.buff.buffeffect.03</t>
  </si>
  <si>
    <t>rachel.passive.barrier.buff.buffeffect.skilleffect.buff.buffeffect.01</t>
  </si>
  <si>
    <t>rachel.passive.barrier.buff.buffeffect.skilleffect.buff.buffeffect.02</t>
  </si>
  <si>
    <t>rachel.passive.barrier.buff.buffeffect.skilleffect.buff.buffeffect.03</t>
  </si>
  <si>
    <t>Effect/Prefab/10_buff/EFF_buff_shield_middle_hit</t>
  </si>
  <si>
    <t>icon_battle_hitbarrier_1</t>
  </si>
  <si>
    <t>rachel.passive.barrier.buff.buffeffect.02</t>
  </si>
  <si>
    <t>rachel.passive.barrier.buff.buffeffect.03</t>
  </si>
  <si>
    <t>hallona.ult.effect.event.hot.buff.02</t>
  </si>
  <si>
    <t>hallona.ult.effect.event.hot.buff.03</t>
  </si>
  <si>
    <t>hallona.ult.effect.event.hot.buff.04</t>
  </si>
  <si>
    <t>hallona.ult.effect.event.hot.buff.05</t>
  </si>
  <si>
    <t>hallona.ult.effect.event.hot.buff.06</t>
  </si>
  <si>
    <t>hallona.ult.effect.event.hot.buff.07</t>
  </si>
  <si>
    <t>hallona.ult.effect.event.hot.buff.buffeffect.02</t>
  </si>
  <si>
    <t>hallona.ult.effect.event.hot.buff.buffeffect.03</t>
  </si>
  <si>
    <t>hallona.ult.effect.event.hot.buff.buffeffect.04</t>
  </si>
  <si>
    <t>hallona.ult.effect.event.hot.buff.buffeffect.05</t>
  </si>
  <si>
    <t>hallona.ult.effect.event.hot.buff.buffeffect.06</t>
  </si>
  <si>
    <t>hallona.ult.effect.event.hot.buff.buffeffect.07</t>
  </si>
  <si>
    <t>BattleTile.Atk.BuffEffect</t>
  </si>
  <si>
    <t>BattleTile.Def.BuffEffect</t>
  </si>
  <si>
    <t>BattleTile.MaxHp.BuffEffect</t>
  </si>
  <si>
    <t>BattleTile.Recharge.BuffEffect</t>
  </si>
  <si>
    <t>BattleTile.Atk.Faction.BuffEffect</t>
  </si>
  <si>
    <t>BattleTile.Def.Faction.BuffEffect</t>
  </si>
  <si>
    <t>BattleTile.MaxHp.Faction.BuffEffect</t>
  </si>
  <si>
    <t>Attack</t>
    <phoneticPr fontId="3" type="noConversion"/>
  </si>
  <si>
    <t>AttackRatio</t>
    <phoneticPr fontId="3" type="noConversion"/>
  </si>
  <si>
    <t>MaxHpRatio</t>
    <phoneticPr fontId="3" type="noConversion"/>
  </si>
  <si>
    <t>DefenseRatio</t>
    <phoneticPr fontId="3" type="noConversion"/>
  </si>
  <si>
    <t>AddEnergyRate</t>
    <phoneticPr fontId="3" type="noConversion"/>
  </si>
  <si>
    <t>Effect/Prefab/05.UI/EFF_battle_tile_start</t>
  </si>
  <si>
    <t>EventCharacter.Atk.BuffEffect</t>
    <phoneticPr fontId="3" type="noConversion"/>
  </si>
  <si>
    <t>EventCharacter.Def.BuffEffect</t>
    <phoneticPr fontId="3" type="noConversion"/>
  </si>
  <si>
    <t>EventCharacter.MaxHp.BuffEffect</t>
    <phoneticPr fontId="3" type="noConversion"/>
  </si>
  <si>
    <t>HpRateCondition(100)</t>
  </si>
  <si>
    <t>HpRateCondition(100)</t>
    <phoneticPr fontId="3" type="noConversion"/>
  </si>
  <si>
    <t>Link</t>
    <phoneticPr fontId="3" type="noConversion"/>
  </si>
  <si>
    <r>
      <t>A</t>
    </r>
    <r>
      <rPr>
        <sz val="11"/>
        <color theme="1"/>
        <rFont val="맑은 고딕"/>
        <family val="2"/>
        <scheme val="minor"/>
      </rPr>
      <t>ll</t>
    </r>
    <phoneticPr fontId="3" type="noConversion"/>
  </si>
  <si>
    <r>
      <t>T</t>
    </r>
    <r>
      <rPr>
        <sz val="11"/>
        <color theme="1"/>
        <rFont val="맑은 고딕"/>
        <family val="2"/>
        <scheme val="minor"/>
      </rPr>
      <t>o</t>
    </r>
    <phoneticPr fontId="3" type="noConversion"/>
  </si>
  <si>
    <r>
      <t>F</t>
    </r>
    <r>
      <rPr>
        <sz val="11"/>
        <color theme="1"/>
        <rFont val="맑은 고딕"/>
        <family val="2"/>
        <scheme val="minor"/>
      </rPr>
      <t>rom</t>
    </r>
    <phoneticPr fontId="3" type="noConversion"/>
  </si>
  <si>
    <r>
      <t>Lin</t>
    </r>
    <r>
      <rPr>
        <sz val="11"/>
        <color theme="1"/>
        <rFont val="맑은 고딕"/>
        <family val="2"/>
        <scheme val="minor"/>
      </rPr>
      <t>k</t>
    </r>
    <phoneticPr fontId="3" type="noConversion"/>
  </si>
  <si>
    <t>burn.monster</t>
    <phoneticPr fontId="3" type="noConversion"/>
  </si>
  <si>
    <t>Attack</t>
    <phoneticPr fontId="3" type="noConversion"/>
  </si>
  <si>
    <t>posion.monster</t>
    <phoneticPr fontId="3" type="noConversion"/>
  </si>
  <si>
    <t>Single</t>
    <phoneticPr fontId="3" type="noConversion"/>
  </si>
  <si>
    <t>defencedown.monster</t>
    <phoneticPr fontId="3" type="noConversion"/>
  </si>
  <si>
    <t>attackdown.monster</t>
    <phoneticPr fontId="3" type="noConversion"/>
  </si>
  <si>
    <t>Buff.Name.TargetClass.Tanker</t>
  </si>
  <si>
    <t>Provoke</t>
    <phoneticPr fontId="3" type="noConversion"/>
  </si>
  <si>
    <t>resist.confusion</t>
    <phoneticPr fontId="3" type="noConversion"/>
  </si>
  <si>
    <t>resist.deathheal</t>
    <phoneticPr fontId="3" type="noConversion"/>
  </si>
  <si>
    <t>Monster.Debuff.01.Atk.Down.Buffeffect
Monster.Debuff.01.Def.Down.Buffeffect</t>
    <phoneticPr fontId="3" type="noConversion"/>
  </si>
  <si>
    <t>bleed.monster</t>
  </si>
  <si>
    <t>Monster.Debuff.01.Atk.Down.Buffeffect</t>
  </si>
  <si>
    <t>Monster.Debuff.01.Def.Down.Buffeffect</t>
  </si>
  <si>
    <t>Circle</t>
  </si>
  <si>
    <t>elina.passive.effect.buffeffect</t>
  </si>
  <si>
    <t>DeathHeal</t>
    <phoneticPr fontId="3" type="noConversion"/>
  </si>
  <si>
    <t>Buff.Desc.Link</t>
  </si>
  <si>
    <t>Buff.Desc.Provoke</t>
  </si>
  <si>
    <t>Buff.Desc.Stun</t>
  </si>
  <si>
    <t>Buff.Desc.Freeze</t>
  </si>
  <si>
    <t>Buff.Desc.DamageImmune</t>
  </si>
  <si>
    <t>Buff.Desc.CCImmune</t>
  </si>
  <si>
    <t>Buff.Desc.NormalDamageImmune</t>
  </si>
  <si>
    <t>Buff.Desc.DotDamageImmune</t>
  </si>
  <si>
    <t>Buff.Desc.Pull</t>
  </si>
  <si>
    <t>Buff.Desc.BlackHole</t>
  </si>
  <si>
    <t>Buff.Desc.TargetClass.Attacker</t>
  </si>
  <si>
    <t>Buff.Desc.TargetClass.Tanker</t>
  </si>
  <si>
    <t>Buff.Desc.TargetClass.Supporter</t>
  </si>
  <si>
    <t>Buff.Desc.TargetClass.Ranger</t>
  </si>
  <si>
    <t>Buff.Desc.TargetAttackClass.Attacker</t>
  </si>
  <si>
    <t>Buff.Desc.TargetAttackClass.Supporter</t>
  </si>
  <si>
    <t>Buff.Desc.TargetAttackClass.Ranger</t>
  </si>
  <si>
    <t>Buff.Desc.AddAttack.Paralysis</t>
  </si>
  <si>
    <t>Buff.Desc.AddAttack.Electric</t>
  </si>
  <si>
    <t>Buff.Desc.AddAttack.Poison</t>
  </si>
  <si>
    <t>Buff.Desc.Fear</t>
  </si>
  <si>
    <t>Buff.Desc.KnockBack</t>
  </si>
  <si>
    <t>Buff.Name.TargetAttackClass.Tanker</t>
  </si>
  <si>
    <t>Buff.Name.HpUp</t>
  </si>
  <si>
    <t>Buff.Desc.GuardUp</t>
  </si>
  <si>
    <t>Buff.Desc.CriticalUp</t>
  </si>
  <si>
    <t>Buff.Desc.IgnoredefenseUp</t>
  </si>
  <si>
    <t>Buff.Desc.EvasionUp</t>
  </si>
  <si>
    <t>Buff.Desc.AccuracyUp</t>
  </si>
  <si>
    <t>Buff.Desc.Shield</t>
  </si>
  <si>
    <t>Buff.Desc.AttackUp</t>
  </si>
  <si>
    <t>Buff.Desc.AttackDown</t>
  </si>
  <si>
    <t>Buff.Desc.AttackSpeedUp</t>
  </si>
  <si>
    <t>Buff.Desc.Poison</t>
  </si>
  <si>
    <t>Buff.Desc.Bleeding</t>
  </si>
  <si>
    <t>Buff.Desc.DefenseUp</t>
  </si>
  <si>
    <t>Buff.Desc.TargetAttackClass.Tanker</t>
  </si>
  <si>
    <t>Buff.Desc.Reflection</t>
  </si>
  <si>
    <t>Buff.Desc.DamageRateUp</t>
  </si>
  <si>
    <t>Buff.Desc.DamageDerateDown</t>
  </si>
  <si>
    <t>itus.ult.shield.buff.01</t>
  </si>
  <si>
    <t>itus.ult.shield.buff.02</t>
  </si>
  <si>
    <t>itus.ult.shield.buff.03</t>
  </si>
  <si>
    <t>itus.ult.shield.buff.04</t>
  </si>
  <si>
    <t>itus.ult.shield.buff.05</t>
  </si>
  <si>
    <t>itus.ult.shield.buff.06</t>
  </si>
  <si>
    <t>itus.ult.shield.buff.07</t>
  </si>
  <si>
    <t>itus.ult.shield.buff.buffeffect.01</t>
  </si>
  <si>
    <t>itus.ult.shield.buff.buffeffect.02</t>
  </si>
  <si>
    <t>itus.ult.shield.buff.buffeffect.03</t>
  </si>
  <si>
    <t>itus.ult.shield.buff.buffeffect.04</t>
  </si>
  <si>
    <t>itus.ult.shield.buff.buffeffect.05</t>
  </si>
  <si>
    <t>itus.ult.shield.buff.buffeffect.06</t>
  </si>
  <si>
    <t>itus.ult.shield.buff.buffeffect.07</t>
  </si>
  <si>
    <t>itus.passive.buff.02</t>
  </si>
  <si>
    <t>itus.passive.buff.03</t>
  </si>
  <si>
    <t>itus.passive.buff.04</t>
  </si>
  <si>
    <t>itus.passive.buff.05</t>
  </si>
  <si>
    <t>itus.passive.buff.06</t>
  </si>
  <si>
    <t>itus.passive.buff.buffeffect.01.01</t>
  </si>
  <si>
    <t>itus.passive.buff.buffeffect.02.01</t>
  </si>
  <si>
    <t>itus.passive.buff.buffeffect.01.02</t>
  </si>
  <si>
    <t>itus.passive.buff.buffeffect.02.02</t>
  </si>
  <si>
    <t>itus.passive.buff.buffeffect.01.03</t>
  </si>
  <si>
    <t>itus.passive.buff.buffeffect.02.03</t>
  </si>
  <si>
    <t>itus.passive.buff.buffeffect.01.04</t>
  </si>
  <si>
    <t>itus.passive.buff.buffeffect.02.04</t>
  </si>
  <si>
    <t>itus.passive.buff.buffeffect.01.05</t>
  </si>
  <si>
    <t>itus.passive.buff.buffeffect.02.05</t>
  </si>
  <si>
    <t>itus.passive.buff.buffeffect.01.06</t>
  </si>
  <si>
    <t>itus.passive.buff.buffeffect.02.06</t>
  </si>
  <si>
    <t>AreaDamageDerate</t>
  </si>
  <si>
    <t>Effect/Prefab/10_buff/EFF_buff_itus_ult_weapon</t>
  </si>
  <si>
    <t>icon_battle_exile</t>
  </si>
  <si>
    <t>Buff.Desc.exile</t>
  </si>
  <si>
    <t>icon_battle_reflection_2</t>
  </si>
  <si>
    <t>Buff.Name.Reflect.Shield</t>
  </si>
  <si>
    <t>Buff.Desc.Reflect.Shield</t>
  </si>
  <si>
    <t>Attribute.R.dmgrate.buff.buffeffect</t>
  </si>
  <si>
    <t>Attribute.R.dmgderate.buff.buffeffect</t>
  </si>
  <si>
    <t>Attribute.G.dmgrate.buff.buffeffect</t>
  </si>
  <si>
    <t>Attribute.G.dmgderate.buff.buffeffect</t>
  </si>
  <si>
    <t>Attribute.B.dmgrate.buff.buffeffect</t>
  </si>
  <si>
    <t>Attribute.B.dmgderate.buff.buffeffect</t>
  </si>
  <si>
    <t>AttributeType</t>
  </si>
  <si>
    <t>AttributeRed</t>
  </si>
  <si>
    <t>AttributeGreen</t>
  </si>
  <si>
    <t>AttributeBlue</t>
  </si>
  <si>
    <t>melissa.summon.taunt.buff.02</t>
  </si>
  <si>
    <t>melissa.summon.taunt.buff.03</t>
  </si>
  <si>
    <t>melissa.summon.taunt.buff.04</t>
  </si>
  <si>
    <t>melissa.summon.taunt.buff.05</t>
  </si>
  <si>
    <t>melissa.summon.taunt.buff.06</t>
  </si>
  <si>
    <t>melissa.summon.passive.taunt.buff.02</t>
  </si>
  <si>
    <t>melissa.summon.passive.taunt.buff.03</t>
  </si>
  <si>
    <t>melissa.summon.passive.taunt.buff.04</t>
  </si>
  <si>
    <t>melissa.summon.passive.taunt.buff.buffeffect.01</t>
  </si>
  <si>
    <t>melissa.summon.passive.taunt.buff.buffeffect.02</t>
  </si>
  <si>
    <t>melissa.summon.passive.taunt.buff.buffeffect.03</t>
  </si>
  <si>
    <t>melissa.summon.passive.taunt.buff.buffeffect.04</t>
  </si>
  <si>
    <t>melissa.summon.passive.taunt.effect.01</t>
  </si>
  <si>
    <t>melissa.summon.passive.taunt.effect.02</t>
  </si>
  <si>
    <t>melissa.summon.passive.taunt.effect.03</t>
  </si>
  <si>
    <t>melissa.summon.passive.taunt.effect.04</t>
  </si>
  <si>
    <t>Passive</t>
  </si>
  <si>
    <t>anne.passive.rangedamagederate.buff.01</t>
  </si>
  <si>
    <t>anne.passive.rangedamagederate.buff.buffeffect.01</t>
  </si>
  <si>
    <t>anne.passive.rangedamagederate.buff.02</t>
  </si>
  <si>
    <t>anne.passive.rangedamagederate.buff.03</t>
  </si>
  <si>
    <t>anne.passive.buff.01</t>
  </si>
  <si>
    <t>anne.passive.buff.buffeffect.01</t>
  </si>
  <si>
    <t>anne.passive.buff.02</t>
  </si>
  <si>
    <t>anne.passive.buff.buffeffect.02</t>
  </si>
  <si>
    <t>anne.passive.buff.03</t>
  </si>
  <si>
    <t>anne.passive.buff.buffeffect.03</t>
  </si>
  <si>
    <t>diana.passive.buff.01</t>
  </si>
  <si>
    <t>diana.passive.buff.buffeffect.01</t>
  </si>
  <si>
    <t>diana.passive.buff.02</t>
  </si>
  <si>
    <t>diana.passive.buff.buffeffect.02</t>
  </si>
  <si>
    <t>diana.passive.buff.03</t>
  </si>
  <si>
    <t>diana.passive.buff.buffeffect.03</t>
  </si>
  <si>
    <t>diana.passive.buff.04</t>
  </si>
  <si>
    <t>diana.passive.buff.buffeffect.04</t>
  </si>
  <si>
    <t>diana.passive.buff.05</t>
  </si>
  <si>
    <t>diana.passive.buff.buffeffect.05</t>
  </si>
  <si>
    <t>diana.passive.buff.06</t>
  </si>
  <si>
    <t>diana.passive.buff.buffeffect.06</t>
  </si>
  <si>
    <t>rayhou.passive.defup.buff.01</t>
  </si>
  <si>
    <t>rayhou.passive.defup.buff.02</t>
  </si>
  <si>
    <t>rayhou.passive.defup.buff.03</t>
  </si>
  <si>
    <t>rayhou.passive.defup.buff.04</t>
  </si>
  <si>
    <t>rayhou.passive.defup.buff.05</t>
  </si>
  <si>
    <t>rayhou.passive.defup.buff.06</t>
  </si>
  <si>
    <t>rayhou.passive.defup.buff.buffeffect.01</t>
  </si>
  <si>
    <t>rayhou.passive.defup.buff.buffeffect.02</t>
  </si>
  <si>
    <t>rayhou.passive.defup.buff.buffeffect.03</t>
  </si>
  <si>
    <t>rayhou.passive.defup.buff.buffeffect.04</t>
  </si>
  <si>
    <t>rayhou.passive.defup.buff.buffeffect.05</t>
  </si>
  <si>
    <t>rayhou.passive.defup.buff.buffeffect.06</t>
  </si>
  <si>
    <t>hellen.passive.buff.01</t>
  </si>
  <si>
    <t>hellen.passive.buff.buffeffect.01</t>
  </si>
  <si>
    <t>hellen.passive.buff.02</t>
  </si>
  <si>
    <t>hellen.passive.buff.buffeffect.02</t>
  </si>
  <si>
    <t>hellen.passive.buff.03</t>
  </si>
  <si>
    <t>hellen.passive.buff.buffeffect.03</t>
  </si>
  <si>
    <t>hellen.passive.buff.04</t>
  </si>
  <si>
    <t>hellen.passive.buff.buffeffect.04</t>
  </si>
  <si>
    <t>hellen.passive.buff.05</t>
  </si>
  <si>
    <t>hellen.passive.buff.buffeffect.05</t>
  </si>
  <si>
    <t>hellen.passive.buff.06</t>
  </si>
  <si>
    <t>hellen.passive.buff.buffeffect.06</t>
  </si>
  <si>
    <t>hallona.passive.buff.02</t>
  </si>
  <si>
    <t>hallona.passive.buff.03</t>
  </si>
  <si>
    <t>hallona.passive.buff.04</t>
  </si>
  <si>
    <t>hallona.passive.buff.05</t>
  </si>
  <si>
    <t>hallona.passive.buff.06</t>
  </si>
  <si>
    <t>elina.passive.buff.01</t>
  </si>
  <si>
    <t>elina.passive.buff.02</t>
  </si>
  <si>
    <t>elina.passive.buff.03</t>
  </si>
  <si>
    <t>elina.passive.buff.04</t>
  </si>
  <si>
    <t>elina.passive.buff.05</t>
  </si>
  <si>
    <t>elina.passive.buff.06</t>
  </si>
  <si>
    <t>elina.passive.buff.buffeffect.01</t>
  </si>
  <si>
    <t>elina.passive.buff.buffeffect.02</t>
  </si>
  <si>
    <t>elina.passive.buff.buffeffect.03</t>
  </si>
  <si>
    <t>elina.passive.buff.buffeffect.04</t>
  </si>
  <si>
    <t>elina.passive.buff.buffeffect.05</t>
  </si>
  <si>
    <t>elina.passive.buff.buffeffect.06</t>
  </si>
  <si>
    <t>LimitEffectCount</t>
  </si>
  <si>
    <t>LimitEffectCount</t>
    <phoneticPr fontId="3" type="noConversion"/>
  </si>
  <si>
    <t>CoolTime</t>
  </si>
  <si>
    <t>CoolTime</t>
    <phoneticPr fontId="3" type="noConversion"/>
  </si>
  <si>
    <t>#조건체크
반복주기</t>
  </si>
  <si>
    <t>#조건체크
반복주기</t>
    <phoneticPr fontId="3" type="noConversion"/>
  </si>
  <si>
    <t>int?</t>
  </si>
  <si>
    <t>int?</t>
    <phoneticPr fontId="3" type="noConversion"/>
  </si>
  <si>
    <t>#사용횟수
기본값:1, 공백:무한</t>
  </si>
  <si>
    <t>#사용횟수
기본값:1, 공백:무한</t>
    <phoneticPr fontId="3" type="noConversion"/>
  </si>
  <si>
    <t>paralysis</t>
    <phoneticPr fontId="3" type="noConversion"/>
  </si>
  <si>
    <t>paralysis.impossible.evade</t>
    <phoneticPr fontId="3" type="noConversion"/>
  </si>
  <si>
    <t>paralysis.impossible.guard</t>
    <phoneticPr fontId="3" type="noConversion"/>
  </si>
  <si>
    <t>GuardRate</t>
    <phoneticPr fontId="3" type="noConversion"/>
  </si>
  <si>
    <t>AccuracyDerate</t>
    <phoneticPr fontId="3" type="noConversion"/>
  </si>
  <si>
    <t>shock
shock.impossible.eprecharge</t>
  </si>
  <si>
    <t>AddEnergyRate</t>
    <phoneticPr fontId="3" type="noConversion"/>
  </si>
  <si>
    <t>DamageDerate</t>
    <phoneticPr fontId="3" type="noConversion"/>
  </si>
  <si>
    <t>shock.impossible.eprecharge</t>
    <phoneticPr fontId="3" type="noConversion"/>
  </si>
  <si>
    <t>SingleAreaDamageDerate</t>
  </si>
  <si>
    <t>daria.passive.singledmgdown.buff.02</t>
  </si>
  <si>
    <t>daria.passive.singledmgdown.buff.03</t>
  </si>
  <si>
    <t>daria.passive.singledmgdown.buff.05</t>
  </si>
  <si>
    <t>daria.passive.singledmgdown.buff.06</t>
  </si>
  <si>
    <t>daria.passive.areadmgup.buff.02</t>
  </si>
  <si>
    <t>daria.passive.areadmgup.buff.03</t>
  </si>
  <si>
    <t>daria.passive.areadmgup.buff.04</t>
  </si>
  <si>
    <t>daria.passive.areadmgup.buff.05</t>
  </si>
  <si>
    <t>daria.passive.areadmgup.buff.06</t>
  </si>
  <si>
    <t>daria.passive.singledmgdown.buff.buffeffect.02</t>
  </si>
  <si>
    <t>daria.passive.singledmgdown.buff.buffeffect.03</t>
  </si>
  <si>
    <t>daria.passive.singledmgdown.buff.buffeffect.04</t>
  </si>
  <si>
    <t>daria.passive.singledmgdown.buff.buffeffect.05</t>
  </si>
  <si>
    <t>daria.passive.singledmgdown.buff.buffeffect.06</t>
  </si>
  <si>
    <t>daria.passive.areadmgup.buff.buffeffect.02</t>
  </si>
  <si>
    <t>daria.passive.areadmgup.buff.buffeffect.03</t>
  </si>
  <si>
    <t>daria.passive.areadmgup.buff.buffeffect.04</t>
  </si>
  <si>
    <t>daria.passive.areadmgup.buff.buffeffect.05</t>
  </si>
  <si>
    <t>daria.passive.areadmgup.buff.buffeffect.06</t>
  </si>
  <si>
    <t>frostbite.01</t>
    <phoneticPr fontId="3" type="noConversion"/>
  </si>
  <si>
    <t>frostbite.02</t>
    <phoneticPr fontId="3" type="noConversion"/>
  </si>
  <si>
    <t>snopril.passive.buff.buffeffect.skilleffect.02</t>
  </si>
  <si>
    <t>snopril.passive.buff.buffeffect.skilleffect.03</t>
  </si>
  <si>
    <t>snopril.passive.buff.buffeffect.skilleffect.05</t>
  </si>
  <si>
    <t>snopril.passive.buff.buffeffect.skilleffect.06</t>
  </si>
  <si>
    <t>MeleeDamageDerate</t>
  </si>
  <si>
    <t>pushed</t>
    <phoneticPr fontId="3" type="noConversion"/>
  </si>
  <si>
    <t>Class</t>
  </si>
  <si>
    <t>Attacker</t>
  </si>
  <si>
    <t>Buff</t>
  </si>
  <si>
    <t>daria.passive.buff.02</t>
  </si>
  <si>
    <t>daria.passive.buff.03</t>
  </si>
  <si>
    <t>daria.passive.buff.04</t>
  </si>
  <si>
    <t>daria.passive.buff.05</t>
  </si>
  <si>
    <t>daria.passive.buff.06</t>
  </si>
  <si>
    <t>daria.passive.buff.buffeffect.01</t>
  </si>
  <si>
    <t>daria.passive.buff.buffeffect.02</t>
  </si>
  <si>
    <t>daria.passive.buff.buffeffect.03</t>
  </si>
  <si>
    <t>daria.passive.buff.buffeffect.04</t>
  </si>
  <si>
    <t>daria.passive.buff.buffeffect.05</t>
  </si>
  <si>
    <t>daria.passive.buff.buffeffect.06</t>
  </si>
  <si>
    <t>daria.passive.singledmgdown.buff.01&amp;daria.passive.areadmgup.buff.01</t>
  </si>
  <si>
    <t>daria.passive.singledmgdown.buff.02&amp;daria.passive.areadmgup.buff.02</t>
  </si>
  <si>
    <t>daria.passive.singledmgdown.buff.03&amp;daria.passive.areadmgup.buff.03</t>
  </si>
  <si>
    <t>daria.passive.singledmgdown.buff.04&amp;daria.passive.areadmgup.buff.04</t>
  </si>
  <si>
    <t>daria.passive.singledmgdown.buff.05&amp;daria.passive.areadmgup.buff.05</t>
  </si>
  <si>
    <t>daria.passive.singledmgdown.buff.06&amp;daria.passive.areadmgup.buff.06</t>
  </si>
  <si>
    <t>DefenseRatio</t>
    <phoneticPr fontId="3" type="noConversion"/>
  </si>
  <si>
    <t>freeze.damagederate</t>
    <phoneticPr fontId="3" type="noConversion"/>
  </si>
  <si>
    <t>melissa.passive.reflect.effect</t>
  </si>
  <si>
    <t>BeHitRange</t>
  </si>
  <si>
    <t>mea.ult.target.stun.01.buff</t>
  </si>
  <si>
    <t>mea.ult.target.stun.02.buff</t>
  </si>
  <si>
    <t>mea.ult.target.stun.03.buff</t>
  </si>
  <si>
    <t>mea.ult.fear.01.buff</t>
  </si>
  <si>
    <t>mea.ult.fear.02.buff</t>
  </si>
  <si>
    <t>mea.ult.fear.03.buff</t>
  </si>
  <si>
    <t>pull15000</t>
    <phoneticPr fontId="3" type="noConversion"/>
  </si>
  <si>
    <t>pull20000</t>
  </si>
  <si>
    <t>pull20000</t>
    <phoneticPr fontId="3" type="noConversion"/>
  </si>
  <si>
    <t>yuna.passive.condition.buff.buffeffect.02</t>
  </si>
  <si>
    <t>yuna.passive.condition.buff.buffeffect.03</t>
  </si>
  <si>
    <t>yuna.passive.condition.buff.buffeffect.05</t>
  </si>
  <si>
    <t>yuna.passive.condition.buff.buffeffect.06</t>
  </si>
  <si>
    <t>Active</t>
    <phoneticPr fontId="3" type="noConversion"/>
  </si>
  <si>
    <t>yuna.passive.critical.event.buff.buffeffect.01</t>
  </si>
  <si>
    <t>yuna.passive.critical.event.buff.buffeffect.02</t>
  </si>
  <si>
    <t>yuna.passive.critical.event.buff.buffeffect.03</t>
  </si>
  <si>
    <t>yuna.passive.critical.event.buff.buffeffect.04</t>
  </si>
  <si>
    <t>yuna.passive.critical.event.buff.buffeffect.05</t>
  </si>
  <si>
    <t>yuna.passive.critical.event.buff.buffeffect.06</t>
  </si>
  <si>
    <t>yuna.passive.atkup.buff.02</t>
  </si>
  <si>
    <t>yuna.passive.atkup.buff.03</t>
  </si>
  <si>
    <t>yuna.passive.atkup.buff.04</t>
  </si>
  <si>
    <t>yuna.passive.atkup.buff.05</t>
  </si>
  <si>
    <t>yuna.passive.atkup.buff.06</t>
  </si>
  <si>
    <t>BuffEffect</t>
  </si>
  <si>
    <t>yuna.atkup</t>
  </si>
  <si>
    <t>Atk.Up.02</t>
  </si>
  <si>
    <t>Atk.Up.03</t>
  </si>
  <si>
    <t>Atk.Up.04</t>
  </si>
  <si>
    <t>Atk.Up.05</t>
  </si>
  <si>
    <t>Def.Up.02</t>
  </si>
  <si>
    <t>Def.Up.03</t>
  </si>
  <si>
    <t>Def.Up.04</t>
  </si>
  <si>
    <t>Def.Up.05</t>
  </si>
  <si>
    <t>Critical.Up.02</t>
  </si>
  <si>
    <t>Critical.Up.03</t>
  </si>
  <si>
    <t>Critical.Up.04</t>
  </si>
  <si>
    <t>Critical.Up.05</t>
  </si>
  <si>
    <t>CriticalDamage.Up.02</t>
  </si>
  <si>
    <t>CriticalDamage.Up.04</t>
  </si>
  <si>
    <t>CriticalDamage.Up.05</t>
  </si>
  <si>
    <t>AtkSpeed.Up.02</t>
  </si>
  <si>
    <t>AtkSpeed.Up.03</t>
  </si>
  <si>
    <t>AtkSpeed.Up.04</t>
  </si>
  <si>
    <t>AtkSpeed.Up.05</t>
  </si>
  <si>
    <t>Accuracy.Up.02</t>
  </si>
  <si>
    <t>Accuracy.Up.03</t>
  </si>
  <si>
    <t>Accuracy.Up.04</t>
  </si>
  <si>
    <t>Accuracy.Up.05</t>
  </si>
  <si>
    <t>Evasion.Up.02</t>
  </si>
  <si>
    <t>Evasion.Up.03</t>
  </si>
  <si>
    <t>Evasion.Up.04</t>
  </si>
  <si>
    <t>Evasion.Up.05</t>
  </si>
  <si>
    <t>Damage.Up.02</t>
  </si>
  <si>
    <t>Damage.Up.03</t>
  </si>
  <si>
    <t>Damage.Up.04</t>
  </si>
  <si>
    <t>Damage.Up.05</t>
  </si>
  <si>
    <t>SingleDamage.Up.02</t>
  </si>
  <si>
    <t>SingleDamage.Up.03</t>
  </si>
  <si>
    <t>SingleDamage.Up.04</t>
  </si>
  <si>
    <t>SingleDamage.Up.05</t>
  </si>
  <si>
    <t>AreaDamage.Up.02</t>
  </si>
  <si>
    <t>AreaDamage.Up.03</t>
  </si>
  <si>
    <t>AreaDamage.Up.04</t>
  </si>
  <si>
    <t>AreaDamage.Up.05</t>
  </si>
  <si>
    <t>MeleeDamage.Up.02</t>
  </si>
  <si>
    <t>MeleeDamage.Up.03</t>
  </si>
  <si>
    <t>MeleeDamage.Up.04</t>
  </si>
  <si>
    <t>MeleeDamage.Up.05</t>
  </si>
  <si>
    <t>RangeDamage.Up.02</t>
  </si>
  <si>
    <t>RangeDamage.Up.03</t>
  </si>
  <si>
    <t>RangeDamage.Up.04</t>
  </si>
  <si>
    <t>RangeDamage.Up.05</t>
  </si>
  <si>
    <t>DotDamage.Up.02</t>
  </si>
  <si>
    <t>DotDamage.Up.03</t>
  </si>
  <si>
    <t>DotDamage.Up.04</t>
  </si>
  <si>
    <t>DotDamage.Up.05</t>
  </si>
  <si>
    <t>Reduce.Damage.Up.02</t>
  </si>
  <si>
    <t>Reduce.Damage.Up.03</t>
  </si>
  <si>
    <t>Reduce.Damage.Up.04</t>
  </si>
  <si>
    <t>Reduce.Damage.Up.05</t>
  </si>
  <si>
    <t>Reduce.SingleDamage.Up.02</t>
  </si>
  <si>
    <t>Reduce.SingleDamage.Up.03</t>
  </si>
  <si>
    <t>Reduce.SingleDamage.Up.04</t>
  </si>
  <si>
    <t>Reduce.SingleDamage.Up.05</t>
  </si>
  <si>
    <t>Reduce.AreaDamage.Up.02</t>
  </si>
  <si>
    <t>Reduce.AreaDamage.Up.03</t>
  </si>
  <si>
    <t>Reduce.AreaDamage.Up.04</t>
  </si>
  <si>
    <t>Reduce.AreaDamage.Up.05</t>
  </si>
  <si>
    <t>Reduce.MeleeDamage.Up.02</t>
  </si>
  <si>
    <t>Reduce.MeleeDamage.Up.03</t>
  </si>
  <si>
    <t>Reduce.MeleeDamage.Up.04</t>
  </si>
  <si>
    <t>Reduce.MeleeDamage.Up.05</t>
  </si>
  <si>
    <t>Reduce.RangeDamage.Up.02</t>
  </si>
  <si>
    <t>Reduce.RangeDamage.Up.03</t>
  </si>
  <si>
    <t>Reduce.RangeDamage.Up.04</t>
  </si>
  <si>
    <t>Reduce.RangeDamage.Up.05</t>
  </si>
  <si>
    <t>Reduce.DotDamage.Up.02</t>
  </si>
  <si>
    <t>Reduce.DotDamage.Up.03</t>
  </si>
  <si>
    <t>Reduce.DotDamage.Up.04</t>
  </si>
  <si>
    <t>Reduce.DotDamage.Up.05</t>
  </si>
  <si>
    <t>GuardRate.Up.02</t>
  </si>
  <si>
    <t>GuardRate.Up.03</t>
  </si>
  <si>
    <t>GuardRate.Up.04</t>
  </si>
  <si>
    <t>GuardRate.Up.05</t>
  </si>
  <si>
    <t>GuardReduce.Up.02</t>
  </si>
  <si>
    <t>GuardReduce.Up.03</t>
  </si>
  <si>
    <t>GuardReduce.Up.04</t>
  </si>
  <si>
    <t>GuardReduce.Up.05</t>
  </si>
  <si>
    <t>CriticalResist.Up.02</t>
  </si>
  <si>
    <t>CriticalResist.Up.03</t>
  </si>
  <si>
    <t>CriticalResist.Up.04</t>
  </si>
  <si>
    <t>CriticalResist.Up.05</t>
  </si>
  <si>
    <t>HealRate.Up.02</t>
  </si>
  <si>
    <t>HealRate.Up.03</t>
  </si>
  <si>
    <t>HealRate.Up.04</t>
  </si>
  <si>
    <t>HealRate.Up.05</t>
  </si>
  <si>
    <t>ReceiveHealRate.Up.02</t>
  </si>
  <si>
    <t>ReceiveHealRate.Up.03</t>
  </si>
  <si>
    <t>ReceiveHealRate.Up.04</t>
  </si>
  <si>
    <t>ReceiveHealRate.Up.05</t>
  </si>
  <si>
    <t>RechargeRate.Up.02</t>
  </si>
  <si>
    <t>RechargeRate.Up.03</t>
  </si>
  <si>
    <t>RechargeRate.Up.04</t>
  </si>
  <si>
    <t>RechargeRate.Up.05</t>
  </si>
  <si>
    <t>Atk.Down.02</t>
  </si>
  <si>
    <t>Atk.Down.03</t>
  </si>
  <si>
    <t>Atk.Down.04</t>
  </si>
  <si>
    <t>Atk.Down.05</t>
  </si>
  <si>
    <t>Def.Down.02</t>
  </si>
  <si>
    <t>Def.Down.03</t>
  </si>
  <si>
    <t>Def.Down.04</t>
  </si>
  <si>
    <t>Def.Down.05</t>
  </si>
  <si>
    <t>Critical.Down.02</t>
  </si>
  <si>
    <t>Critical.Down.03</t>
  </si>
  <si>
    <t>Critical.Down.04</t>
  </si>
  <si>
    <t>Critical.Down.05</t>
  </si>
  <si>
    <t>CriticalDamage.Down.02</t>
  </si>
  <si>
    <t>CriticalDamage.Down.03</t>
  </si>
  <si>
    <t>CriticalDamage.Down.04</t>
  </si>
  <si>
    <t>CriticalDamage.Down.05</t>
  </si>
  <si>
    <t>AtkSpeed.Down.02</t>
  </si>
  <si>
    <t>AtkSpeed.Down.03</t>
  </si>
  <si>
    <t>AtkSpeed.Down.04</t>
  </si>
  <si>
    <t>AtkSpeed.Down.05</t>
  </si>
  <si>
    <t>Accuracy.Down.02</t>
  </si>
  <si>
    <t>Accuracy.Down.03</t>
  </si>
  <si>
    <t>Accuracy.Down.04</t>
  </si>
  <si>
    <t>Accuracy.Down.05</t>
  </si>
  <si>
    <t>Evasion.Down.02</t>
  </si>
  <si>
    <t>Evasion.Down.03</t>
  </si>
  <si>
    <t>Evasion.Down.04</t>
  </si>
  <si>
    <t>Evasion.Down.05</t>
  </si>
  <si>
    <t>Damage.Down.02</t>
  </si>
  <si>
    <t>Damage.Down.03</t>
  </si>
  <si>
    <t>Damage.Down.04</t>
  </si>
  <si>
    <t>Damage.Down.05</t>
  </si>
  <si>
    <t>SingleDamage.Down.02</t>
  </si>
  <si>
    <t>SingleDamage.Down.03</t>
  </si>
  <si>
    <t>SingleDamage.Down.04</t>
  </si>
  <si>
    <t>SingleDamage.Down.05</t>
  </si>
  <si>
    <t>AreaDamage.Down.02</t>
  </si>
  <si>
    <t>AreaDamage.Down.03</t>
  </si>
  <si>
    <t>AreaDamage.Down.04</t>
  </si>
  <si>
    <t>AreaDamage.Down.05</t>
  </si>
  <si>
    <t>MeleeDamage.Down.02</t>
  </si>
  <si>
    <t>MeleeDamage.Down.03</t>
  </si>
  <si>
    <t>MeleeDamage.Down.04</t>
  </si>
  <si>
    <t>MeleeDamage.Down.05</t>
  </si>
  <si>
    <t>RangeDamage.Down.02</t>
  </si>
  <si>
    <t>RangeDamage.Down.03</t>
  </si>
  <si>
    <t>RangeDamage.Down.04</t>
  </si>
  <si>
    <t>RangeDamage.Down.05</t>
  </si>
  <si>
    <t>DotDamage.Down.02</t>
  </si>
  <si>
    <t>DotDamage.Down.03</t>
  </si>
  <si>
    <t>DotDamage.Down.04</t>
  </si>
  <si>
    <t>DotDamage.Down.05</t>
  </si>
  <si>
    <t>Reduce.Damage.Down.02</t>
  </si>
  <si>
    <t>Reduce.Damage.Down.03</t>
  </si>
  <si>
    <t>Reduce.Damage.Down.04</t>
  </si>
  <si>
    <t>Reduce.Damage.Down.05</t>
  </si>
  <si>
    <t>Reduce.SingleDamage.Down.02</t>
  </si>
  <si>
    <t>Reduce.SingleDamage.Down.03</t>
  </si>
  <si>
    <t>Reduce.SingleDamage.Down.04</t>
  </si>
  <si>
    <t>Reduce.SingleDamage.Down.05</t>
  </si>
  <si>
    <t>Reduce.AreaDamage.Down.02</t>
  </si>
  <si>
    <t>Reduce.AreaDamage.Down.03</t>
  </si>
  <si>
    <t>Reduce.AreaDamage.Down.04</t>
  </si>
  <si>
    <t>Reduce.AreaDamage.Down.05</t>
  </si>
  <si>
    <t>Reduce.MeleeDamage.Down.02</t>
  </si>
  <si>
    <t>Reduce.MeleeDamage.Down.03</t>
  </si>
  <si>
    <t>Reduce.MeleeDamage.Down.04</t>
  </si>
  <si>
    <t>Reduce.MeleeDamage.Down.05</t>
  </si>
  <si>
    <t>Reduce.RangeDamage.Down.02</t>
  </si>
  <si>
    <t>Reduce.RangeDamage.Down.03</t>
  </si>
  <si>
    <t>Reduce.RangeDamage.Down.04</t>
  </si>
  <si>
    <t>Reduce.RangeDamage.Down.05</t>
  </si>
  <si>
    <t>Reduce.DotDamage.Down.02</t>
  </si>
  <si>
    <t>Reduce.DotDamage.Down.03</t>
  </si>
  <si>
    <t>Reduce.DotDamage.Down.04</t>
  </si>
  <si>
    <t>Reduce.DotDamage.Down.05</t>
  </si>
  <si>
    <t>GuardRate.Down.02</t>
  </si>
  <si>
    <t>GuardRate.Down.03</t>
  </si>
  <si>
    <t>GuardRate.Down.04</t>
  </si>
  <si>
    <t>GuardRate.Down.05</t>
  </si>
  <si>
    <t>GuardReduce.Down.02</t>
  </si>
  <si>
    <t>GuardReduce.Down.03</t>
  </si>
  <si>
    <t>GuardReduce.Down.04</t>
  </si>
  <si>
    <t>GuardReduce.Down.05</t>
  </si>
  <si>
    <t>CriticalResist.Down.02</t>
  </si>
  <si>
    <t>CriticalResist.Down.03</t>
  </si>
  <si>
    <t>CriticalResist.Down.04</t>
  </si>
  <si>
    <t>CriticalResist.Down.05</t>
  </si>
  <si>
    <t>HealRate.Down.02</t>
  </si>
  <si>
    <t>HealRate.Down.03</t>
  </si>
  <si>
    <t>HealRate.Down.04</t>
  </si>
  <si>
    <t>HealRate.Down.05</t>
  </si>
  <si>
    <t>ReceiveHealRate.Down.02</t>
  </si>
  <si>
    <t>ReceiveHealRate.Down.04</t>
  </si>
  <si>
    <t>ReceiveHealRate.Down.05</t>
  </si>
  <si>
    <t>RechargeRate.Down.02</t>
  </si>
  <si>
    <t>RechargeRate.Down.03</t>
  </si>
  <si>
    <t>RechargeRate.Down.04</t>
  </si>
  <si>
    <t>RechargeRate.Down.05</t>
  </si>
  <si>
    <t>SingleAreaDamageRate</t>
  </si>
  <si>
    <t>MeleeDamageRate</t>
  </si>
  <si>
    <t>RangeDamageRate</t>
  </si>
  <si>
    <t>GuardReduceRate</t>
  </si>
  <si>
    <t>CriticalDerate</t>
  </si>
  <si>
    <t>CriticalDerate</t>
    <phoneticPr fontId="3" type="noConversion"/>
  </si>
  <si>
    <t>Bleed.01</t>
    <phoneticPr fontId="3" type="noConversion"/>
  </si>
  <si>
    <t>StatusDistict</t>
  </si>
  <si>
    <t>Burn.01</t>
    <phoneticPr fontId="3" type="noConversion"/>
  </si>
  <si>
    <t>Burn.02</t>
  </si>
  <si>
    <t>Burn.03</t>
  </si>
  <si>
    <t>Burn.04</t>
  </si>
  <si>
    <t>Burn.05</t>
  </si>
  <si>
    <t>Frost.01</t>
    <phoneticPr fontId="3" type="noConversion"/>
  </si>
  <si>
    <t>Frost.02</t>
  </si>
  <si>
    <t>Frost.03</t>
  </si>
  <si>
    <t>Frost.04</t>
  </si>
  <si>
    <t>Frost.05</t>
  </si>
  <si>
    <t>Poison.01</t>
    <phoneticPr fontId="3" type="noConversion"/>
  </si>
  <si>
    <t>Poison.02</t>
  </si>
  <si>
    <t>Poison.03</t>
  </si>
  <si>
    <t>Poison.04</t>
  </si>
  <si>
    <t>Poison.05</t>
  </si>
  <si>
    <t>Bleed.02</t>
  </si>
  <si>
    <t>Bleed.03</t>
  </si>
  <si>
    <t>Bleed.04</t>
  </si>
  <si>
    <t>Bleed.05</t>
  </si>
  <si>
    <t>Electric.01</t>
    <phoneticPr fontId="3" type="noConversion"/>
  </si>
  <si>
    <t>Electric.02</t>
  </si>
  <si>
    <t>Electric.03</t>
  </si>
  <si>
    <t>Electric.04</t>
  </si>
  <si>
    <t>Electric.05</t>
  </si>
  <si>
    <t>airen.passive.private.buff.01</t>
  </si>
  <si>
    <t>airen.passive.private.buff.02</t>
  </si>
  <si>
    <t>airen.passive.private.buff.03</t>
  </si>
  <si>
    <t>airen.passive.private.buff.04</t>
  </si>
  <si>
    <t>airen.passive.private.buff.05</t>
  </si>
  <si>
    <t>airen.passive.private.buff.06</t>
  </si>
  <si>
    <t>airen.passive.private.buff.buffeffect.01</t>
  </si>
  <si>
    <t>airen.passive.private.buff.buffeffect.02</t>
  </si>
  <si>
    <t>airen.passive.private.buff.buffeffect.03</t>
  </si>
  <si>
    <t>airen.passive.private.buff.buffeffect.04</t>
  </si>
  <si>
    <t>airen.passive.private.buff.buffeffect.05</t>
  </si>
  <si>
    <t>airen.passive.private.buff.buffeffect.06</t>
  </si>
  <si>
    <t>airen.passive.cridamage.buff.buffeffect.02</t>
  </si>
  <si>
    <t>airen.passive.cridamage.buff.buffeffect.03</t>
  </si>
  <si>
    <t>airen.passive.cridamage.buff.buffeffect.04</t>
  </si>
  <si>
    <t>airen.passive.cridamage.buff.buffeffect.05</t>
  </si>
  <si>
    <t>airen.passive.cridamage.buff.buffeffect.06</t>
  </si>
  <si>
    <t>airen.active2.effect.crirateup.buff.buffeffect.01</t>
  </si>
  <si>
    <t>airen.active2.effect.crirateup.buff.buffeffect.02</t>
  </si>
  <si>
    <t>airen.active2.effect.crirateup.buff.buffeffect.03</t>
  </si>
  <si>
    <t>airen.active2.effect.crirateup.buff.buffeffect.04</t>
  </si>
  <si>
    <t>airen.active2.effect.crirateup.buff.buffeffect.05</t>
  </si>
  <si>
    <t>airen.active2.effect.crirateup.buff.buffeffect.06</t>
  </si>
  <si>
    <t>airen.active2.addenergy.buff.buffeffect.01</t>
  </si>
  <si>
    <t>airen.active2.addenergy.buff.buffeffect.02</t>
  </si>
  <si>
    <t>airen.active2.addenergy.buff.buffeffect.03</t>
  </si>
  <si>
    <t>airen.active2.addenergy.buff.buffeffect.04</t>
  </si>
  <si>
    <t>Atk.Up.01</t>
  </si>
  <si>
    <t>Def.Up.01</t>
  </si>
  <si>
    <t>Critical.Up.01</t>
  </si>
  <si>
    <t>AtkSpeed.Up.01</t>
  </si>
  <si>
    <t>Accuracy.Up.01</t>
  </si>
  <si>
    <t>Evasion.Up.01</t>
  </si>
  <si>
    <t>Damage.Up.01</t>
  </si>
  <si>
    <t>AreaDamage.Up.01</t>
  </si>
  <si>
    <t>MeleeDamage.Up.01</t>
  </si>
  <si>
    <t>RangeDamage.Up.01</t>
  </si>
  <si>
    <t>DotDamage.Up.01</t>
  </si>
  <si>
    <t>Reduce.Damage.Up.01</t>
  </si>
  <si>
    <t>Reduce.SingleDamage.Up.01</t>
  </si>
  <si>
    <t>Reduce.AreaDamage.Up.01</t>
  </si>
  <si>
    <t>Reduce.MeleeDamage.Up.01</t>
  </si>
  <si>
    <t>Reduce.RangeDamage.Up.01</t>
  </si>
  <si>
    <t>Reduce.DotDamage.Up.01</t>
  </si>
  <si>
    <t>GuardRate.Up.01</t>
  </si>
  <si>
    <t>GuardReduce.Up.01</t>
  </si>
  <si>
    <t>CriticalResist.Up.01</t>
  </si>
  <si>
    <t>HealRate.Up.01</t>
  </si>
  <si>
    <t>ReceiveHealRate.Up.01</t>
  </si>
  <si>
    <t>RechargeRate.Up.01</t>
  </si>
  <si>
    <t>Atk.Down.01</t>
  </si>
  <si>
    <t>Critical.Down.01</t>
  </si>
  <si>
    <t>CriticalDamage.Down.01</t>
  </si>
  <si>
    <t>Evasion.Down.01</t>
  </si>
  <si>
    <t>Damage.Down.01</t>
  </si>
  <si>
    <t>SingleDamage.Down.01</t>
  </si>
  <si>
    <t>AreaDamage.Down.01</t>
  </si>
  <si>
    <t>MeleeDamage.Down.01</t>
  </si>
  <si>
    <t>RangeDamage.Down.01</t>
  </si>
  <si>
    <t>DotDamage.Down.01</t>
  </si>
  <si>
    <t>Reduce.Damage.Down.01</t>
  </si>
  <si>
    <t>Reduce.AreaDamage.Down.01</t>
  </si>
  <si>
    <t>Reduce.MeleeDamage.Down.01</t>
  </si>
  <si>
    <t>Reduce.RangeDamage.Down.01</t>
  </si>
  <si>
    <t>Reduce.DotDamage.Down.01</t>
  </si>
  <si>
    <t>GuardRate.Down.01</t>
  </si>
  <si>
    <t>GuardReduce.Down.01</t>
  </si>
  <si>
    <t>CriticalResist.Down.01</t>
  </si>
  <si>
    <t>HealRate.Down.01</t>
  </si>
  <si>
    <t>ReceiveHealRate.Down.01</t>
  </si>
  <si>
    <t>RechargeRate.Down.01</t>
  </si>
  <si>
    <t>belebeta.ult.crirateup.buff.01</t>
  </si>
  <si>
    <t>belebeta.ult.crirateup.buff.02</t>
  </si>
  <si>
    <t>belebeta.ult.crirateup.buff.03</t>
  </si>
  <si>
    <t>belebeta.ult.crirateup.buff.04</t>
  </si>
  <si>
    <t>belebeta.ult.crirateup.buff.05</t>
  </si>
  <si>
    <t>belebeta.active1.atkdown.buff.01</t>
  </si>
  <si>
    <t>belebeta.active1.atkdown.buff.02</t>
  </si>
  <si>
    <t>belebeta.active1.atkdown.buff.03</t>
  </si>
  <si>
    <t>belebeta.passive.redtea.buff.06</t>
  </si>
  <si>
    <t>belebeta.passive.redtea.buff.02</t>
  </si>
  <si>
    <t>belebeta.passive.redtea.buff.03</t>
  </si>
  <si>
    <t>belebeta.passive.redtea.buff.04</t>
  </si>
  <si>
    <t>belebeta.passive.redtea.buff.05</t>
  </si>
  <si>
    <t>belebeta.passive.greentea.buff.02</t>
  </si>
  <si>
    <t>belebeta.passive.greentea.buff.03</t>
  </si>
  <si>
    <t>belebeta.passive.greentea.buff.04</t>
  </si>
  <si>
    <t>belebeta.passive.greentea.buff.05</t>
  </si>
  <si>
    <t>belebeta.passive.greentea.buff.06</t>
  </si>
  <si>
    <t>belebeta.passive.redtea.buff.buffeffect.01</t>
  </si>
  <si>
    <t>belebeta.passive.redtea.buff.buffeffect.02</t>
  </si>
  <si>
    <t>belebeta.passive.redtea.buff.buffeffect.03</t>
  </si>
  <si>
    <t>belebeta.passive.redtea.buff.buffeffect.04</t>
  </si>
  <si>
    <t>belebeta.passive.redtea.buff.buffeffect.05</t>
  </si>
  <si>
    <t>belebeta.passive.redtea.buff.buffeffect.06</t>
  </si>
  <si>
    <t>belebeta.passive.greentea.buff.buffeffect.01</t>
  </si>
  <si>
    <t>belebeta.passive.greentea.buff.buffeffect.02</t>
  </si>
  <si>
    <t>belebeta.passive.greentea.buff.buffeffect.03</t>
  </si>
  <si>
    <t>belebeta.passive.greentea.buff.buffeffect.04</t>
  </si>
  <si>
    <t>belebeta.passive.greentea.buff.buffeffect.05</t>
  </si>
  <si>
    <t>belebeta.passive.greentea.buff.buffeffect.06</t>
  </si>
  <si>
    <t>belebeta.passive.redtea.trigger.01
belebeta.passive.greentea.trigger.01</t>
  </si>
  <si>
    <t>belebeta.passive.redtea.trigger.02
belebeta.passive.greentea.trigger.02</t>
  </si>
  <si>
    <t>belebeta.passive.redtea.trigger.03
belebeta.passive.greentea.trigger.03</t>
  </si>
  <si>
    <t>belebeta.passive.redtea.trigger.04
belebeta.passive.greentea.trigger.04</t>
  </si>
  <si>
    <t>belebeta.passive.redtea.trigger.05
belebeta.passive.greentea.trigger.05</t>
  </si>
  <si>
    <t>belebeta.passive.redtea.trigger.06
belebeta.passive.greentea.trigger.06</t>
  </si>
  <si>
    <t>belebeta.passive.greentea.trigger.02</t>
  </si>
  <si>
    <t>belebeta.passive.greentea.trigger.03</t>
  </si>
  <si>
    <t>belebeta.passive.greentea.trigger.04</t>
  </si>
  <si>
    <t>belebeta.passive.greentea.trigger.05</t>
  </si>
  <si>
    <t>belebeta.passive.greentea.trigger.06</t>
  </si>
  <si>
    <t>FireSkill</t>
  </si>
  <si>
    <t>FireCondition(Skill2)</t>
  </si>
  <si>
    <t>FireCondition(Skill1)</t>
  </si>
  <si>
    <t>belebeta.passive.tea.trigger.02</t>
  </si>
  <si>
    <t>belebeta.passive.tea.trigger.03</t>
  </si>
  <si>
    <t>belebeta.passive.tea.trigger.04</t>
  </si>
  <si>
    <t>belebeta.passive.tea.trigger.05</t>
  </si>
  <si>
    <t>belebeta.passive.tea.trigger.06</t>
  </si>
  <si>
    <t>belebeta.passive.critical.01</t>
  </si>
  <si>
    <t>belebeta.passive.critical.02</t>
  </si>
  <si>
    <t>belebeta.passive.critical.03</t>
  </si>
  <si>
    <t>belebeta.passive.critical.04</t>
  </si>
  <si>
    <t>belebeta.passive.critical.05</t>
  </si>
  <si>
    <t>belebeta.passive.critical.06</t>
  </si>
  <si>
    <t>belebeta.passive.critical.trigger.01</t>
  </si>
  <si>
    <t>belebeta.passive.critical.trigger.02</t>
  </si>
  <si>
    <t>belebeta.passive.critical.trigger.03</t>
  </si>
  <si>
    <t>belebeta.passive.critical.trigger.04</t>
  </si>
  <si>
    <t>belebeta.passive.critical.trigger.05</t>
  </si>
  <si>
    <t>belebeta.passive.critical.trigger.06</t>
  </si>
  <si>
    <t>belebeta.passive.critical.trigger</t>
  </si>
  <si>
    <t>belebeta.passive.critical.trigger.dice</t>
  </si>
  <si>
    <t>belebeta.passive.critical.02&amp;belebeta.passive.critical</t>
  </si>
  <si>
    <t>belebeta.passive.critical.03&amp;belebeta.passive.critical</t>
  </si>
  <si>
    <t>belebeta.passive.critical.04&amp;belebeta.passive.critical</t>
  </si>
  <si>
    <t>belebeta.passive.critical.05&amp;belebeta.passive.critical</t>
  </si>
  <si>
    <t>belebeta.passive.critical.06&amp;belebeta.passive.critical</t>
  </si>
  <si>
    <t>fei.active1.stun.buff.01</t>
  </si>
  <si>
    <t>fei.active1.stun.buff.02</t>
  </si>
  <si>
    <t>fei.active1.stun.buff.03</t>
  </si>
  <si>
    <t>gray.ult.evasiondown.buff.01</t>
  </si>
  <si>
    <t>gray.ult.evasiondown.buff.02</t>
  </si>
  <si>
    <t>gray.ult.evasiondown.buff.03</t>
  </si>
  <si>
    <t>gray.ult.evasiondown.buff.04</t>
  </si>
  <si>
    <t>gray.ult.evasiondown.buff.05</t>
  </si>
  <si>
    <t>gray.active2.crirateup.buff.01</t>
  </si>
  <si>
    <t>gray.active2.crirateup.buff.02</t>
  </si>
  <si>
    <t>gray.active2.crirateup.buff.03</t>
  </si>
  <si>
    <t>gray.active2.crirateup.buff.04</t>
  </si>
  <si>
    <t>gray.active2.crirateup.buff.05</t>
  </si>
  <si>
    <t>gray.active2.crirateup.buff.06</t>
  </si>
  <si>
    <t>gray.passive.critical.event.ep.buff.01</t>
  </si>
  <si>
    <t>gray.passive.critical.event.ep.buff.02</t>
  </si>
  <si>
    <t>gray.passive.critical.event.ep.buff.03</t>
  </si>
  <si>
    <t>gray.passive.critical.event.ep.buff.04</t>
  </si>
  <si>
    <t>gray.passive.critical.event.ep.buff.buffeffect.01</t>
  </si>
  <si>
    <t>gray.passive.critical.event.ep.buff.buffeffect.02</t>
  </si>
  <si>
    <t>gray.passive.critical.event.ep.buff.buffeffect.03</t>
  </si>
  <si>
    <t>gray.passive.critical.event.ep.buff.buffeffect.04</t>
  </si>
  <si>
    <t>gray.passive.critical.event.ep.skilleffect.02</t>
  </si>
  <si>
    <t>gray.passive.critical.event.ep.skilleffect.03</t>
  </si>
  <si>
    <t>gray.passive.critical.event.ep.skilleffect.04</t>
  </si>
  <si>
    <t>gray.passive.critical.event.buff.01</t>
  </si>
  <si>
    <t>gray.passive.critical.event.buff.02</t>
  </si>
  <si>
    <t>gray.passive.critical.event.buff.03</t>
  </si>
  <si>
    <t>gray.passive.critical.event.buff.04</t>
  </si>
  <si>
    <t>gray.passive.critical.event.buff.buffeffect.01</t>
  </si>
  <si>
    <t>gray.passive.critical.event.buff.buffeffect.02</t>
  </si>
  <si>
    <t>gray.passive.critical.event.buff.buffeffect.03</t>
  </si>
  <si>
    <t>gray.passive.critical.event.buff.buffeffect.04</t>
  </si>
  <si>
    <t>gray.passive.critical.event.skilleffect.01</t>
  </si>
  <si>
    <t>gray.passive.critical.event.skilleffect.02</t>
  </si>
  <si>
    <t>gray.passive.critical.event.skilleffect.03</t>
  </si>
  <si>
    <t>gray.passive.critical.event.skilleffect.04</t>
  </si>
  <si>
    <t>fei.ult.criresistdown.buff.01</t>
  </si>
  <si>
    <t>fei.ult.criresistdown.buff.02</t>
  </si>
  <si>
    <t>fei.ult.criresistdown.buff.03</t>
  </si>
  <si>
    <t>fei.ult.criresistdown.buff.04</t>
  </si>
  <si>
    <t>eiko.passive.crirateup.buff.01</t>
  </si>
  <si>
    <t>eiko.passive.crirateup.buff.02</t>
  </si>
  <si>
    <t>eiko.passive.crirateup.buff.03</t>
  </si>
  <si>
    <t>eiko.passive.crirateup.buff.04</t>
  </si>
  <si>
    <t>eiko.passive.crirateup.buff.05</t>
  </si>
  <si>
    <t>eiko.passive.crirateup.buff.06</t>
  </si>
  <si>
    <t>eiko.passive.crirateup.buff.buffeffect.01</t>
  </si>
  <si>
    <t>eiko.passive.crirateup.buff.buffeffect.02</t>
  </si>
  <si>
    <t>eiko.passive.crirateup.buff.buffeffect.03</t>
  </si>
  <si>
    <t>eiko.passive.crirateup.buff.buffeffect.04</t>
  </si>
  <si>
    <t>eiko.passive.crirateup.buff.buffeffect.05</t>
  </si>
  <si>
    <t>eiko.passive.crirateup.buff.buffeffect.06</t>
  </si>
  <si>
    <t>OnHitNormal</t>
    <phoneticPr fontId="3" type="noConversion"/>
  </si>
  <si>
    <t>mana.passive.criresistdown.buff.02</t>
  </si>
  <si>
    <t>mana.passive.criresistdown.buff.03</t>
  </si>
  <si>
    <t>mana.passive.criresistdown.buff.05</t>
  </si>
  <si>
    <t>mana.passive.criresistdown.buff.06</t>
  </si>
  <si>
    <t>serapulsar.ult.buff.01</t>
  </si>
  <si>
    <t>serapulsar.ult.buff.02</t>
  </si>
  <si>
    <t>serapulsar.ult.buff.03</t>
  </si>
  <si>
    <t>serapulsar.ult.buff.04</t>
  </si>
  <si>
    <t>serapulsar.ult.buff.05</t>
  </si>
  <si>
    <t>serapulsar.ult.buff.06</t>
  </si>
  <si>
    <t>serapulsar.ult.buff.07</t>
  </si>
  <si>
    <t>serapulsar.ult.buff.buffeffect.01</t>
  </si>
  <si>
    <t>serapulsar.ult.buff.buffeffect.02</t>
  </si>
  <si>
    <t>serapulsar.ult.buff.buffeffect.03</t>
  </si>
  <si>
    <t>serapulsar.ult.buff.buffeffect.04</t>
  </si>
  <si>
    <t>serapulsar.ult.buff.buffeffect.05</t>
  </si>
  <si>
    <t>serapulsar.ult.buff.buffeffect.06</t>
  </si>
  <si>
    <t>serapulsar.ult.buff.buffeffect.07</t>
  </si>
  <si>
    <t>serapulsar.ult.buff.buffeffect.modifier.01</t>
  </si>
  <si>
    <t>serapulsar.ult.buff.buffeffect.modifier.02</t>
  </si>
  <si>
    <t>serapulsar.ult.buff.buffeffect.modifier.03</t>
  </si>
  <si>
    <t>serapulsar.ult.buff.buffeffect.modifier.04</t>
  </si>
  <si>
    <t>serapulsar.ult.buff.buffeffect.modifier.05</t>
  </si>
  <si>
    <t>serapulsar.ult.buff.buffeffect.modifier.06</t>
  </si>
  <si>
    <t>serapulsar.ult.buff.buffeffect.modifier.07</t>
  </si>
  <si>
    <t>serapulsar.passive.mark</t>
  </si>
  <si>
    <t>brynhild.ult.buff.buffeffect.01</t>
  </si>
  <si>
    <t>brynhild.ult.buff.buffeffect.02</t>
  </si>
  <si>
    <t>brynhild.ult.buff.buffeffect.03</t>
  </si>
  <si>
    <t>brynhild.ult.buff.buffeffect.04</t>
  </si>
  <si>
    <t>brynhild.ult.buff.buffeffect.05</t>
  </si>
  <si>
    <t>brynhild.ult.buff.buffeffect.06</t>
  </si>
  <si>
    <t>brynhild.ult.buff.buffeffect.07</t>
  </si>
  <si>
    <t>brynhild.ult.buff.01</t>
  </si>
  <si>
    <t>brynhild.ult.buff.02</t>
  </si>
  <si>
    <t>brynhild.ult.buff.03</t>
  </si>
  <si>
    <t>brynhild.ult.buff.04</t>
  </si>
  <si>
    <t>brynhild.ult.buff.05</t>
  </si>
  <si>
    <t>brynhild.ult.buff.06</t>
  </si>
  <si>
    <t>brynhild.ult.buff.07</t>
  </si>
  <si>
    <t>brynhild.ult.buff.buffeffect.modifier.02</t>
  </si>
  <si>
    <t>brynhild.ult.buff.buffeffect.modifier.03</t>
  </si>
  <si>
    <t>brynhild.ult.buff.buffeffect.modifier.04</t>
  </si>
  <si>
    <t>brynhild.ult.buff.buffeffect.modifier.06</t>
  </si>
  <si>
    <t>brynhild.ult.buff.buffeffect.modifier.07</t>
  </si>
  <si>
    <t>brynhild.active1.atkup.buff.02</t>
  </si>
  <si>
    <t>brynhild.active1.atkup.buff.03</t>
  </si>
  <si>
    <t>brynhild.active1.atkup.buff.04</t>
  </si>
  <si>
    <t>brynhild.active1.atkup.buff.05</t>
  </si>
  <si>
    <t>brynhild.active1.atkup.buff.06</t>
  </si>
  <si>
    <t>brynhild.active1.atkup.buff.buffeffect.01</t>
  </si>
  <si>
    <t>brynhild.active1.atkup.buff.buffeffect.02</t>
  </si>
  <si>
    <t>brynhild.active1.atkup.buff.buffeffect.03</t>
  </si>
  <si>
    <t>brynhild.active1.atkup.buff.buffeffect.04</t>
  </si>
  <si>
    <t>brynhild.active1.atkup.buff.buffeffect.05</t>
  </si>
  <si>
    <t>brynhild.active1.atkup.buff.buffeffect.06</t>
  </si>
  <si>
    <t>brynhild.passive.atkspd.buff.01</t>
  </si>
  <si>
    <t>brynhild.passive.atkspd.buff.02</t>
  </si>
  <si>
    <t>brynhild.passive.atkspd.buff.03</t>
  </si>
  <si>
    <t>brynhild.passive.atkspd.buff.04</t>
  </si>
  <si>
    <t>brynhild.passive.atkspd.buff.05</t>
  </si>
  <si>
    <t>brynhild.passive.atkspd.buff.06</t>
  </si>
  <si>
    <t>brynhild.passive.atkspd.buff.buffeffect.01</t>
  </si>
  <si>
    <t>brynhild.passive.atkspd.buff.buffeffect.02</t>
  </si>
  <si>
    <t>brynhild.passive.atkspd.buff.buffeffect.03</t>
  </si>
  <si>
    <t>brynhild.passive.atkspd.buff.buffeffect.04</t>
  </si>
  <si>
    <t>brynhild.passive.atkspd.buff.buffeffect.05</t>
  </si>
  <si>
    <t>brynhild.passive.atkspd.buff.buffeffect.06</t>
  </si>
  <si>
    <t>angelica.passive.areadmgup.02</t>
  </si>
  <si>
    <t>angelica.passive.areadmgup.03</t>
  </si>
  <si>
    <t>angelica.passive.areadmgup.04</t>
  </si>
  <si>
    <t>angelica.passive.areadmgup.05</t>
  </si>
  <si>
    <t>angelica.passive.areadmgup.06</t>
  </si>
  <si>
    <t>Passive</t>
    <phoneticPr fontId="3" type="noConversion"/>
  </si>
  <si>
    <t>leila</t>
  </si>
  <si>
    <t>balencia.active2.shield.buff.01</t>
  </si>
  <si>
    <t>balencia.active2.shield.buff.02</t>
  </si>
  <si>
    <t>balencia.active2.shield.buff.03</t>
  </si>
  <si>
    <t>balencia.active2.shield.buff.04</t>
  </si>
  <si>
    <t>balencia.active2.shield.buff.05</t>
  </si>
  <si>
    <t>balencia.active2.shield.buff.06</t>
  </si>
  <si>
    <t>balencia.active2.shield.buff.buffeffect.01</t>
  </si>
  <si>
    <t>balencia.active2.shield.buff.buffeffect.02</t>
  </si>
  <si>
    <t>balencia.active2.shield.buff.buffeffect.03</t>
  </si>
  <si>
    <t>balencia.active2.shield.buff.buffeffect.04</t>
  </si>
  <si>
    <t>balencia.active2.shield.buff.buffeffect.05</t>
  </si>
  <si>
    <t>balencia.active2.shield.buff.buffeffect.06</t>
  </si>
  <si>
    <t>ferrel.ult.defdown.buff.01</t>
  </si>
  <si>
    <t>ferrel.ult.defdown.buff.02</t>
  </si>
  <si>
    <t>ferrel.ult.defdown.buff.03</t>
  </si>
  <si>
    <t>ferrel.ult.defdown.buff.04</t>
  </si>
  <si>
    <t>ferrel.passive.elec.buff.02</t>
  </si>
  <si>
    <t>ferrel.passive.elec.buff.03</t>
  </si>
  <si>
    <t>ferrel.passive.elec.buff.04</t>
  </si>
  <si>
    <t>ferrel.passive.elec.buff.05</t>
  </si>
  <si>
    <t>ferrel.passive.elec.buff.06</t>
  </si>
  <si>
    <t>ferrel.passive.elec.activedmgup.02</t>
  </si>
  <si>
    <t>ferrel.passive.elec.activedmgup.03</t>
  </si>
  <si>
    <t>ferrel.passive.elec.activedmgup.04</t>
  </si>
  <si>
    <t>ferrel.passive.elec.activedmgup.05</t>
  </si>
  <si>
    <t>ferrel.passive.elec.activedmgup.06</t>
  </si>
  <si>
    <t>ferrel.passive.elec.ignoredef.02</t>
  </si>
  <si>
    <t>ferrel.passive.elec.ignoredef.03</t>
  </si>
  <si>
    <t>ferrel.passive.elec.ignoredef.04</t>
  </si>
  <si>
    <t>ferrel.passive.elec.ignoredef.05</t>
  </si>
  <si>
    <t>ferrel.passive.elec.ignoredef.06</t>
  </si>
  <si>
    <t>ActiveDamageRate</t>
  </si>
  <si>
    <t>belita.passive.buff.01</t>
  </si>
  <si>
    <t>belita.passive.buff.02</t>
  </si>
  <si>
    <t>belita.passive.buff.03</t>
  </si>
  <si>
    <t>belita.passive.buff.04</t>
  </si>
  <si>
    <t>belita.passive.buff.05</t>
  </si>
  <si>
    <t>belita.passive.buff.06</t>
  </si>
  <si>
    <t>belita.passive.poem.buff.02</t>
  </si>
  <si>
    <t>belita.passive.poem.buff.03</t>
  </si>
  <si>
    <t>belita.passive.poem.buff.04</t>
  </si>
  <si>
    <t>belita.passive.poem.buff.05</t>
  </si>
  <si>
    <t>belita.passive.poem.buff.06</t>
  </si>
  <si>
    <t>belita.passive.buff.buffeffect.01</t>
  </si>
  <si>
    <t>belita.passive.buff.buffeffect.02</t>
  </si>
  <si>
    <t>belita.passive.buff.buffeffect.03</t>
  </si>
  <si>
    <t>belita.passive.buff.buffeffect.04</t>
  </si>
  <si>
    <t>belita.passive.buff.buffeffect.05</t>
  </si>
  <si>
    <t>belita.passive.buff.buffeffect.06</t>
  </si>
  <si>
    <t>belita.passive.poem.buff.buffeffect.01</t>
  </si>
  <si>
    <t>belita.passive.poem.buff.buffeffect.02</t>
  </si>
  <si>
    <t>belita.passive.poem.buff.buffeffect.03</t>
  </si>
  <si>
    <t>belita.passive.poem.buff.buffeffect.04</t>
  </si>
  <si>
    <t>belita.passive.poem.buff.buffeffect.05</t>
  </si>
  <si>
    <t>belita.passive.buff.buffeffect.skilleffect.02</t>
  </si>
  <si>
    <t>belita.passive.buff.buffeffect.skilleffect.03</t>
  </si>
  <si>
    <t>belita.passive.buff.buffeffect.skilleffect.04</t>
  </si>
  <si>
    <t>belita.passive.buff.buffeffect.skilleffect.05</t>
  </si>
  <si>
    <t>belita.passive.buff.buffeffect.skilleffect.06</t>
  </si>
  <si>
    <t>belita.ult.poem.buff.01</t>
  </si>
  <si>
    <t>belita.ult.poem.buff.02</t>
  </si>
  <si>
    <t>belita.ult.poem.buff.03</t>
  </si>
  <si>
    <t>belita.ult.poem.ultdmgup.02</t>
  </si>
  <si>
    <t>belita.ult.poem.ultdmgup.03</t>
  </si>
  <si>
    <t>belita.ult.poem.ignoredef.02</t>
  </si>
  <si>
    <t>belita.ult.poem.ignoredef.03</t>
  </si>
  <si>
    <t>belita.ult.poem.criup.02</t>
  </si>
  <si>
    <t>belita.ult.poem.criup.03</t>
  </si>
  <si>
    <t>belita.ult.poem.ultdmgup.skilleffectmodifier.02</t>
  </si>
  <si>
    <t>belita.ult.poem.ultdmgup.skilleffectmodifier.03</t>
  </si>
  <si>
    <t>belita.passive.poem.buff.buffeffect.01
belita.passive.poem.active2.criup</t>
  </si>
  <si>
    <t>belita.passive.poem.buff.buffeffect.02
belita.passive.poem.active2.criup</t>
  </si>
  <si>
    <t>belita.passive.poem.buff.buffeffect.03
 belita.passive.poem.active2.criup</t>
  </si>
  <si>
    <t>belita.passive.poem.buff.buffeffect.04
 belita.passive.poem.active2.criup</t>
  </si>
  <si>
    <t>belita.passive.poem.buff.buffeffect.05
 belita.passive.poem.active2.criup</t>
  </si>
  <si>
    <t>belita.passive.poem.active2.criup&amp;10</t>
  </si>
  <si>
    <t>belita.passive.poem.active2.criup&amp;20</t>
  </si>
  <si>
    <t>belita.passive.poem.active2.criup&amp;30</t>
  </si>
  <si>
    <t>shery.passive.buff.buffeffect.skilleffect.02</t>
  </si>
  <si>
    <t>shery.passive.buff.buffeffect.skilleffect.03</t>
  </si>
  <si>
    <t>shery.passive.buff.buffeffect.skilleffect.05</t>
  </si>
  <si>
    <t>shery.passive.buff.buffeffect.skilleffect.06</t>
  </si>
  <si>
    <t>shery.passive.atkup.buff.02</t>
  </si>
  <si>
    <t>shery.passive.atkup.buff.03</t>
  </si>
  <si>
    <t>shery.passive.atkup.buff.05</t>
  </si>
  <si>
    <t>shery.passive.atkup.buff.06</t>
  </si>
  <si>
    <t>shery.passive.atkup.buff.buffeffect01</t>
  </si>
  <si>
    <t>shery.passive.atkup.buff.buffeffect02</t>
  </si>
  <si>
    <t>shery.passive.atkup.buff.buffeffect03</t>
  </si>
  <si>
    <t>shery.passive.atkup.buff.buffeffect04</t>
  </si>
  <si>
    <t>shery.passive.atkup.buff.buffeffect05</t>
  </si>
  <si>
    <t>shery.passive.atkup.buff.buffeffect06</t>
  </si>
  <si>
    <t>shery.ult.criup.buff</t>
  </si>
  <si>
    <t>patricia.ult.freeze.buff.01</t>
  </si>
  <si>
    <t>patricia.ult.freeze.buff.02</t>
  </si>
  <si>
    <t>patricia.ult.freeze.buff.03</t>
  </si>
  <si>
    <t>patricia.ult.freeze.buff.04</t>
  </si>
  <si>
    <t>patricia.active1.frost.buff.01</t>
  </si>
  <si>
    <t>patricia.active1.frost.buff.02</t>
  </si>
  <si>
    <t>patricia.active1.frost.buff.03</t>
  </si>
  <si>
    <t>patricia.active1.frost.buff.04</t>
  </si>
  <si>
    <t>patricia.passive.frost.buff.01</t>
  </si>
  <si>
    <t>patricia.passive.frost.buff.02</t>
  </si>
  <si>
    <t>patricia.passive.frost.buff.03</t>
  </si>
  <si>
    <t>patricia.passive.frost.buff.04</t>
  </si>
  <si>
    <t>patricia.passive.frost.buff.05</t>
  </si>
  <si>
    <t>patricia.passive.frost.buff.06</t>
  </si>
  <si>
    <t>Attribute.GD.dmgrate.buff.buffeffect</t>
    <phoneticPr fontId="3" type="noConversion"/>
  </si>
  <si>
    <t>Attribute.GD.dmgderate.buff.buffeffect</t>
    <phoneticPr fontId="3" type="noConversion"/>
  </si>
  <si>
    <t>Attribute.P.dmgrate.buff.buffeffect</t>
    <phoneticPr fontId="3" type="noConversion"/>
  </si>
  <si>
    <t>Attribute.P.dmgderate.buff.buffeffect</t>
    <phoneticPr fontId="3" type="noConversion"/>
  </si>
  <si>
    <t>renas.ult.bleed.buff.01</t>
  </si>
  <si>
    <t>renas.ult.bleed.buff.02</t>
  </si>
  <si>
    <t>renas.ult.bleed.buff.03</t>
  </si>
  <si>
    <t>renas.ult.bleed.buff.04</t>
  </si>
  <si>
    <t>renas.active2.bleed.buff.01</t>
  </si>
  <si>
    <t>renas.active2.bleed.buff.02</t>
  </si>
  <si>
    <t>renas.active2.bleed.buff.03</t>
  </si>
  <si>
    <t>renas.active2.bleed.buff.04</t>
  </si>
  <si>
    <t>renas.passive.bleed.buff.01</t>
  </si>
  <si>
    <t>renas.passive.bleed.buff.02</t>
  </si>
  <si>
    <t>renas.passive.bleed.buff.03</t>
  </si>
  <si>
    <t>renas.passive.bleed.buff.04</t>
  </si>
  <si>
    <t>renas.passive.hit.trigger.02</t>
  </si>
  <si>
    <t>renas.passive.hit.trigger.03</t>
  </si>
  <si>
    <t>renas.passive.hit.trigger.04</t>
  </si>
  <si>
    <t>renas.passive.hit.trigger.05</t>
  </si>
  <si>
    <t>renas.passive.hit.trigger.06</t>
  </si>
  <si>
    <t>renas.passive.hit.trigger.buffeffect.01</t>
  </si>
  <si>
    <t>renas.passive.hit.trigger.buffeffect.02</t>
  </si>
  <si>
    <t>renas.passive.hit.trigger.buffeffect.03</t>
  </si>
  <si>
    <t>renas.passive.hit.trigger.buffeffect.04</t>
  </si>
  <si>
    <t>renas.passive.hit.trigger.buffeffect.05</t>
  </si>
  <si>
    <t>renas.passive.hit.trigger.buffeffect.06</t>
  </si>
  <si>
    <t>renas.passive.buff.buffeffect.01</t>
  </si>
  <si>
    <t>renas.passive.buff.buffeffect.02</t>
  </si>
  <si>
    <t>renas.passive.buff.buffeffect.03</t>
  </si>
  <si>
    <t>renas.passive.buff.buffeffect.04</t>
  </si>
  <si>
    <t>renas.passive.buff.buffeffect.05</t>
  </si>
  <si>
    <t>renas.passive.buff.buffeffect.06</t>
  </si>
  <si>
    <t>renas.passive.buff.buffeffect.skilleffect.01</t>
  </si>
  <si>
    <t>renas.passive.buff.buffeffect.skilleffect.02</t>
  </si>
  <si>
    <t>renas.passive.buff.buffeffect.skilleffect.03</t>
  </si>
  <si>
    <t>renas.passive.buff.buffeffect.skilleffect.04</t>
  </si>
  <si>
    <t>renas.passive.buff.buffeffect.skilleffect.05</t>
  </si>
  <si>
    <t>renas.passive.buff.buffeffect.skilleffect.06</t>
  </si>
  <si>
    <t>renas.passive.hit.event.01</t>
  </si>
  <si>
    <t>renas.passive.hit.event.02</t>
  </si>
  <si>
    <t>renas.passive.hit.event.03</t>
  </si>
  <si>
    <t>renas.passive.hit.event.04</t>
  </si>
  <si>
    <t>renas.passive.hit.event.05</t>
  </si>
  <si>
    <t>renas.passive.hit.event.06</t>
  </si>
  <si>
    <t>renas.passive.battle.start.02</t>
  </si>
  <si>
    <t>renas.passive.battle.start.03</t>
  </si>
  <si>
    <t>renas.passive.battle.start.04</t>
  </si>
  <si>
    <t>renas.passive.battle.start.05</t>
  </si>
  <si>
    <t>renas.passive.battle.start.06</t>
  </si>
  <si>
    <t>iras.ult.electric.buff.01</t>
  </si>
  <si>
    <t>iras.ult.electric.buff.02</t>
  </si>
  <si>
    <t>iras.ult.electric.buff.03</t>
  </si>
  <si>
    <t>iras.ult.electric.buff.04</t>
  </si>
  <si>
    <t>Effect/Prefab/10_buff/EFF_debuff_electric</t>
  </si>
  <si>
    <t>Effect/Prefab/10_buff/EFF_debuff_electric</t>
    <phoneticPr fontId="3" type="noConversion"/>
  </si>
  <si>
    <t>iras.active1.stun.buff.01</t>
  </si>
  <si>
    <t>iras.active1.stun.buff.02</t>
  </si>
  <si>
    <t>iras.active1.stun.buff.03</t>
  </si>
  <si>
    <t>iras.active1.stun.buff.04</t>
  </si>
  <si>
    <t>iras.active2.electric.buff.01</t>
  </si>
  <si>
    <t>iras.active2.electric.buff.02</t>
  </si>
  <si>
    <t>iras.active2.electric.buff.03</t>
  </si>
  <si>
    <t>iras.active2.electric.buff.04</t>
  </si>
  <si>
    <t>iras.active2.electric.buff.05</t>
  </si>
  <si>
    <t>iras.active2.electric.buff.06</t>
  </si>
  <si>
    <t>iras.active2.hp.cost.02</t>
  </si>
  <si>
    <t>iras.active2.hp.cost.03</t>
  </si>
  <si>
    <t>iras.active2.hp.cost.04</t>
  </si>
  <si>
    <t>iras.active2.hp.cost.05</t>
  </si>
  <si>
    <t>iras.active2.hp.cost.06</t>
  </si>
  <si>
    <t>iras.active2.hp.cost.buffeffect.01</t>
  </si>
  <si>
    <t>iras.active2.hp.cost.buffeffect.02</t>
  </si>
  <si>
    <t>iras.active2.hp.cost.buffeffect.03</t>
  </si>
  <si>
    <t>iras.active2.hp.cost.buffeffect.04</t>
  </si>
  <si>
    <t>iras.active2.hp.cost.buffeffect.05</t>
  </si>
  <si>
    <t>iras.active2.hp.cost.buffeffect.06</t>
  </si>
  <si>
    <t>iras.active2.hp.cost.buffeffect.skilleffect.01</t>
  </si>
  <si>
    <t>iras.active2.hp.cost.buffeffect.skilleffect.02</t>
  </si>
  <si>
    <t>iras.active2.hp.cost.buffeffect.skilleffect.03</t>
  </si>
  <si>
    <t>iras.active2.hp.cost.buffeffect.skilleffect.04</t>
  </si>
  <si>
    <t>iras.active2.hp.cost.buffeffect.skilleffect.05</t>
  </si>
  <si>
    <t>iras.active2.hp.cost.buffeffect.skilleffect.06</t>
  </si>
  <si>
    <t>iras.passive.buff.buffeffect.skilleffect.01</t>
  </si>
  <si>
    <t>iras.passive.buff.buffeffect.skilleffect.02</t>
  </si>
  <si>
    <t>iras.passive.buff.buffeffect.skilleffect.03</t>
  </si>
  <si>
    <t>iras.passive.buff.buffeffect.skilleffect.04</t>
  </si>
  <si>
    <t>iras.passive.buff.buffeffect.skilleffect.05</t>
  </si>
  <si>
    <t>iras.passive.buff.buffeffect.skilleffect.06</t>
  </si>
  <si>
    <t>iras.passive.shield.buff.01</t>
  </si>
  <si>
    <t>iras.passive.shield.buff.02</t>
  </si>
  <si>
    <t>iras.passive.shield.buff.03</t>
  </si>
  <si>
    <t>iras.passive.shield.buff.04</t>
  </si>
  <si>
    <t>iras.passive.shield.buff.05</t>
  </si>
  <si>
    <t>iras.passive.shield.buff.06</t>
  </si>
  <si>
    <t>iras.passive.shield.buff.buffeffect.01</t>
  </si>
  <si>
    <t>iras.passive.shield.buff.buffeffect.02</t>
  </si>
  <si>
    <t>iras.passive.shield.buff.buffeffect.03</t>
  </si>
  <si>
    <t>iras.passive.shield.buff.buffeffect.04</t>
  </si>
  <si>
    <t>iras.passive.shield.buff.buffeffect.05</t>
  </si>
  <si>
    <t>iras.passive.shield.buff.buffeffect.06</t>
  </si>
  <si>
    <t>iras.passive.hprate.trigger.buff.02</t>
  </si>
  <si>
    <t>iras.passive.hprate.90.01</t>
  </si>
  <si>
    <t>iras.passive.hprate.80.01</t>
  </si>
  <si>
    <t>iras.passive.hprate.70.01</t>
  </si>
  <si>
    <t>iras.passive.hprate.60.01</t>
  </si>
  <si>
    <t>iras.passive.hprate.50.01</t>
  </si>
  <si>
    <t>iras.passive.hprate.40.01</t>
  </si>
  <si>
    <t>iras.passive.hprate.30.01</t>
  </si>
  <si>
    <t>iras.passive.hprate.90.02</t>
  </si>
  <si>
    <t>iras.passive.hprate.80.02</t>
  </si>
  <si>
    <t>iras.passive.hprate.70.02</t>
  </si>
  <si>
    <t>iras.passive.hprate.60.02</t>
  </si>
  <si>
    <t>iras.passive.hprate.50.02</t>
  </si>
  <si>
    <t>iras.passive.hprate.40.02</t>
  </si>
  <si>
    <t>iras.passive.hprate.30.02</t>
  </si>
  <si>
    <t>erica.ult.burn.buff.01</t>
  </si>
  <si>
    <t>erica.ult.burn.buff.02</t>
  </si>
  <si>
    <t>erica.ult.burn.buff.03</t>
  </si>
  <si>
    <t>erica.ult.burn.buff.04</t>
  </si>
  <si>
    <t>erica.active2.burn.buff.01</t>
  </si>
  <si>
    <t>erica.active2.burn.buff.02</t>
  </si>
  <si>
    <t>erica.active2.burn.buff.03</t>
  </si>
  <si>
    <t>erica.active2.burn.buff.04</t>
  </si>
  <si>
    <t>erica.passive.burn.defdown.buff.01</t>
  </si>
  <si>
    <t>erica.passive.burn.defdown.buff.02</t>
  </si>
  <si>
    <t>erica.passive.burn.defdown.buff.03</t>
  </si>
  <si>
    <t>erica.passive.burn.defdown.buff.04</t>
  </si>
  <si>
    <t>erica.passive.burn.defdown.buff.05</t>
  </si>
  <si>
    <t>erica.passive.burn.defdown.buff.06</t>
  </si>
  <si>
    <t>erica.passive.burn.defdown.buff.buffeffect.01</t>
  </si>
  <si>
    <t>erica.passive.burn.defdown.buff.buffeffect.02</t>
  </si>
  <si>
    <t>erica.passive.burn.defdown.buff.buffeffect.03</t>
  </si>
  <si>
    <t>erica.passive.burn.defdown.buff.buffeffect.04</t>
  </si>
  <si>
    <t>erica.passive.burn.defdown.buff.buffeffect.05</t>
  </si>
  <si>
    <t>erica.passive.burn.defdown.buff.buffeffect.06</t>
  </si>
  <si>
    <t>Enemy</t>
  </si>
  <si>
    <t>BuffEffectType</t>
  </si>
  <si>
    <t>crimson.ult.bleed.buff.01</t>
  </si>
  <si>
    <t>crimson.ult.bleed.buff.02</t>
  </si>
  <si>
    <t>crimson.ult.bleed.buff.03</t>
  </si>
  <si>
    <t>crimson.ult.bleed.buff.04</t>
  </si>
  <si>
    <t>crimson.active2.bleed.buff.01</t>
  </si>
  <si>
    <t>crimson.active2.bleed.buff.02</t>
  </si>
  <si>
    <t>crimson.active2.bleed.buff.03</t>
  </si>
  <si>
    <t>crimson.active2.bleed.buff.04</t>
  </si>
  <si>
    <t>crimson.passive.receivehealdown.buff.01</t>
  </si>
  <si>
    <t>crimson.passive.receivehealdown.buff.02</t>
  </si>
  <si>
    <t>crimson.passive.receivehealdown.buff.03</t>
  </si>
  <si>
    <t>crimson.passive.receivehealdown.buff.04</t>
  </si>
  <si>
    <t>crimson.passive.receivehealdown.buff.buffeffect.01</t>
  </si>
  <si>
    <t>crimson.passive.receivehealdown.buff.buffeffect.02</t>
  </si>
  <si>
    <t>crimson.passive.receivehealdown.buff.buffeffect.03</t>
  </si>
  <si>
    <t>crimson.passive.receivehealdown.buff.buffeffect.04</t>
  </si>
  <si>
    <t>crimson.passive.buff.buffeffect.05</t>
  </si>
  <si>
    <t>crimson.passive.buff.buffeffect.06</t>
  </si>
  <si>
    <t>crimson.passive.receivehealdown.buff.buffeffect.05</t>
  </si>
  <si>
    <t>crimson.passive.receivehealdown.buff.buffeffect.06</t>
  </si>
  <si>
    <t>crimson.passive.buff.05</t>
  </si>
  <si>
    <t>crimson.passive.buff.06</t>
  </si>
  <si>
    <t>crimson.passive.receivehealdown.buff.05</t>
  </si>
  <si>
    <t>crimson.passive.receivehealdown.buff.06</t>
  </si>
  <si>
    <t>ReceiveRecoveryRate</t>
    <phoneticPr fontId="3" type="noConversion"/>
  </si>
  <si>
    <t>arcels.active2.atkdown.buff.02</t>
  </si>
  <si>
    <t>arcels.active2.atkdown.buff.03</t>
  </si>
  <si>
    <t>arcels.active2.atkdown.buff.04</t>
  </si>
  <si>
    <t>arcels.active2.atkup.buff.01</t>
  </si>
  <si>
    <t>arcels.active2.atkup.buff.02</t>
  </si>
  <si>
    <t>arcels.active2.atkup.buff.03</t>
  </si>
  <si>
    <t>arcels.active2.atkup.buff.04</t>
  </si>
  <si>
    <t>arcels.passive.burn.buff.02</t>
  </si>
  <si>
    <t>arcels.passive.burn.buff.03</t>
  </si>
  <si>
    <t>klairs.ult.electric.buff.01</t>
  </si>
  <si>
    <t>klairs.ult.electric.buff.02</t>
  </si>
  <si>
    <t>klairs.ult.electric.buff.03</t>
  </si>
  <si>
    <t>klairs.ult.electric.buff.04</t>
  </si>
  <si>
    <t>Electric.01</t>
  </si>
  <si>
    <t>klairs.passive.buff.02</t>
  </si>
  <si>
    <t>klairs.passive.buff.03</t>
  </si>
  <si>
    <t>klairs.passive.electric.buff.02</t>
  </si>
  <si>
    <t>klairs.passive.electric.buff.03</t>
  </si>
  <si>
    <t>klairs.passive.electric.buff.04</t>
  </si>
  <si>
    <t>klairs.passive.buff.buffeffect.01</t>
  </si>
  <si>
    <t>klairs.passive.buff.buffeffect.02</t>
  </si>
  <si>
    <t>klairs.passive.buff.buffeffect.03</t>
  </si>
  <si>
    <t>klairs.passive.buff.buffeffect.04</t>
  </si>
  <si>
    <t>klairs.passive.buff.buffeffect.05</t>
  </si>
  <si>
    <t>klairs.passive.buff.buffeffect.06</t>
  </si>
  <si>
    <t>klairs.passive.buff.buffeffect.skilleffect.01</t>
  </si>
  <si>
    <t>klairs.passive.buff.buffeffect.skilleffect.02</t>
  </si>
  <si>
    <t>klairs.passive.buff.buffeffect.skilleffect.03</t>
  </si>
  <si>
    <t>klairs.passive.buff.buffeffect.skilleffect.04</t>
  </si>
  <si>
    <t>klairs.passive.buff.buffeffect.skilleffect.05</t>
  </si>
  <si>
    <t>klairs.passive.buff.buffeffect.skilleffect.06</t>
  </si>
  <si>
    <t>snopril.active1.atkdown.buff.01</t>
  </si>
  <si>
    <t>snopril.active1.atkdown.buff.02</t>
  </si>
  <si>
    <t>snopril.active1.atkdown.buff.03</t>
  </si>
  <si>
    <t>snopril.active1.atkdown.buff.04</t>
  </si>
  <si>
    <t>snopril.active2.shield.buff.01</t>
  </si>
  <si>
    <t>snopril.active2.shield.buff.02</t>
  </si>
  <si>
    <t>snopril.active2.shield.buff.03</t>
  </si>
  <si>
    <t>snopril.active2.shield.buff.04</t>
  </si>
  <si>
    <t>snopril.active2.shield.buff.buffeffect.01</t>
  </si>
  <si>
    <t>snopril.active2.shield.buff.buffeffect.02</t>
  </si>
  <si>
    <t>snopril.active2.shield.buff.buffeffect.03</t>
  </si>
  <si>
    <t>snopril.active2.shield.buff.buffeffect.04</t>
  </si>
  <si>
    <t>snopril.passive.buff.buffeffect.skilleffect.01</t>
  </si>
  <si>
    <t>snopril.passive.buff.buffeffect.skilleffect.04</t>
  </si>
  <si>
    <t>ambrosia.bullet</t>
  </si>
  <si>
    <t>ambrosia.passive.buff.01</t>
  </si>
  <si>
    <t>ambrosia.passive.buff.02</t>
  </si>
  <si>
    <t>ambrosia.passive.buff.03</t>
  </si>
  <si>
    <t>ambrosia.passive.buff.04</t>
  </si>
  <si>
    <t>ambrosia.passive.buff.05</t>
  </si>
  <si>
    <t>ambrosia.passive.buff.06</t>
  </si>
  <si>
    <t>ambrosia.passive.buff.buffeffect.01</t>
  </si>
  <si>
    <t>ambrosia.passive.buff.buffeffect.02</t>
  </si>
  <si>
    <t>ambrosia.passive.buff.buffeffect.03</t>
  </si>
  <si>
    <t>ambrosia.passive.buff.buffeffect.04</t>
  </si>
  <si>
    <t>ambrosia.passive.buff.buffeffect.05</t>
  </si>
  <si>
    <t>ambrosia.passive.buff.buffeffect.06</t>
  </si>
  <si>
    <t>ambrosia.active2.taunt.buff.01</t>
  </si>
  <si>
    <t>ambrosia.active2.taunt.buff.02</t>
  </si>
  <si>
    <t>ambrosia.active2.taunt.buff.03</t>
  </si>
  <si>
    <t>ambrosia.active2.taunt.buff.04</t>
  </si>
  <si>
    <t>ambrosia.passive.buff.buffeffect.skilleffect.01</t>
  </si>
  <si>
    <t>ambrosia.passive.buff.buffeffect.skilleffect.02</t>
  </si>
  <si>
    <t>ambrosia.passive.buff.buffeffect.skilleffect.03</t>
  </si>
  <si>
    <t>ambrosia.passive.buff.buffeffect.skilleffect.04</t>
  </si>
  <si>
    <t>ambrosia.passive.buff.buffeffect.skilleffect.05</t>
  </si>
  <si>
    <t>ambrosia.passive.buff.buffeffect.skilleffect.06</t>
  </si>
  <si>
    <t>daria.active1.atkdown.buff.01</t>
  </si>
  <si>
    <t>daria.active1.atkdown.buff.02</t>
  </si>
  <si>
    <t>daria.active1.atkdown.buff.03</t>
  </si>
  <si>
    <t>daria.active1.atkdown.buff.04</t>
  </si>
  <si>
    <t>daria.ult.link.buff.01</t>
  </si>
  <si>
    <t>daria.ult.link.buff.02</t>
  </si>
  <si>
    <t>daria.ult.link.buff.03</t>
  </si>
  <si>
    <t>daria.ult.link.buff.04</t>
  </si>
  <si>
    <t>daria.ult.link.buff.05</t>
  </si>
  <si>
    <t>daria.ult.link.buff.06</t>
  </si>
  <si>
    <t>daria.ult.link.buff.07</t>
  </si>
  <si>
    <t>lilian.active1.defup.buff.02</t>
  </si>
  <si>
    <t>lilian.active1.defup.buff.03</t>
  </si>
  <si>
    <t>lilian.active1.defup.buff.04</t>
  </si>
  <si>
    <t>lilian.active1.defup.buff.05</t>
  </si>
  <si>
    <t>lilian.active1.defup.buff.06</t>
  </si>
  <si>
    <t>lilian.active2.atkdown.buff.01</t>
  </si>
  <si>
    <t>lilian.active2.atkdown.buff.02</t>
  </si>
  <si>
    <t>lilian.active2.atkdown.buff.03</t>
  </si>
  <si>
    <t>lilian.active2.atkdown.buff.04</t>
  </si>
  <si>
    <t>lilian.active1.shield.buff.01</t>
  </si>
  <si>
    <t>lilian.active1.shield.buff.02</t>
  </si>
  <si>
    <t>lilian.active1.shield.buff.03</t>
  </si>
  <si>
    <t>lilian.active1.shield.buff.04</t>
  </si>
  <si>
    <t>lilian.active1.shield.buff.05</t>
  </si>
  <si>
    <t>lilian.active1.shield.buff.06</t>
  </si>
  <si>
    <t>lilian.active1.shield.buff.buffeffect.01</t>
  </si>
  <si>
    <t>lilian.active1.shield.buff.buffeffect.02</t>
  </si>
  <si>
    <t>lilian.active1.shield.buff.buffeffect.03</t>
  </si>
  <si>
    <t>lilian.active1.shield.buff.buffeffect.04</t>
  </si>
  <si>
    <t>lilian.active1.shield.buff.buffeffect.05</t>
  </si>
  <si>
    <t>lilian.active1.shield.buff.buffeffect.06</t>
  </si>
  <si>
    <t>ferrel.active1.single.dmgtaken.up.buff.02</t>
  </si>
  <si>
    <t>ferrel.active1.single.dmgtaken.up.buff.03</t>
  </si>
  <si>
    <t>ferrel.active1.single.dmgtaken.up.buff.04</t>
  </si>
  <si>
    <t>erica.active1.area.dmgtaken.up.buff.02</t>
  </si>
  <si>
    <t>erica.active1.area.dmgtaken.up.buff.03</t>
  </si>
  <si>
    <t>erica.active1.area.dmgtaken.up.buff.04</t>
  </si>
  <si>
    <t>lilian.passive.defup.buff.02</t>
  </si>
  <si>
    <t>lilian.passive.defup.buff.03</t>
  </si>
  <si>
    <t>lilian.passive.defup.buff.buffeffect.01</t>
  </si>
  <si>
    <t>lilian.passive.defup.buff.buffeffect.02</t>
  </si>
  <si>
    <t>lilian.passive.defup.buff.buffeffect.03</t>
  </si>
  <si>
    <t>taina.active1.defup.buff.01</t>
  </si>
  <si>
    <t>taina.active1.defup.buff.02</t>
  </si>
  <si>
    <t>taina.active2.taunt.buff.01</t>
  </si>
  <si>
    <t>taina.active2.taunt.buff.02</t>
  </si>
  <si>
    <t>taina.active2.taunt.buff.03</t>
  </si>
  <si>
    <t>taina.active2.taunt.buff.04</t>
  </si>
  <si>
    <t>taina.passive.melee.dmgtaken.down.buff.01</t>
  </si>
  <si>
    <t>taina.passive.melee.dmgtaken.down.buff.03</t>
  </si>
  <si>
    <t>taina.passive.melee.dmgtaken.down.buff.04</t>
  </si>
  <si>
    <t>taina.passive.melee.dmgtaken.down.buff.05</t>
  </si>
  <si>
    <t>taina.passive.melee.dmgtaken.down.buff.06</t>
  </si>
  <si>
    <t>Electric</t>
    <phoneticPr fontId="3" type="noConversion"/>
  </si>
  <si>
    <t>Frost</t>
    <phoneticPr fontId="3" type="noConversion"/>
  </si>
  <si>
    <t>Poison</t>
    <phoneticPr fontId="3" type="noConversion"/>
  </si>
  <si>
    <t>taina.passive.melee.dmgtaken.down.buff.buffeffect.01</t>
  </si>
  <si>
    <t>taina.passive.melee.dmgtaken.down.buff.buffeffect.02</t>
  </si>
  <si>
    <t>taina.passive.melee.dmgtaken.down.buff.buffeffect.03</t>
  </si>
  <si>
    <t>taina.passive.melee.dmgtaken.down.buff.buffeffect.04</t>
  </si>
  <si>
    <t>taina.passive.melee.dmgtaken.down.buff.buffeffect.05</t>
  </si>
  <si>
    <t>taina.passive.melee.dmgtaken.down.buff.buffeffect.06</t>
  </si>
  <si>
    <t>taina.passive.defup.buff.01</t>
  </si>
  <si>
    <t>taina.passive.defup.buff.02</t>
  </si>
  <si>
    <t>taina.passive.defup.buff.03</t>
  </si>
  <si>
    <t>taina.passive.defup.buff.04</t>
  </si>
  <si>
    <t>taina.passive.defup.buff.05</t>
  </si>
  <si>
    <t>taina.passive.defup.buff.06</t>
  </si>
  <si>
    <t>taina.passive.defup.buff.buffeffect.01</t>
  </si>
  <si>
    <t>taina.passive.defup.buff.buffeffect.02</t>
  </si>
  <si>
    <t>taina.passive.defup.buff.buffeffect.03</t>
  </si>
  <si>
    <t>taina.passive.defup.buff.buffeffect.04</t>
  </si>
  <si>
    <t>taina.passive.defup.buff.buffeffect.05</t>
  </si>
  <si>
    <t>taina.passive.defup.buff.buffeffect.06</t>
  </si>
  <si>
    <t>AccelerationSkillTime</t>
  </si>
  <si>
    <t>NormalDamageRate</t>
  </si>
  <si>
    <t>melissa.active2.atkdown.buff.01</t>
  </si>
  <si>
    <t>melissa.active2.atkdown.buff.02</t>
  </si>
  <si>
    <t>diana.active1.shield.buff.01</t>
  </si>
  <si>
    <t>diana.active1.shield.buff.02</t>
  </si>
  <si>
    <t>diana.active1.shield.buff.03</t>
  </si>
  <si>
    <t>diana.active1.shield.buff.04</t>
  </si>
  <si>
    <t>diana.active1.shield.buff.05</t>
  </si>
  <si>
    <t>diana.active1.shield.buff.06</t>
  </si>
  <si>
    <t>diana.active2.effect.atkspddown.buff.01</t>
  </si>
  <si>
    <t>diana.active2.effect.atkspddown.buff.02</t>
  </si>
  <si>
    <t>diana.active2.effect.atkspddown.buff.03</t>
  </si>
  <si>
    <t>diana.active1.shield.buff.buffeffect.01</t>
  </si>
  <si>
    <t>diana.active1.shield.buff.buffeffect.02</t>
  </si>
  <si>
    <t>diana.active1.shield.buff.buffeffect.03</t>
  </si>
  <si>
    <t>diana.active1.shield.buff.buffeffect.04</t>
  </si>
  <si>
    <t>diana.active1.shield.buff.buffeffect.05</t>
  </si>
  <si>
    <t>diana.active1.shield.buff.buffeffect.06</t>
  </si>
  <si>
    <t>rayhou.ult.hot.buff.01</t>
  </si>
  <si>
    <t>rayhou.ult.hot.buff.02</t>
  </si>
  <si>
    <t>rayhou.ult.hot.buff.03</t>
  </si>
  <si>
    <t>rayhou.active1.atkdown.buff.01</t>
  </si>
  <si>
    <t>rayhou.active1.atkdown.buff.02</t>
  </si>
  <si>
    <t>rayhou.active1.atkdown.buff.03</t>
  </si>
  <si>
    <t>rayhou.active1.atkdown.buff.04</t>
  </si>
  <si>
    <t>rayhou.active2.shield.buff.01</t>
  </si>
  <si>
    <t>rayhou.active2.shield.buff.02</t>
  </si>
  <si>
    <t>rayhou.active2.shield.buff.03</t>
  </si>
  <si>
    <t>rayhou.active2.shield.buff.04</t>
  </si>
  <si>
    <t>rayhou.active1.airborn.buff</t>
  </si>
  <si>
    <t>rayhou.ult.hot.buff.buffeffect.01</t>
  </si>
  <si>
    <t>rayhou.ult.hot.buff.buffeffect.02</t>
  </si>
  <si>
    <t>rayhou.ult.hot.buff.buffeffect.03</t>
  </si>
  <si>
    <t>rayhou.ult.hot.buff.buffeffect.04</t>
  </si>
  <si>
    <t>rayhou.active2.shield.buff.buffeffect.01</t>
  </si>
  <si>
    <t>rayhou.active2.shield.buff.buffeffect.02</t>
  </si>
  <si>
    <t>rayhou.active2.shield.buff.buffeffect.03</t>
  </si>
  <si>
    <t>rayhou.active2.shield.buff.buffeffect.04</t>
  </si>
  <si>
    <t>rayhou.passive.shield.trigger.buff.02</t>
  </si>
  <si>
    <t>rayhou.passive.shield.trigger.buff.03</t>
  </si>
  <si>
    <t>rayhou.passive.shield.trigger.buff.04</t>
  </si>
  <si>
    <t>rayhou.passive.shield.trigger.buff.05</t>
  </si>
  <si>
    <t>rayhou.passive.shield.trigger.buff.06</t>
  </si>
  <si>
    <t>rayhou.passive.shield.trigger.buff.buffeffect.01</t>
  </si>
  <si>
    <t>rayhou.passive.shield.trigger.buff.buffeffect.02</t>
  </si>
  <si>
    <t>rayhou.passive.shield.trigger.buff.buffeffect.03</t>
  </si>
  <si>
    <t>rayhou.passive.shield.trigger.buff.buffeffect.04</t>
  </si>
  <si>
    <t>rayhou.passive.shield.trigger.buff.buffeffect.05</t>
  </si>
  <si>
    <t>rayhou.passive.shield.trigger.buff.buffeffect.06</t>
  </si>
  <si>
    <t>rayhou.passive.shield.buff.02</t>
  </si>
  <si>
    <t>rayhou.passive.shield.buff.03</t>
  </si>
  <si>
    <t>rayhou.passive.shield.buff.04</t>
  </si>
  <si>
    <t>rayhou.passive.shield.buff.05</t>
  </si>
  <si>
    <t>rayhou.passive.shield.buff.06</t>
  </si>
  <si>
    <t>rayhou.passive.shield.buff.buffeffect.01</t>
  </si>
  <si>
    <t>rayhou.passive.shield.buff.buffeffect.02</t>
  </si>
  <si>
    <t>rayhou.passive.shield.buff.buffeffect.03</t>
  </si>
  <si>
    <t>rayhou.passive.shield.buff.buffeffect.04</t>
  </si>
  <si>
    <t>rayhou.passive.shield.buff.buffeffect.05</t>
  </si>
  <si>
    <t>rayhou.passive.shield.buff.buffeffect.06</t>
  </si>
  <si>
    <t>rayhou.passive.shield.trigger.skilleffect.02</t>
  </si>
  <si>
    <t>rayhou.passive.shield.trigger.skilleffect.03</t>
  </si>
  <si>
    <t>rayhou.passive.shield.trigger.skilleffect.05</t>
  </si>
  <si>
    <t>rayhou.passive.shield.trigger.skilleffect.06</t>
  </si>
  <si>
    <t>rayhou.passive.shield.02</t>
  </si>
  <si>
    <t>rayhou.passive.shield.03</t>
  </si>
  <si>
    <t>rayhou.passive.shield.05</t>
  </si>
  <si>
    <t>rayhou.passive.shield.06</t>
  </si>
  <si>
    <t>rayhou.passive.shield.buffeffect.01</t>
  </si>
  <si>
    <t>rayhou.passive.shield.buffeffect.02</t>
  </si>
  <si>
    <t>rayhou.passive.shield.buffeffect.03</t>
  </si>
  <si>
    <t>rayhou.passive.shield.buffeffect.04</t>
  </si>
  <si>
    <t>rayhou.passive.shield.buffeffect.05</t>
  </si>
  <si>
    <t>rayhou.passive.shield.buffeffect.06</t>
  </si>
  <si>
    <t>rayhou.passive.shield.buffeffect.skilleffect.01</t>
  </si>
  <si>
    <t>rayhou.passive.shield.buffeffect.skilleffect.02</t>
  </si>
  <si>
    <t>rayhou.passive.shield.buffeffect.skilleffect.03</t>
  </si>
  <si>
    <t>rayhou.passive.shield.buffeffect.skilleffect.04</t>
  </si>
  <si>
    <t>rayhou.passive.shield.buffeffect.skilleffect.05</t>
  </si>
  <si>
    <t>rayhou.passive.shield.buffeffect.skilleffect.06</t>
  </si>
  <si>
    <t>hellen.active1.shield.buff.01</t>
  </si>
  <si>
    <t>hellen.active1.shield.buff.02</t>
  </si>
  <si>
    <t>hellen.active1.shield.buff.03</t>
  </si>
  <si>
    <t>hellen.active1.shield.buff.04</t>
  </si>
  <si>
    <t>hellen.active2.atkdown.buff.01</t>
  </si>
  <si>
    <t>hellen.active2.atkdown.buff.02</t>
  </si>
  <si>
    <t>hellen.active2.atkdown.buff.03</t>
  </si>
  <si>
    <t>hellen.active2.atkdown.buff.04</t>
  </si>
  <si>
    <t>hellen.passive.aroma.buff.02</t>
  </si>
  <si>
    <t>hellen.passive.aroma.buff.03</t>
  </si>
  <si>
    <t>hellen.passive.aroma.buff.05</t>
  </si>
  <si>
    <t>hellen.passive.aroma.buff.06</t>
  </si>
  <si>
    <t>hellen.passive.aroma.buff.buffeffect.01</t>
  </si>
  <si>
    <t>hellen.passive.aroma.buff.buffeffect.02</t>
  </si>
  <si>
    <t>hellen.passive.aroma.buff.buffeffect.03</t>
  </si>
  <si>
    <t>hellen.passive.aroma.buff.buffeffect.04</t>
  </si>
  <si>
    <t>hellen.passive.aroma.buff.buffeffect.05</t>
  </si>
  <si>
    <t>hellen.passive.aroma.buff.buffeffect.06</t>
  </si>
  <si>
    <t>OnHeal</t>
  </si>
  <si>
    <t>shale.active1.bookchange.buff.01</t>
  </si>
  <si>
    <t>shale.active1.bookchange.buff.02</t>
  </si>
  <si>
    <t>shale.active1.bookchange.buff.03</t>
  </si>
  <si>
    <t>shale.active1.bookchange.buff.04</t>
  </si>
  <si>
    <t>shale.active2.defdownt.buff.01</t>
  </si>
  <si>
    <t>shale.active2.defdownt.buff.02</t>
  </si>
  <si>
    <t>shale.active2.defdownt.buff.03</t>
  </si>
  <si>
    <t>shale.active2.defdownt.buff.04</t>
  </si>
  <si>
    <t>shale.passive.skill1.event.02</t>
  </si>
  <si>
    <t>shale.passive.skill1.event.03</t>
  </si>
  <si>
    <t>shale.passive.skill1.event.05</t>
  </si>
  <si>
    <t>shale.passive.skill1.event.06</t>
  </si>
  <si>
    <t>shale.passive.skill2.event.01</t>
  </si>
  <si>
    <t>shale.passive.skill2.event.02</t>
  </si>
  <si>
    <t>shale.passive.skill2.event.03</t>
  </si>
  <si>
    <t>shale.passive.skill2.event.04</t>
  </si>
  <si>
    <t>shale.passive.skill2.event.05</t>
  </si>
  <si>
    <t>shale.passive.skill2.event.06</t>
  </si>
  <si>
    <t>shale.bookmark.atkup.02</t>
  </si>
  <si>
    <t>shale.bookmark.atkup.03</t>
  </si>
  <si>
    <t>shale.bookmark.atkup.04</t>
  </si>
  <si>
    <t>shale.bookmark.atkup.05</t>
  </si>
  <si>
    <t>shale.bookmark.atkup.06</t>
  </si>
  <si>
    <t>shale.passive.bookmark.03</t>
  </si>
  <si>
    <t>shale.passive.bookmark.04</t>
  </si>
  <si>
    <t>shale.passive.bookmark.05</t>
  </si>
  <si>
    <t>shale.passive.bookmark.06</t>
  </si>
  <si>
    <t>shale.passive.skill.event.skilleffect.01</t>
  </si>
  <si>
    <t>shale.passive.skill.event.skilleffect.02</t>
  </si>
  <si>
    <t>shale.passive.skill.event.skilleffect.03</t>
  </si>
  <si>
    <t>shale.passive.skill.event.skilleffect.04</t>
  </si>
  <si>
    <t>shale.passive.skill.event.skilleffect.05</t>
  </si>
  <si>
    <t>shale.passive.skill.event.skilleffect.06</t>
  </si>
  <si>
    <t>shale.bookmark.check.condition</t>
  </si>
  <si>
    <t>elina.ult.atkup.buff.01</t>
  </si>
  <si>
    <t>elina.ult.atkup.buff.02</t>
  </si>
  <si>
    <t>elina.ult.atkup.buff.03</t>
  </si>
  <si>
    <t>elina.ult.atkup.buff.04</t>
  </si>
  <si>
    <t>elina.ult.atkup.buff.05</t>
  </si>
  <si>
    <t>elina.ult.atkup.buff.06</t>
  </si>
  <si>
    <t>elina.ult.atkup.buff.07</t>
  </si>
  <si>
    <t>elina.passive.atkup.buff.01</t>
  </si>
  <si>
    <t>elina.passive.atkup.buff.02</t>
  </si>
  <si>
    <t>elina.passive.atkup.buff.03</t>
  </si>
  <si>
    <t>elina.passive.atkup.buff.04</t>
  </si>
  <si>
    <t>elina.passive.atkup.buff.05</t>
  </si>
  <si>
    <t>elina.passive.atkup.buff.06</t>
  </si>
  <si>
    <t>elina.passive.atkup.buff.buffeffect.01</t>
  </si>
  <si>
    <t>elina.passive.atkup.buff.buffeffect.02</t>
  </si>
  <si>
    <t>elina.passive.atkup.buff.buffeffect.03</t>
  </si>
  <si>
    <t>elina.passive.atkup.buff.buffeffect.04</t>
  </si>
  <si>
    <t>elina.passive.atkup.buff.buffeffect.05</t>
  </si>
  <si>
    <t>elina.passive.atkup.buff.buffeffect.06</t>
  </si>
  <si>
    <t>siege.active2.atkdown.buff.01</t>
  </si>
  <si>
    <t>siege.active2.atkdown.buff.02</t>
  </si>
  <si>
    <t>siege.active2.atkdown.buff.03</t>
  </si>
  <si>
    <t>siege.active2.atkdown.buff.04</t>
  </si>
  <si>
    <t>siege.passive.buff.02</t>
  </si>
  <si>
    <t>siege.passive.buff.03</t>
  </si>
  <si>
    <t>siege.passive.buff.05</t>
  </si>
  <si>
    <t>siege.passive.buff.06</t>
  </si>
  <si>
    <t>siege.passive.buff.buffeffect.01</t>
  </si>
  <si>
    <t>siege.passive.buff.buffeffect.02</t>
  </si>
  <si>
    <t>siege.passive.buff.buffeffect.03</t>
  </si>
  <si>
    <t>siege.passive.buff.buffeffect.04</t>
  </si>
  <si>
    <t>siege.passive.buff.buffeffect.05</t>
  </si>
  <si>
    <t>siege.passive.buff.buffeffect.06</t>
  </si>
  <si>
    <t>leila.passive.bonus.buffeffect.02</t>
  </si>
  <si>
    <t>leila.passive.bonus.buffeffect.03</t>
  </si>
  <si>
    <t>leila.passive.bonus.buffeffect.05</t>
  </si>
  <si>
    <t>leila.passive.bonus.buffeffect.06</t>
  </si>
  <si>
    <t>angelica</t>
  </si>
  <si>
    <t>leila.passive.buff.recharge.bonus.01</t>
  </si>
  <si>
    <t>leila.passive.buff.recharge.bonus.02</t>
  </si>
  <si>
    <t>leila.passive.buff.recharge.bonus.03</t>
  </si>
  <si>
    <t>leila.passive.buff.recharge.bonus.04</t>
  </si>
  <si>
    <t>leila.passive.buff.recharge.bonus.05</t>
  </si>
  <si>
    <t>leila.passive.buff.recharge.bonus.06</t>
  </si>
  <si>
    <t>iras.passive.areadmgup.buff.01.02</t>
  </si>
  <si>
    <t>iras.passive.areadmgup.buff.01.03</t>
  </si>
  <si>
    <t>iras.passive.areadmgup.buff.01.04</t>
  </si>
  <si>
    <t>iras.passive.areadmgup.buff.01.05</t>
  </si>
  <si>
    <t>iras.passive.areadmgup.buff.01.06</t>
  </si>
  <si>
    <t>iras.passive.areadmgup.buff.01.07</t>
  </si>
  <si>
    <t>iras.passive.areadmgup.buff.buffeffect.01.01</t>
  </si>
  <si>
    <t>iras.passive.areadmgup.buff.buffeffect.01.02</t>
  </si>
  <si>
    <t>iras.passive.areadmgup.buff.buffeffect.01.03</t>
  </si>
  <si>
    <t>iras.passive.areadmgup.buff.buffeffect.01.04</t>
  </si>
  <si>
    <t>iras.passive.areadmgup.buff.buffeffect.01.05</t>
  </si>
  <si>
    <t>iras.passive.areadmgup.buff.buffeffect.01.06</t>
  </si>
  <si>
    <t>iras.passive.areadmgup.buff.buffeffect.01.07</t>
  </si>
  <si>
    <t>iras.passive.areadmgup.buff.02.02</t>
  </si>
  <si>
    <t>iras.passive.areadmgup.buff.02.03</t>
  </si>
  <si>
    <t>iras.passive.areadmgup.buff.02.04</t>
  </si>
  <si>
    <t>iras.passive.areadmgup.buff.02.05</t>
  </si>
  <si>
    <t>iras.passive.areadmgup.buff.02.06</t>
  </si>
  <si>
    <t>iras.passive.areadmgup.buff.02.07</t>
  </si>
  <si>
    <t>iras.passive.areadmgup.buff.buffeffect.02.01</t>
  </si>
  <si>
    <t>iras.passive.areadmgup.buff.buffeffect.02.02</t>
  </si>
  <si>
    <t>iras.passive.areadmgup.buff.buffeffect.02.03</t>
  </si>
  <si>
    <t>iras.passive.areadmgup.buff.buffeffect.02.04</t>
  </si>
  <si>
    <t>iras.passive.areadmgup.buff.buffeffect.02.05</t>
  </si>
  <si>
    <t>iras.passive.areadmgup.buff.buffeffect.02.06</t>
  </si>
  <si>
    <t>iras.passive.areadmgup.buff.buffeffect.02.07</t>
  </si>
  <si>
    <t>iras.ult.electric.buff.05</t>
  </si>
  <si>
    <t>iras.ult.electric.buff.06</t>
  </si>
  <si>
    <t>iras.ult.electric.buff.07</t>
  </si>
  <si>
    <t>iras.active1.stun.buff.05</t>
  </si>
  <si>
    <t>iras.active1.stun.buff.06</t>
  </si>
  <si>
    <t>crimson.ult.bleed.buff.05</t>
  </si>
  <si>
    <t>crimson.ult.bleed.buff.06</t>
  </si>
  <si>
    <t>crimson.ult.bleed.buff.07</t>
  </si>
  <si>
    <t>crimson.active2.bleed.buff.05</t>
  </si>
  <si>
    <t>crimson.active2.bleed.buff.06</t>
  </si>
  <si>
    <t>serapulsar.active1.effect.event.buff.03</t>
  </si>
  <si>
    <t>serapulsar.active1.effect.event.buff.04</t>
  </si>
  <si>
    <t>serapulsar.active1.effect.event.buff.05</t>
  </si>
  <si>
    <t>serapulsar.active1.effect.event.buff.06</t>
  </si>
  <si>
    <t>belebeta.ult.crirateup.buff.06</t>
  </si>
  <si>
    <t>belebeta.ult.crirateup.buff.07</t>
  </si>
  <si>
    <t>belebeta.active1.atkdown.buff.04</t>
  </si>
  <si>
    <t>belebeta.active1.atkdown.buff.05</t>
  </si>
  <si>
    <t>belebeta.active1.atkdown.buff.06</t>
  </si>
  <si>
    <t>fei.ult.criresistdown.buff.05</t>
  </si>
  <si>
    <t>fei.ult.criresistdown.buff.06</t>
  </si>
  <si>
    <t>fei.ult.criresistdown.buff.07</t>
  </si>
  <si>
    <t>fei.active1.stun.buff.04</t>
  </si>
  <si>
    <t>fei.active1.stun.buff.05</t>
  </si>
  <si>
    <t>fei.active1.stun.buff.06</t>
  </si>
  <si>
    <t>lilian.active2.atkdown.buff.05</t>
  </si>
  <si>
    <t>lilian.active2.atkdown.buff.06</t>
  </si>
  <si>
    <t>lilian.passive.defup.buff.04</t>
  </si>
  <si>
    <t>lilian.passive.defup.buff.05</t>
  </si>
  <si>
    <t>lilian.passive.defup.buff.06</t>
  </si>
  <si>
    <t>lilian.passive.defup.buff.buffeffect.04</t>
  </si>
  <si>
    <t>lilian.passive.defup.buff.buffeffect.05</t>
  </si>
  <si>
    <t>lilian.passive.defup.buff.buffeffect.06</t>
  </si>
  <si>
    <t>gray.ult.evasiondown.buff.06</t>
  </si>
  <si>
    <t>gray.ult.evasiondown.buff.07</t>
  </si>
  <si>
    <t>gray.passive.critical.event.ep.buff.01&amp;10</t>
  </si>
  <si>
    <t>mana.active1.effect.event.buff.03</t>
  </si>
  <si>
    <t>mana.active1.effect.event.buff.04</t>
  </si>
  <si>
    <t>mana.active1.effect.event.buff.05</t>
  </si>
  <si>
    <t>mana.active1.effect.event.buff.06</t>
  </si>
  <si>
    <t>Def.Down.01</t>
    <phoneticPr fontId="3" type="noConversion"/>
  </si>
  <si>
    <t>arcels.active2.atkup.buff.05</t>
  </si>
  <si>
    <t>arcels.active2.atkup.buff.06</t>
  </si>
  <si>
    <t>arcels.active2.atkdown.buff.05</t>
  </si>
  <si>
    <t>arcels.active2.atkdown.buff.06</t>
  </si>
  <si>
    <t>arcels.passive.burn.buff.04</t>
  </si>
  <si>
    <t>arcels.passive.burn.buff.05</t>
  </si>
  <si>
    <t>arcels.passive.burn.buff.06</t>
  </si>
  <si>
    <t>snopril.active1.atkdown.buff.05</t>
  </si>
  <si>
    <t>snopril.active1.atkdown.buff.06</t>
  </si>
  <si>
    <t>snopril.active2.shield.buff.05</t>
  </si>
  <si>
    <t>snopril.active2.shield.buff.06</t>
  </si>
  <si>
    <t>snopril.active2.shield.buff.buffeffect.05</t>
  </si>
  <si>
    <t>snopril.active2.shield.buff.buffeffect.06</t>
  </si>
  <si>
    <t>daria.active1.atkdown.buff.05</t>
  </si>
  <si>
    <t>daria.active1.atkdown.buff.06</t>
  </si>
  <si>
    <t>daria.active2.effect.shield.buff.04</t>
  </si>
  <si>
    <t>daria.active2.effect.shield.buff.05</t>
  </si>
  <si>
    <t>daria.active2.effect.shield.buff.06</t>
  </si>
  <si>
    <t>daria.active2.effect.event.effect.buff.04</t>
  </si>
  <si>
    <t>daria.active2.effect.event.effect.buff.05</t>
  </si>
  <si>
    <t>daria.active2.effect.event.effect.buff.06</t>
  </si>
  <si>
    <t>daria.active2.effect.shield.buff.buffeffect.04</t>
  </si>
  <si>
    <t>daria.active2.effect.shield.buff.buffeffect.05</t>
  </si>
  <si>
    <t>daria.active2.effect.shield.buff.buffeffect.06</t>
  </si>
  <si>
    <t>taina.active1.defup.buff.03</t>
  </si>
  <si>
    <t>taina.active1.defup.buff.04</t>
  </si>
  <si>
    <t>taina.active1.defup.buff.05</t>
  </si>
  <si>
    <t>taina.active1.defup.buff.06</t>
  </si>
  <si>
    <t>rayhou.ult.hot.buff.05</t>
  </si>
  <si>
    <t>rayhou.ult.hot.buff.06</t>
  </si>
  <si>
    <t>rayhou.ult.hot.buff.07</t>
  </si>
  <si>
    <t>rayhou.ult.hot.buff.buffeffect.05</t>
  </si>
  <si>
    <t>rayhou.ult.hot.buff.buffeffect.06</t>
  </si>
  <si>
    <t>rayhou.ult.hot.buff.buffeffect.07</t>
  </si>
  <si>
    <t>rayhou.active1.atkdown.buff.05</t>
  </si>
  <si>
    <t>rayhou.active1.atkdown.buff.06</t>
  </si>
  <si>
    <t>rayhou.active2.shield.buff.05</t>
  </si>
  <si>
    <t>rayhou.active2.shield.buff.06</t>
  </si>
  <si>
    <t>rayhou.active2.shield.buff.buffeffect.05</t>
  </si>
  <si>
    <t>rayhou.active2.shield.buff.buffeffect.06</t>
  </si>
  <si>
    <t>hellen.active1.shield.buff.05</t>
  </si>
  <si>
    <t>hellen.active1.shield.buff.06</t>
  </si>
  <si>
    <t>hellen.active2.atkdown.buff.05</t>
  </si>
  <si>
    <t>hellen.active2.atkdown.buff.06</t>
  </si>
  <si>
    <t>hellen.active1.effect.event.buff.buffeffect.05</t>
  </si>
  <si>
    <t>hellen.active1.effect.event.buff.buffeffect.06</t>
  </si>
  <si>
    <t>shale.active1.bookchange.buff.05</t>
  </si>
  <si>
    <t>shale.active1.bookchange.buff.06</t>
  </si>
  <si>
    <t>shale.active2.defdownt.buff.05</t>
  </si>
  <si>
    <t>shale.active2.defdownt.buff.06</t>
  </si>
  <si>
    <t>elina.active2.defdown.buff.05</t>
  </si>
  <si>
    <t>elina.active2.defdown.buff.06</t>
  </si>
  <si>
    <t>ino.active1.evasiondown.buff.02</t>
  </si>
  <si>
    <t>ino.active1.evasiondown.buff.03</t>
  </si>
  <si>
    <t>ino.active1.evasiondown.buff.05</t>
  </si>
  <si>
    <t>ino.active1.evasiondown.buff.06</t>
  </si>
  <si>
    <t>ferrel.ult.defdown.buff.05</t>
  </si>
  <si>
    <t>ferrel.ult.defdown.buff.06</t>
  </si>
  <si>
    <t>ferrel.ult.defdown.buff.07</t>
  </si>
  <si>
    <t>ferrel.active1.single.dmgtaken.up.buff.05</t>
  </si>
  <si>
    <t>ferrel.active1.single.dmgtaken.up.buff.06</t>
  </si>
  <si>
    <t>belita.ult.poem.buff.04</t>
  </si>
  <si>
    <t>belita.ult.poem.buff.05</t>
  </si>
  <si>
    <t>belita.ult.poem.buff.06</t>
  </si>
  <si>
    <t>belita.ult.poem.buff.07</t>
  </si>
  <si>
    <t>belita.ult.poem.ultdmgup.04</t>
  </si>
  <si>
    <t>belita.ult.poem.ultdmgup.05</t>
  </si>
  <si>
    <t>belita.ult.poem.ultdmgup.06</t>
  </si>
  <si>
    <t>belita.ult.poem.ultdmgup.07</t>
  </si>
  <si>
    <t>belita.ult.poem.ignoredef.04</t>
  </si>
  <si>
    <t>belita.ult.poem.ignoredef.05</t>
  </si>
  <si>
    <t>belita.ult.poem.ignoredef.06</t>
  </si>
  <si>
    <t>belita.ult.poem.ignoredef.07</t>
  </si>
  <si>
    <t>belita.ult.poem.criup.04</t>
  </si>
  <si>
    <t>belita.ult.poem.criup.05</t>
  </si>
  <si>
    <t>belita.ult.poem.criup.06</t>
  </si>
  <si>
    <t>belita.ult.poem.criup.07</t>
  </si>
  <si>
    <t>yuna.ult.B.up.buff.02</t>
  </si>
  <si>
    <t>yuna.ult.B.up.buff.03</t>
  </si>
  <si>
    <t>yuna.ult.B.up.buff.04</t>
  </si>
  <si>
    <t>yuna.ult.B.up.buff.05</t>
  </si>
  <si>
    <t>yuna.ult.B.evasup.buff.buffeffect.01</t>
  </si>
  <si>
    <t>yuna.ult.B.evasup.buff.buffeffect.02</t>
  </si>
  <si>
    <t>yuna.ult.B.evasup.buff.buffeffect.03</t>
  </si>
  <si>
    <t>yuna.ult.B.evasup.buff.buffeffect.04</t>
  </si>
  <si>
    <t>yuna.ult.B.evasup.buff.buffeffect.05</t>
  </si>
  <si>
    <t>fei.ult.criresistdown.buff.11</t>
  </si>
  <si>
    <t>fei.ult.criresistdown.buff.12</t>
  </si>
  <si>
    <t>fei.ult.criresistdown.buff.13</t>
  </si>
  <si>
    <t>fei.ult.criresistdown.buff.14</t>
  </si>
  <si>
    <t>fei.ult.criresistdown.buff.15</t>
  </si>
  <si>
    <t>fei.ult.criresistdown.buff.16</t>
  </si>
  <si>
    <t>fei.ult.criresistdown.buff.17</t>
  </si>
  <si>
    <t>CriticalResist.Down.06</t>
  </si>
  <si>
    <t>CriticalResist.Down.07</t>
  </si>
  <si>
    <t>CriticalResist.Down.08</t>
  </si>
  <si>
    <t>CriticalResist.Down.09</t>
  </si>
  <si>
    <t>CriticalResist.Down.10</t>
  </si>
  <si>
    <t>mea.ult.B.taget.buff.02</t>
  </si>
  <si>
    <t>mea.ult.B.taget.buff.03</t>
  </si>
  <si>
    <t>mea.ult.B.taget.buff.04</t>
  </si>
  <si>
    <t>mea.ult.B.taget.buff.05</t>
  </si>
  <si>
    <t>mea.ult.B.taget.buff.06</t>
  </si>
  <si>
    <t>mea.ult.B.taget.buff.07</t>
  </si>
  <si>
    <t>mea.ult.B.taget.buff.01</t>
  </si>
  <si>
    <t>mea.ult.B.taget.buff.buffeffect.01</t>
  </si>
  <si>
    <t>mea.ult.B.taget.buff.buffeffect.02</t>
  </si>
  <si>
    <t>mea.ult.B.taget.buff.buffeffect.03</t>
  </si>
  <si>
    <t>mea.ult.B.taget.buff.buffeffect.04</t>
  </si>
  <si>
    <t>mea.ult.B.taget.buff.buffeffect.05</t>
  </si>
  <si>
    <t>mea.ult.B.taget.buff.buffeffect.06</t>
  </si>
  <si>
    <t>mea.ult.B.taget.buff.buffeffect.07</t>
  </si>
  <si>
    <t>hellen.ult.B.buff.02</t>
  </si>
  <si>
    <t>hellen.ult.B.buff.03</t>
  </si>
  <si>
    <t>hellen.ult.B.buff.04</t>
  </si>
  <si>
    <t>hellen.ult.B.buff.05</t>
  </si>
  <si>
    <t>hellen.ult.B.buff.06</t>
  </si>
  <si>
    <t>hellen.ult.B.buff.07</t>
  </si>
  <si>
    <t>hellen.ult.B.buff.01</t>
  </si>
  <si>
    <t>hellen.ult.B.changeskill</t>
  </si>
  <si>
    <t>mea.ult.B.fear.01.buff</t>
  </si>
  <si>
    <t>silence</t>
    <phoneticPr fontId="3" type="noConversion"/>
  </si>
  <si>
    <t>Confusion</t>
    <phoneticPr fontId="3" type="noConversion"/>
  </si>
  <si>
    <t>leila.ult.push.buff.01</t>
  </si>
  <si>
    <t>leila.ult.B.defdown.buff.01</t>
  </si>
  <si>
    <t>leila.ult.B.defdown.buff.02</t>
  </si>
  <si>
    <t>leila.ult.B.defdown.buff.03</t>
  </si>
  <si>
    <t>leila.ult.B.defdown.buff.04</t>
  </si>
  <si>
    <t>leila.ult.B.silence.buff.01</t>
  </si>
  <si>
    <t>leila.ult.B.silence.buff.02</t>
  </si>
  <si>
    <t>leila.ult.B.silence.buff.03</t>
  </si>
  <si>
    <t>daria.ult.B.link.buff.01</t>
  </si>
  <si>
    <t>daria.ult.B.link.buff.02</t>
  </si>
  <si>
    <t>daria.ult.B.link.buff.03</t>
  </si>
  <si>
    <t>daria.ult.B.link.buff.04</t>
  </si>
  <si>
    <t>daria.ult.B.link.buff.05</t>
  </si>
  <si>
    <t>daria.ult.B.link.buff.06</t>
  </si>
  <si>
    <t>daria.ult.B.link.buff.07</t>
  </si>
  <si>
    <t>linkform</t>
    <phoneticPr fontId="3" type="noConversion"/>
  </si>
  <si>
    <t>daria.ult.B.effect.event.effect.buff.01</t>
  </si>
  <si>
    <t>daria.ult.B.effect.event.effect.buff.02</t>
  </si>
  <si>
    <t>daria.ult.B.effect.event.effect.buff.03</t>
  </si>
  <si>
    <t>daria.ult.B.effect.event.effect.buff.04</t>
  </si>
  <si>
    <t>daria.ult.B.effect.event.effect.buff.05</t>
  </si>
  <si>
    <t>daria.ult.B.effect.event.effect.buff.06</t>
  </si>
  <si>
    <t>daria.ult.B.effect.event.effect.buff.07</t>
  </si>
  <si>
    <t>ambrosia.ult.B.atkdown.buff.01</t>
  </si>
  <si>
    <t>ambrosia.ult.B.atkdown.buff.02</t>
  </si>
  <si>
    <t>ambrosia.ult.B.atkdown.buff.03</t>
  </si>
  <si>
    <t>ambrosia.ult.B.atkdown.buff.04</t>
  </si>
  <si>
    <t>ambrosia.ult.B.atkdown.buff.05</t>
  </si>
  <si>
    <t>ambrosia.ult.B.atkdown.buff.06</t>
  </si>
  <si>
    <t>ambrosia.ult.B.atkdown.buff.07</t>
  </si>
  <si>
    <t>ambrosia.ult.pre.buff.02</t>
  </si>
  <si>
    <t>ambrosia.ult.pre.buff.03</t>
  </si>
  <si>
    <t>ambrosia.ult.pre.buff.04</t>
  </si>
  <si>
    <t>ambrosia.ult.pre.buff.05</t>
  </si>
  <si>
    <t>ambrosia.ult.pre.buff.06</t>
  </si>
  <si>
    <t>ambrosia.ult.pre.buff.07</t>
  </si>
  <si>
    <t>ambrosia.ult.pre.buff.buffeffect.02</t>
  </si>
  <si>
    <t>ambrosia.ult.pre.buff.buffeffect.03</t>
  </si>
  <si>
    <t>ambrosia.ult.pre.buff.buffeffect.04</t>
  </si>
  <si>
    <t>ambrosia.ult.pre.buff.buffeffect.05</t>
  </si>
  <si>
    <t>ambrosia.ult.pre.buff.buffeffect.06</t>
  </si>
  <si>
    <t>ambrosia.ult.pre.buff.buffeffect.07</t>
  </si>
  <si>
    <t>ambrosia.ult.bullet.damage.02</t>
  </si>
  <si>
    <t>ambrosia.ult.bullet.damage.03</t>
  </si>
  <si>
    <t>ambrosia.ult.bullet.damage.04</t>
  </si>
  <si>
    <t>ambrosia.ult.bullet.damage.05</t>
  </si>
  <si>
    <t>ambrosia.ult.bullet.damage.06</t>
  </si>
  <si>
    <t>ambrosia.ult.bullet.damage.07</t>
  </si>
  <si>
    <t>iras.ult.B.electric.buff.01</t>
  </si>
  <si>
    <t>iras.ult.B.electric.buff.02</t>
  </si>
  <si>
    <t>iras.ult.B.electric.buff.03</t>
  </si>
  <si>
    <t>iras.ult.B.electric.buff.04</t>
  </si>
  <si>
    <t>iras.ult.B.electric.buff.05</t>
  </si>
  <si>
    <t>iras.ult.B.electric.buff.06</t>
  </si>
  <si>
    <t>iras.ult.B.electric.buff.07</t>
  </si>
  <si>
    <t>iras.ult.hp.cost.01</t>
  </si>
  <si>
    <t>iras.ult.hp.cost.02</t>
  </si>
  <si>
    <t>iras.ult.hp.cost.03</t>
  </si>
  <si>
    <t>iras.ult.hp.cost.04</t>
  </si>
  <si>
    <t>iras.ult.hp.cost.05</t>
  </si>
  <si>
    <t>iras.ult.hp.cost.06</t>
  </si>
  <si>
    <t>iras.ult.hp.cost.07</t>
  </si>
  <si>
    <t>iras.ult.hp.cost.buffeffect.01</t>
  </si>
  <si>
    <t>iras.ult.hp.cost.buffeffect.02</t>
  </si>
  <si>
    <t>iras.ult.hp.cost.buffeffect.03</t>
  </si>
  <si>
    <t>iras.ult.hp.cost.buffeffect.04</t>
  </si>
  <si>
    <t>iras.ult.hp.cost.buffeffect.05</t>
  </si>
  <si>
    <t>iras.ult.hp.cost.buffeffect.06</t>
  </si>
  <si>
    <t>iras.ult.hp.cost.buffeffect.07</t>
  </si>
  <si>
    <t>iras.ult.hp.cost.buffeffect.skilleffect.01</t>
  </si>
  <si>
    <t>iras.ult.hp.cost.buffeffect.skilleffect.02</t>
  </si>
  <si>
    <t>iras.ult.hp.cost.buffeffect.skilleffect.03</t>
  </si>
  <si>
    <t>iras.ult.hp.cost.buffeffect.skilleffect.04</t>
  </si>
  <si>
    <t>iras.ult.hp.cost.buffeffect.skilleffect.05</t>
  </si>
  <si>
    <t>iras.ult.hp.cost.buffeffect.skilleffect.06</t>
  </si>
  <si>
    <t>serapulsar.ult.B.buff.buffeffect.01</t>
  </si>
  <si>
    <t>serapulsar.ult.B.buff.buffeffect.modifier.01</t>
  </si>
  <si>
    <t>serapulsar.ult.B.buff.buffeffect.02</t>
  </si>
  <si>
    <t>serapulsar.ult.B.buff.buffeffect.modifier.02</t>
  </si>
  <si>
    <t>serapulsar.ult.B.buff.buffeffect.03</t>
  </si>
  <si>
    <t>serapulsar.ult.B.buff.buffeffect.modifier.03</t>
  </si>
  <si>
    <t>serapulsar.ult.B.buff.buffeffect.04</t>
  </si>
  <si>
    <t>serapulsar.ult.B.buff.buffeffect.modifier.04</t>
  </si>
  <si>
    <t>serapulsar.ult.B.buff.buffeffect.05</t>
  </si>
  <si>
    <t>serapulsar.ult.B.buff.buffeffect.modifier.05</t>
  </si>
  <si>
    <t>serapulsar.ult.B.buff.buffeffect.06</t>
  </si>
  <si>
    <t>serapulsar.ult.B.buff.buffeffect.modifier.06</t>
  </si>
  <si>
    <t>serapulsar.ult.B.buff.buffeffect.07</t>
  </si>
  <si>
    <t>serapulsar.ult.B.buff.buffeffect.modifier.07</t>
  </si>
  <si>
    <t>serapulsar.ult.B.changeskill.cost</t>
  </si>
  <si>
    <t>serapulsar.ult.B.changeskill.cost.skilleffect</t>
  </si>
  <si>
    <t>serapulsar.ult.B.buff.01</t>
  </si>
  <si>
    <t>serapulsar.ult.B.buff.02</t>
  </si>
  <si>
    <t>serapulsar.ult.B.buff.03</t>
  </si>
  <si>
    <t>serapulsar.ult.B.buff.04</t>
  </si>
  <si>
    <t>serapulsar.ult.B.buff.05</t>
  </si>
  <si>
    <t>serapulsar.ult.B.buff.06</t>
  </si>
  <si>
    <t>serapulsar.ult.B.buff.07</t>
  </si>
  <si>
    <t>serapulsar.ult.atk.buff.buffeffect.01</t>
  </si>
  <si>
    <t>serapulsar.ult.atk.buff.buffeffect.02</t>
  </si>
  <si>
    <t>serapulsar.ult.atk.buff.buffeffect.03</t>
  </si>
  <si>
    <t>serapulsar.ult.atk.buff.buffeffect.04</t>
  </si>
  <si>
    <t>serapulsar.ult.atk.buff.buffeffect.05</t>
  </si>
  <si>
    <t>serapulsar.ult.atk.buff.buffeffect.06</t>
  </si>
  <si>
    <t>serapulsar.ult.atk.buff.repeat.01</t>
  </si>
  <si>
    <t>serapulsar.ult.atk.buff.repeat.skilleffect.01</t>
  </si>
  <si>
    <t>serapulsar.ult.atk.buff.repeat.02</t>
  </si>
  <si>
    <t>serapulsar.ult.atk.buff.repeat.skilleffect.02</t>
  </si>
  <si>
    <t>serapulsar.ult.atk.buff.repeat.03</t>
  </si>
  <si>
    <t>serapulsar.ult.atk.buff.repeat.skilleffect.03</t>
  </si>
  <si>
    <t>serapulsar.ult.atk.buff.repeat.04</t>
  </si>
  <si>
    <t>serapulsar.ult.atk.buff.repeat.skilleffect.04</t>
  </si>
  <si>
    <t>serapulsar.ult.atk.buff.repeat.05</t>
  </si>
  <si>
    <t>serapulsar.ult.atk.buff.repeat.skilleffect.05</t>
  </si>
  <si>
    <t>serapulsar.ult.atk.buff.repeat.06</t>
  </si>
  <si>
    <t>serapulsar.ult.atk.buff.repeat.skilleffect.06</t>
  </si>
  <si>
    <t>crimson.ult.receivehealdown.buff.01</t>
  </si>
  <si>
    <t>crimson.ult.receivehealdown.buff.02</t>
  </si>
  <si>
    <t>crimson.ult.receivehealdown.buff.03</t>
  </si>
  <si>
    <t>crimson.ult.receivehealdown.buff.04</t>
  </si>
  <si>
    <t>crimson.ult.receivehealdown.buff.05</t>
  </si>
  <si>
    <t>crimson.ult.receivehealdown.buff.06</t>
  </si>
  <si>
    <t>crimson.ult.receivehealdown.buff.07</t>
  </si>
  <si>
    <t>crimson.ult.B.dotdmg.buff.02</t>
  </si>
  <si>
    <t>crimson.ult.B.dotdmg.buff.03</t>
  </si>
  <si>
    <t>crimson.ult.B.dotdmg.buff.04</t>
  </si>
  <si>
    <t>crimson.ult.B.dotdmg.buff.05</t>
  </si>
  <si>
    <t>crimson.ult.B.dotdmg.buff.06</t>
  </si>
  <si>
    <t>crimson.ult.B.dotdmg.buff.07</t>
  </si>
  <si>
    <t>crimson.ult.B.dotdmg.buff.01</t>
  </si>
  <si>
    <t>wound</t>
    <phoneticPr fontId="3" type="noConversion"/>
  </si>
  <si>
    <t>ferrel.ult.B.effect.buff.01</t>
  </si>
  <si>
    <t>ferrel.ult.B.effect.buff.02</t>
  </si>
  <si>
    <t>ferrel.ult.B.effect.buff.03</t>
  </si>
  <si>
    <t>ferrel.ult.B.effect.buff.04</t>
  </si>
  <si>
    <t>ferrel.ult.B.effect.buff.05</t>
  </si>
  <si>
    <t>ferrel.ult.B.effect.buff.06</t>
  </si>
  <si>
    <t>ferrel.ult.B.effect.buff.07</t>
  </si>
  <si>
    <t>ferrel.ult.B.effect.buff.buffeffect.01</t>
  </si>
  <si>
    <t>ferrel.ult.B.effect.buff.buffeffect.02</t>
  </si>
  <si>
    <t>ferrel.ult.B.effect.buff.buffeffect.03</t>
  </si>
  <si>
    <t>ferrel.ult.B.effect.buff.buffeffect.04</t>
  </si>
  <si>
    <t>ferrel.ult.B.effect.buff.buffeffect.05</t>
  </si>
  <si>
    <t>ferrel.ult.B.effect.buff.buffeffect.06</t>
  </si>
  <si>
    <t>ferrel.ult.B.effect.buff.buffeffect.07</t>
  </si>
  <si>
    <t>ferrel.ult.B.effect.buff.skilleffect.01</t>
  </si>
  <si>
    <t>ferrel.ult.B.effect.buff.skilleffect.02</t>
  </si>
  <si>
    <t>ferrel.ult.B.effect.buff.skilleffect.03</t>
  </si>
  <si>
    <t>ferrel.ult.B.effect.buff.skilleffect.04</t>
  </si>
  <si>
    <t>ferrel.ult.B.effect.buff.skilleffect.05</t>
  </si>
  <si>
    <t>ferrel.ult.B.effect.buff.skilleffect.06</t>
  </si>
  <si>
    <t>ferrel.ult.B.effect.buff.skilleffect.07</t>
  </si>
  <si>
    <t>archphase.passive.ex.buff.01</t>
  </si>
  <si>
    <t>archphase.passive.ex.buff.02</t>
  </si>
  <si>
    <t>archphase.passive.ex.buff.03</t>
  </si>
  <si>
    <t>archphase.passive.ex.buff.04</t>
  </si>
  <si>
    <t>archphase.passive.ex.buff.05</t>
  </si>
  <si>
    <t>archphase.ult.B.stack.buff.02</t>
  </si>
  <si>
    <t>archphase.ult.B.stack.buff.03</t>
  </si>
  <si>
    <t>archphase.ult.B.stack.buff.04</t>
  </si>
  <si>
    <t>archphase.ult.B.stack.buff.05</t>
  </si>
  <si>
    <t>archphase.ult.B.stack.buff.07</t>
  </si>
  <si>
    <t>archphase.ult.B.buff.buffeffect.skilleffect</t>
  </si>
  <si>
    <t>belebeta.ult.B.dmgderatedown.buff.01</t>
  </si>
  <si>
    <t>belebeta.ult.B.dmgderatedown.buff.02</t>
  </si>
  <si>
    <t>belebeta.ult.B.dmgderatedown.buff.03</t>
  </si>
  <si>
    <t>belebeta.ult.B.dmgderatedown.buff.04</t>
  </si>
  <si>
    <t>belebeta.ult.B.dmgderatedown.buff.05</t>
  </si>
  <si>
    <t>belebeta.ult.B.dmgderatedown.buff.06</t>
  </si>
  <si>
    <t>belebeta.ult.B.dmgderatedown.buff.07</t>
  </si>
  <si>
    <t>ambrosia.ult.B.pre.buff.01</t>
  </si>
  <si>
    <t>ambrosia.ult.B.pre.buff.buffeffect.01</t>
  </si>
  <si>
    <t>ambrosia.ult.B.pre.buff.02</t>
  </si>
  <si>
    <t>ambrosia.ult.B.pre.buff.buffeffect.02</t>
  </si>
  <si>
    <t>ambrosia.ult.B.pre.buff.03</t>
  </si>
  <si>
    <t>ambrosia.ult.B.pre.buff.buffeffect.03</t>
  </si>
  <si>
    <t>ambrosia.ult.B.pre.buff.04</t>
  </si>
  <si>
    <t>ambrosia.ult.B.pre.buff.buffeffect.04</t>
  </si>
  <si>
    <t>ambrosia.ult.B.pre.buff.05</t>
  </si>
  <si>
    <t>ambrosia.ult.B.pre.buff.buffeffect.05</t>
  </si>
  <si>
    <t>ambrosia.ult.B.pre.buff.06</t>
  </si>
  <si>
    <t>ambrosia.ult.B.pre.buff.buffeffect.06</t>
  </si>
  <si>
    <t>ambrosia.ult.B.pre.buff.07</t>
  </si>
  <si>
    <t>ambrosia.ult.B.pre.buff.buffeffect.07</t>
  </si>
  <si>
    <t>ambrosia.ult.B.shield.buff.buffeffect.02</t>
  </si>
  <si>
    <t>ambrosia.ult.B.shield.buff.buffeffect.03</t>
  </si>
  <si>
    <t>ambrosia.ult.B.shield.buff.buffeffect.04</t>
  </si>
  <si>
    <t>ambrosia.ult.B.shield.buff.buffeffect.05</t>
  </si>
  <si>
    <t>ambrosia.ult.B.shield.buff.buffeffect.06</t>
  </si>
  <si>
    <t>ambrosia.ult.B.shield.buff.buffeffect.07</t>
  </si>
  <si>
    <t>ambrosia.ult.B.shield.buff.02</t>
  </si>
  <si>
    <t>ambrosia.ult.B.shield.buff.03</t>
  </si>
  <si>
    <t>ambrosia.ult.B.shield.buff.04</t>
  </si>
  <si>
    <t>ambrosia.ult.B.shield.buff.05</t>
  </si>
  <si>
    <t>ambrosia.ult.B.shield.buff.06</t>
  </si>
  <si>
    <t>ambrosia.ult.B.shield.buff.07</t>
  </si>
  <si>
    <t>ambrosia.ult.B.buff.buffeffect.skilleffect.02</t>
  </si>
  <si>
    <t>ambrosia.ult.B.buff.buffeffect.skilleffect.03</t>
  </si>
  <si>
    <t>ambrosia.ult.B.buff.buffeffect.skilleffect.04</t>
  </si>
  <si>
    <t>ambrosia.ult.B.buff.buffeffect.skilleffect.05</t>
  </si>
  <si>
    <t>ambrosia.ult.B.buff.buffeffect.skilleffect.06</t>
  </si>
  <si>
    <t>ambrosia.ult.B.buff.buffeffect.skilleffect.07</t>
  </si>
  <si>
    <t>ambrosia.ult.B.buff.buffeffect.skilleffect.01</t>
  </si>
  <si>
    <t>patricia.ult.B.slow.buff.02</t>
  </si>
  <si>
    <t>patricia.ult.B.slow.buff.03</t>
  </si>
  <si>
    <t>patricia.ult.B.slow.buff.04</t>
  </si>
  <si>
    <t>patricia.ult.B.slow.buff.buffeffect.01</t>
  </si>
  <si>
    <t>patricia.ult.B.slow.buff.buffeffect.02</t>
  </si>
  <si>
    <t>patricia.ult.B.slow.buff.buffeffect.03</t>
  </si>
  <si>
    <t>patricia.ult.B.slow.buff.buffeffect.04</t>
  </si>
  <si>
    <t>mea.passive.ex.buff.01</t>
  </si>
  <si>
    <t>mea.passive.ex.buff.02</t>
  </si>
  <si>
    <t>mea.passive.ex.buff.03</t>
  </si>
  <si>
    <t>mea.passive.ex.buff.04</t>
  </si>
  <si>
    <t>mea.passive.ex.buff.05</t>
  </si>
  <si>
    <t>mea.passive.ex.buff.06</t>
  </si>
  <si>
    <t>serapulsar.passive.ex.buff.02</t>
  </si>
  <si>
    <t>serapulsar.passive.ex.buff.03</t>
  </si>
  <si>
    <t>serapulsar.passive.ex.buff.04</t>
  </si>
  <si>
    <t>serapulsar.passive.ex.buff.05</t>
  </si>
  <si>
    <t>serapulsar.passive.ex.buff.06</t>
  </si>
  <si>
    <t>serapulsar.passive.ex.buff.01</t>
  </si>
  <si>
    <t>serapulsar.passive.ex.buff.buffeffect.02</t>
  </si>
  <si>
    <t>serapulsar.passive.ex.buff.buffeffect.03</t>
  </si>
  <si>
    <t>serapulsar.passive.ex.buff.buffeffect.04</t>
  </si>
  <si>
    <t>serapulsar.passive.ex.buff.buffeffect.05</t>
  </si>
  <si>
    <t>serapulsar.passive.ex.buff.buffeffect.06</t>
  </si>
  <si>
    <t>serapulsar.passive.ex.buff.buffeffect.skilleffect.02</t>
  </si>
  <si>
    <t>serapulsar.passive.ex.buff.buffeffect.skilleffect.03</t>
  </si>
  <si>
    <t>serapulsar.passive.ex.buff.buffeffect.skilleffect.04</t>
  </si>
  <si>
    <t>serapulsar.passive.ex.buff.buffeffect.skilleffect.05</t>
  </si>
  <si>
    <t>serapulsar.passive.ex.buff.buffeffect.skilleffect.06</t>
  </si>
  <si>
    <t>ferrel.ult.actdmg.buff.01</t>
  </si>
  <si>
    <t>ferrel.ult.actdmg.buff.02</t>
  </si>
  <si>
    <t>ferrel.ult.actdmg.buff.03</t>
  </si>
  <si>
    <t>ferrel.ult.actdmg.buff.04</t>
  </si>
  <si>
    <t>ferrel.ult.actdmg.buff.05</t>
  </si>
  <si>
    <t>ferrel.ult.actdmg.buff.06</t>
  </si>
  <si>
    <t>ferrel.ult.actdmg.buff.07</t>
  </si>
  <si>
    <t>ferrel.ult.actdmg.buff.buffeffect.01</t>
  </si>
  <si>
    <t>ferrel.ult.actdmg.buff.buffeffect.02</t>
  </si>
  <si>
    <t>ferrel.ult.actdmg.buff.buffeffect.03</t>
  </si>
  <si>
    <t>ferrel.ult.actdmg.buff.buffeffect.04</t>
  </si>
  <si>
    <t>ferrel.ult.actdmg.buff.buffeffect.05</t>
  </si>
  <si>
    <t>ferrel.ult.actdmg.buff.buffeffect.06</t>
  </si>
  <si>
    <t>ferrel.ult.actdmg.buff.buffeffect.07</t>
  </si>
  <si>
    <t>belebeta.passive.ex.buff.01</t>
  </si>
  <si>
    <t>belebeta.passive.ex.buff.02</t>
  </si>
  <si>
    <t>belebeta.passive.ex.buff.03</t>
  </si>
  <si>
    <t>belebeta.passive.ex.buff.04</t>
  </si>
  <si>
    <t>belebeta.passive.ex.buff.05</t>
  </si>
  <si>
    <t>belebeta.passive.ex.buff.06</t>
  </si>
  <si>
    <t>belebeta.passive.ex.redtea.buff</t>
  </si>
  <si>
    <t>belebeta.passive.ex.redtea.buff.buffeffect.01</t>
  </si>
  <si>
    <t>belebeta.passive.ex.redtea.buff.buffeffect.02</t>
  </si>
  <si>
    <t>belebeta.passive.ex.redtea.buff.buffeffect.03</t>
  </si>
  <si>
    <t>belebeta.passive.ex.redtea.buff.buffeffect.04</t>
  </si>
  <si>
    <t>belebeta.passive.ex.redtea.buff.buffeffect.05</t>
  </si>
  <si>
    <t>belebeta.passive.ex.redtea.buff.buffeffect.06</t>
  </si>
  <si>
    <t>belebeta.passive.ex.greentea.buff</t>
  </si>
  <si>
    <t>belebeta.passive.ex.greentea.buff.buffeffect.01</t>
  </si>
  <si>
    <t>belebeta.passive.ex.greentea.buff.buffeffect.02</t>
  </si>
  <si>
    <t>belebeta.passive.ex.greentea.buff.buffeffect.03</t>
  </si>
  <si>
    <t>belebeta.passive.ex.greentea.buff.buffeffect.04</t>
  </si>
  <si>
    <t>belebeta.passive.ex.greentea.buff.buffeffect.05</t>
  </si>
  <si>
    <t>belebeta.passive.ex.greentea.buff.buffeffect.06</t>
  </si>
  <si>
    <t>ferrel.passive.ex.buff.01</t>
  </si>
  <si>
    <t>ferrel.passive.ex.buff.02</t>
  </si>
  <si>
    <t>ferrel.passive.ex.buff.03</t>
  </si>
  <si>
    <t>ferrel.passive.ex.buff.04</t>
  </si>
  <si>
    <t>ferrel.passive.ex.buff.05</t>
  </si>
  <si>
    <t>ferrel.passive.ex.buff.06</t>
  </si>
  <si>
    <t>ferrel.passive.ex.buff.buffeffect.01</t>
  </si>
  <si>
    <t>ferrel.passive.ex.buff.buffeffect.02</t>
  </si>
  <si>
    <t>ferrel.passive.ex.buff.buffeffect.03</t>
  </si>
  <si>
    <t>ferrel.passive.ex.buff.buffeffect.04</t>
  </si>
  <si>
    <t>ferrel.passive.ex.buff.buffeffect.05</t>
  </si>
  <si>
    <t>ferrel.passive.ex.buff.buffeffect.06</t>
  </si>
  <si>
    <t>ferrel.passive.ex.buff.buffeffect.skilleffect.02</t>
  </si>
  <si>
    <t>ferrel.passive.ex.buff.buffeffect.skilleffect.03</t>
  </si>
  <si>
    <t>ferrel.passive.ex.buff.buffeffect.skilleffect.04</t>
  </si>
  <si>
    <t>ferrel.passive.ex.buff.buffeffect.skilleffect.05</t>
  </si>
  <si>
    <t>ferrel.passive.ex.buff.buffeffect.skilleffect.06</t>
  </si>
  <si>
    <t>ferrel.passive.ex.skill.01</t>
  </si>
  <si>
    <t>ferrel.passive.ex.skill.02</t>
  </si>
  <si>
    <t>ferrel.passive.ex.skill.03</t>
  </si>
  <si>
    <t>ferrel.passive.ex.skill.04</t>
  </si>
  <si>
    <t>ferrel.passive.ex.skill.05</t>
  </si>
  <si>
    <t>ferrel.passive.ex.skill.06</t>
  </si>
  <si>
    <t>ferrel.passive.ex.skill.buffeffect.01</t>
  </si>
  <si>
    <t>ferrel.passive.ex.skill.buffeffect.02</t>
  </si>
  <si>
    <t>ferrel.passive.ex.skill.buffeffect.03</t>
  </si>
  <si>
    <t>ferrel.passive.ex.skill.buffeffect.04</t>
  </si>
  <si>
    <t>ferrel.passive.ex.skill.buffeffect.05</t>
  </si>
  <si>
    <t>ferrel.passive.ex.skill.buffeffect.06</t>
  </si>
  <si>
    <t>ferrel.passive.elec.buff.buffeffect</t>
  </si>
  <si>
    <t>yuna.passive.ex.buff.02</t>
  </si>
  <si>
    <t>yuna.passive.ex.buff.03</t>
  </si>
  <si>
    <t>yuna.passive.ex.buff.04</t>
  </si>
  <si>
    <t>yuna.passive.ex.buff.05</t>
  </si>
  <si>
    <t>yuna.passive.ex.buff.06</t>
  </si>
  <si>
    <t>fei.passive.ex.buff.02</t>
  </si>
  <si>
    <t>fei.passive.ex.buff.03</t>
  </si>
  <si>
    <t>fei.passive.ex.buff.04</t>
  </si>
  <si>
    <t>fei.passive.ex.buff.05</t>
  </si>
  <si>
    <t>fei.passive.ex.buff.06</t>
  </si>
  <si>
    <t>fei.passive.ex.buff.buffeffect.02</t>
  </si>
  <si>
    <t>fei.passive.ex.buff.buffeffect.03</t>
  </si>
  <si>
    <t>fei.passive.ex.buff.buffeffect.04</t>
  </si>
  <si>
    <t>fei.passive.ex.buff.buffeffect.05</t>
  </si>
  <si>
    <t>fei.passive.ex.buff.buffeffect.06</t>
  </si>
  <si>
    <t>Ally</t>
  </si>
  <si>
    <t>ferrel.passive.ex.ally.buff.02</t>
  </si>
  <si>
    <t>ferrel.passive.ex.ally.buff.03</t>
  </si>
  <si>
    <t>ferrel.passive.ex.ally.buff.04</t>
  </si>
  <si>
    <t>ferrel.passive.ex.ally.buff.05</t>
  </si>
  <si>
    <t>ferrel.passive.ex.ally.buff.06</t>
  </si>
  <si>
    <t>ferrel.passive.ex.ally.buff.buffeffect.02</t>
  </si>
  <si>
    <t>ferrel.passive.ex.ally.buff.buffeffect.03</t>
  </si>
  <si>
    <t>ferrel.passive.ex.ally.buff.buffeffect.04</t>
  </si>
  <si>
    <t>ferrel.passive.ex.ally.buff.buffeffect.05</t>
  </si>
  <si>
    <t>ferrel.passive.ex.ally.buff.buffeffect.06</t>
  </si>
  <si>
    <t>fei.passive.ex.buff.buffeffect.skilleffect.02</t>
  </si>
  <si>
    <t>fei.passive.ex.buff.buffeffect.skilleffect.03</t>
  </si>
  <si>
    <t>fei.passive.ex.buff.buffeffect.skilleffect.04</t>
  </si>
  <si>
    <t>fei.passive.ex.buff.buffeffect.skilleffect.05</t>
  </si>
  <si>
    <t>fei.passive.ex.buff.buffeffect.skilleffect.06</t>
  </si>
  <si>
    <t>leila.passive.ex.buffeffect.01.02</t>
  </si>
  <si>
    <t>leila.passive.ex.buffeffect.01.03</t>
  </si>
  <si>
    <t>leila.passive.ex.buffeffect.01.04</t>
  </si>
  <si>
    <t>leila.passive.ex.buffeffect.01.05</t>
  </si>
  <si>
    <t>leila.passive.ex.buffeffect.01.06</t>
  </si>
  <si>
    <t>leila.passive.ex.buffeffect.02.02</t>
  </si>
  <si>
    <t>leila.passive.ex.buffeffect.02.03</t>
  </si>
  <si>
    <t>leila.passive.ex.buffeffect.02.04</t>
  </si>
  <si>
    <t>leila.passive.ex.buffeffect.02.05</t>
  </si>
  <si>
    <t>leila.passive.ex.buffeffect.02.06</t>
  </si>
  <si>
    <t>leila.passive.ex.buff.skilleffect.01.02</t>
  </si>
  <si>
    <t>leila.passive.ex.buff.skilleffect.01.03</t>
  </si>
  <si>
    <t>leila.passive.ex.buff.skilleffect.01.04</t>
  </si>
  <si>
    <t>leila.passive.ex.buff.skilleffect.01.05</t>
  </si>
  <si>
    <t>leila.passive.ex.buff.skilleffect.01.06</t>
  </si>
  <si>
    <t>leila.passive.ex.buff.skilleffect.02.02</t>
  </si>
  <si>
    <t>leila.passive.ex.buff.skilleffect.02.03</t>
  </si>
  <si>
    <t>leila.passive.ex.buff.skilleffect.02.04</t>
  </si>
  <si>
    <t>leila.passive.ex.buff.skilleffect.02.05</t>
  </si>
  <si>
    <t>leila.passive.ex.buff.skilleffect.02.06</t>
  </si>
  <si>
    <t>leila.passive.ex.buff.01.02</t>
  </si>
  <si>
    <t>leila.passive.ex.buff.01.03</t>
  </si>
  <si>
    <t>leila.passive.ex.buff.01.04</t>
  </si>
  <si>
    <t>leila.passive.ex.buff.01.05</t>
  </si>
  <si>
    <t>leila.passive.ex.buff.01.06</t>
  </si>
  <si>
    <t>patricia.passive.ex.buff.02</t>
  </si>
  <si>
    <t>patricia.passive.ex.buff.03</t>
  </si>
  <si>
    <t>patricia.passive.ex.buff.04</t>
  </si>
  <si>
    <t>patricia.passive.ex.buff.05</t>
  </si>
  <si>
    <t>patricia.passive.ex.buff.06</t>
  </si>
  <si>
    <t>patricia.passive.ex.buff.01</t>
  </si>
  <si>
    <t>patricia.passive.ex.buff.skilleffect.02</t>
  </si>
  <si>
    <t>patricia.passive.ex.buff.skilleffect.03</t>
  </si>
  <si>
    <t>patricia.passive.ex.buff.skilleffect.04</t>
  </si>
  <si>
    <t>patricia.passive.ex.buff.skilleffect.05</t>
  </si>
  <si>
    <t>patricia.passive.ex.buff.skilleffect.06</t>
  </si>
  <si>
    <t>patricia.passive.ex.buffeffect.02</t>
  </si>
  <si>
    <t>patricia.passive.ex.buffeffect.03</t>
  </si>
  <si>
    <t>patricia.passive.ex.buffeffect.04</t>
  </si>
  <si>
    <t>patricia.passive.ex.buffeffect.05</t>
  </si>
  <si>
    <t>patricia.passive.ex.buffeffect.06</t>
  </si>
  <si>
    <t>ambrosia.passive.ex.buff.02</t>
  </si>
  <si>
    <t>ambrosia.passive.ex.buff.03</t>
  </si>
  <si>
    <t>ambrosia.passive.ex.buff.04</t>
  </si>
  <si>
    <t>ambrosia.passive.ex.buff.05</t>
  </si>
  <si>
    <t>ambrosia.passive.ex.buff.06</t>
  </si>
  <si>
    <t>ambrosia.passive.ex.buff.01</t>
  </si>
  <si>
    <t>ambrosia.passive.ex.buffeffect.01.02</t>
  </si>
  <si>
    <t>ambrosia.passive.ex.buffeffect.01.03</t>
  </si>
  <si>
    <t>ambrosia.passive.ex.buffeffect.01.04</t>
  </si>
  <si>
    <t>ambrosia.passive.ex.buffeffect.01.05</t>
  </si>
  <si>
    <t>ambrosia.passive.ex.buffeffect.01.06</t>
  </si>
  <si>
    <t>ambrosia.passive.ex.buff.skilleffect.01.02</t>
  </si>
  <si>
    <t>ambrosia.passive.ex.buff.skilleffect.01.03</t>
  </si>
  <si>
    <t>ambrosia.passive.ex.buff.skilleffect.01.04</t>
  </si>
  <si>
    <t>ambrosia.passive.ex.buff.skilleffect.01.05</t>
  </si>
  <si>
    <t>ambrosia.passive.ex.buff.skilleffect.01.06</t>
  </si>
  <si>
    <t>ambrosia.passive.ex.buffeffect.02.02</t>
  </si>
  <si>
    <t>ambrosia.passive.ex.buffeffect.02.03</t>
  </si>
  <si>
    <t>ambrosia.passive.ex.buffeffect.02.04</t>
  </si>
  <si>
    <t>ambrosia.passive.ex.buffeffect.02.05</t>
  </si>
  <si>
    <t>ambrosia.passive.ex.buffeffect.02.06</t>
  </si>
  <si>
    <t>balencia.passive.ex.buff.02</t>
  </si>
  <si>
    <t>balencia.passive.ex.buff.03</t>
  </si>
  <si>
    <t>balencia.passive.ex.buff.04</t>
  </si>
  <si>
    <t>balencia.passive.ex.buff.05</t>
  </si>
  <si>
    <t>balencia.passive.ex.buff.06</t>
  </si>
  <si>
    <t>balencia.passive.ex.buff.01</t>
  </si>
  <si>
    <t>balencia.passive.ex.buffeffect.01</t>
  </si>
  <si>
    <t>balencia.passive.ex.buffeffect.02</t>
  </si>
  <si>
    <t>balencia.passive.ex.buffeffect.03</t>
  </si>
  <si>
    <t>balencia.passive.ex.buffeffect.04</t>
  </si>
  <si>
    <t>balencia.passive.ex.buffeffect.05</t>
  </si>
  <si>
    <t>balencia.passive.ex.buffeffect.06</t>
  </si>
  <si>
    <t>balencia.passive.ex.buff.skilleffect.02</t>
  </si>
  <si>
    <t>balencia.passive.ex.buff.skilleffect.03</t>
  </si>
  <si>
    <t>balencia.passive.ex.buff.skilleffect.04</t>
  </si>
  <si>
    <t>balencia.passive.ex.buff.skilleffect.05</t>
  </si>
  <si>
    <t>balencia.passive.ex.buff.skilleffect.06</t>
  </si>
  <si>
    <t>crimson.passive.ex.buff.02</t>
  </si>
  <si>
    <t>crimson.passive.ex.buff.03</t>
  </si>
  <si>
    <t>crimson.passive.ex.buff.04</t>
  </si>
  <si>
    <t>crimson.passive.ex.buff.05</t>
  </si>
  <si>
    <t>crimson.passive.ex.buff.06</t>
  </si>
  <si>
    <t>crimson.passive.ex.buff.01</t>
  </si>
  <si>
    <t>crimson.passive.ex.buff.buffeffect.02</t>
  </si>
  <si>
    <t>crimson.passive.ex.buff.buffeffect.03</t>
  </si>
  <si>
    <t>crimson.passive.ex.buff.buffeffect.04</t>
  </si>
  <si>
    <t>crimson.passive.ex.buff.buffeffect.05</t>
  </si>
  <si>
    <t>crimson.passive.ex.buff.buffeffect.06</t>
  </si>
  <si>
    <t>daria.passive.ex.buff.02</t>
  </si>
  <si>
    <t>daria.passive.ex.buff.03</t>
  </si>
  <si>
    <t>daria.passive.ex.buff.04</t>
  </si>
  <si>
    <t>daria.passive.ex.buff.05</t>
  </si>
  <si>
    <t>daria.passive.ex.buff.06</t>
  </si>
  <si>
    <t>daria.passive.ex.buff.01</t>
  </si>
  <si>
    <t>daria.passive.ex.buff.buffeffect.01</t>
  </si>
  <si>
    <t>daria.passive.ex.buff.buffeffect.02</t>
  </si>
  <si>
    <t>daria.passive.ex.buff.buffeffect.03</t>
  </si>
  <si>
    <t>daria.passive.ex.buff.buffeffect.04</t>
  </si>
  <si>
    <t>daria.passive.ex.buff.buffeffect.05</t>
  </si>
  <si>
    <t>daria.passive.ex.buff.buffeffect.06</t>
  </si>
  <si>
    <t>daria.passive.ex.buff.01.02</t>
  </si>
  <si>
    <t>daria.passive.ex.buff.01.03</t>
  </si>
  <si>
    <t>daria.passive.ex.buff.01.04</t>
  </si>
  <si>
    <t>daria.passive.ex.buff.01.05</t>
  </si>
  <si>
    <t>daria.passive.ex.buff.01.06</t>
  </si>
  <si>
    <t>daria.passive.ex.buff.buffeffect.01.01</t>
  </si>
  <si>
    <t>daria.passive.ex.buff.buffeffect.01.02</t>
  </si>
  <si>
    <t>daria.passive.ex.buff.buffeffect.01.03</t>
  </si>
  <si>
    <t>daria.passive.ex.buff.buffeffect.01.04</t>
  </si>
  <si>
    <t>daria.passive.ex.buff.buffeffect.01.05</t>
  </si>
  <si>
    <t>daria.passive.ex.buff.buffeffect.01.06</t>
  </si>
  <si>
    <t>daria.passive.ex.buff.02.02</t>
  </si>
  <si>
    <t>daria.passive.ex.buff.02.03</t>
  </si>
  <si>
    <t>daria.passive.ex.buff.02.04</t>
  </si>
  <si>
    <t>daria.passive.ex.buff.02.05</t>
  </si>
  <si>
    <t>daria.passive.ex.buff.02.06</t>
  </si>
  <si>
    <t>daria.passive.ex.buff.buffeffect.02.02</t>
  </si>
  <si>
    <t>daria.passive.ex.buff.buffeffect.02.03</t>
  </si>
  <si>
    <t>daria.passive.ex.buff.buffeffect.02.04</t>
  </si>
  <si>
    <t>daria.passive.ex.buff.buffeffect.02.05</t>
  </si>
  <si>
    <t>daria.passive.ex.buff.buffeffect.02.06</t>
  </si>
  <si>
    <t>daria.passive.ex.buff.01.01&amp;daria.passive.ex.buff.02.01</t>
  </si>
  <si>
    <t>daria.passive.ex.buff.01.02&amp;daria.passive.ex.buff.02.02</t>
  </si>
  <si>
    <t>daria.passive.ex.buff.01.03&amp;daria.passive.ex.buff.02.03</t>
  </si>
  <si>
    <t>daria.passive.ex.buff.01.04&amp;daria.passive.ex.buff.02.04</t>
  </si>
  <si>
    <t>daria.passive.ex.buff.01.05&amp;daria.passive.ex.buff.02.05</t>
  </si>
  <si>
    <t>daria.passive.ex.buff.01.06&amp;daria.passive.ex.buff.02.06</t>
  </si>
  <si>
    <t>iras.passive.ex.buff.02</t>
  </si>
  <si>
    <t>iras.passive.ex.buff.03</t>
  </si>
  <si>
    <t>iras.passive.ex.buff.04</t>
  </si>
  <si>
    <t>iras.passive.ex.buff.05</t>
  </si>
  <si>
    <t>iras.passive.ex.buff.06</t>
  </si>
  <si>
    <t>iras.passive.ex.buff.buffeffect.02</t>
  </si>
  <si>
    <t>iras.passive.ex.buff.buffeffect.03</t>
  </si>
  <si>
    <t>iras.passive.ex.buff.buffeffect.04</t>
  </si>
  <si>
    <t>iras.passive.ex.buff.buffeffect.05</t>
  </si>
  <si>
    <t>iras.passive.ex.buff.buffeffect.06</t>
  </si>
  <si>
    <t>rayhou.ult.B.invin.buff.02</t>
  </si>
  <si>
    <t>rayhou.ult.B.invin.buff.03</t>
  </si>
  <si>
    <t>rayhou.ult.B.invin.buff.04</t>
  </si>
  <si>
    <t>rayhou.ult.B.invin.buff.05</t>
  </si>
  <si>
    <t>rayhou.ult.B.invin.buff.06</t>
  </si>
  <si>
    <t>rayhou.ult.B.invin.buff.07</t>
  </si>
  <si>
    <t>rayhou.ult.B.invin.buff.01</t>
  </si>
  <si>
    <t>rayhou.ult.B.invin.buff.buffeffect.01</t>
  </si>
  <si>
    <t>rayhou.ult.B.invin.buff.buffeffect.02</t>
  </si>
  <si>
    <t>rayhou.ult.B.invin.buff.buffeffect.03</t>
  </si>
  <si>
    <t>rayhou.ult.B.invin.buff.buffeffect.04</t>
  </si>
  <si>
    <t>rayhou.ult.B.invin.buff.buffeffect.05</t>
  </si>
  <si>
    <t>rayhou.ult.B.invin.buff.buffeffect.06</t>
  </si>
  <si>
    <t>rayhou.ult.B.invin.buff.buffeffect.07</t>
  </si>
  <si>
    <t>elina.passive.ex.buff.02</t>
  </si>
  <si>
    <t>elina.passive.ex.buff.03</t>
  </si>
  <si>
    <t>elina.passive.ex.buff.04</t>
  </si>
  <si>
    <t>elina.passive.ex.buff.05</t>
  </si>
  <si>
    <t>elina.passive.ex.buff.06</t>
  </si>
  <si>
    <t>elina.passive.ex.buff.01</t>
  </si>
  <si>
    <t>hellen.passive.ex.buff.02</t>
  </si>
  <si>
    <t>hellen.passive.ex.buff.03</t>
  </si>
  <si>
    <t>hellen.passive.ex.buff.04</t>
  </si>
  <si>
    <t>hellen.passive.ex.buff.05</t>
  </si>
  <si>
    <t>hellen.passive.ex.buff.06</t>
  </si>
  <si>
    <t>hellen.passive.ex.buff.01</t>
  </si>
  <si>
    <t>rayhou.passive.ex.buff.02</t>
  </si>
  <si>
    <t>rayhou.passive.ex.buff.03</t>
  </si>
  <si>
    <t>rayhou.passive.ex.buff.04</t>
  </si>
  <si>
    <t>rayhou.passive.ex.buff.05</t>
  </si>
  <si>
    <t>rayhou.passive.ex.buff.06</t>
  </si>
  <si>
    <t>rayhou.passive.ex.buff.01</t>
  </si>
  <si>
    <t>rayhou.passive.ex.buff.buffeffect.02</t>
  </si>
  <si>
    <t>AllyDie</t>
  </si>
  <si>
    <t>rayhou.passive.ex.buff.buffeffect.skilleffect.02</t>
  </si>
  <si>
    <t>ignoredefense.35</t>
  </si>
  <si>
    <t>damagederate.down.200</t>
    <phoneticPr fontId="3" type="noConversion"/>
  </si>
  <si>
    <t>damagederate.down.250</t>
    <phoneticPr fontId="3" type="noConversion"/>
  </si>
  <si>
    <t>damagederate.down.300</t>
  </si>
  <si>
    <t>damagederate.down.350</t>
  </si>
  <si>
    <t>damagederate.down.400</t>
  </si>
  <si>
    <t>Status</t>
    <phoneticPr fontId="3" type="noConversion"/>
  </si>
  <si>
    <t>ignoredefense.45</t>
    <phoneticPr fontId="3" type="noConversion"/>
  </si>
  <si>
    <t>RechargeRate.Down.04</t>
    <phoneticPr fontId="3" type="noConversion"/>
  </si>
  <si>
    <t>Buff.Name.Electric.04</t>
  </si>
  <si>
    <t>Buff.Desc.Electric.04</t>
  </si>
  <si>
    <t>Buff.Name.Electric.05</t>
  </si>
  <si>
    <t>Buff.Desc.Electric.05</t>
  </si>
  <si>
    <t>Buff.Name.Electric.01</t>
  </si>
  <si>
    <t>Buff.Desc.Electric.01</t>
  </si>
  <si>
    <t>Buff.Name.Electric.02</t>
  </si>
  <si>
    <t>Buff.Desc.Electric.02</t>
  </si>
  <si>
    <t>Buff.Name.Electric.03</t>
  </si>
  <si>
    <t>Buff.Desc.Electric.03</t>
  </si>
  <si>
    <t>iras.passive.hprate.trigger.buff.03</t>
  </si>
  <si>
    <t>iras.passive.areadmgup.buff.03.01</t>
  </si>
  <si>
    <t>iras.passive.areadmgup.buff.buffeffect.03.01</t>
  </si>
  <si>
    <t>iras.passive.areadmgup.buff.03.02</t>
  </si>
  <si>
    <t>iras.passive.areadmgup.buff.buffeffect.03.02</t>
  </si>
  <si>
    <t>iras.passive.areadmgup.buff.03.03</t>
  </si>
  <si>
    <t>iras.passive.areadmgup.buff.buffeffect.03.03</t>
  </si>
  <si>
    <t>iras.passive.areadmgup.buff.03.04</t>
  </si>
  <si>
    <t>iras.passive.areadmgup.buff.buffeffect.03.04</t>
  </si>
  <si>
    <t>iras.passive.areadmgup.buff.03.05</t>
  </si>
  <si>
    <t>iras.passive.areadmgup.buff.buffeffect.03.05</t>
  </si>
  <si>
    <t>iras.passive.areadmgup.buff.03.06</t>
  </si>
  <si>
    <t>iras.passive.areadmgup.buff.buffeffect.03.06</t>
  </si>
  <si>
    <t>iras.passive.areadmgup.buff.03.07</t>
  </si>
  <si>
    <t>iras.passive.areadmgup.buff.buffeffect.03.07</t>
  </si>
  <si>
    <t>iras.passive.hprate.90.03</t>
  </si>
  <si>
    <t>iras.passive.hprate.80.03</t>
  </si>
  <si>
    <t>iras.passive.hprate.70.03</t>
  </si>
  <si>
    <t>iras.passive.hprate.60.03</t>
  </si>
  <si>
    <t>iras.passive.hprate.50.03</t>
  </si>
  <si>
    <t>iras.passive.hprate.40.03</t>
  </si>
  <si>
    <t>iras.passive.hprate.30.03</t>
  </si>
  <si>
    <t>balencia.ult.B.end.buff.02</t>
  </si>
  <si>
    <t>balencia.ult.B.end.buff.03</t>
  </si>
  <si>
    <t>balencia.ult.B.end.buff.04</t>
  </si>
  <si>
    <t>balencia.ult.B.end.buff.05</t>
  </si>
  <si>
    <t>balencia.ult.B.end.buff.06</t>
  </si>
  <si>
    <t>balencia.ult.B.end.buff.07</t>
  </si>
  <si>
    <t>balencia.ult.B.end.buff.01</t>
  </si>
  <si>
    <t>balencia.ult.attack.buffeffect.01</t>
  </si>
  <si>
    <t>balencia.ult.attack.buffeffect.02</t>
  </si>
  <si>
    <t>balencia.ult.attack.buffeffect.03</t>
  </si>
  <si>
    <t>balencia.ult.attack.buffeffect.04</t>
  </si>
  <si>
    <t>balencia.ult.attack.buffeffect.05</t>
  </si>
  <si>
    <t>balencia.ult.attack.buffeffect.06</t>
  </si>
  <si>
    <t>balencia.ult.attack.buffeffect.07</t>
  </si>
  <si>
    <t>balencia.ult.attack.skillmodifier.02</t>
  </si>
  <si>
    <t>balencia.ult.attack.skillmodifier.03</t>
  </si>
  <si>
    <t>balencia.ult.attack.skillmodifier.04</t>
  </si>
  <si>
    <t>balencia.ult.attack.skillmodifier.05</t>
  </si>
  <si>
    <t>balencia.ult.attack.skillmodifier.06</t>
  </si>
  <si>
    <t>balencia.ult.attack.skillmodifier.07</t>
  </si>
  <si>
    <t>AccelerationSkillTime.Up.01</t>
    <phoneticPr fontId="3" type="noConversion"/>
  </si>
  <si>
    <t>AccelerationSkillTime.Up.02</t>
  </si>
  <si>
    <t>AccelerationSkillTime.Up.03</t>
  </si>
  <si>
    <t>AccelerationSkillTime.Up.04</t>
  </si>
  <si>
    <t>AccelerationSkillTime.Up.05</t>
  </si>
  <si>
    <t>AccelerationSkillTime.Up.03</t>
    <phoneticPr fontId="3" type="noConversion"/>
  </si>
  <si>
    <t>balencia.passive.buff.05</t>
  </si>
  <si>
    <t>taina.ult.pull.buff.02</t>
  </si>
  <si>
    <t>taina.ult.pull.buff.03</t>
  </si>
  <si>
    <t>taina.ult.pull.buff.04</t>
  </si>
  <si>
    <t>taina.ult.pull.buff.05</t>
  </si>
  <si>
    <t>taina.ult.pull.buff.06</t>
  </si>
  <si>
    <t>taina.ult.pull.buff.07</t>
  </si>
  <si>
    <t>hellen.ult.B.buffeffect.01</t>
  </si>
  <si>
    <t>hellen.ult.B.buffeffect.02</t>
  </si>
  <si>
    <t>hellen.ult.B.buffeffect.03</t>
  </si>
  <si>
    <t>hellen.ult.B.buffeffect.04</t>
  </si>
  <si>
    <t>hellen.ult.B.buffeffect.05</t>
  </si>
  <si>
    <t>hellen.ult.B.buffeffect.06</t>
  </si>
  <si>
    <t>hellen.ult.B.modifier.02</t>
  </si>
  <si>
    <t>hellen.ult.B.modifier.03</t>
  </si>
  <si>
    <t>hellen.ult.B.modifier.04</t>
  </si>
  <si>
    <t>hellen.ult.B.modifier.05</t>
  </si>
  <si>
    <t>hellen.ult.B.modifier.06</t>
  </si>
  <si>
    <t>hellen.ult.B.buffeffect.07</t>
  </si>
  <si>
    <t>hellen.ult.B.modifier.07</t>
  </si>
  <si>
    <t>rayhou.ult.B.hot.buff.01</t>
  </si>
  <si>
    <t>rayhou.ult.B.hot.buff.buffeffect.01</t>
  </si>
  <si>
    <t>rayhou.ult.B.hot.buff.02</t>
  </si>
  <si>
    <t>rayhou.ult.B.hot.buff.buffeffect.02</t>
  </si>
  <si>
    <t>rayhou.ult.B.hot.buff.03</t>
  </si>
  <si>
    <t>rayhou.ult.B.hot.buff.buffeffect.03</t>
  </si>
  <si>
    <t>rayhou.ult.B.hot.buff.04</t>
  </si>
  <si>
    <t>rayhou.ult.B.hot.buff.buffeffect.04</t>
  </si>
  <si>
    <t>rayhou.ult.B.hot.buff.05</t>
  </si>
  <si>
    <t>rayhou.ult.B.hot.buff.buffeffect.05</t>
  </si>
  <si>
    <t>rayhou.ult.B.hot.buff.06</t>
  </si>
  <si>
    <t>rayhou.ult.B.hot.buff.buffeffect.06</t>
  </si>
  <si>
    <t>rayhou.ult.B.hot.buff.07</t>
  </si>
  <si>
    <t>rayhou.ult.B.hot.buff.buffeffect.07</t>
  </si>
  <si>
    <t>patricia.ult.B.slow.buff.05</t>
  </si>
  <si>
    <t>patricia.ult.B.slow.buff.06</t>
  </si>
  <si>
    <t>patricia.ult.B.slow.buff.07</t>
  </si>
  <si>
    <t>patricia.ult.B.slow.buff.buffeffect.05</t>
  </si>
  <si>
    <t>patricia.ult.B.slow.buff.buffeffect.06</t>
  </si>
  <si>
    <t>patricia.ult.B.slow.buff.buffeffect.07</t>
  </si>
  <si>
    <t>Buff.Name.Frost.02</t>
  </si>
  <si>
    <t>Buff.Name.Frost.03</t>
  </si>
  <si>
    <t>Buff.Name.Frost.04</t>
  </si>
  <si>
    <t>Buff.Name.Frost.05</t>
  </si>
  <si>
    <t>Buff.Desc.Frost.02</t>
  </si>
  <si>
    <t>Buff.Desc.Frost.03</t>
  </si>
  <si>
    <t>Buff.Desc.Frost.04</t>
  </si>
  <si>
    <t>Buff.Desc.Frost.05</t>
  </si>
  <si>
    <t>Buff.Name.Poison.02</t>
  </si>
  <si>
    <t>Buff.Name.Poison.03</t>
  </si>
  <si>
    <t>Buff.Name.Poison.04</t>
  </si>
  <si>
    <t>Buff.Name.Poison.05</t>
  </si>
  <si>
    <t>Buff.Name.Poison.01</t>
  </si>
  <si>
    <t>Buff.Desc.Poison.02</t>
  </si>
  <si>
    <t>Buff.Desc.Poison.03</t>
  </si>
  <si>
    <t>Buff.Desc.Poison.04</t>
  </si>
  <si>
    <t>Buff.Desc.Poison.05</t>
  </si>
  <si>
    <t>Buff.Desc.Poison.01</t>
  </si>
  <si>
    <t>eiko.ult.effect.event.buff.04</t>
  </si>
  <si>
    <t>eiko.ult.effect.event.buff.05</t>
  </si>
  <si>
    <t>eiko.ult.effect.event.buff.06</t>
  </si>
  <si>
    <t>NormalDamage.Up.01</t>
    <phoneticPr fontId="3" type="noConversion"/>
  </si>
  <si>
    <t>NormalDamage.Up.02</t>
  </si>
  <si>
    <t>NormalDamage.Up.03</t>
  </si>
  <si>
    <t>NormalDamage.Up.04</t>
  </si>
  <si>
    <t>NormalDamage.Up.05</t>
  </si>
  <si>
    <t>renas.ult.bleed.buff.05</t>
  </si>
  <si>
    <t>renas.ult.bleed.buff.06</t>
  </si>
  <si>
    <t>renas.passive.bleed.buff.05</t>
  </si>
  <si>
    <t>gray.passive.buff.buffeffect.05</t>
  </si>
  <si>
    <t>gray.passive.critical.event.buff.05</t>
  </si>
  <si>
    <t>gray.passive.critical.event.buff.buffeffect.05</t>
  </si>
  <si>
    <t>gray.passive.critical.event.ep.buff.buffeffect.05</t>
  </si>
  <si>
    <t>gray.passive.critical.event.ep.skilleffect.05</t>
  </si>
  <si>
    <t>gray.passive.critical.event.skilleffect.05</t>
  </si>
  <si>
    <t>gray.passive.buff.05</t>
  </si>
  <si>
    <t>gray.passive.critical.event.ep.buff.05</t>
  </si>
  <si>
    <t>Buff.Name.Silence</t>
    <phoneticPr fontId="3" type="noConversion"/>
  </si>
  <si>
    <t>icon_battle_silence</t>
  </si>
  <si>
    <t>Buff.Desc.Silence</t>
  </si>
  <si>
    <t>melissa.active2.atkdown.buff.03</t>
  </si>
  <si>
    <t>melissa.active2.atkdown.buff.04</t>
  </si>
  <si>
    <t>klairs.ult.electric.buff.05</t>
  </si>
  <si>
    <t>klairs.passive.electric.buff.05</t>
  </si>
  <si>
    <t>diana.active2.effect.atkspddown.buff.04</t>
  </si>
  <si>
    <t>UltimateDamageRate</t>
    <phoneticPr fontId="3" type="noConversion"/>
  </si>
  <si>
    <t>AddEnergyRate</t>
    <phoneticPr fontId="3" type="noConversion"/>
  </si>
  <si>
    <t>angelica.ult.B.airborne.buff</t>
  </si>
  <si>
    <t>NormalDamageRate</t>
    <phoneticPr fontId="3" type="noConversion"/>
  </si>
  <si>
    <t>AttackSpeedRate</t>
    <phoneticPr fontId="3" type="noConversion"/>
  </si>
  <si>
    <t>MoveSpeedRate</t>
    <phoneticPr fontId="3" type="noConversion"/>
  </si>
  <si>
    <t>angelica.ult.B.pre.buff.02</t>
  </si>
  <si>
    <t>angelica.ult.B.pre.buff.03</t>
  </si>
  <si>
    <t>angelica.ult.B.pre.buff.04</t>
  </si>
  <si>
    <t>angelica.ult.B.pre.buff.05</t>
  </si>
  <si>
    <t>angelica.ult.B.pre.buff.06</t>
  </si>
  <si>
    <t>angelica.ult.B.pre.buff.07</t>
  </si>
  <si>
    <t>angelica.ult.B.pre.buff.buffeffect.02</t>
  </si>
  <si>
    <t>angelica.ult.B.pre.buff.buffeffect.03</t>
  </si>
  <si>
    <t>angelica.ult.B.pre.buff.buffeffect.04</t>
  </si>
  <si>
    <t>angelica.ult.B.pre.buff.buffeffect.05</t>
  </si>
  <si>
    <t>angelica.ult.B.pre.buff.buffeffect.06</t>
  </si>
  <si>
    <t>angelica.ult.B.pre.buff.buffeffect.07</t>
  </si>
  <si>
    <t>angelica.ult.B.pre.buff.buffeffect.skilleffect.02</t>
  </si>
  <si>
    <t>angelica.ult.B.pre.buff.buffeffect.skilleffect.03</t>
  </si>
  <si>
    <t>angelica.ult.B.pre.buff.buffeffect.skilleffect.04</t>
  </si>
  <si>
    <t>angelica.ult.B.pre.buff.buffeffect.skilleffect.05</t>
  </si>
  <si>
    <t>angelica.ult.B.pre.buff.buffeffect.skilleffect.06</t>
  </si>
  <si>
    <t>angelica.ult.B.pre.buff.buffeffect.skilleffect.07</t>
  </si>
  <si>
    <t>angelica.ult.B.pre.buff.buffeffect.skilleffect.01</t>
  </si>
  <si>
    <t>renas.ult.attack.pre.buff.02</t>
  </si>
  <si>
    <t>renas.ult.B.post.buff.02</t>
  </si>
  <si>
    <t>renas.ult.B.post.buff.03</t>
  </si>
  <si>
    <t>renas.ult.B.post.buff.04</t>
  </si>
  <si>
    <t>renas.ult.B.post.buff.05</t>
  </si>
  <si>
    <t>renas.ult.B.post.buff.06</t>
  </si>
  <si>
    <t>renas.ult.B.post.buff.07</t>
  </si>
  <si>
    <t>renas.ult.B.post.buff.01</t>
  </si>
  <si>
    <t>!renas.ult.B.arrow.buff</t>
  </si>
  <si>
    <t>renas.passive.ex.buff.02</t>
  </si>
  <si>
    <t>renas.passive.ex.buff.03</t>
  </si>
  <si>
    <t>renas.passive.ex.buff.04</t>
  </si>
  <si>
    <t>renas.passive.ex.buff.05</t>
  </si>
  <si>
    <t>renas.passive.ex.buff.06</t>
  </si>
  <si>
    <t>renas.passive.buff.modifier.effect.01</t>
  </si>
  <si>
    <t>renas.passive.buff.modifier.effect.02</t>
  </si>
  <si>
    <t>renas.passive.buff.modifier.effect.03</t>
  </si>
  <si>
    <t>renas.passive.buff.modifier.effect.04</t>
  </si>
  <si>
    <t>renas.passive.buff.modifier.effect.05</t>
  </si>
  <si>
    <t>renas.passive.buff.modifier.effect.06</t>
  </si>
  <si>
    <t>renas.ult.attack.modifier.02</t>
  </si>
  <si>
    <t>renas.ult.attack.modifier.03</t>
  </si>
  <si>
    <t>renas.ult.attack.modifier.04</t>
  </si>
  <si>
    <t>renas.ult.attack.modifier.05</t>
  </si>
  <si>
    <t>renas.ult.attack.modifier.06</t>
  </si>
  <si>
    <t>renas.ult.attack.buff.02.02</t>
  </si>
  <si>
    <t>renas.ult.attack.buff.02.03</t>
  </si>
  <si>
    <t>renas.ult.attack.buff.02.04</t>
  </si>
  <si>
    <t>renas.ult.attack.buff.02.05</t>
  </si>
  <si>
    <t>renas.ult.attack.buff.02.06</t>
  </si>
  <si>
    <t>renas.ult.attack.modifier.buffeffect.01.02</t>
  </si>
  <si>
    <t>renas.ult.attack.modifier.buffeffect.01.03</t>
  </si>
  <si>
    <t>renas.ult.attack.modifier.buffeffect.01.04</t>
  </si>
  <si>
    <t>renas.ult.attack.modifier.buffeffect.01.05</t>
  </si>
  <si>
    <t>renas.ult.attack.modifier.buffeffect.01.06</t>
  </si>
  <si>
    <t>renas.ult.attack.modifier.buffeffect.01.07</t>
  </si>
  <si>
    <t>renas.ult.attack.modifier.buffeffect.02.02</t>
  </si>
  <si>
    <t>renas.ult.attack.modifier.buffeffect.02.03</t>
  </si>
  <si>
    <t>renas.ult.attack.modifier.buffeffect.02.04</t>
  </si>
  <si>
    <t>renas.ult.attack.modifier.buffeffect.02.05</t>
  </si>
  <si>
    <t>renas.ult.attack.modifier.buffeffect.02.06</t>
  </si>
  <si>
    <t>renas.ult.B.attack.modifier.01.02</t>
  </si>
  <si>
    <t>renas.ult.B.attack.modifier.01.03</t>
  </si>
  <si>
    <t>renas.ult.B.attack.modifier.01.04</t>
  </si>
  <si>
    <t>renas.ult.B.attack.modifier.01.05</t>
  </si>
  <si>
    <t>renas.ult.B.attack.modifier.01.06</t>
  </si>
  <si>
    <t>renas.ult.B.attack.modifier.01.07</t>
  </si>
  <si>
    <t>renas.ult.B.attack.modifier.02.02</t>
  </si>
  <si>
    <t>renas.ult.B.attack.modifier.02.03</t>
  </si>
  <si>
    <t>renas.ult.B.attack.modifier.02.04</t>
  </si>
  <si>
    <t>renas.ult.B.attack.modifier.02.05</t>
  </si>
  <si>
    <t>renas.ult.B.attack.modifier.02.06</t>
  </si>
  <si>
    <t>lilian.ult.pull.buffeffect</t>
  </si>
  <si>
    <t>pull3000</t>
    <phoneticPr fontId="3" type="noConversion"/>
  </si>
  <si>
    <t>silence</t>
  </si>
  <si>
    <t>ino.ult.B.post.buff.02</t>
  </si>
  <si>
    <t>ino.ult.B.post.buff.03</t>
  </si>
  <si>
    <t>ino.ult.B.post.buff.04</t>
  </si>
  <si>
    <t>ino.ult.B.post.buff.05</t>
  </si>
  <si>
    <t>ino.ult.B.post.buff.06</t>
  </si>
  <si>
    <t>ino.ult.B.post.buff.07</t>
  </si>
  <si>
    <t>ino.ult.B.post.buff.01</t>
  </si>
  <si>
    <t>ino.ult.B.skillchange</t>
  </si>
  <si>
    <t>ino.ult.B.buff.buffeffect.02</t>
  </si>
  <si>
    <t>ino.ult.B.buff.buffeffect.03</t>
  </si>
  <si>
    <t>ino.ult.B.buff.buffeffect.04</t>
  </si>
  <si>
    <t>ino.ult.B.buff.buffeffect.05</t>
  </si>
  <si>
    <t>ino.ult.B.buff.buffeffect.06</t>
  </si>
  <si>
    <t>ino.ult.B.buff.buffeffect.07</t>
  </si>
  <si>
    <t>arcels.ult.buff.02</t>
  </si>
  <si>
    <t>arcels.ult.buff.03</t>
  </si>
  <si>
    <t>arcels.ult.buff.04</t>
  </si>
  <si>
    <t>arcels.ult.buff.05</t>
  </si>
  <si>
    <t>arcels.ult.buff.06</t>
  </si>
  <si>
    <t>arcels.ult.buff.07</t>
  </si>
  <si>
    <t>arcels.ult.buff.buffeffect.01</t>
  </si>
  <si>
    <t>arcels.ult.buff.buffeffect.02</t>
  </si>
  <si>
    <t>arcels.ult.buff.buffeffect.03</t>
  </si>
  <si>
    <t>arcels.ult.buff.buffeffect.04</t>
  </si>
  <si>
    <t>arcels.ult.buff.buffeffect.05</t>
  </si>
  <si>
    <t>arcels.ult.buff.buffeffect.06</t>
  </si>
  <si>
    <t>arcels.ult.buff.buffeffect.07</t>
  </si>
  <si>
    <t>eiko.ult.B.effect.event.buff.02</t>
  </si>
  <si>
    <t>eiko.ult.B.effect.event.buff.03</t>
  </si>
  <si>
    <t>eiko.ult.B.effect.event.buff.04</t>
  </si>
  <si>
    <t>eiko.ult.B.effect.event.buff.05</t>
  </si>
  <si>
    <t>eiko.ult.B.effect.event.buff.06</t>
  </si>
  <si>
    <t>eiko.passive.ex.buff.02</t>
  </si>
  <si>
    <t>eiko.passive.ex.buff.03</t>
  </si>
  <si>
    <t>eiko.passive.ex.buff.04</t>
  </si>
  <si>
    <t>eiko.passive.ex.buff.05</t>
  </si>
  <si>
    <t>eiko.passive.ex.buff.06</t>
  </si>
  <si>
    <t>eiko.passive.ex.buff.01</t>
  </si>
  <si>
    <t>eiko.passive.ex.buff.buffeffect.01</t>
  </si>
  <si>
    <t>eiko.passive.ex.buff.buffeffect.02</t>
  </si>
  <si>
    <t>eiko.passive.ex.buff.buffeffect.03</t>
  </si>
  <si>
    <t>eiko.passive.ex.buff.buffeffect.04</t>
  </si>
  <si>
    <t>eiko.passive.ex.buff.buffeffect.05</t>
  </si>
  <si>
    <t>eiko.passive.ex.buff.buffeffect.06</t>
  </si>
  <si>
    <t>eiko.passive.ex.event.buff.01</t>
  </si>
  <si>
    <t>eiko.passive.ex.event.buff.02</t>
  </si>
  <si>
    <t>eiko.passive.ex.event.buff.03</t>
  </si>
  <si>
    <t>eiko.passive.ex.event.buff.04</t>
  </si>
  <si>
    <t>eiko.passive.ex.event.buff.05</t>
  </si>
  <si>
    <t>eiko.passive.ex.event.buff.06</t>
  </si>
  <si>
    <t>angelica.passive.ex.buff.02</t>
  </si>
  <si>
    <t>angelica.passive.ex.buff.03</t>
  </si>
  <si>
    <t>angelica.passive.ex.buff.04</t>
  </si>
  <si>
    <t>angelica.passive.ex.buff.05</t>
  </si>
  <si>
    <t>angelica.passive.ex.buff.06</t>
  </si>
  <si>
    <t>angelica.passive.ex.buff.01.skilleffect.02</t>
  </si>
  <si>
    <t>angelica.passive.ex.buff.01.skilleffect.03</t>
  </si>
  <si>
    <t>angelica.passive.ex.buff.01.skilleffect.04</t>
  </si>
  <si>
    <t>angelica.passive.ex.buff.01.skilleffect.05</t>
  </si>
  <si>
    <t>angelica.passive.ex.buff.01.skilleffect.06</t>
  </si>
  <si>
    <t>angelica.passive.ex.buff.01.02</t>
  </si>
  <si>
    <t>angelica.passive.ex.buff.01.03</t>
  </si>
  <si>
    <t>angelica.passive.ex.buff.01.04</t>
  </si>
  <si>
    <t>angelica.passive.ex.buff.01.05</t>
  </si>
  <si>
    <t>angelica.passive.ex.buff.01.06</t>
  </si>
  <si>
    <t>angelica.passive.ex.buff.buffeffect.01.02</t>
  </si>
  <si>
    <t>angelica.passive.ex.buff.buffeffect.01.03</t>
  </si>
  <si>
    <t>angelica.passive.ex.buff.buffeffect.01.04</t>
  </si>
  <si>
    <t>angelica.passive.ex.buff.buffeffect.01.05</t>
  </si>
  <si>
    <t>angelica.passive.ex.buff.buffeffect.01.06</t>
  </si>
  <si>
    <t>angelica.passive.ex.buff.01.buffeffect.02</t>
  </si>
  <si>
    <t>angelica.passive.ex.buff.01.buffeffect.03</t>
  </si>
  <si>
    <t>angelica.passive.ex.buff.01.buffeffect.04</t>
  </si>
  <si>
    <t>angelica.passive.ex.buff.01.buffeffect.05</t>
  </si>
  <si>
    <t>angelica.passive.ex.buff.01.buffeffect.06</t>
  </si>
  <si>
    <t>angelica.passive.ex.buff.02.buffeffect.02</t>
  </si>
  <si>
    <t>angelica.passive.ex.buff.02.buffeffect.03</t>
  </si>
  <si>
    <t>angelica.passive.ex.buff.02.buffeffect.04</t>
  </si>
  <si>
    <t>angelica.passive.ex.buff.02.buffeffect.05</t>
  </si>
  <si>
    <t>angelica.passive.ex.buff.02.buffeffect.06</t>
  </si>
  <si>
    <t>angelica.passive.ex.buff.02.skilleffect.02</t>
  </si>
  <si>
    <t>angelica.passive.ex.buff.02.skilleffect.03</t>
  </si>
  <si>
    <t>angelica.passive.ex.buff.02.skilleffect.04</t>
  </si>
  <si>
    <t>angelica.passive.ex.buff.02.skilleffect.05</t>
  </si>
  <si>
    <t>angelica.passive.ex.buff.02.skilleffect.06</t>
  </si>
  <si>
    <t>angelica.passive.ex.buff.02.02</t>
  </si>
  <si>
    <t>angelica.passive.ex.buff.02.03</t>
  </si>
  <si>
    <t>angelica.passive.ex.buff.02.04</t>
  </si>
  <si>
    <t>angelica.passive.ex.buff.02.05</t>
  </si>
  <si>
    <t>angelica.passive.ex.buff.02.06</t>
  </si>
  <si>
    <t>angelica.passive.ex.buff.02.01</t>
  </si>
  <si>
    <t>arcels.passive.ex.buff.02</t>
  </si>
  <si>
    <t>arcels.passive.ex.buff.03</t>
  </si>
  <si>
    <t>arcels.passive.ex.buff.04</t>
  </si>
  <si>
    <t>arcels.passive.ex.buff.05</t>
  </si>
  <si>
    <t>arcels.passive.ex.buff.06</t>
  </si>
  <si>
    <t>arcels.ult.passive.damage.buff.buffeffect.skilleffect.02</t>
  </si>
  <si>
    <t>arcels.ult.passive.damage.buff.buffeffect.skilleffect.03</t>
  </si>
  <si>
    <t>arcels.ult.passive.damage.buff.buffeffect.skilleffect.04</t>
  </si>
  <si>
    <t>arcels.ult.passive.damage.buff.buffeffect.skilleffect.05</t>
  </si>
  <si>
    <t>arcels.ult.passive.damage.buff.buffeffect.skilleffect.06</t>
  </si>
  <si>
    <t>arcels.ult.passive.damage.buff.buffeffect.skilleffect.01</t>
  </si>
  <si>
    <t>shale.passive.ex.buff.02</t>
  </si>
  <si>
    <t>shale.passive.ex.buff.03</t>
  </si>
  <si>
    <t>shale.passive.ex.buff.04</t>
  </si>
  <si>
    <t>shale.passive.ex.buff.05</t>
  </si>
  <si>
    <t>shale.passive.ex.buff.06</t>
  </si>
  <si>
    <t>DamageRate</t>
    <phoneticPr fontId="3" type="noConversion"/>
  </si>
  <si>
    <t>snopril.ult.B.taunt.buff</t>
  </si>
  <si>
    <t>provoke</t>
    <phoneticPr fontId="3" type="noConversion"/>
  </si>
  <si>
    <t>snopril.passive.ex.buff.02</t>
  </si>
  <si>
    <t>snopril.passive.ex.buff.03</t>
  </si>
  <si>
    <t>snopril.passive.ex.buff.04</t>
  </si>
  <si>
    <t>snopril.passive.ex.buff.05</t>
  </si>
  <si>
    <t>snopril.passive.ex.buff.06</t>
  </si>
  <si>
    <t>snopril.ult.trigger.buff.buffeffect.01</t>
  </si>
  <si>
    <t>snopril.ult.trigger.buff.buffeffect.02</t>
  </si>
  <si>
    <t>snopril.ult.trigger.buff.buffeffect.03</t>
  </si>
  <si>
    <t>snopril.ult.trigger.buff.buffeffect.04</t>
  </si>
  <si>
    <t>snopril.ult.trigger.buff.buffeffect.05</t>
  </si>
  <si>
    <t>snopril.passive.ex.buff.01</t>
  </si>
  <si>
    <t>snopril.ult.B.trigger.buff.buffeffect.01
snopril.ult.B.trigger.buff.buffeffect.02
snopril.ult.B.trigger.buff.buffeffect.03
snopril.ult.B.trigger.buff.buffeffect.04
snopril.ult.B.trigger.buff.buffeffect.05</t>
  </si>
  <si>
    <t>snopril.ult.B.trigger.buff.buffeffect.01</t>
  </si>
  <si>
    <t>snopril.ult.B.trigger.buff.buffeffect.02</t>
  </si>
  <si>
    <t>snopril.ult.B.trigger.buff.buffeffect.03</t>
  </si>
  <si>
    <t>snopril.ult.B.trigger.buff.buffeffect.04</t>
  </si>
  <si>
    <t>snopril.ult.B.trigger.buff.buffeffect.05</t>
  </si>
  <si>
    <t>snopril.ult.c.pre.buff.01</t>
  </si>
  <si>
    <t>snopril.ult.c.pre.buff.01.buffeffect.01</t>
  </si>
  <si>
    <t>snopril.ult.pre.buff.01</t>
  </si>
  <si>
    <t>snopril.ult.pre.buff.01.buffeffect.01</t>
  </si>
  <si>
    <t>snopril.ult.B.pre.buff.01</t>
  </si>
  <si>
    <t>snopril.ult.B.pre.buff.01.buffeffect.01</t>
  </si>
  <si>
    <t>snopril.ult.c.pre.buff.01.skilleffect.01</t>
  </si>
  <si>
    <t>snopril.ult.pre.buff.01.skilleffect.01</t>
  </si>
  <si>
    <t>snopril.ult.B.pre.buff.01.skilleffect.01</t>
  </si>
  <si>
    <t>renas.passive.ex.buffeffect.02</t>
  </si>
  <si>
    <t>renas.passive.ex.buffeffect.03</t>
  </si>
  <si>
    <t>renas.passive.ex.buffeffect.04</t>
  </si>
  <si>
    <t>renas.passive.ex.buffeffect.05</t>
  </si>
  <si>
    <t>renas.passive.ex.buffeffect.06</t>
  </si>
  <si>
    <t>ino.passive.ex.buff.02</t>
  </si>
  <si>
    <t>ino.passive.ex.buff.03</t>
  </si>
  <si>
    <t>ino.passive.ex.buff.04</t>
  </si>
  <si>
    <t>ino.passive.ex.buff.05</t>
  </si>
  <si>
    <t>ino.passive.ex.buff.06</t>
  </si>
  <si>
    <t>ino.passive.ex.buff.buffeffect.01.02</t>
  </si>
  <si>
    <t>ino.passive.ex.buff.buffeffect.01.03</t>
  </si>
  <si>
    <t>ino.passive.ex.buff.buffeffect.01.04</t>
  </si>
  <si>
    <t>ino.passive.ex.buff.buffeffect.01.05</t>
  </si>
  <si>
    <t>ino.passive.ex.buff.buffeffect.01.06</t>
  </si>
  <si>
    <t>ino.passive.ex.buff.buffeffect.skilleffect.01.02</t>
  </si>
  <si>
    <t>ino.passive.ex.buff.buffeffect.skilleffect.01.03</t>
  </si>
  <si>
    <t>ino.passive.ex.buff.buffeffect.skilleffect.01.04</t>
  </si>
  <si>
    <t>ino.passive.ex.buff.buffeffect.skilleffect.01.05</t>
  </si>
  <si>
    <t>ino.passive.ex.buff.buffeffect.skilleffect.01.06</t>
  </si>
  <si>
    <t>melissa.summon.blind.buff.02</t>
  </si>
  <si>
    <t>melissa.summon.blind.buff.03</t>
  </si>
  <si>
    <t>melissa.summon.blind.buff.04</t>
  </si>
  <si>
    <t>melissa.summon.blind.buff.01</t>
  </si>
  <si>
    <t>melissa.summon.blind.buff.05</t>
  </si>
  <si>
    <t>melissa.summon.blind.buff.06</t>
  </si>
  <si>
    <t>melissa.summon.passive.end.effect.02</t>
  </si>
  <si>
    <t>melissa.summon.passive.end.effect.03</t>
  </si>
  <si>
    <t>melissa.summon.passive.end.effect.04</t>
  </si>
  <si>
    <t>melissa.summon.passive.end.effect.05</t>
  </si>
  <si>
    <t>melissa.summon.passive.end.effect.06</t>
  </si>
  <si>
    <t>melissa.summon.passive.end.buff.02</t>
  </si>
  <si>
    <t>melissa.summon.passive.end.buff.03</t>
  </si>
  <si>
    <t>melissa.summon.passive.end.buff.04</t>
  </si>
  <si>
    <t>melissa.summon.passive.end.buff.05</t>
  </si>
  <si>
    <t>melissa.summon.passive.end.buff.06</t>
  </si>
  <si>
    <t>melissa.summon.passive.end.buff.01</t>
  </si>
  <si>
    <t>melissa.summon.passive.end.buff.buffeffect.01</t>
  </si>
  <si>
    <t>melissa.summon.passive.end.buff.buffeffect.02</t>
  </si>
  <si>
    <t>melissa.summon.passive.end.buff.buffeffect.03</t>
  </si>
  <si>
    <t>melissa.summon.passive.end.buff.buffeffect.04</t>
  </si>
  <si>
    <t>melissa.summon.passive.end.buff.buffeffect.05</t>
  </si>
  <si>
    <t>melissa.summon.passive.end.buff.buffeffect.06</t>
  </si>
  <si>
    <t>melissa.summon.passive.end.effect.01</t>
  </si>
  <si>
    <t>Effect/Prefab/10_buff/EFF_debuff_blind</t>
  </si>
  <si>
    <t>melissa.passive.ex.buff.02</t>
  </si>
  <si>
    <t>melissa.passive.ex.buff.03</t>
  </si>
  <si>
    <t>melissa.passive.ex.buff.04</t>
  </si>
  <si>
    <t>melissa.passive.ex.buff.05</t>
  </si>
  <si>
    <t>melissa.passive.ex.buff.06</t>
  </si>
  <si>
    <t>melissa.passive.ex.buff.buffeffect.02</t>
  </si>
  <si>
    <t>melissa.passive.ex.buff.buffeffect.03</t>
  </si>
  <si>
    <t>melissa.passive.ex.buff.buffeffect.04</t>
  </si>
  <si>
    <t>melissa.passive.ex.buff.buffeffect.05</t>
  </si>
  <si>
    <t>melissa.passive.ex.buff.buffeffect.06</t>
  </si>
  <si>
    <t>melissa.passive.ex.buff.buffeffect.skilleffect.02</t>
  </si>
  <si>
    <t>melissa.passive.ex.buff.buffeffect.skilleffect.03</t>
  </si>
  <si>
    <t>melissa.passive.ex.buff.buffeffect.skilleffect.04</t>
  </si>
  <si>
    <t>melissa.passive.ex.buff.buffeffect.skilleffect.05</t>
  </si>
  <si>
    <t>melissa.passive.ex.buff.buffeffect.skilleffect.06</t>
  </si>
  <si>
    <t>belita.ex.active2.effect.buff.buffeffect.02</t>
  </si>
  <si>
    <t>belita.ex.active2.effect.buff.buffeffect.03</t>
  </si>
  <si>
    <t>belita.ex.active2.effect.buff.buffeffect.04</t>
  </si>
  <si>
    <t>belita.ex.active2.effect.buff.buffeffect.05</t>
  </si>
  <si>
    <t>belita.ex.active2.effect.buff.buffeffect.06</t>
  </si>
  <si>
    <t>belita.ex.active2.effect.buff.buffeffect.01</t>
  </si>
  <si>
    <t>belita.ult.B.stun.buff</t>
  </si>
  <si>
    <t>Def.Down.05</t>
    <phoneticPr fontId="3" type="noConversion"/>
  </si>
  <si>
    <t>belita.ex.active02.dmg.buff.buffeffect.01</t>
  </si>
  <si>
    <t>belita.ex.active02.dmg.buff.buffeffect.02</t>
  </si>
  <si>
    <t>belita.ex.active02.dmg.buff.buffeffect.03</t>
  </si>
  <si>
    <t>belita.ex.active02.dmg.buff.buffeffect.04</t>
  </si>
  <si>
    <t>belita.ex.active02.dmg.buff.buffeffect.05</t>
  </si>
  <si>
    <t>belita.ex.active02.dmg.buff.buffeffect.06</t>
  </si>
  <si>
    <t>belita.ex.active02.dmg.modifier.02</t>
  </si>
  <si>
    <t>belita.ex.active02.dmg.modifier.03</t>
  </si>
  <si>
    <t>belita.ex.active02.dmg.modifier.04</t>
  </si>
  <si>
    <t>belita.ex.active02.dmg.modifier.05</t>
  </si>
  <si>
    <t>belita.ex.active02.dmg.modifier.06</t>
  </si>
  <si>
    <t>belita.ex.passive.buff.buffeffect.01</t>
  </si>
  <si>
    <t>belita.ex.passive.buff.buffeffect.02</t>
  </si>
  <si>
    <t>belita.ex.passive.buff.buffeffect.03</t>
  </si>
  <si>
    <t>belita.ex.passive.buff.buffeffect.04</t>
  </si>
  <si>
    <t>belita.ex.passive.buff.buffeffect.05</t>
  </si>
  <si>
    <t>belita.ex.passive.buff.buffeffect.06</t>
  </si>
  <si>
    <t>belita.ex.passive.buff.buffeffect.skilleffect.02</t>
  </si>
  <si>
    <t>belita.ex.passive.buff.buffeffect.skilleffect.03</t>
  </si>
  <si>
    <t>belita.ex.passive.buff.buffeffect.skilleffect.04</t>
  </si>
  <si>
    <t>belita.ex.passive.buff.buffeffect.skilleffect.05</t>
  </si>
  <si>
    <t>belita.ex.passive.buff.buffeffect.skilleffect.06</t>
  </si>
  <si>
    <t>lilian.passive.ex.buff.02</t>
  </si>
  <si>
    <t>lilian.passive.ex.buff.03</t>
  </si>
  <si>
    <t>lilian.passive.ex.buff.04</t>
  </si>
  <si>
    <t>lilian.passive.ex.buff.05</t>
  </si>
  <si>
    <t>lilian.passive.ex.buff.06</t>
  </si>
  <si>
    <t>lilian.passive.ex.buff.buffeffect.02</t>
  </si>
  <si>
    <t>lilian.passive.ex.buff.buffeffect.03</t>
  </si>
  <si>
    <t>lilian.passive.ex.buff.buffeffect.04</t>
  </si>
  <si>
    <t>lilian.passive.ex.buff.buffeffect.05</t>
  </si>
  <si>
    <t>lilian.passive.ex.buff.buffeffect.06</t>
  </si>
  <si>
    <t>lilian.passive.ex.modifier.02</t>
  </si>
  <si>
    <t>lilian.passive.ex.modifier.03</t>
  </si>
  <si>
    <t>lilian.passive.ex.modifier.04</t>
  </si>
  <si>
    <t>lilian.passive.ex.modifier.05</t>
  </si>
  <si>
    <t>lilian.passive.ex.modifier.06</t>
  </si>
  <si>
    <t>erica.passive.ex.buff.02</t>
  </si>
  <si>
    <t>erica.passive.ex.buff.03</t>
  </si>
  <si>
    <t>erica.passive.ex.buff.04</t>
  </si>
  <si>
    <t>erica.passive.ex.buff.05</t>
  </si>
  <si>
    <t>erica.passive.ex.buff.06</t>
  </si>
  <si>
    <t>erica.passive.ex.buff.buffeffect.02</t>
  </si>
  <si>
    <t>erica.passive.ex.buff.buffeffect.03</t>
  </si>
  <si>
    <t>erica.passive.ex.buff.buffeffect.04</t>
  </si>
  <si>
    <t>erica.passive.ex.buff.buffeffect.05</t>
  </si>
  <si>
    <t>erica.passive.ex.buff.buffeffect.06</t>
  </si>
  <si>
    <t>AccelerationSkillTime.Down.01</t>
    <phoneticPr fontId="3" type="noConversion"/>
  </si>
  <si>
    <t>AccelerationSkillTime.Down.03</t>
  </si>
  <si>
    <t>AccelerationSkillTime.Down.04</t>
  </si>
  <si>
    <t>AccelerationSkillTime.Down.05</t>
  </si>
  <si>
    <t>gray.ult.B.acceldown.buff.02</t>
  </si>
  <si>
    <t>gray.ult.B.acceldown.buff.03</t>
  </si>
  <si>
    <t>gray.ult.B.acceldown.buff.04</t>
  </si>
  <si>
    <t>gray.ult.B.acceldown.buff.05</t>
  </si>
  <si>
    <t>gray.ult.B.acceldown.buff.06</t>
  </si>
  <si>
    <t>gray.ult.B.acceldown.buff.07</t>
  </si>
  <si>
    <t>gray.ult.B.acceldown.buff.01</t>
  </si>
  <si>
    <t>gray.passive.ex.buff.02</t>
  </si>
  <si>
    <t>gray.passive.ex.buff.03</t>
  </si>
  <si>
    <t>gray.passive.ex.buff.04</t>
  </si>
  <si>
    <t>gray.passive.ex.buff.05</t>
  </si>
  <si>
    <t>gray.passive.ex.buff.buffeffect.01</t>
  </si>
  <si>
    <t>gray.passive.ex.buff.buffeffect.02</t>
  </si>
  <si>
    <t>gray.passive.ex.buff.buffeffect.03</t>
  </si>
  <si>
    <t>gray.passive.ex.buff.buffeffect.04</t>
  </si>
  <si>
    <t>gray.passive.ex.buff.buffeffect.05</t>
  </si>
  <si>
    <t>gray.passive.ex.buff.buffeffect.skilleffect.02</t>
  </si>
  <si>
    <t>gray.passive.ex.buff.buffeffect.skilleffect.03</t>
  </si>
  <si>
    <t>gray.passive.ex.buff.buffeffect.skilleffect.04</t>
  </si>
  <si>
    <t>gray.passive.ex.buff.buffeffect.skilleffect.05</t>
  </si>
  <si>
    <t>gray.passive.ex.event.buff.02</t>
  </si>
  <si>
    <t>gray.passive.ex.event.buff.03</t>
  </si>
  <si>
    <t>gray.passive.ex.event.buff.04</t>
  </si>
  <si>
    <t>gray.passive.ex.event.buff.05</t>
  </si>
  <si>
    <t>CriticalDamage.Up.01</t>
    <phoneticPr fontId="3" type="noConversion"/>
  </si>
  <si>
    <t>AccelerationSkillTime.Down.02</t>
    <phoneticPr fontId="3" type="noConversion"/>
  </si>
  <si>
    <t>klairs.ult.B.block.buff.02</t>
  </si>
  <si>
    <t>klairs.ult.B.block.buff.03</t>
  </si>
  <si>
    <t>klairs.ult.B.block.buff.04</t>
  </si>
  <si>
    <t>klairs.ult.B.block.buff.05</t>
  </si>
  <si>
    <t>klairs.passive.ex.buff.02</t>
  </si>
  <si>
    <t>klairs.passive.ex.buff.03</t>
  </si>
  <si>
    <t>klairs.passive.ex.buff.04</t>
  </si>
  <si>
    <t>klairs.passive.ex.buff.05</t>
  </si>
  <si>
    <t>klairs.passive.ex.buff.06</t>
  </si>
  <si>
    <t>klairs.passive.ex.buff.buffeffect.02</t>
  </si>
  <si>
    <t>klairs.passive.ex.buff.buffeffect.03</t>
  </si>
  <si>
    <t>klairs.passive.ex.buff.buffeffect.04</t>
  </si>
  <si>
    <t>klairs.passive.ex.buff.buffeffect.05</t>
  </si>
  <si>
    <t>klairs.passive.ex.buff.buffeffect.06</t>
  </si>
  <si>
    <t>klairs.passive.ex.event.buff.02</t>
  </si>
  <si>
    <t>klairs.passive.ex.event.buff.03</t>
  </si>
  <si>
    <t>klairs.passive.ex.event.buff.04</t>
  </si>
  <si>
    <t>klairs.passive.ex.event.buff.05</t>
  </si>
  <si>
    <t>klairs.passive.ex.event.buff.06</t>
  </si>
  <si>
    <t>Enemy</t>
    <phoneticPr fontId="3" type="noConversion"/>
  </si>
  <si>
    <t>klairs.passive.ex.event.buff.buffeffect.02</t>
  </si>
  <si>
    <t>klairs.passive.ex.event.buff.buffeffect.03</t>
  </si>
  <si>
    <t>klairs.passive.ex.event.buff.buffeffect.04</t>
  </si>
  <si>
    <t>klairs.passive.ex.event.buff.buffeffect.05</t>
  </si>
  <si>
    <t>klairs.passive.ex.event.buff.buffeffect.06</t>
  </si>
  <si>
    <t>GuardRate</t>
    <phoneticPr fontId="3" type="noConversion"/>
  </si>
  <si>
    <t>shale.passive.ex.bookmark.buff.02</t>
  </si>
  <si>
    <t>shale.passive.ex.bookmark.buff.03</t>
  </si>
  <si>
    <t>shale.passive.ex.bookmark.buff.04</t>
  </si>
  <si>
    <t>shale.passive.ex.bookmark.buff.05</t>
  </si>
  <si>
    <t>shale.passive.ex.bookmark.buff.06</t>
  </si>
  <si>
    <t>shale.passive.ex.bookmark.buff.buffeffect.01</t>
  </si>
  <si>
    <t>shale.passive.ex.bookmark.buff.buffeffect.02</t>
  </si>
  <si>
    <t>shale.passive.ex.bookmark.buff.buffeffect.03</t>
  </si>
  <si>
    <t>shale.passive.ex.bookmark.buff.buffeffect.04</t>
  </si>
  <si>
    <t>shale.passive.ex.bookmark.buff.buffeffect.05</t>
  </si>
  <si>
    <t>shale.passive.ex.bookmark.buff.buffeffect.06</t>
  </si>
  <si>
    <t>airen.passive.ex.buff.01</t>
  </si>
  <si>
    <t>airen.passive.ex.buff.buffeffect.01</t>
  </si>
  <si>
    <t>airen.passive.ex.buff.02</t>
  </si>
  <si>
    <t>airen.passive.ex.buff.buffeffect.02</t>
  </si>
  <si>
    <t>airen.passive.ex.buff.03</t>
  </si>
  <si>
    <t>airen.passive.ex.buff.buffeffect.03</t>
  </si>
  <si>
    <t>airen.passive.ex.buff.04</t>
  </si>
  <si>
    <t>airen.passive.ex.buff.buffeffect.04</t>
  </si>
  <si>
    <t>airen.passive.ex.buff.05</t>
  </si>
  <si>
    <t>airen.passive.ex.buff.buffeffect.05</t>
  </si>
  <si>
    <t>airen.passive.ex.event.buff.02</t>
  </si>
  <si>
    <t>airen.passive.ex.event.buff.03</t>
  </si>
  <si>
    <t>airen.passive.ex.event.buff.04</t>
  </si>
  <si>
    <t>airen.passive.ex.event.buff.05</t>
  </si>
  <si>
    <t>airen.passive.ex.buff.buffeffect.skilleffect.01</t>
  </si>
  <si>
    <t>airen.passive.ex.buff.buffeffect.skilleffect.02</t>
  </si>
  <si>
    <t>airen.passive.ex.buff.buffeffect.skilleffect.03</t>
  </si>
  <si>
    <t>airen.passive.ex.buff.buffeffect.skilleffect.04</t>
  </si>
  <si>
    <t>airen.passive.ex.buff.buffeffect.skilleffect.05</t>
  </si>
  <si>
    <t>ignoredefense.60</t>
    <phoneticPr fontId="3" type="noConversion"/>
  </si>
  <si>
    <t>ino.ult.B.pre.buff.buffeffect.01</t>
  </si>
  <si>
    <t>ino.ult.B.pre.buff.buffeffect.02</t>
  </si>
  <si>
    <t>ino.ult.B.pre.buff.buffeffect.03</t>
  </si>
  <si>
    <t>ino.ult.B.pre.buff.buffeffect.04</t>
  </si>
  <si>
    <t>ino.ult.B.pre.buff.buffeffect.05</t>
  </si>
  <si>
    <t>ino.ult.B.pre.buff.buffeffect.06</t>
  </si>
  <si>
    <t>ino.ult.B.pre.buff.buffeffect.07</t>
  </si>
  <si>
    <t>ino.ult.B.pre.buff.buffeffect.skilleffect.02</t>
  </si>
  <si>
    <t>ino.ult.B.pre.buff.buffeffect.skilleffect.03</t>
  </si>
  <si>
    <t>ino.ult.B.pre.buff.buffeffect.skilleffect.04</t>
  </si>
  <si>
    <t>ino.ult.B.pre.buff.buffeffect.skilleffect.05</t>
  </si>
  <si>
    <t>ino.ult.B.pre.buff.buffeffect.skilleffect.06</t>
  </si>
  <si>
    <t>ino.ult.B.pre.buff.buffeffect.skilleffect.07</t>
  </si>
  <si>
    <t>ino.ult.B.pre.buff.event.buff.02</t>
  </si>
  <si>
    <t>ino.ult.B.pre.buff.event.buff.03</t>
  </si>
  <si>
    <t>ino.ult.B.pre.buff.event.buff.04</t>
  </si>
  <si>
    <t>ino.ult.B.pre.buff.event.buff.05</t>
  </si>
  <si>
    <t>ino.ult.B.pre.buff.event.buff.06</t>
  </si>
  <si>
    <t>ino.ult.B.pre.buff.event.buff.07</t>
  </si>
  <si>
    <t>ino.ult.B.pre.buff.event.buff.buffeffect.01</t>
  </si>
  <si>
    <t>ino.ult.B.pre.buff.event.buff.buffeffect.02</t>
  </si>
  <si>
    <t>ino.ult.B.pre.buff.event.buff.buffeffect.03</t>
  </si>
  <si>
    <t>ino.ult.B.pre.buff.event.buff.buffeffect.04</t>
  </si>
  <si>
    <t>ino.ult.B.pre.buff.event.buff.buffeffect.05</t>
  </si>
  <si>
    <t>ino.ult.B.pre.buff.event.buff.buffeffect.06</t>
  </si>
  <si>
    <t>ino.ult.B.pre.buff.event.buff.buffeffect.07</t>
  </si>
  <si>
    <t>evasion.down.020</t>
    <phoneticPr fontId="3" type="noConversion"/>
  </si>
  <si>
    <t>evasion.down.022</t>
    <phoneticPr fontId="3" type="noConversion"/>
  </si>
  <si>
    <t>evasion.down.024</t>
    <phoneticPr fontId="3" type="noConversion"/>
  </si>
  <si>
    <t>evasion.down.026</t>
    <phoneticPr fontId="3" type="noConversion"/>
  </si>
  <si>
    <t>Status</t>
    <phoneticPr fontId="3" type="noConversion"/>
  </si>
  <si>
    <t>yurizia.passive.ex.buff.01.02</t>
  </si>
  <si>
    <t>yurizia.passive.ex.buff.01.03</t>
  </si>
  <si>
    <t>yurizia.passive.ex.buff.01.04</t>
  </si>
  <si>
    <t>yurizia.passive.ex.buff.01.05</t>
  </si>
  <si>
    <t>yurizia.passive.ex.buff.01.06</t>
  </si>
  <si>
    <t>yurizia.passive.ex.buff.02.02</t>
  </si>
  <si>
    <t>yurizia.passive.ex.buff.02.03</t>
  </si>
  <si>
    <t>yurizia.passive.ex.buff.02.04</t>
  </si>
  <si>
    <t>yurizia.passive.ex.buff.02.05</t>
  </si>
  <si>
    <t>yurizia.passive.ex.buff.02.06</t>
  </si>
  <si>
    <t>RechargeRate.Down.03</t>
    <phoneticPr fontId="3" type="noConversion"/>
  </si>
  <si>
    <t>yurizia.active1.effect.event.buff.04</t>
  </si>
  <si>
    <t>yurizia.active2.effect.attackup.buff.04</t>
  </si>
  <si>
    <t>Effect/Prefab/10_buff/EFF_debuff_link</t>
  </si>
  <si>
    <t>mea.passive.ex.buff.buffeffect.01.02</t>
  </si>
  <si>
    <t>mea.passive.ex.buff.buffeffect.01.03</t>
  </si>
  <si>
    <t>mea.passive.ex.buff.buffeffect.01.04</t>
  </si>
  <si>
    <t>mea.passive.ex.buff.buffeffect.01.05</t>
  </si>
  <si>
    <t>mea.passive.ex.buff.buffeffect.01.06</t>
  </si>
  <si>
    <t>ReceiveHealRate.Down.07</t>
  </si>
  <si>
    <t>ReceiveHealRate.Down.08</t>
  </si>
  <si>
    <t>ReceiveHealRate.Down.09</t>
  </si>
  <si>
    <t>ReceiveHealRate.Down.10</t>
  </si>
  <si>
    <t>mea.passive.ex.buff.buffeffect.02.02</t>
  </si>
  <si>
    <t>mea.passive.ex.buff.buffeffect.02.03</t>
  </si>
  <si>
    <t>mea.passive.ex.buff.buffeffect.02.04</t>
  </si>
  <si>
    <t>mea.passive.ex.buff.buffeffect.02.05</t>
  </si>
  <si>
    <t>mea.passive.ex.buff.buffeffect.02.06</t>
  </si>
  <si>
    <t>StatusDistict</t>
    <phoneticPr fontId="3" type="noConversion"/>
  </si>
  <si>
    <t>ReceiveHealRate.Down.06</t>
    <phoneticPr fontId="3" type="noConversion"/>
  </si>
  <si>
    <t>yuna.passive.atkup.buff.buffeffect.01.02</t>
  </si>
  <si>
    <t>yuna.passive.atkup.buff.buffeffect.01.03</t>
  </si>
  <si>
    <t>yuna.passive.atkup.buff.buffeffect.01.04</t>
  </si>
  <si>
    <t>yuna.passive.atkup.buff.buffeffect.01.05</t>
  </si>
  <si>
    <t>yuna.passive.atkup.buff.buffeffect.01.06</t>
  </si>
  <si>
    <t>yuna.passive.atkup.buff.buffeffect.02.02</t>
  </si>
  <si>
    <t>yuna.passive.atkup.buff.buffeffect.02.03</t>
  </si>
  <si>
    <t>yuna.passive.atkup.buff.buffeffect.02.04</t>
  </si>
  <si>
    <t>yuna.passive.atkup.buff.buffeffect.02.05</t>
  </si>
  <si>
    <t>yuna.passive.atkup.buff.buffeffect.02.06</t>
  </si>
  <si>
    <t>yuna.ult.up.buff.02</t>
  </si>
  <si>
    <t>yuna.ult.up.buff.03</t>
  </si>
  <si>
    <t>yuna.ult.up.buff.04</t>
  </si>
  <si>
    <t>yuna.ult.up.buff.05</t>
  </si>
  <si>
    <t>yuna.ult.modifier.buffeffect.01</t>
  </si>
  <si>
    <t>yuna.ult.modifier.buffeffect.02</t>
  </si>
  <si>
    <t>yuna.ult.modifier.buffeffect.03</t>
  </si>
  <si>
    <t>yuna.ult.modifier.buffeffect.04</t>
  </si>
  <si>
    <t>yuna.ult.modifier.buffeffect.05</t>
  </si>
  <si>
    <t>yuna.ult.dmg.modifier.02</t>
  </si>
  <si>
    <t>yuna.ult.dmg.modifier.03</t>
  </si>
  <si>
    <t>yuna.ult.dmg.modifier.04</t>
  </si>
  <si>
    <t>yuna.ult.dmg.modifier.05</t>
  </si>
  <si>
    <t>yuna.ult.B.end.buff.02</t>
  </si>
  <si>
    <t>yuna.ult.B.end.buff.03</t>
  </si>
  <si>
    <t>yuna.ult.B.end.buff.04</t>
  </si>
  <si>
    <t>yuna.ult.B.end.buff.05</t>
  </si>
  <si>
    <t>yuna.ult.B.modifier.buffeffect.02</t>
  </si>
  <si>
    <t>yuna.ult.B.modifier.buffeffect.03</t>
  </si>
  <si>
    <t>yuna.ult.B.modifier.buffeffect.04</t>
  </si>
  <si>
    <t>yuna.ult.B.modifier.buffeffect.05</t>
  </si>
  <si>
    <t>yuna.ult.B.dmg.modifier.02</t>
  </si>
  <si>
    <t>yuna.ult.B.dmg.modifier.03</t>
  </si>
  <si>
    <t>yuna.ult.B.dmg.modifier.04</t>
  </si>
  <si>
    <t>yuna.ult.B.dmg.modifier.05</t>
  </si>
  <si>
    <t>yuna.active1.up.dmg.buff.02</t>
  </si>
  <si>
    <t>yuna.active1.up.dmg.buff.03</t>
  </si>
  <si>
    <t>yuna.active1.up.dmg.buff.04</t>
  </si>
  <si>
    <t>yuna.active1.up.dmg.buff.05</t>
  </si>
  <si>
    <t>yuna.active1.up.dmg.buff.01</t>
  </si>
  <si>
    <t>yuna.active1.up.dmg.buff.buffeffect.02</t>
  </si>
  <si>
    <t>yuna.active1.up.dmg.buff.buffeffect.03</t>
  </si>
  <si>
    <t>yuna.active1.up.dmg.buff.buffeffect.04</t>
  </si>
  <si>
    <t>yuna.active1.up.dmg.buff.buffeffect.05</t>
  </si>
  <si>
    <t>yuna.active1.dmg.modifier.02</t>
  </si>
  <si>
    <t>yuna.active1.dmg.modifier.03</t>
  </si>
  <si>
    <t>yuna.active1.dmg.modifier.04</t>
  </si>
  <si>
    <t>yuna.active1.dmg.modifier.05</t>
  </si>
  <si>
    <t>yuna.active2.up.dmg.buff.02</t>
  </si>
  <si>
    <t>yuna.active2.up.dmg.buff.03</t>
  </si>
  <si>
    <t>yuna.active2.up.dmg.buff.04</t>
  </si>
  <si>
    <t>yuna.active2.up.dmg.buff.05</t>
  </si>
  <si>
    <t>yuna.active2.up.dmg.buff.buffeffect.02</t>
  </si>
  <si>
    <t>yuna.active2.up.dmg.buff.buffeffect.03</t>
  </si>
  <si>
    <t>yuna.active2.up.dmg.buff.buffeffect.04</t>
  </si>
  <si>
    <t>yuna.active2.up.dmg.buff.buffeffect.05</t>
  </si>
  <si>
    <t>yuna.active2.dmg.modifier.02</t>
  </si>
  <si>
    <t>yuna.active2.dmg.modifier.03</t>
  </si>
  <si>
    <t>yuna.active2.dmg.modifier.04</t>
  </si>
  <si>
    <t>yuna.active2.dmg.modifier.05</t>
  </si>
  <si>
    <t>yuna.active2.end.buff.02</t>
  </si>
  <si>
    <t>yuna.active2.end.buff.03</t>
  </si>
  <si>
    <t>yuna.active2.end.buff.04</t>
  </si>
  <si>
    <t>yuna.active2.end.buff.05</t>
  </si>
  <si>
    <t>yuna.active2.end.buff.01</t>
  </si>
  <si>
    <t>yuna.active2.end.buff.buffeffect.02</t>
  </si>
  <si>
    <t>yuna.active2.end.buff.buffeffect.03</t>
  </si>
  <si>
    <t>yuna.active2.end.buff.buffeffect.04</t>
  </si>
  <si>
    <t>yuna.active2.end.buff.buffeffect.05</t>
  </si>
  <si>
    <t>belebeta.passive.maindealer.trigger</t>
  </si>
  <si>
    <t>belebeta.passive.redtea.event.buff.buffeffect.01</t>
  </si>
  <si>
    <t>belebeta.passive.redtea.event.buff.buffeffect.02</t>
  </si>
  <si>
    <t>belebeta.passive.redtea.event.buff.buffeffect.03</t>
  </si>
  <si>
    <t>belebeta.passive.redtea.event.buff.buffeffect.04</t>
  </si>
  <si>
    <t>belebeta.passive.redtea.event.buff.buffeffect.05</t>
  </si>
  <si>
    <t>belebeta.passive.redtea.event.buff.buffeffect.06</t>
  </si>
  <si>
    <t>belebeta.passive.redtea.event.buff.02</t>
  </si>
  <si>
    <t>belebeta.passive.redtea.event.buff.03</t>
  </si>
  <si>
    <t>belebeta.passive.redtea.event.buff.04</t>
  </si>
  <si>
    <t>belebeta.passive.redtea.event.buff.05</t>
  </si>
  <si>
    <t>belebeta.passive.redtea.event.buff.06</t>
  </si>
  <si>
    <t>belebeta.passive.greentea.event.buff.02</t>
  </si>
  <si>
    <t>belebeta.passive.greentea.event.buff.03</t>
  </si>
  <si>
    <t>belebeta.passive.greentea.event.buff.04</t>
  </si>
  <si>
    <t>belebeta.passive.greentea.event.buff.05</t>
  </si>
  <si>
    <t>belebeta.passive.greentea.event.buff.06</t>
  </si>
  <si>
    <t>belebeta.passive.greentea.event.buff.buffeffect.02</t>
  </si>
  <si>
    <t>belebeta.passive.greentea.event.buff.buffeffect.03</t>
  </si>
  <si>
    <t>belebeta.passive.greentea.event.buff.buffeffect.04</t>
  </si>
  <si>
    <t>belebeta.passive.greentea.event.buff.buffeffect.05</t>
  </si>
  <si>
    <t>belebeta.passive.greentea.event.buff.buffeffect.06</t>
  </si>
  <si>
    <t>belebeta.passive.ex.redtea.buff.buffeffect.02.skilleffect</t>
  </si>
  <si>
    <t>belebeta.passive.ex.redtea.buff.buffeffect.03.skilleffect</t>
  </si>
  <si>
    <t>belebeta.passive.ex.redtea.buff.buffeffect.04.skilleffect</t>
  </si>
  <si>
    <t>belebeta.passive.ex.redtea.buff.buffeffect.05.skilleffect</t>
  </si>
  <si>
    <t>belebeta.passive.ex.redtea.buff.buffeffect.06.skilleffect</t>
  </si>
  <si>
    <t>belebeta.passive.ex.redtea.buff.buffeffect.01.skilleffect</t>
  </si>
  <si>
    <t>belebeta.passive.ex.greentea.buff.buffeffect.02.skilleffect</t>
  </si>
  <si>
    <t>belebeta.passive.ex.greentea.buff.buffeffect.03.skilleffect</t>
  </si>
  <si>
    <t>belebeta.passive.ex.greentea.buff.buffeffect.04.skilleffect</t>
  </si>
  <si>
    <t>belebeta.passive.ex.greentea.buff.buffeffect.05.skilleffect</t>
  </si>
  <si>
    <t>belebeta.passive.ex.greentea.buff.buffeffect.06.skilleffect</t>
  </si>
  <si>
    <t>belebeta.passive.ex.greentea.buff.buffeffect.01.skilleffect</t>
  </si>
  <si>
    <t>fei.passive.ex.dummy.buffeffect
fei.passive.ex.buff.buffeffect.01</t>
  </si>
  <si>
    <t>fei.passive.ex.dummy.buffeffect
fei.passive.ex.buff.buffeffect.02</t>
  </si>
  <si>
    <t>fei.passive.ex.dummy.buffeffect
fei.passive.ex.buff.buffeffect.03</t>
  </si>
  <si>
    <t>fei.passive.ex.dummy.buffeffect
fei.passive.ex.buff.buffeffect.04</t>
  </si>
  <si>
    <t>fei.passive.ex.dummy.buffeffect
fei.passive.ex.buff.buffeffect.05</t>
  </si>
  <si>
    <t>fei.passive.ex.dummy.buffeffect
fei.passive.ex.buff.buffeffect.06</t>
  </si>
  <si>
    <t>fei.active2.guarddown.buff.02</t>
  </si>
  <si>
    <t>fei.active2.guarddown.buff.03</t>
  </si>
  <si>
    <t>fei.active2.guarddown.buff.04</t>
  </si>
  <si>
    <t>fei.active2.guarddown.buff.05</t>
  </si>
  <si>
    <t>fei.active2.guarddown.buff.06</t>
  </si>
  <si>
    <t>fei.active2.guarddown.buff.01</t>
  </si>
  <si>
    <t>fei.passive.maindealer.ranger.buffeffect</t>
  </si>
  <si>
    <t>fei.passive.maindealer.attacker.buffeffect</t>
  </si>
  <si>
    <t>fei.passive.buff.buffeffect.01.02</t>
  </si>
  <si>
    <t>fei.passive.buff.buffeffect.01.03</t>
  </si>
  <si>
    <t>fei.passive.buff.buffeffect.01.04</t>
  </si>
  <si>
    <t>fei.passive.buff.buffeffect.01.05</t>
  </si>
  <si>
    <t>fei.passive.buff.buffeffect.01.06</t>
  </si>
  <si>
    <t>fei.passive.buff.buffeffect.02.02</t>
  </si>
  <si>
    <t>fei.passive.buff.buffeffect.02.03</t>
  </si>
  <si>
    <t>fei.passive.buff.buffeffect.02.04</t>
  </si>
  <si>
    <t>fei.passive.buff.buffeffect.02.05</t>
  </si>
  <si>
    <t>fei.passive.buff.buffeffect.02.06</t>
  </si>
  <si>
    <t>fei.passive.ranger.buff.buffeffect.02</t>
  </si>
  <si>
    <t>fei.passive.ranger.buff.buffeffect.03</t>
  </si>
  <si>
    <t>fei.passive.ranger.buff.buffeffect.04</t>
  </si>
  <si>
    <t>fei.passive.ranger.buff.buffeffect.05</t>
  </si>
  <si>
    <t>fei.passive.ranger.buff.buffeffect.06</t>
  </si>
  <si>
    <t>fei.passive.attacker.buff.buffeffect.02</t>
  </si>
  <si>
    <t>fei.passive.attacker.buff.buffeffect.03</t>
  </si>
  <si>
    <t>fei.passive.attacker.buff.buffeffect.04</t>
  </si>
  <si>
    <t>fei.passive.attacker.buff.buffeffect.05</t>
  </si>
  <si>
    <t>fei.passive.attacker.buff.buffeffect.06</t>
  </si>
  <si>
    <t>fei.passive.ranger.buff.01</t>
  </si>
  <si>
    <t>fei.passive.ranger.buff.02</t>
  </si>
  <si>
    <t>fei.passive.ranger.buff.03</t>
  </si>
  <si>
    <t>fei.passive.ranger.buff.04</t>
  </si>
  <si>
    <t>fei.passive.ranger.buff.05</t>
  </si>
  <si>
    <t>fei.passive.ranger.buff.06</t>
  </si>
  <si>
    <t>fei.passive.attacker.buff.01</t>
  </si>
  <si>
    <t>fei.passive.attacker.buff.02</t>
  </si>
  <si>
    <t>fei.passive.attacker.buff.03</t>
  </si>
  <si>
    <t>fei.passive.attacker.buff.04</t>
  </si>
  <si>
    <t>fei.passive.attacker.buff.05</t>
  </si>
  <si>
    <t>fei.passive.attacker.buff.06</t>
  </si>
  <si>
    <t>FireCondition(Ultimate)</t>
  </si>
  <si>
    <t>fei.passive.maindealer.ranger</t>
  </si>
  <si>
    <t>fei.passive.maindealer.attacker</t>
  </si>
  <si>
    <t>SingleDamage.Up.01</t>
    <phoneticPr fontId="3" type="noConversion"/>
  </si>
  <si>
    <t>serapulsar.ult.changeskill.skill2</t>
  </si>
  <si>
    <t>Skill2</t>
  </si>
  <si>
    <t>serapulsar.ult.active1.buff.02</t>
  </si>
  <si>
    <t>serapulsar.ult.active1.buff.03</t>
  </si>
  <si>
    <t>serapulsar.ult.active1.buff.04</t>
  </si>
  <si>
    <t>serapulsar.ult.active1.buff.05</t>
  </si>
  <si>
    <t>serapulsar.ult.active1.buff.06</t>
  </si>
  <si>
    <t>serapulsar.ult.active1.buff.01</t>
  </si>
  <si>
    <t>serapulsar.ult.atk.buff.01</t>
  </si>
  <si>
    <t>serapulsar.ult.atk.buff.02</t>
  </si>
  <si>
    <t>serapulsar.ult.atk.buff.03</t>
  </si>
  <si>
    <t>serapulsar.ult.atk.buff.04</t>
  </si>
  <si>
    <t>serapulsar.ult.atk.buff.05</t>
  </si>
  <si>
    <t>serapulsar.ult.atk.buff.06</t>
  </si>
  <si>
    <t>serapulsar.ult.active2.buff.02</t>
  </si>
  <si>
    <t>serapulsar.ult.active2.buff.03</t>
  </si>
  <si>
    <t>serapulsar.ult.active2.buff.04</t>
  </si>
  <si>
    <t>serapulsar.ult.active2.buff.05</t>
  </si>
  <si>
    <t>serapulsar.ult.active2.buff.06</t>
  </si>
  <si>
    <t>serapulsar.active1.effect.event.buff.buffeffect.01</t>
  </si>
  <si>
    <t>serapulsar.active1.effect.event.buff.buffeffect.02</t>
  </si>
  <si>
    <t>serapulsar.active1.effect.event.buff.buffeffect.03</t>
  </si>
  <si>
    <t>serapulsar.active1.effect.event.buff.buffeffect.04</t>
  </si>
  <si>
    <t>serapulsar.active1.effect.event.buff.buffeffect.05</t>
  </si>
  <si>
    <t>serapulsar.active1.effect.event.buff.buffeffect.06</t>
  </si>
  <si>
    <t>serapulsar.ult.B.buff.buffeffect.07
serapulsar.ult.B.spd.buff.buffeffect
serapulsar.ult.B.changeskill
serapulsar.ult.B.changeskill.cost</t>
  </si>
  <si>
    <t>serapulsar.ult.B.buff.buffeffect.01
serapulsar.ult.B.spd.buff.buffeffect
serapulsar.ult.B.changeskill
serapulsar.ult.B.changeskill.cost</t>
  </si>
  <si>
    <t>serapulsar.ult.B.buff.buffeffect.02
serapulsar.ult.B.spd.buff.buffeffect
serapulsar.ult.B.changeskill
serapulsar.ult.B.changeskill.cost</t>
  </si>
  <si>
    <t>serapulsar.ult.B.buff.buffeffect.03
serapulsar.ult.B.spd.buff.buffeffect
serapulsar.ult.B.changeskill
serapulsar.ult.B.changeskill.cost</t>
  </si>
  <si>
    <t>serapulsar.ult.B.buff.buffeffect.04
serapulsar.ult.B.spd.buff.buffeffect
serapulsar.ult.B.changeskill
serapulsar.ult.B.changeskill.cost</t>
  </si>
  <si>
    <t>serapulsar.ult.B.buff.buffeffect.05
serapulsar.ult.B.spd.buff.buffeffect
serapulsar.ult.B.changeskill
serapulsar.ult.B.changeskill.cost</t>
  </si>
  <si>
    <t>serapulsar.ult.B.buff.buffeffect.06
serapulsar.ult.B.spd.buff.buffeffect
serapulsar.ult.B.changeskill
serapulsar.ult.B.changeskill.cost</t>
  </si>
  <si>
    <t>bind</t>
    <phoneticPr fontId="3" type="noConversion"/>
  </si>
  <si>
    <t>NormalDamage.Up.06</t>
  </si>
  <si>
    <t>NormalDamage.Up.07</t>
  </si>
  <si>
    <t>NormalDamage.Up.08</t>
  </si>
  <si>
    <t>NormalDamage.Up.09</t>
  </si>
  <si>
    <t>NormalDamage.Up.10</t>
  </si>
  <si>
    <t>angelica.active1.normaldmg.buff.01.01</t>
  </si>
  <si>
    <t>angelica.active1.normaldmg.buff.01.02</t>
  </si>
  <si>
    <t>angelica.active1.normaldmg.buff.01.03</t>
  </si>
  <si>
    <t>angelica.active1.normaldmg.buff.01.04</t>
  </si>
  <si>
    <t>angelica.active1.normaldmg.buff.01.05</t>
  </si>
  <si>
    <t>angelica.active1.normaldmg.buff.01.06</t>
  </si>
  <si>
    <t>angelica.active1.normaldmg.buff.02.02</t>
  </si>
  <si>
    <t>angelica.active1.normaldmg.buff.02.03</t>
  </si>
  <si>
    <t>angelica.active1.normaldmg.buff.02.04</t>
  </si>
  <si>
    <t>angelica.active1.normaldmg.buff.02.05</t>
  </si>
  <si>
    <t>angelica.active1.normaldmg.buff.02.06</t>
  </si>
  <si>
    <t>angelica.active1.normaldmg.buff.02.01</t>
  </si>
  <si>
    <t>angelica.active2.atkspdup.buff.01.02</t>
  </si>
  <si>
    <t>angelica.active2.atkspdup.buff.01.03</t>
  </si>
  <si>
    <t>angelica.active2.atkspdup.buff.01.04</t>
  </si>
  <si>
    <t>angelica.active2.atkspdup.buff.01.05</t>
  </si>
  <si>
    <t>angelica.active2.atkspdup.buff.01.06</t>
  </si>
  <si>
    <t>angelica.active2.atkspdup.buff.02.02</t>
  </si>
  <si>
    <t>angelica.active2.atkspdup.buff.02.03</t>
  </si>
  <si>
    <t>angelica.active2.atkspdup.buff.02.04</t>
  </si>
  <si>
    <t>angelica.active2.atkspdup.buff.02.05</t>
  </si>
  <si>
    <t>angelica.active2.atkspdup.buff.02.06</t>
  </si>
  <si>
    <t>angelica.active2.atkspdup.buff.01.01</t>
  </si>
  <si>
    <t>angelica.active2.atkspdup.buff.02.01</t>
  </si>
  <si>
    <t>leila.active1.event.buff.02</t>
  </si>
  <si>
    <t>leila.active1.event.buff.03</t>
  </si>
  <si>
    <t>leila.active1.event.buff.04</t>
  </si>
  <si>
    <t>leila.active1.event.buff.05</t>
  </si>
  <si>
    <t>leila.active1.event.buff.06</t>
  </si>
  <si>
    <t>leila.active1.event.buff.01</t>
  </si>
  <si>
    <t>angelica.ult.pre.buff.01</t>
  </si>
  <si>
    <t>angelica.ult.pre.buff.buffeffect.01</t>
  </si>
  <si>
    <t>angelica.ult.pre.buff.02</t>
  </si>
  <si>
    <t>angelica.ult.pre.buff.buffeffect.02</t>
  </si>
  <si>
    <t>angelica.ult.pre.buff.03</t>
  </si>
  <si>
    <t>angelica.ult.pre.buff.buffeffect.03</t>
  </si>
  <si>
    <t>angelica.ult.pre.buff.04</t>
  </si>
  <si>
    <t>angelica.ult.pre.buff.buffeffect.04</t>
  </si>
  <si>
    <t>angelica.ult.pre.buff.05</t>
  </si>
  <si>
    <t>angelica.ult.pre.buff.buffeffect.05</t>
  </si>
  <si>
    <t>angelica.ult.pre.buff.06</t>
  </si>
  <si>
    <t>angelica.ult.pre.buff.buffeffect.06</t>
  </si>
  <si>
    <t>angelica.ult.pre.buff.07</t>
  </si>
  <si>
    <t>angelica.ult.pre.buff.buffeffect.07</t>
  </si>
  <si>
    <t>angelica.ult.normalatt.buff.01</t>
  </si>
  <si>
    <t>angelica.ult.normalatt.buff.buffeffect.01</t>
  </si>
  <si>
    <t>angelica.ult.normalatt.buff.02</t>
  </si>
  <si>
    <t>angelica.ult.normalatt.buff.buffeffect.02</t>
  </si>
  <si>
    <t>angelica.ult.normalatt.buff.03</t>
  </si>
  <si>
    <t>angelica.ult.normalatt.buff.buffeffect.03</t>
  </si>
  <si>
    <t>angelica.ult.normalatt.buff.04</t>
  </si>
  <si>
    <t>angelica.ult.normalatt.buff.buffeffect.04</t>
  </si>
  <si>
    <t>angelica.ult.normalatt.buff.05</t>
  </si>
  <si>
    <t>angelica.ult.normalatt.buff.buffeffect.05</t>
  </si>
  <si>
    <t>angelica.ult.normalatt.buff.06</t>
  </si>
  <si>
    <t>angelica.ult.normalatt.buff.buffeffect.06</t>
  </si>
  <si>
    <t>angelica.ult.normalatt.buff.07</t>
  </si>
  <si>
    <t>angelica.ult.normalatt.buff.buffeffect.07</t>
  </si>
  <si>
    <t>angelica.ult.pre.buff.buffeffect.skilleffect.01</t>
  </si>
  <si>
    <t>angelica.ult.pre.buff.buffeffect.skilleffect.02</t>
  </si>
  <si>
    <t>angelica.ult.pre.buff.buffeffect.skilleffect.03</t>
  </si>
  <si>
    <t>angelica.ult.pre.buff.buffeffect.skilleffect.04</t>
  </si>
  <si>
    <t>angelica.ult.pre.buff.buffeffect.skilleffect.05</t>
  </si>
  <si>
    <t>angelica.ult.pre.buff.buffeffect.skilleffect.06</t>
  </si>
  <si>
    <t>angelica.ult.pre.buff.buffeffect.skilleffect.07</t>
  </si>
  <si>
    <t>angelica.ult.normalatt.buff.buffeffect.skilleffect.01</t>
  </si>
  <si>
    <t>angelica.ult.normalatt.buff.buffeffect.skilleffect.02</t>
  </si>
  <si>
    <t>angelica.ult.normalatt.buff.buffeffect.skilleffect.03</t>
  </si>
  <si>
    <t>angelica.ult.normalatt.buff.buffeffect.skilleffect.04</t>
  </si>
  <si>
    <t>angelica.ult.normalatt.buff.buffeffect.skilleffect.05</t>
  </si>
  <si>
    <t>angelica.ult.normalatt.buff.buffeffect.skilleffect.06</t>
  </si>
  <si>
    <t>angelica.ult.normalatt.buff.buffeffect.skilleffect.07</t>
  </si>
  <si>
    <t>DotDamageRate</t>
  </si>
  <si>
    <t>archphase.stack.ult.buffeffect</t>
  </si>
  <si>
    <t>archphase.active2.pre.buff</t>
  </si>
  <si>
    <t>archphase.passive.buff.01</t>
  </si>
  <si>
    <t>patricia.passive.frost.burn.buffeffect.02</t>
  </si>
  <si>
    <t>patricia.passive.frost.burn.buffeffect.03</t>
  </si>
  <si>
    <t>patricia.passive.frost.burn.buffeffect.04</t>
  </si>
  <si>
    <t>patricia.passive.frost.burn.buffeffect.05</t>
  </si>
  <si>
    <t>patricia.passive.frost.burn.buffeffect.06</t>
  </si>
  <si>
    <t>patricia.passive.frost.electric.buffeffect.01</t>
  </si>
  <si>
    <t>patricia.passive.frost.electric.buffeffect.02</t>
  </si>
  <si>
    <t>patricia.passive.frost.electric.buffeffect.03</t>
  </si>
  <si>
    <t>patricia.passive.frost.electric.buffeffect.04</t>
  </si>
  <si>
    <t>patricia.passive.frost.electric.buffeffect.05</t>
  </si>
  <si>
    <t>patricia.passive.frost.electric.buffeffect.06</t>
  </si>
  <si>
    <t>patricia.passive.frost.electric.skilleffect.02</t>
  </si>
  <si>
    <t>patricia.passive.frost.electric.skilleffect.03</t>
  </si>
  <si>
    <t>patricia.passive.frost.electric.skilleffect.04</t>
  </si>
  <si>
    <t>patricia.passive.frost.electric.skilleffect.05</t>
  </si>
  <si>
    <t>patricia.passive.frost.electric.skilleffect.06</t>
  </si>
  <si>
    <t>ino.passive.buff.buffeffect.01.02</t>
  </si>
  <si>
    <t>ino.passive.buff.buffeffect.01.03</t>
  </si>
  <si>
    <t>ino.passive.buff.buffeffect.01.04</t>
  </si>
  <si>
    <t>ino.passive.buff.buffeffect.01.05</t>
  </si>
  <si>
    <t>ino.passive.buff.buffeffect.01.06</t>
  </si>
  <si>
    <t>ino.passive.buff.buffeffect.skilleffect.01.02</t>
  </si>
  <si>
    <t>ino.passive.buff.buffeffect.skilleffect.01.03</t>
  </si>
  <si>
    <t>ino.passive.buff.buffeffect.skilleffect.01.04</t>
  </si>
  <si>
    <t>ino.passive.buff.buffeffect.skilleffect.01.05</t>
  </si>
  <si>
    <t>ino.passive.buff.buffeffect.skilleffect.01.06</t>
  </si>
  <si>
    <t>ino.passive.buff.buffeffect.02.02</t>
  </si>
  <si>
    <t>ino.passive.buff.buffeffect.02.03</t>
  </si>
  <si>
    <t>ino.passive.buff.buffeffect.02.04</t>
  </si>
  <si>
    <t>ino.passive.buff.buffeffect.02.05</t>
  </si>
  <si>
    <t>ino.passive.buff.buffeffect.02.06</t>
  </si>
  <si>
    <t>ino.passive.buff.buffeffect.skilleffect.02.02</t>
  </si>
  <si>
    <t>ino.passive.buff.buffeffect.skilleffect.02.03</t>
  </si>
  <si>
    <t>ino.passive.buff.buffeffect.skilleffect.02.04</t>
  </si>
  <si>
    <t>ino.passive.buff.buffeffect.skilleffect.02.05</t>
  </si>
  <si>
    <t>ino.passive.buff.buffeffect.skilleffect.02.06</t>
  </si>
  <si>
    <t>ino.passive.ex.buff.buffeffect.02.02</t>
  </si>
  <si>
    <t>ino.passive.ex.buff.buffeffect.02.03</t>
  </si>
  <si>
    <t>ino.passive.ex.buff.buffeffect.02.04</t>
  </si>
  <si>
    <t>ino.passive.ex.buff.buffeffect.02.05</t>
  </si>
  <si>
    <t>ino.passive.ex.buff.buffeffect.02.06</t>
  </si>
  <si>
    <t>ino.passive.ex.buff.buffeffect.skilleffect.02.02</t>
  </si>
  <si>
    <t>ino.passive.ex.buff.buffeffect.skilleffect.02.03</t>
  </si>
  <si>
    <t>ino.passive.ex.buff.buffeffect.skilleffect.02.04</t>
  </si>
  <si>
    <t>ino.passive.ex.buff.buffeffect.skilleffect.02.05</t>
  </si>
  <si>
    <t>ino.passive.ex.buff.buffeffect.skilleffect.02.06</t>
  </si>
  <si>
    <t>ino.passive.ex.mark</t>
  </si>
  <si>
    <t>ino.passive.ex.mark.02</t>
  </si>
  <si>
    <t>ino.passive.ex.mark.03</t>
  </si>
  <si>
    <t>ino.passive.ex.mark.04</t>
  </si>
  <si>
    <t>ino.passive.ex.mark.05</t>
  </si>
  <si>
    <t>ino.passive.ex.mark.06</t>
  </si>
  <si>
    <t>patricia.ult.pre.buff.burn</t>
  </si>
  <si>
    <t>patricia.ult.pre.buff.frost</t>
  </si>
  <si>
    <t>patricia.ult.pre.buff.poison</t>
  </si>
  <si>
    <t>patricia.ult.pre.buff.electric</t>
  </si>
  <si>
    <t>patricia.ult.pre.buff.bleed</t>
  </si>
  <si>
    <t>patricia.ult.B.dotdmg.buff.02</t>
  </si>
  <si>
    <t>patricia.ult.B.dotdmg.buff.03</t>
  </si>
  <si>
    <t>patricia.ult.B.dotdmg.buff.04</t>
  </si>
  <si>
    <t>patricia.ult.B.dotdmg.buff.05</t>
  </si>
  <si>
    <t>patricia.ult.B.dotdmg.buff.06</t>
  </si>
  <si>
    <t>patricia.ult.B.dotdmg.buff.07</t>
  </si>
  <si>
    <t>patricia.active1.pre.buff.01</t>
  </si>
  <si>
    <t>patricia.active1.pre.buff.burn
patricia.active1.pre.buff.frost
patricia.active1.pre.buff.poison
patricia.active1.pre.buff.electric
patricia.active1.pre.buff.bleed</t>
  </si>
  <si>
    <t>patricia.active1.pre.buff.burn</t>
  </si>
  <si>
    <t>patricia.active1.pre.buff.burn.skilleffect</t>
  </si>
  <si>
    <t>patricia.active1.pre.buff.frost</t>
  </si>
  <si>
    <t>patricia.active1.pre.buff.frost.skilleffect</t>
  </si>
  <si>
    <t>patricia.active1.pre.buff.poison</t>
  </si>
  <si>
    <t>patricia.active1.pre.buff.poison.skilleffect</t>
  </si>
  <si>
    <t>patricia.active1.pre.buff.electric</t>
  </si>
  <si>
    <t>patricia.active1.pre.buff.electric.skilleffect</t>
  </si>
  <si>
    <t>patricia.active1.pre.buff.bleed</t>
  </si>
  <si>
    <t>patricia.active1.pre.buff.bleed.skilleffect</t>
  </si>
  <si>
    <t>patricia.active1.pre.buff.mark</t>
  </si>
  <si>
    <t>patricia.active2.buff.02</t>
  </si>
  <si>
    <t>patricia.active2.buff.03</t>
  </si>
  <si>
    <t>patricia.active2.buff.04</t>
  </si>
  <si>
    <t>patricia.active2.buff.05</t>
  </si>
  <si>
    <t>patricia.active2.buff.06</t>
  </si>
  <si>
    <t>patricia.active2.buff.01</t>
  </si>
  <si>
    <t>patricia.active2.changeskill
patricia.active2.atkup.02</t>
  </si>
  <si>
    <t>patricia.active2.changeskill
patricia.active2.atkup.03</t>
  </si>
  <si>
    <t>patricia.active2.changeskill
patricia.active2.atkup.04</t>
  </si>
  <si>
    <t>patricia.active2.changeskill
patricia.active2.atkup.05</t>
  </si>
  <si>
    <t>patricia.active2.changeskill
patricia.active2.atkup.06</t>
  </si>
  <si>
    <t>patricia.active2.atkup.01</t>
  </si>
  <si>
    <t>patricia.active2.atkup.02</t>
  </si>
  <si>
    <t>patricia.active2.atkup.03</t>
  </si>
  <si>
    <t>patricia.active2.atkup.04</t>
  </si>
  <si>
    <t>patricia.active2.atkup.05</t>
  </si>
  <si>
    <t>patricia.active2.atkup.06</t>
  </si>
  <si>
    <t>iras.passive.ex.buff.buffeffect.01</t>
  </si>
  <si>
    <t>iras.passive.ex.ally.buff.01</t>
  </si>
  <si>
    <t>iras.passive.ex.ally.buff.02</t>
  </si>
  <si>
    <t>iras.passive.ex.ally.buff.03</t>
  </si>
  <si>
    <t>iras.passive.ex.ally.buff.04</t>
  </si>
  <si>
    <t>iras.passive.ex.ally.buff.05</t>
  </si>
  <si>
    <t>iras.passive.ex.ally.buff.06</t>
  </si>
  <si>
    <t>iras.passive.ex.ally.buff.buffeffect.01</t>
  </si>
  <si>
    <t>iras.passive.ex.ally.buff.buffeffect.02</t>
  </si>
  <si>
    <t>iras.passive.ex.ally.buff.buffeffect.03</t>
  </si>
  <si>
    <t>iras.passive.ex.ally.buff.buffeffect.04</t>
  </si>
  <si>
    <t>iras.passive.ex.ally.buff.buffeffect.05</t>
  </si>
  <si>
    <t>iras.passive.ex.ally.buff.buffeffect.06</t>
  </si>
  <si>
    <t>erica.ult.areadmgdrup.buff.01</t>
  </si>
  <si>
    <t>erica.ult.areadmgdrup.buff.02</t>
  </si>
  <si>
    <t>erica.ult.areadmgdrup.buff.03</t>
  </si>
  <si>
    <t>erica.ult.areadmgdrup.buff.04</t>
  </si>
  <si>
    <t>erica.ult.areadmgdrup.buff.05</t>
  </si>
  <si>
    <t>erica.ult.areadmgdrup.buff.06</t>
  </si>
  <si>
    <t>erica.passive.ex.ultdmgup.buff.buffeffect.01</t>
  </si>
  <si>
    <t>erica.passive.ex.ultdmgup.buff.buffeffect.02</t>
  </si>
  <si>
    <t>erica.passive.ex.ultdmgup.buff.buffeffect.03</t>
  </si>
  <si>
    <t>erica.passive.ex.ultdmgup.buff.buffeffect.04</t>
  </si>
  <si>
    <t>erica.passive.ex.ultdmgup.buff.buffeffect.05</t>
  </si>
  <si>
    <t>erica.passive.ex.ultdmgup.buff.buffeffect.06</t>
  </si>
  <si>
    <t>erica.passive.ex.ultdmgup.buff.01</t>
  </si>
  <si>
    <t>erica.passive.ex.ultdmgup.buff.02</t>
  </si>
  <si>
    <t>erica.passive.ex.ultdmgup.buff.03</t>
  </si>
  <si>
    <t>erica.passive.ex.ultdmgup.buff.04</t>
  </si>
  <si>
    <t>erica.passive.ex.ultdmgup.buff.05</t>
  </si>
  <si>
    <t>erica.passive.ex.ultdmgup.buff.06</t>
  </si>
  <si>
    <t>erica.active1.area.dmgtaken.up.buff.01</t>
  </si>
  <si>
    <t>erica.ult.areadmgdrup.buff.07</t>
  </si>
  <si>
    <t>ino.ult.accelup.buff.02</t>
  </si>
  <si>
    <t>ino.ult.accelup.buff.03</t>
  </si>
  <si>
    <t>ino.ult.accelup.buff.04</t>
  </si>
  <si>
    <t>ino.ult.accelup.buff.05</t>
  </si>
  <si>
    <t>ino.ult.accelup.buff.06</t>
  </si>
  <si>
    <t>ino.ult.accelup.buff.07</t>
  </si>
  <si>
    <t>ino.ult.accelup.buff.01</t>
  </si>
  <si>
    <t>ino.active2.singledmgdrdown.buff.02</t>
  </si>
  <si>
    <t>ino.active2.singledmgdrdown.buff.03</t>
  </si>
  <si>
    <t>ino.active2.singledmgdrdown.buff.04</t>
  </si>
  <si>
    <t>ino.active2.singledmgdrdown.buff.05</t>
  </si>
  <si>
    <t>ino.active2.singledmgdrdown.buff.06</t>
  </si>
  <si>
    <t>BeHitNormal</t>
  </si>
  <si>
    <t>eiko.active1.event.buff.02</t>
  </si>
  <si>
    <t>eiko.active1.event.buff.03</t>
  </si>
  <si>
    <t>eiko.active1.event.buff.04</t>
  </si>
  <si>
    <t>eiko.active1.event.buff.05</t>
  </si>
  <si>
    <t>eiko.active1.event.buff.06</t>
  </si>
  <si>
    <t>eiko.active2.event.buff.02</t>
  </si>
  <si>
    <t>eiko.active2.event.buff.03</t>
  </si>
  <si>
    <t>eiko.active2.event.buff.04</t>
  </si>
  <si>
    <t>eiko.active2.event.buff.05</t>
  </si>
  <si>
    <t>eiko.active2.event.buff.06</t>
  </si>
  <si>
    <t>AtkSpeed.Down.01</t>
    <phoneticPr fontId="3" type="noConversion"/>
  </si>
  <si>
    <t>eiko.passive.maindealer.buff</t>
  </si>
  <si>
    <t>eiko.passive.ex.trigger.buffeffect</t>
  </si>
  <si>
    <t>pull1000</t>
    <phoneticPr fontId="3" type="noConversion"/>
  </si>
  <si>
    <t>lilian.ult.event.buff.02</t>
  </si>
  <si>
    <t>daria.ult.B.link.buff.buffeffect.02</t>
  </si>
  <si>
    <t>daria.ult.B.link.buff.buffeffect.03</t>
  </si>
  <si>
    <t>daria.ult.B.link.buff.buffeffect.04</t>
  </si>
  <si>
    <t>daria.ult.B.link.buff.buffeffect.05</t>
  </si>
  <si>
    <t>daria.ult.B.link.buff.buffeffect.06</t>
  </si>
  <si>
    <t>daria.ult.B.link.buff.buffeffect.07</t>
  </si>
  <si>
    <t>Link</t>
  </si>
  <si>
    <t>From</t>
  </si>
  <si>
    <t>mea.ult.pull.buff.04</t>
  </si>
  <si>
    <t>mea.ult.pull.buff.05</t>
  </si>
  <si>
    <t>mea.ult.pull.buff.06</t>
  </si>
  <si>
    <t>mea.ult.pull.buff.07</t>
  </si>
  <si>
    <t>mea.ult.fear.04.buff</t>
  </si>
  <si>
    <t>mea.ult.fear.05.buff</t>
  </si>
  <si>
    <t>mea.ult.fear.06.buff</t>
  </si>
  <si>
    <t>mea.ult.fear.07.buff</t>
  </si>
  <si>
    <t>mea.ult.target.stun.04.buff</t>
  </si>
  <si>
    <t>mea.ult.target.stun.05.buff</t>
  </si>
  <si>
    <t>mea.ult.target.stun.06.buff</t>
  </si>
  <si>
    <t>mea.ult.target.stun.07.buff</t>
  </si>
  <si>
    <t>mea.ult.target.event.01.buff</t>
  </si>
  <si>
    <t>mea.ult.target.event.02.buff</t>
  </si>
  <si>
    <t>mea.ult.target.event.03.buff</t>
  </si>
  <si>
    <t>mea.ult.target.event.04.buff</t>
  </si>
  <si>
    <t>mea.ult.target.event.05.buff</t>
  </si>
  <si>
    <t>mea.ult.target.event.06.buff</t>
  </si>
  <si>
    <t>mea.ult.target.event.07.buff</t>
  </si>
  <si>
    <t>ReceiveNormalDamage.Up.01</t>
    <phoneticPr fontId="3" type="noConversion"/>
  </si>
  <si>
    <t>ReceiveNormalDamage.Up.03</t>
  </si>
  <si>
    <t>ReceiveNormalDamage.Up.04</t>
  </si>
  <si>
    <t>ReceiveNormalDamage.Up.05</t>
  </si>
  <si>
    <t>ReceiveNormalDamage.Up.06</t>
  </si>
  <si>
    <t>ReceiveNormalDamage.Up.07</t>
  </si>
  <si>
    <t>ReceiveNormalDamage.Up.08</t>
  </si>
  <si>
    <t>ReceiveNormalDamage.Up.09</t>
  </si>
  <si>
    <t>ReceiveNormalDamage.Up.10</t>
  </si>
  <si>
    <t>NormalDamageDerate</t>
    <phoneticPr fontId="3" type="noConversion"/>
  </si>
  <si>
    <t>ReceiveNormalDamage.Up.02</t>
    <phoneticPr fontId="3" type="noConversion"/>
  </si>
  <si>
    <t>knockback</t>
    <phoneticPr fontId="3" type="noConversion"/>
  </si>
  <si>
    <t>DotDamageDerate</t>
    <phoneticPr fontId="3" type="noConversion"/>
  </si>
  <si>
    <t>Critical.Damage.Derate.Down.02</t>
  </si>
  <si>
    <t>Critical.Damage.Derate.Down.04</t>
  </si>
  <si>
    <t>Critical.Damage.Derate.Down.05</t>
  </si>
  <si>
    <t>CriticalDamageDerate</t>
    <phoneticPr fontId="3" type="noConversion"/>
  </si>
  <si>
    <t>eiko.passive.ex.event.skilleffect.buff.02</t>
  </si>
  <si>
    <t>eiko.passive.ex.event.skilleffect.buff.03</t>
  </si>
  <si>
    <t>eiko.passive.ex.event.skilleffect.buff.04</t>
  </si>
  <si>
    <t>eiko.passive.ex.event.skilleffect.buff.05</t>
  </si>
  <si>
    <t>eiko.passive.ex.event.skilleffect.buff.06</t>
  </si>
  <si>
    <t>eiko.passive.ex.event.skilleffect.buff.07</t>
  </si>
  <si>
    <t>archphase.ult.pre.buff.01.02</t>
  </si>
  <si>
    <t>archphase.ult.pre.buff.01.03</t>
  </si>
  <si>
    <t>archphase.ult.pre.buff.01.04</t>
  </si>
  <si>
    <t>archphase.ult.pre.buff.01.05</t>
  </si>
  <si>
    <t>archphase.ult.pre.buff.01.06</t>
  </si>
  <si>
    <t>archphase.ult.pre.buff.01.07</t>
  </si>
  <si>
    <t>archphase.ult.pre.buff.buffeffect.01.02</t>
  </si>
  <si>
    <t>archphase.ult.pre.buff.buffeffect.01.03</t>
  </si>
  <si>
    <t>archphase.ult.pre.buff.buffeffect.01.04</t>
  </si>
  <si>
    <t>archphase.ult.pre.buff.buffeffect.01.05</t>
  </si>
  <si>
    <t>archphase.ult.pre.buff.buffeffect.01.06</t>
  </si>
  <si>
    <t>archphase.ult.pre.buff.buffeffect.01.07</t>
  </si>
  <si>
    <t>archphase.ult.skilleffect.modifier.02</t>
  </si>
  <si>
    <t>archphase.ult.skilleffect.modifier.03</t>
  </si>
  <si>
    <t>archphase.ult.skilleffect.modifier.04</t>
  </si>
  <si>
    <t>archphase.ult.skilleffect.modifier.05</t>
  </si>
  <si>
    <t>archphase.ult.skilleffect.modifier.06</t>
  </si>
  <si>
    <t>archphase.ult.skilleffect.modifier.07</t>
  </si>
  <si>
    <t>AtkSpeed.Up.01</t>
    <phoneticPr fontId="3" type="noConversion"/>
  </si>
  <si>
    <t>angelica.passive.areadmgup.buff.buffeffect.01.02</t>
  </si>
  <si>
    <t>angelica.passive.areadmgup.buff.buffeffect.01.03</t>
  </si>
  <si>
    <t>angelica.passive.areadmgup.buff.buffeffect.01.04</t>
  </si>
  <si>
    <t>angelica.passive.areadmgup.buff.buffeffect.01.05</t>
  </si>
  <si>
    <t>angelica.passive.areadmgup.buff.buffeffect.01.06</t>
  </si>
  <si>
    <t>angelica.passive.areadmgup.buff.buffeffect.02.02</t>
  </si>
  <si>
    <t>angelica.passive.areadmgup.buff.buffeffect.02.03</t>
  </si>
  <si>
    <t>angelica.passive.areadmgup.buff.buffeffect.02.04</t>
  </si>
  <si>
    <t>angelica.passive.areadmgup.buff.buffeffect.02.05</t>
  </si>
  <si>
    <t>angelica.passive.areadmgup.buff.buffeffect.02.06</t>
  </si>
  <si>
    <t>angelica.passive.areadmgup.buff.01.01</t>
  </si>
  <si>
    <t>angelica.passive.areadmgup.buff.01.02</t>
  </si>
  <si>
    <t>angelica.passive.areadmgup.buff.01.03</t>
  </si>
  <si>
    <t>angelica.passive.areadmgup.buff.01.04</t>
  </si>
  <si>
    <t>angelica.passive.areadmgup.buff.01.05</t>
  </si>
  <si>
    <t>angelica.passive.areadmgup.buff.01.06</t>
  </si>
  <si>
    <t>angelica.passive.areadmgup.buff.02.01</t>
  </si>
  <si>
    <t>angelica.passive.areadmgup.buff.02.02</t>
  </si>
  <si>
    <t>angelica.passive.areadmgup.buff.02.03</t>
  </si>
  <si>
    <t>angelica.passive.areadmgup.buff.02.04</t>
  </si>
  <si>
    <t>angelica.passive.areadmgup.buff.02.05</t>
  </si>
  <si>
    <t>angelica.passive.areadmgup.buff.02.06</t>
  </si>
  <si>
    <t>leila.ult.B.defdown.buff.05</t>
  </si>
  <si>
    <t>patricia.ult.freeze.buff.05</t>
  </si>
  <si>
    <t>erica.ult.burn.buff.05</t>
  </si>
  <si>
    <t>ferrel.ult.B.effect.buff.event.buffeffect.02</t>
  </si>
  <si>
    <t>ferrel.ult.B.effect.buff.event.buffeffect.03</t>
  </si>
  <si>
    <t>ferrel.ult.B.effect.buff.event.buffeffect.04</t>
  </si>
  <si>
    <t>ferrel.ult.B.effect.buff.event.buffeffect.05</t>
  </si>
  <si>
    <t>ferrel.ult.B.effect.buff.event.buffeffect.06</t>
  </si>
  <si>
    <t>ferrel.ult.B.effect.buff.event.buffeffect.07</t>
  </si>
  <si>
    <t>Reduce.SingleDamage.Down.01</t>
    <phoneticPr fontId="3" type="noConversion"/>
  </si>
  <si>
    <t>Reduce.Active.Damage.Down.01</t>
    <phoneticPr fontId="3" type="noConversion"/>
  </si>
  <si>
    <t>Reduce.Active.Damage.Down.02</t>
  </si>
  <si>
    <t>Reduce.Active.Damage.Down.03</t>
  </si>
  <si>
    <t>Reduce.Active.Damage.Down.04</t>
  </si>
  <si>
    <t>Reduce.Active.Damage.Down.05</t>
  </si>
  <si>
    <t>ActiveDamageDerate</t>
  </si>
  <si>
    <t>Reduce.Ultimate.Damage.Down.01</t>
    <phoneticPr fontId="3" type="noConversion"/>
  </si>
  <si>
    <t>Reduce.Ultimate.Damage.Down.02</t>
  </si>
  <si>
    <t>Reduce.Ultimate.Damage.Down.03</t>
  </si>
  <si>
    <t>Reduce.Ultimate.Damage.Down.04</t>
  </si>
  <si>
    <t>Reduce.Ultimate.Damage.Down.05</t>
  </si>
  <si>
    <t>UltimateDamageDerate</t>
  </si>
  <si>
    <t>itus.ult.B.buff.02</t>
  </si>
  <si>
    <t>itus.ult.B.buff.03</t>
  </si>
  <si>
    <t>itus.ult.B.buff.04</t>
  </si>
  <si>
    <t>itus.ult.B.buff.05</t>
  </si>
  <si>
    <t>itus.ult.B.buff.06</t>
  </si>
  <si>
    <t>itus.ult.B.buff.07</t>
  </si>
  <si>
    <t>itus.ult.B.buff.01</t>
  </si>
  <si>
    <t>Airborn</t>
    <phoneticPr fontId="3" type="noConversion"/>
  </si>
  <si>
    <t>airborne</t>
    <phoneticPr fontId="3" type="noConversion"/>
  </si>
  <si>
    <t>icon_battle_blindess</t>
  </si>
  <si>
    <t>Buff.Desc.Blindess</t>
  </si>
  <si>
    <t>Buff.Name.Airborne</t>
  </si>
  <si>
    <t>Burn.01</t>
    <phoneticPr fontId="3" type="noConversion"/>
  </si>
  <si>
    <t>airen.passive.ex.event.buff.buffeffect.02</t>
  </si>
  <si>
    <t>airen.passive.ex.event.buff.buffeffect.03</t>
  </si>
  <si>
    <t>airen.passive.ex.event.buff.buffeffect.04</t>
  </si>
  <si>
    <t>airen.passive.ex.event.buff.buffeffect.05</t>
  </si>
  <si>
    <t>patricia.ult.B.movement.slow.buffeffect.02</t>
  </si>
  <si>
    <t>patricia.ult.B.movement.slow.buffeffect.03</t>
  </si>
  <si>
    <t>patricia.ult.B.movement.slow.buffeffect.04</t>
  </si>
  <si>
    <t>patricia.ult.B.movement.slow.buffeffect.05</t>
  </si>
  <si>
    <t>patricia.ult.B.movement.slow.buffeffect.06</t>
  </si>
  <si>
    <t>patricia.ult.B.movement.slow.buffeffect.07</t>
  </si>
  <si>
    <t>patricia.active1.frost.buff.05</t>
  </si>
  <si>
    <t>patricia.active1.frost.buff.06</t>
  </si>
  <si>
    <t>serapulsar.ult.act2.buff.buffeffect.01</t>
  </si>
  <si>
    <t>serapulsar.ult.act2.buff.buffeffect.02</t>
  </si>
  <si>
    <t>serapulsar.ult.act2.buff.buffeffect.03</t>
  </si>
  <si>
    <t>serapulsar.ult.act2.buff.buffeffect.04</t>
  </si>
  <si>
    <t>serapulsar.ult.act2.buff.buffeffect.05</t>
  </si>
  <si>
    <t>serapulsar.ult.act2.buff.buffeffect.06</t>
  </si>
  <si>
    <t>serapulsar.ult.act2.buff.buffeffect.modifier.02</t>
  </si>
  <si>
    <t>serapulsar.ult.act2.buff.buffeffect.modifier.03</t>
  </si>
  <si>
    <t>serapulsar.ult.act2.buff.buffeffect.modifier.04</t>
  </si>
  <si>
    <t>serapulsar.ult.act2.buff.buffeffect.modifier.05</t>
  </si>
  <si>
    <t>serapulsar.ult.act2.buff.buffeffect.modifier.06</t>
  </si>
  <si>
    <t>Def.Down.01</t>
  </si>
  <si>
    <t>Def.Down.01</t>
    <phoneticPr fontId="3" type="noConversion"/>
  </si>
  <si>
    <t>siege.ult.shield.buff.02</t>
  </si>
  <si>
    <t>siege.ult.shield.buff.03</t>
  </si>
  <si>
    <t>siege.ult.shield.buff.04</t>
  </si>
  <si>
    <t>siege.ult.shield.buff.05</t>
  </si>
  <si>
    <t>siege.ult.shield.buff.06</t>
  </si>
  <si>
    <t>siege.ult.shield.buff.07</t>
  </si>
  <si>
    <t>siege.ult.shield.buff.buffeffect.02</t>
  </si>
  <si>
    <t>siege.ult.shield.buff.buffeffect.03</t>
  </si>
  <si>
    <t>siege.ult.shield.buff.buffeffect.04</t>
  </si>
  <si>
    <t>siege.ult.shield.buff.buffeffect.05</t>
  </si>
  <si>
    <t>siege.ult.shield.buff.buffeffect.06</t>
  </si>
  <si>
    <t>siege.ult.shield.buff.buffeffect.07</t>
  </si>
  <si>
    <t>ino.ult.B.modifier.buff.buffeffect.01</t>
  </si>
  <si>
    <t>ino.ult.B.modifier.buff.buffeffect.02</t>
  </si>
  <si>
    <t>ino.ult.B.modifier.buff.buffeffect.03</t>
  </si>
  <si>
    <t>ino.ult.B.modifier.buff.buffeffect.04</t>
  </si>
  <si>
    <t>ino.ult.B.modifier.buff.buffeffect.05</t>
  </si>
  <si>
    <t>ino.ult.B.modifier.buff.buffeffect.06</t>
  </si>
  <si>
    <t>ino.ult.B.skilleffect.modifier.02</t>
  </si>
  <si>
    <t>ino.ult.B.skilleffect.modifier.03</t>
  </si>
  <si>
    <t>ino.ult.B.skilleffect.modifier.04</t>
  </si>
  <si>
    <t>ino.ult.B.skilleffect.modifier.05</t>
  </si>
  <si>
    <t>ino.ult.B.skilleffect.modifier.06</t>
  </si>
  <si>
    <t>hellen.ult.B.changeskill.cost.02</t>
  </si>
  <si>
    <t>hellen.ult.B.changeskill.cost.03</t>
  </si>
  <si>
    <t>hellen.ult.B.changeskill.cost.04</t>
  </si>
  <si>
    <t>hellen.ult.B.changeskill.cost.05</t>
  </si>
  <si>
    <t>hellen.ult.B.changeskill.cost.06</t>
  </si>
  <si>
    <t>hellen.ult.B.changeskill.cost.07</t>
  </si>
  <si>
    <t>hellen.ult.B.changeskill.cost.skilleffect.02</t>
  </si>
  <si>
    <t>hellen.ult.B.changeskill.cost.skilleffect.03</t>
  </si>
  <si>
    <t>hellen.ult.B.changeskill.cost.skilleffect.04</t>
  </si>
  <si>
    <t>hellen.ult.B.changeskill.cost.skilleffect.05</t>
  </si>
  <si>
    <t>hellen.ult.B.changeskill.cost.skilleffect.06</t>
  </si>
  <si>
    <t>hellen.ult.B.changeskill.cost.skilleffect.07</t>
  </si>
  <si>
    <t>brynhild.ult.changeskill.cost.02</t>
  </si>
  <si>
    <t>brynhild.ult.changeskill.cost.03</t>
  </si>
  <si>
    <t>brynhild.ult.changeskill.cost.04</t>
  </si>
  <si>
    <t>brynhild.ult.changeskill.cost.05</t>
  </si>
  <si>
    <t>brynhild.ult.changeskill.cost.06</t>
  </si>
  <si>
    <t>brynhild.ult.changeskill.cost.07</t>
  </si>
  <si>
    <t>brynhild.ult.changeskill.cost.skilleffect.02</t>
  </si>
  <si>
    <t>brynhild.ult.changeskill.cost.skilleffect.03</t>
  </si>
  <si>
    <t>brynhild.ult.changeskill.cost.skilleffect.04</t>
  </si>
  <si>
    <t>brynhild.ult.changeskill.cost.skilleffect.05</t>
  </si>
  <si>
    <t>brynhild.ult.changeskill.cost.skilleffect.06</t>
  </si>
  <si>
    <t>brynhild.ult.changeskill.cost.skilleffect.07</t>
  </si>
  <si>
    <t>belebeta.passive.redtea.buff.01&amp;3</t>
  </si>
  <si>
    <t>belebeta.passive.redtea.buff.02&amp;3</t>
  </si>
  <si>
    <t>belebeta.passive.redtea.buff.03&amp;3</t>
  </si>
  <si>
    <t>belebeta.passive.redtea.buff.04&amp;3</t>
  </si>
  <si>
    <t>belebeta.passive.redtea.buff.05&amp;3</t>
  </si>
  <si>
    <t>belebeta.passive.redtea.buff.06&amp;3</t>
  </si>
  <si>
    <t>belebeta.passive.greentea.buff.01&amp;3</t>
  </si>
  <si>
    <t>belebeta.passive.greentea.buff.02&amp;3</t>
  </si>
  <si>
    <t>belebeta.passive.greentea.buff.03&amp;3</t>
  </si>
  <si>
    <t>belebeta.passive.greentea.buff.04&amp;3</t>
  </si>
  <si>
    <t>belebeta.passive.greentea.buff.05&amp;3</t>
  </si>
  <si>
    <t>belebeta.passive.greentea.buff.06&amp;3</t>
  </si>
  <si>
    <t>belebeta.passive.maindealer.buff.buffeffect</t>
  </si>
  <si>
    <t>serapulsar.ult.changeskill.cost.02</t>
  </si>
  <si>
    <t>serapulsar.ult.changeskill.cost.03</t>
  </si>
  <si>
    <t>serapulsar.ult.changeskill.cost.04</t>
  </si>
  <si>
    <t>serapulsar.ult.changeskill.cost.05</t>
  </si>
  <si>
    <t>serapulsar.ult.changeskill.cost.06</t>
  </si>
  <si>
    <t>serapulsar.ult.changeskill.cost.07</t>
  </si>
  <si>
    <t>serapulsar.ult.changeskill.cost.skilleffect.02</t>
  </si>
  <si>
    <t>serapulsar.ult.changeskill.cost.skilleffect.03</t>
  </si>
  <si>
    <t>serapulsar.ult.changeskill.cost.skilleffect.04</t>
  </si>
  <si>
    <t>serapulsar.ult.changeskill.cost.skilleffect.05</t>
  </si>
  <si>
    <t>serapulsar.ult.changeskill.cost.skilleffect.06</t>
  </si>
  <si>
    <t>serapulsar.ult.changeskill.cost.skilleffect.07</t>
  </si>
  <si>
    <t>CriticalDamage.Up.03</t>
    <phoneticPr fontId="3" type="noConversion"/>
  </si>
  <si>
    <t>fei.ult.B.cridmgresistdown.buff.02</t>
  </si>
  <si>
    <t>fei.ult.B.cridmgresistdown.buff.03</t>
  </si>
  <si>
    <t>fei.ult.B.cridmgresistdown.buff.04</t>
  </si>
  <si>
    <t>fei.ult.B.cridmgresistdown.buff.05</t>
  </si>
  <si>
    <t>fei.ult.B.cridmgresistdown.buff.06</t>
  </si>
  <si>
    <t>fei.ult.B.cridmgresistdown.buff.07</t>
  </si>
  <si>
    <t>fei.ult.B.cridmgresistdown.buff.12</t>
  </si>
  <si>
    <t>fei.ult.B.cridmgresistdown.buff.13</t>
  </si>
  <si>
    <t>fei.ult.B.cridmgresistdown.buff.14</t>
  </si>
  <si>
    <t>fei.ult.B.cridmgresistdown.buff.15</t>
  </si>
  <si>
    <t>fei.ult.B.cridmgresistdown.buff.01</t>
  </si>
  <si>
    <t>fei.ult.B.cridmgresistdown.buff.16</t>
  </si>
  <si>
    <t>fei.ult.B.cridmgresistdown.buff.17</t>
  </si>
  <si>
    <t>Critical.Damage.Derate.Down.03</t>
  </si>
  <si>
    <t>GuardDerate.Up.01</t>
    <phoneticPr fontId="3" type="noConversion"/>
  </si>
  <si>
    <t>GuardDerate.Up.02</t>
  </si>
  <si>
    <t>GuardDerate.Up.03</t>
  </si>
  <si>
    <t>GuardDerate.Up.04</t>
  </si>
  <si>
    <t>GuardDerate</t>
    <phoneticPr fontId="3" type="noConversion"/>
  </si>
  <si>
    <t>GuardDerate.Up.05</t>
    <phoneticPr fontId="3" type="noConversion"/>
  </si>
  <si>
    <t>Critical.Damage.Derate.Down.01</t>
  </si>
  <si>
    <t>Critical.Damage.Derate.Down.01</t>
    <phoneticPr fontId="3" type="noConversion"/>
  </si>
  <si>
    <t>ActiveDamageRate</t>
    <phoneticPr fontId="3" type="noConversion"/>
  </si>
  <si>
    <t>UltDamage.Up.02</t>
  </si>
  <si>
    <t>UltDamage.Up.03</t>
  </si>
  <si>
    <t>UltDamage.Up.04</t>
  </si>
  <si>
    <t>UltDamage.Up.05</t>
  </si>
  <si>
    <t>ActiveDamageRate</t>
    <phoneticPr fontId="3" type="noConversion"/>
  </si>
  <si>
    <t>UltDamage.Up.01</t>
    <phoneticPr fontId="3" type="noConversion"/>
  </si>
  <si>
    <t>ActiveDamage.Up.01</t>
    <phoneticPr fontId="3" type="noConversion"/>
  </si>
  <si>
    <t>ActiveDamage.Up.02</t>
  </si>
  <si>
    <t>ActiveDamage.Up.03</t>
  </si>
  <si>
    <t>ActiveDamage.Up.04</t>
  </si>
  <si>
    <t>ActiveDamage.Up.05</t>
  </si>
  <si>
    <t>Effect/Prefab/01.Character/45_yurizia/EFF_yurizia_ult02_icon_2</t>
  </si>
  <si>
    <t>Effect/Prefab/01.Character/45_yurizia/EFF_yurizia_ult02_icon_3</t>
  </si>
  <si>
    <t>lilian.plasma.buff&amp;5</t>
  </si>
  <si>
    <r>
      <t>A</t>
    </r>
    <r>
      <rPr>
        <sz val="11"/>
        <color theme="1"/>
        <rFont val="맑은 고딕"/>
        <family val="2"/>
        <scheme val="minor"/>
      </rPr>
      <t>ggro</t>
    </r>
    <phoneticPr fontId="3" type="noConversion"/>
  </si>
  <si>
    <t>CrowdControl</t>
    <phoneticPr fontId="3" type="noConversion"/>
  </si>
  <si>
    <t>ccimmune.50</t>
    <phoneticPr fontId="3" type="noConversion"/>
  </si>
  <si>
    <t>resist.cc</t>
  </si>
  <si>
    <t>resist.cc</t>
    <phoneticPr fontId="3" type="noConversion"/>
  </si>
  <si>
    <t>all.immune</t>
    <phoneticPr fontId="3" type="noConversion"/>
  </si>
  <si>
    <t>ambrosia.bullet.shell.buffeffect.02</t>
  </si>
  <si>
    <t>ambrosia.bullet.shell.buffeffect.03</t>
  </si>
  <si>
    <t>ambrosia.bullet.shell.buffeffect.04</t>
  </si>
  <si>
    <t>ambrosia.bullet.shell.buffeffect.05</t>
  </si>
  <si>
    <t>Reduce.DotDamage.Down.06</t>
  </si>
  <si>
    <t>Reduce.DotDamage.Down.07</t>
  </si>
  <si>
    <t>Reduce.DotDamage.Down.08</t>
  </si>
  <si>
    <t>Reduce.DotDamage.Down.09</t>
  </si>
  <si>
    <t>Reduce.DotDamage.Down.10</t>
  </si>
  <si>
    <t>iras.ult.B.dotdmgdrdown.02</t>
  </si>
  <si>
    <t>iras.ult.B.dotdmgdrdown.03</t>
  </si>
  <si>
    <t>iras.ult.B.dotdmgdrdown.04</t>
  </si>
  <si>
    <t>iras.ult.B.dotdmgdrdown.05</t>
  </si>
  <si>
    <t>iras.ult.B.dotdmgdrdown.06</t>
  </si>
  <si>
    <t>iras.ult.B.dotdmgdrdown.07</t>
  </si>
  <si>
    <t>fei.ult.pre.buff.buffeffect.skilleffect.02</t>
  </si>
  <si>
    <t>fei.ult.pre.buff.buffeffect.skilleffect.03</t>
  </si>
  <si>
    <t>fei.ult.pre.buff.buffeffect.skilleffect.04</t>
  </si>
  <si>
    <t>fei.ult.pre.buff.buffeffect.skilleffect.05</t>
  </si>
  <si>
    <t>fei.ult.pre.buff.buffeffect.01
fei.ult.pre.buff.buffeffect.02
fei.ult.pre.buff.buffeffect.03
fei.ult.pre.buff.buffeffect.04
fei.ult.pre.buff.buffeffect.05</t>
  </si>
  <si>
    <t>fei.ult.pre.buff.buffeffect.02</t>
  </si>
  <si>
    <t>fei.ult.pre.buff.buffeffect.03</t>
  </si>
  <si>
    <t>fei.ult.pre.buff.buffeffect.04</t>
  </si>
  <si>
    <t>fei.ult.pre.buff.buffeffect.05</t>
  </si>
  <si>
    <t>!fei.passive.ex.dummy.buffeffect</t>
  </si>
  <si>
    <t>fei.passive.ex.buff.01</t>
  </si>
  <si>
    <t>mea.passive.ex.ally.buff.01</t>
  </si>
  <si>
    <t>mea.passive.ex.ally.buff.02</t>
  </si>
  <si>
    <t>mea.passive.ex.ally.buff.03</t>
  </si>
  <si>
    <t>mea.passive.ex.ally.buff.04</t>
  </si>
  <si>
    <t>mea.passive.ex.ally.buff.05</t>
  </si>
  <si>
    <t>mea.passive.ex.ally.buff.06</t>
  </si>
  <si>
    <t>mea.passive.ex.ally.buff.buffeffect.01</t>
  </si>
  <si>
    <t>mea.passive.ex.ally.buff.buffeffect.02</t>
  </si>
  <si>
    <t>mea.passive.ex.ally.buff.buffeffect.03</t>
  </si>
  <si>
    <t>mea.passive.ex.ally.buff.buffeffect.04</t>
  </si>
  <si>
    <t>mea.passive.ex.ally.buff.buffeffect.05</t>
  </si>
  <si>
    <t>mea.passive.ex.ally.buff.buffeffect.06</t>
  </si>
  <si>
    <t>ReceiveHealRate.Down.mea</t>
    <phoneticPr fontId="3" type="noConversion"/>
  </si>
  <si>
    <t>RecoveryRate</t>
    <phoneticPr fontId="3" type="noConversion"/>
  </si>
  <si>
    <t>RecoveryRate</t>
    <phoneticPr fontId="3" type="noConversion"/>
  </si>
  <si>
    <t>ReceiveRecoveryRate</t>
    <phoneticPr fontId="3" type="noConversion"/>
  </si>
  <si>
    <t>BossDamageRate</t>
  </si>
  <si>
    <t>airen.active2.addenergy.buff.buffeffect.05</t>
  </si>
  <si>
    <t>airen.active2.addenergy.buff.buffeffect.06</t>
  </si>
  <si>
    <t>airen.active2.buff.02</t>
  </si>
  <si>
    <t>airen.active2.buff.03</t>
  </si>
  <si>
    <t>airen.active2.buff.04</t>
  </si>
  <si>
    <t>airen.active2.buff.05</t>
  </si>
  <si>
    <t>airen.active2.buff.06</t>
  </si>
  <si>
    <t>airen.active2.buff.01</t>
  </si>
  <si>
    <t>airen.active2.defensederate.buff.buffeffect.01</t>
  </si>
  <si>
    <t>airen.active2.defensederate.buff.buffeffect.02</t>
  </si>
  <si>
    <t>airen.active2.defensederate.buff.buffeffect.03</t>
  </si>
  <si>
    <t>airen.active2.defensederate.buff.buffeffect.04</t>
  </si>
  <si>
    <t>airen.active2.defensederate.buff.buffeffect.05</t>
  </si>
  <si>
    <t>airen.active2.defensederate.buff.buffeffect.06</t>
  </si>
  <si>
    <t>yuna.passive.ex.buff.buffeffect.01.02</t>
  </si>
  <si>
    <t>yuna.passive.ex.buff.buffeffect.01.03</t>
  </si>
  <si>
    <t>yuna.passive.ex.buff.buffeffect.01.04</t>
  </si>
  <si>
    <t>yuna.passive.ex.buff.buffeffect.01.05</t>
  </si>
  <si>
    <t>yuna.passive.ex.buff.buffeffect.01.06</t>
  </si>
  <si>
    <t>yuna.passive.ex.buff.buffeffect.02.02</t>
  </si>
  <si>
    <t>yuna.passive.ex.buff.buffeffect.02.03</t>
  </si>
  <si>
    <t>yuna.passive.ex.buff.buffeffect.02.04</t>
  </si>
  <si>
    <t>yuna.passive.ex.buff.buffeffect.02.05</t>
  </si>
  <si>
    <t>yuna.passive.ex.buff.buffeffect.02.06</t>
  </si>
  <si>
    <t>yuna.passive.ex.buff.skilleffect.02.02</t>
  </si>
  <si>
    <t>yuna.passive.ex.buff.skilleffect.02.03</t>
  </si>
  <si>
    <t>yuna.passive.ex.buff.skilleffect.02.04</t>
  </si>
  <si>
    <t>yuna.passive.ex.buff.skilleffect.02.05</t>
  </si>
  <si>
    <t>yuna.passive.ex.buff.skilleffect.02.06</t>
  </si>
  <si>
    <t>yuna.passive.ex.healderate.buff.02</t>
  </si>
  <si>
    <t>yuna.passive.ex.healderate.buff.03</t>
  </si>
  <si>
    <t>yuna.passive.ex.healderate.buff.04</t>
  </si>
  <si>
    <t>yuna.passive.ex.healderate.buff.05</t>
  </si>
  <si>
    <t>yuna.passive.ex.healderate.buff.06</t>
  </si>
  <si>
    <t>yuna.passive.ex.healderate.buff.buffeffect.01</t>
  </si>
  <si>
    <t>yuna.passive.ex.healderate.buff.buffeffect.02</t>
  </si>
  <si>
    <t>yuna.passive.ex.healderate.buff.buffeffect.03</t>
  </si>
  <si>
    <t>yuna.passive.ex.healderate.buff.buffeffect.04</t>
  </si>
  <si>
    <t>yuna.passive.ex.healderate.buff.buffeffect.05</t>
  </si>
  <si>
    <t>yuna.passive.ex.healderate.buff.buffeffect.06</t>
  </si>
  <si>
    <t>ReceiveRecoveryRate</t>
    <phoneticPr fontId="3" type="noConversion"/>
  </si>
  <si>
    <t>DotDamageRate</t>
    <phoneticPr fontId="3" type="noConversion"/>
  </si>
  <si>
    <t>patricia.passive.frost.burn.skilleffect.02</t>
  </si>
  <si>
    <t>patricia.passive.frost.burn.skilleffect.03</t>
  </si>
  <si>
    <t>patricia.passive.frost.burn.skilleffect.04</t>
  </si>
  <si>
    <t>patricia.passive.frost.burn.skilleffect.05</t>
  </si>
  <si>
    <t>patricia.passive.frost.burn.skilleffect.06</t>
  </si>
  <si>
    <t>patricia.passive.frost.burn.buff.02</t>
  </si>
  <si>
    <t>patricia.passive.frost.burn.buff.03</t>
  </si>
  <si>
    <t>patricia.passive.frost.burn.buff.04</t>
  </si>
  <si>
    <t>patricia.passive.frost.burn.buff.05</t>
  </si>
  <si>
    <t>patricia.passive.frost.burn.buff.06</t>
  </si>
  <si>
    <t>patricia.passive.frost.burn.buff.buffeffect.01</t>
  </si>
  <si>
    <t>patricia.passive.frost.burn.buff.buffeffect.02</t>
  </si>
  <si>
    <t>patricia.passive.frost.burn.buff.buffeffect.03</t>
  </si>
  <si>
    <t>patricia.passive.frost.burn.buff.buffeffect.04</t>
  </si>
  <si>
    <t>patricia.passive.frost.burn.buff.buffeffect.05</t>
  </si>
  <si>
    <t>patricia.passive.frost.burn.buff.buffeffect.06</t>
  </si>
  <si>
    <t>Frost</t>
  </si>
  <si>
    <t>balencia.ult.buff.buffeffect.02</t>
  </si>
  <si>
    <t>balencia.ult.buff.buffeffect.03</t>
  </si>
  <si>
    <t>balencia.ult.buff.buffeffect.04</t>
  </si>
  <si>
    <t>balencia.ult.buff.buffeffect.05</t>
  </si>
  <si>
    <t>balencia.ult.buff.buffeffect.06</t>
  </si>
  <si>
    <t>balencia.ult.buff.buffeffect.07</t>
  </si>
  <si>
    <t>belita.passive.poem.active2.criup&amp;11</t>
  </si>
  <si>
    <t>CriticalDamage.Up.01</t>
  </si>
  <si>
    <t>elina.passive.ex.buff.buffeffect.01</t>
  </si>
  <si>
    <t>elina.passive.ex.buff.buffeffect.02</t>
  </si>
  <si>
    <t>elina.passive.ex.buff.buffeffect.03</t>
  </si>
  <si>
    <t>elina.passive.ex.buff.buffeffect.04</t>
  </si>
  <si>
    <t>elina.passive.ex.buff.buffeffect.05</t>
  </si>
  <si>
    <t>elina.passive.ex.buff.buffeffect.06</t>
  </si>
  <si>
    <t>Electric</t>
  </si>
  <si>
    <t>Electric</t>
    <phoneticPr fontId="3" type="noConversion"/>
  </si>
  <si>
    <t>klairs.active2.provoke.buff.02</t>
  </si>
  <si>
    <t>klairs.active2.provoke.buff.03</t>
  </si>
  <si>
    <t>klairs.active2.provoke.buff.04</t>
  </si>
  <si>
    <t>klairs.active1.atkdown.buff.02</t>
  </si>
  <si>
    <t>klairs.active1.atkdown.buff.03</t>
  </si>
  <si>
    <t>klairs.active1.atkdown.buff.04</t>
  </si>
  <si>
    <t>hellen.passive.ex.aroma.buff.buffeffect.01</t>
  </si>
  <si>
    <t>hellen.passive.ex.aroma.buff.buffeffect.02</t>
  </si>
  <si>
    <t>hellen.passive.ex.aroma.buff.buffeffect.03</t>
  </si>
  <si>
    <t>hellen.passive.ex.aroma.buff.buffeffect.04</t>
  </si>
  <si>
    <t>hellen.passive.ex.aroma.buff.buffeffect.05</t>
  </si>
  <si>
    <t>hellen.passive.ex.aroma.buff.buffeffect.06</t>
  </si>
  <si>
    <t>hellen.passive.ex.aroma.buff.01</t>
  </si>
  <si>
    <t>hellen.passive.ex.aroma.buff.02</t>
  </si>
  <si>
    <t>hellen.passive.ex.aroma.buff.03</t>
  </si>
  <si>
    <t>hellen.passive.ex.aroma.buff.04</t>
  </si>
  <si>
    <t>hellen.passive.ex.aroma.buff.05</t>
  </si>
  <si>
    <t>hellen.passive.ex.aroma.buff.06</t>
  </si>
  <si>
    <t>hellen.passive.buff.buffeffect.skilleffect.02.02</t>
  </si>
  <si>
    <t>hellen.passive.buff.buffeffect.skilleffect.02.03</t>
  </si>
  <si>
    <t>hellen.passive.buff.buffeffect.skilleffect.02.04</t>
  </si>
  <si>
    <t>hellen.passive.buff.buffeffect.skilleffect.02.05</t>
  </si>
  <si>
    <t>hellen.passive.buff.buffeffect.skilleffect.02.06</t>
  </si>
  <si>
    <t>hellen.passive.buff.buffeffect.skilleffect.02.01</t>
  </si>
  <si>
    <t>renas.ult.pre.buff.01</t>
  </si>
  <si>
    <t>renas.ult.pre.buff.burn
renas.ult.pre.buff.frost
renas.ult.pre.buff.poison
renas.ult.pre.buff.electric
renas.ult.pre.buff.bleed</t>
  </si>
  <si>
    <t>renas.ult.pre.buff.mark</t>
  </si>
  <si>
    <t>renas.ult.pre.buff.burn</t>
  </si>
  <si>
    <t>renas.ult.pre.buff.burn.skilleffect</t>
  </si>
  <si>
    <t>renas.ult.pre.buff.frost</t>
  </si>
  <si>
    <t>renas.ult.pre.buff.frost.skilleffect</t>
  </si>
  <si>
    <t>renas.ult.pre.buff.poison</t>
  </si>
  <si>
    <t>renas.ult.pre.buff.poison.skilleffect</t>
  </si>
  <si>
    <t>renas.ult.pre.buff.electric</t>
  </si>
  <si>
    <t>renas.ult.pre.buff.electric.skilleffect</t>
  </si>
  <si>
    <t>renas.ult.pre.buff.bleed</t>
  </si>
  <si>
    <t>renas.ult.pre.buff.bleed.skilleffect</t>
  </si>
  <si>
    <t>NormalDamageDerate.Down.01</t>
    <phoneticPr fontId="3" type="noConversion"/>
  </si>
  <si>
    <t>NormalDamageDerate.Down.02</t>
  </si>
  <si>
    <t>NormalDamageDerate.Down.03</t>
  </si>
  <si>
    <t>NormalDamageDerate.Down.04</t>
  </si>
  <si>
    <t>NormalDamageDerate.Down.05</t>
  </si>
  <si>
    <t>NormalDamageDerate.Down.06</t>
  </si>
  <si>
    <t>NormalDamageDerate.Down.07</t>
  </si>
  <si>
    <t>NormalDamageDerate.Down.08</t>
  </si>
  <si>
    <t>NormalDamageDerate.Down.09</t>
  </si>
  <si>
    <t>NormalDamageDerate.Down.10</t>
  </si>
  <si>
    <t>Reduce.RangeDamage.Down.03</t>
    <phoneticPr fontId="3" type="noConversion"/>
  </si>
  <si>
    <t>crimson.active1.event.buff.02</t>
  </si>
  <si>
    <t>crimson.active1.event.buff.03</t>
  </si>
  <si>
    <t>crimson.active1.event.buff.04</t>
  </si>
  <si>
    <t>crimson.active1.event.buff.05</t>
  </si>
  <si>
    <t>crimson.active1.event.buff.06</t>
  </si>
  <si>
    <t>Accuracy.Down.01</t>
    <phoneticPr fontId="3" type="noConversion"/>
  </si>
  <si>
    <t>crimson.passive.ex.buff.buffeffect.01</t>
  </si>
  <si>
    <t>crimson.passive.ex.event.buff.02</t>
  </si>
  <si>
    <t>crimson.passive.ex.event.buff.03</t>
  </si>
  <si>
    <t>crimson.passive.ex.event.buff.04</t>
  </si>
  <si>
    <t>crimson.passive.ex.event.buff.05</t>
  </si>
  <si>
    <t>crimson.passive.ex.event.buff.06</t>
  </si>
  <si>
    <t>pull7500</t>
    <phoneticPr fontId="3" type="noConversion"/>
  </si>
  <si>
    <t>shale.ult.pre.buff.02</t>
  </si>
  <si>
    <t>shale.ult.pre.buff.03</t>
  </si>
  <si>
    <t>shale.ult.pre.buff.buffeffect.01</t>
  </si>
  <si>
    <t>shale.ult.pre.buff.buffeffect.02</t>
  </si>
  <si>
    <t>shale.ult.pre.buff.buffeffect.03</t>
  </si>
  <si>
    <t>shale.ult.front.effect.01</t>
  </si>
  <si>
    <t>shale.ult.middle.effect.01</t>
  </si>
  <si>
    <t>shale.ult.back.effect.01</t>
  </si>
  <si>
    <t>shale.ult.mark</t>
  </si>
  <si>
    <t>yurizia.ult.buff.02</t>
  </si>
  <si>
    <t>yurizia.ult.buff.03</t>
  </si>
  <si>
    <t>yurizia.ult.buff.04</t>
  </si>
  <si>
    <t>yurizia.ult.buff.05</t>
  </si>
  <si>
    <t>yurizia.ult.buff.06</t>
  </si>
  <si>
    <t>yurizia.ult.buff.07</t>
  </si>
  <si>
    <t>yurizia.ult.buff.buffeffect.01.02</t>
  </si>
  <si>
    <t>yurizia.ult.buff.buffeffect.01.03</t>
  </si>
  <si>
    <t>yurizia.ult.buff.buffeffect.01.04</t>
  </si>
  <si>
    <t>yurizia.ult.buff.buffeffect.01.05</t>
  </si>
  <si>
    <t>yurizia.ult.buff.buffeffect.01.06</t>
  </si>
  <si>
    <t>yurizia.ult.buff.buffeffect.01.07</t>
  </si>
  <si>
    <t>yurizia.ult.B.buff.buffeffect.01.01</t>
  </si>
  <si>
    <t>yurizia.ult.B.buff.buffeffect.01.02</t>
  </si>
  <si>
    <t>yurizia.ult.B.buff.buffeffect.01.03</t>
  </si>
  <si>
    <t>yurizia.ult.B.buff.buffeffect.01.04</t>
  </si>
  <si>
    <t>yurizia.ult.B.buff.buffeffect.01.05</t>
  </si>
  <si>
    <t>yurizia.ult.B.buff.buffeffect.01.06</t>
  </si>
  <si>
    <t>yurizia.ult.B.buff.buffeffect.01.07</t>
  </si>
  <si>
    <t>yurizia.ult.B.buff.buffeffect.02.01</t>
  </si>
  <si>
    <t>yurizia.ult.B.buff.buffeffect.02.02</t>
  </si>
  <si>
    <t>yurizia.ult.B.buff.buffeffect.02.03</t>
  </si>
  <si>
    <t>yurizia.ult.B.buff.buffeffect.02.04</t>
  </si>
  <si>
    <t>yurizia.ult.B.buff.buffeffect.02.05</t>
  </si>
  <si>
    <t>yurizia.ult.B.buff.buffeffect.02.06</t>
  </si>
  <si>
    <t>yurizia.ult.B.buff.buffeffect.02.07</t>
  </si>
  <si>
    <t>UltimateDamageRate</t>
    <phoneticPr fontId="3" type="noConversion"/>
  </si>
  <si>
    <t>yurizia.ult.B.buff.01.02</t>
  </si>
  <si>
    <t>yurizia.ult.B.buff.01.03</t>
  </si>
  <si>
    <t>yurizia.ult.B.buff.01.04</t>
  </si>
  <si>
    <t>yurizia.ult.B.buff.01.05</t>
  </si>
  <si>
    <t>yurizia.ult.B.buff.01.06</t>
  </si>
  <si>
    <t>yurizia.ult.B.buff.01.07</t>
  </si>
  <si>
    <t>yurizia.ult.B.buff.02.02</t>
  </si>
  <si>
    <t>yurizia.ult.B.buff.02.03</t>
  </si>
  <si>
    <t>yurizia.ult.B.buff.02.04</t>
  </si>
  <si>
    <t>yurizia.ult.B.buff.02.05</t>
  </si>
  <si>
    <t>yurizia.ult.B.buff.02.06</t>
  </si>
  <si>
    <t>yurizia.ult.B.buff.02.07</t>
  </si>
  <si>
    <t>yurizia.ult.B.buff.03.02</t>
  </si>
  <si>
    <t>yurizia.ult.B.buff.03.03</t>
  </si>
  <si>
    <t>yurizia.ult.B.buff.03.04</t>
  </si>
  <si>
    <t>yurizia.ult.B.buff.03.05</t>
  </si>
  <si>
    <t>yurizia.ult.B.buff.03.06</t>
  </si>
  <si>
    <t>yurizia.ult.B.buff.03.07</t>
  </si>
  <si>
    <t>arcels.active2.atkup.buff.buffeffect.01</t>
  </si>
  <si>
    <t>arcels.active2.atkup.buff.buffeffect.02</t>
  </si>
  <si>
    <t>arcels.active2.atkup.buff.buffeffect.03</t>
  </si>
  <si>
    <t>arcels.active2.atkup.buff.buffeffect.04</t>
  </si>
  <si>
    <t>arcels.active2.atkup.buff.buffeffect.05</t>
  </si>
  <si>
    <t>arcels.active2.atkup.buff.buffeffect.06</t>
  </si>
  <si>
    <t>arcels.active2.atkdown.buff.buffeffect.01</t>
  </si>
  <si>
    <t>arcels.active2.atkdown.buff.buffeffect.02</t>
  </si>
  <si>
    <t>arcels.active2.atkdown.buff.buffeffect.03</t>
  </si>
  <si>
    <t>arcels.active2.atkdown.buff.buffeffect.04</t>
  </si>
  <si>
    <t>arcels.active2.atkdown.buff.buffeffect.05</t>
  </si>
  <si>
    <t>arcels.active2.atkdown.buff.buffeffect.06</t>
  </si>
  <si>
    <t>yurizia.ult.B.buff.buffeffect.03.01</t>
  </si>
  <si>
    <t>yurizia.ult.B.buff.buffeffect.03.02</t>
  </si>
  <si>
    <t>yurizia.ult.B.buff.buffeffect.03.03</t>
  </si>
  <si>
    <t>yurizia.ult.B.buff.buffeffect.03.04</t>
  </si>
  <si>
    <t>yurizia.ult.B.buff.buffeffect.03.05</t>
  </si>
  <si>
    <t>yurizia.ult.B.buff.buffeffect.03.06</t>
  </si>
  <si>
    <t>yurizia.ult.B.buff.buffeffect.03.07</t>
  </si>
  <si>
    <t>StatusDistict</t>
    <phoneticPr fontId="3" type="noConversion"/>
  </si>
  <si>
    <t>ccimmune</t>
    <phoneticPr fontId="3" type="noConversion"/>
  </si>
  <si>
    <t>Buff.Desc.Atk.Up.01</t>
  </si>
  <si>
    <t>Buff.Desc.Atk.Up.02</t>
  </si>
  <si>
    <t>Buff.Desc.Atk.Up.03</t>
  </si>
  <si>
    <t>Buff.Desc.Atk.Up.04</t>
  </si>
  <si>
    <t>Buff.Desc.Atk.Up.05</t>
  </si>
  <si>
    <t>Buff.Desc.Def.Up.01</t>
  </si>
  <si>
    <t>Buff.Desc.Def.Up.02</t>
  </si>
  <si>
    <t>Buff.Desc.Def.Up.03</t>
  </si>
  <si>
    <t>Buff.Desc.Def.Up.04</t>
  </si>
  <si>
    <t>Buff.Desc.Def.Up.05</t>
  </si>
  <si>
    <t>Buff.Desc.Critical.Up.01</t>
  </si>
  <si>
    <t>Buff.Desc.Critical.Up.02</t>
  </si>
  <si>
    <t>Buff.Desc.Critical.Up.03</t>
  </si>
  <si>
    <t>Buff.Desc.Critical.Up.04</t>
  </si>
  <si>
    <t>Buff.Desc.Critical.Up.05</t>
  </si>
  <si>
    <t>Buff.Desc.CriticalDamage.Up.01</t>
  </si>
  <si>
    <t>Buff.Desc.CriticalDamage.Up.02</t>
  </si>
  <si>
    <t>Buff.Desc.CriticalDamage.Up.03</t>
  </si>
  <si>
    <t>Buff.Desc.CriticalDamage.Up.04</t>
  </si>
  <si>
    <t>Buff.Desc.CriticalDamage.Up.05</t>
  </si>
  <si>
    <t>Buff.Desc.AtkSpeed.Up.01</t>
  </si>
  <si>
    <t>Buff.Desc.AtkSpeed.Up.02</t>
  </si>
  <si>
    <t>Buff.Desc.AtkSpeed.Up.03</t>
  </si>
  <si>
    <t>Buff.Desc.AtkSpeed.Up.04</t>
  </si>
  <si>
    <t>Buff.Desc.AtkSpeed.Up.05</t>
  </si>
  <si>
    <t>Buff.Desc.Accuracy.Up.01</t>
  </si>
  <si>
    <t>Buff.Desc.Accuracy.Up.02</t>
  </si>
  <si>
    <t>Buff.Desc.Accuracy.Up.03</t>
  </si>
  <si>
    <t>Buff.Desc.Accuracy.Up.04</t>
  </si>
  <si>
    <t>Buff.Desc.Accuracy.Up.05</t>
  </si>
  <si>
    <t>Buff.Desc.Evasion.Up.01</t>
  </si>
  <si>
    <t>Buff.Desc.Evasion.Up.02</t>
  </si>
  <si>
    <t>Buff.Desc.Evasion.Up.03</t>
  </si>
  <si>
    <t>Buff.Desc.Evasion.Up.04</t>
  </si>
  <si>
    <t>Buff.Desc.Evasion.Up.05</t>
  </si>
  <si>
    <t>Buff.Desc.Damage.Up.01</t>
  </si>
  <si>
    <t>Buff.Desc.Damage.Up.02</t>
  </si>
  <si>
    <t>Buff.Desc.Damage.Up.03</t>
  </si>
  <si>
    <t>Buff.Desc.Damage.Up.04</t>
  </si>
  <si>
    <t>Buff.Desc.Damage.Up.05</t>
  </si>
  <si>
    <t>Buff.Desc.SingleDamage.Up.01</t>
  </si>
  <si>
    <t>Buff.Desc.SingleDamage.Up.02</t>
  </si>
  <si>
    <t>Buff.Desc.SingleDamage.Up.03</t>
  </si>
  <si>
    <t>Buff.Desc.SingleDamage.Up.04</t>
  </si>
  <si>
    <t>Buff.Desc.SingleDamage.Up.05</t>
  </si>
  <si>
    <t>Buff.Desc.AreaDamage.Up.01</t>
  </si>
  <si>
    <t>Buff.Desc.AreaDamage.Up.02</t>
  </si>
  <si>
    <t>Buff.Desc.AreaDamage.Up.03</t>
  </si>
  <si>
    <t>Buff.Desc.AreaDamage.Up.04</t>
  </si>
  <si>
    <t>Buff.Desc.AreaDamage.Up.05</t>
  </si>
  <si>
    <t>Buff.Desc.MeleeDamage.Up.01</t>
  </si>
  <si>
    <t>Buff.Desc.MeleeDamage.Up.02</t>
  </si>
  <si>
    <t>Buff.Desc.MeleeDamage.Up.03</t>
  </si>
  <si>
    <t>Buff.Desc.MeleeDamage.Up.04</t>
  </si>
  <si>
    <t>Buff.Desc.MeleeDamage.Up.05</t>
  </si>
  <si>
    <t>Buff.Desc.RangeDamage.Up.01</t>
  </si>
  <si>
    <t>Buff.Desc.RangeDamage.Up.02</t>
  </si>
  <si>
    <t>Buff.Desc.RangeDamage.Up.03</t>
  </si>
  <si>
    <t>Buff.Desc.RangeDamage.Up.04</t>
  </si>
  <si>
    <t>Buff.Desc.RangeDamage.Up.05</t>
  </si>
  <si>
    <t>Buff.Desc.DotDamage.Up.01</t>
  </si>
  <si>
    <t>Buff.Desc.DotDamage.Up.02</t>
  </si>
  <si>
    <t>Buff.Desc.DotDamage.Up.03</t>
  </si>
  <si>
    <t>Buff.Desc.DotDamage.Up.04</t>
  </si>
  <si>
    <t>Buff.Desc.DotDamage.Up.05</t>
  </si>
  <si>
    <t>Buff.Desc.Reduce.Damage.Up.01</t>
  </si>
  <si>
    <t>Buff.Desc.Reduce.Damage.Up.02</t>
  </si>
  <si>
    <t>Buff.Desc.Reduce.Damage.Up.03</t>
  </si>
  <si>
    <t>Buff.Desc.Reduce.Damage.Up.04</t>
  </si>
  <si>
    <t>Buff.Desc.Reduce.Damage.Up.05</t>
  </si>
  <si>
    <t>Buff.Desc.Reduce.SingleDamage.Up.01</t>
  </si>
  <si>
    <t>Buff.Desc.Reduce.SingleDamage.Up.02</t>
  </si>
  <si>
    <t>Buff.Desc.Reduce.SingleDamage.Up.03</t>
  </si>
  <si>
    <t>Buff.Desc.Reduce.SingleDamage.Up.04</t>
  </si>
  <si>
    <t>Buff.Desc.Reduce.SingleDamage.Up.05</t>
  </si>
  <si>
    <t>Buff.Desc.Reduce.AreaDamage.Up.01</t>
  </si>
  <si>
    <t>Buff.Desc.Reduce.AreaDamage.Up.02</t>
  </si>
  <si>
    <t>Buff.Desc.Reduce.AreaDamage.Up.03</t>
  </si>
  <si>
    <t>Buff.Desc.Reduce.AreaDamage.Up.04</t>
  </si>
  <si>
    <t>Buff.Desc.Reduce.AreaDamage.Up.05</t>
  </si>
  <si>
    <t>Buff.Desc.Reduce.MeleeDamage.Up.01</t>
  </si>
  <si>
    <t>Buff.Desc.Reduce.MeleeDamage.Up.02</t>
  </si>
  <si>
    <t>Buff.Desc.Reduce.MeleeDamage.Up.03</t>
  </si>
  <si>
    <t>Buff.Desc.Reduce.MeleeDamage.Up.04</t>
  </si>
  <si>
    <t>Buff.Desc.Reduce.MeleeDamage.Up.05</t>
  </si>
  <si>
    <t>Buff.Desc.Reduce.RangeDamage.Up.01</t>
  </si>
  <si>
    <t>Buff.Desc.Reduce.RangeDamage.Up.02</t>
  </si>
  <si>
    <t>Buff.Desc.Reduce.RangeDamage.Up.03</t>
  </si>
  <si>
    <t>Buff.Desc.Reduce.RangeDamage.Up.04</t>
  </si>
  <si>
    <t>Buff.Desc.Reduce.RangeDamage.Up.05</t>
  </si>
  <si>
    <t>Buff.Desc.Reduce.DotDamage.Up.01</t>
  </si>
  <si>
    <t>Buff.Desc.Reduce.DotDamage.Up.02</t>
  </si>
  <si>
    <t>Buff.Desc.Reduce.DotDamage.Up.03</t>
  </si>
  <si>
    <t>Buff.Desc.Reduce.DotDamage.Up.04</t>
  </si>
  <si>
    <t>Buff.Desc.Reduce.DotDamage.Up.05</t>
  </si>
  <si>
    <t>Buff.Desc.GuardRate.Up.01</t>
  </si>
  <si>
    <t>Buff.Desc.GuardRate.Up.02</t>
  </si>
  <si>
    <t>Buff.Desc.GuardRate.Up.03</t>
  </si>
  <si>
    <t>Buff.Desc.GuardRate.Up.04</t>
  </si>
  <si>
    <t>Buff.Desc.GuardRate.Up.05</t>
  </si>
  <si>
    <t>Buff.Desc.GuardReduce.Up.01</t>
  </si>
  <si>
    <t>Buff.Desc.GuardReduce.Up.02</t>
  </si>
  <si>
    <t>Buff.Desc.GuardReduce.Up.03</t>
  </si>
  <si>
    <t>Buff.Desc.GuardReduce.Up.04</t>
  </si>
  <si>
    <t>Buff.Desc.GuardReduce.Up.05</t>
  </si>
  <si>
    <t>Buff.Desc.CriticalResist.Up.01</t>
  </si>
  <si>
    <t>Buff.Desc.CriticalResist.Up.02</t>
  </si>
  <si>
    <t>Buff.Desc.CriticalResist.Up.03</t>
  </si>
  <si>
    <t>Buff.Desc.CriticalResist.Up.04</t>
  </si>
  <si>
    <t>Buff.Desc.CriticalResist.Up.05</t>
  </si>
  <si>
    <t>Buff.Desc.HealRate.Up.01</t>
  </si>
  <si>
    <t>Buff.Desc.HealRate.Up.02</t>
  </si>
  <si>
    <t>Buff.Desc.HealRate.Up.03</t>
  </si>
  <si>
    <t>Buff.Desc.HealRate.Up.04</t>
  </si>
  <si>
    <t>Buff.Desc.HealRate.Up.05</t>
  </si>
  <si>
    <t>Buff.Desc.ReceiveHealRate.Up.01</t>
  </si>
  <si>
    <t>Buff.Desc.ReceiveHealRate.Up.02</t>
  </si>
  <si>
    <t>Buff.Desc.ReceiveHealRate.Up.03</t>
  </si>
  <si>
    <t>Buff.Desc.ReceiveHealRate.Up.04</t>
  </si>
  <si>
    <t>Buff.Desc.ReceiveHealRate.Up.05</t>
  </si>
  <si>
    <t>Buff.Desc.RechargeRate.Up.01</t>
  </si>
  <si>
    <t>Buff.Desc.RechargeRate.Up.02</t>
  </si>
  <si>
    <t>Buff.Desc.RechargeRate.Up.03</t>
  </si>
  <si>
    <t>Buff.Desc.RechargeRate.Up.04</t>
  </si>
  <si>
    <t>Buff.Desc.RechargeRate.Up.05</t>
  </si>
  <si>
    <t>Buff.Desc.AccelerationSkillTime.Up.01</t>
  </si>
  <si>
    <t>Buff.Desc.AccelerationSkillTime.Up.02</t>
  </si>
  <si>
    <t>Buff.Desc.AccelerationSkillTime.Up.03</t>
  </si>
  <si>
    <t>Buff.Desc.AccelerationSkillTime.Up.04</t>
  </si>
  <si>
    <t>Buff.Desc.AccelerationSkillTime.Up.05</t>
  </si>
  <si>
    <t>Buff.Desc.NormalDamage.Up.01</t>
  </si>
  <si>
    <t>Buff.Desc.NormalDamage.Up.02</t>
  </si>
  <si>
    <t>Buff.Desc.NormalDamage.Up.03</t>
  </si>
  <si>
    <t>Buff.Desc.NormalDamage.Up.04</t>
  </si>
  <si>
    <t>Buff.Desc.NormalDamage.Up.05</t>
  </si>
  <si>
    <t>Buff.Desc.NormalDamage.Up.06</t>
  </si>
  <si>
    <t>Buff.Desc.NormalDamage.Up.07</t>
  </si>
  <si>
    <t>Buff.Desc.NormalDamage.Up.08</t>
  </si>
  <si>
    <t>Buff.Desc.NormalDamage.Up.09</t>
  </si>
  <si>
    <t>Buff.Desc.NormalDamage.Up.10</t>
  </si>
  <si>
    <t>Buff.Desc.GuardDerate.Up.01</t>
  </si>
  <si>
    <t>Buff.Desc.GuardDerate.Up.02</t>
  </si>
  <si>
    <t>Buff.Desc.GuardDerate.Up.03</t>
  </si>
  <si>
    <t>Buff.Desc.GuardDerate.Up.04</t>
  </si>
  <si>
    <t>Buff.Desc.GuardDerate.Up.05</t>
  </si>
  <si>
    <t>Buff.Desc.ActiveDamage.Up.01</t>
  </si>
  <si>
    <t>Buff.Desc.ActiveDamage.Up.02</t>
  </si>
  <si>
    <t>Buff.Desc.ActiveDamage.Up.03</t>
  </si>
  <si>
    <t>Buff.Desc.ActiveDamage.Up.04</t>
  </si>
  <si>
    <t>Buff.Desc.ActiveDamage.Up.05</t>
  </si>
  <si>
    <t>Buff.Desc.UltDamage.Up.01</t>
  </si>
  <si>
    <t>Buff.Desc.UltDamage.Up.02</t>
  </si>
  <si>
    <t>Buff.Desc.UltDamage.Up.03</t>
  </si>
  <si>
    <t>Buff.Desc.UltDamage.Up.04</t>
  </si>
  <si>
    <t>Buff.Desc.UltDamage.Up.05</t>
  </si>
  <si>
    <t>Buff.Desc.Atk.Down.01</t>
  </si>
  <si>
    <t>Buff.Desc.Atk.Down.02</t>
  </si>
  <si>
    <t>Buff.Desc.Atk.Down.03</t>
  </si>
  <si>
    <t>Buff.Desc.Atk.Down.04</t>
  </si>
  <si>
    <t>Buff.Desc.Atk.Down.05</t>
  </si>
  <si>
    <t>Buff.Desc.Def.Down.01</t>
  </si>
  <si>
    <t>Buff.Desc.Def.Down.02</t>
  </si>
  <si>
    <t>Buff.Desc.Def.Down.03</t>
  </si>
  <si>
    <t>Buff.Desc.Def.Down.04</t>
  </si>
  <si>
    <t>Buff.Desc.Def.Down.05</t>
  </si>
  <si>
    <t>Buff.Desc.Critical.Down.01</t>
  </si>
  <si>
    <t>Buff.Desc.Critical.Down.02</t>
  </si>
  <si>
    <t>Buff.Desc.Critical.Down.03</t>
  </si>
  <si>
    <t>Buff.Desc.Critical.Down.04</t>
  </si>
  <si>
    <t>Buff.Desc.Critical.Down.05</t>
  </si>
  <si>
    <t>Buff.Desc.CriticalDamage.Down.01</t>
  </si>
  <si>
    <t>Buff.Desc.CriticalDamage.Down.02</t>
  </si>
  <si>
    <t>Buff.Desc.CriticalDamage.Down.03</t>
  </si>
  <si>
    <t>Buff.Desc.CriticalDamage.Down.04</t>
  </si>
  <si>
    <t>Buff.Desc.CriticalDamage.Down.05</t>
  </si>
  <si>
    <t>Buff.Desc.AtkSpeed.Down.01</t>
  </si>
  <si>
    <t>Buff.Desc.AtkSpeed.Down.02</t>
  </si>
  <si>
    <t>Buff.Desc.AtkSpeed.Down.03</t>
  </si>
  <si>
    <t>Buff.Desc.AtkSpeed.Down.04</t>
  </si>
  <si>
    <t>Buff.Desc.AtkSpeed.Down.05</t>
  </si>
  <si>
    <t>Buff.Desc.Accuracy.Down.01</t>
  </si>
  <si>
    <t>Buff.Desc.Accuracy.Down.02</t>
  </si>
  <si>
    <t>Buff.Desc.Accuracy.Down.03</t>
  </si>
  <si>
    <t>Buff.Desc.Accuracy.Down.04</t>
  </si>
  <si>
    <t>Buff.Desc.Accuracy.Down.05</t>
  </si>
  <si>
    <t>Buff.Desc.Evasion.Down.02</t>
  </si>
  <si>
    <t>Buff.Desc.Evasion.Down.03</t>
  </si>
  <si>
    <t>Buff.Desc.Evasion.Down.04</t>
  </si>
  <si>
    <t>Buff.Desc.Evasion.Down.05</t>
  </si>
  <si>
    <t>Buff.Desc.Damage.Down.01</t>
  </si>
  <si>
    <t>Buff.Desc.Damage.Down.02</t>
  </si>
  <si>
    <t>Buff.Desc.Damage.Down.03</t>
  </si>
  <si>
    <t>Buff.Desc.Damage.Down.04</t>
  </si>
  <si>
    <t>Buff.Desc.Damage.Down.05</t>
  </si>
  <si>
    <t>Buff.Desc.SingleDamage.Down.01</t>
  </si>
  <si>
    <t>Buff.Desc.SingleDamage.Down.02</t>
  </si>
  <si>
    <t>Buff.Desc.SingleDamage.Down.03</t>
  </si>
  <si>
    <t>Buff.Desc.SingleDamage.Down.04</t>
  </si>
  <si>
    <t>Buff.Desc.SingleDamage.Down.05</t>
  </si>
  <si>
    <t>Buff.Desc.AreaDamage.Down.01</t>
  </si>
  <si>
    <t>Buff.Desc.AreaDamage.Down.02</t>
  </si>
  <si>
    <t>Buff.Desc.AreaDamage.Down.03</t>
  </si>
  <si>
    <t>Buff.Desc.AreaDamage.Down.04</t>
  </si>
  <si>
    <t>Buff.Desc.AreaDamage.Down.05</t>
  </si>
  <si>
    <t>Buff.Desc.MeleeDamage.Down.01</t>
  </si>
  <si>
    <t>Buff.Desc.MeleeDamage.Down.02</t>
  </si>
  <si>
    <t>Buff.Desc.MeleeDamage.Down.03</t>
  </si>
  <si>
    <t>Buff.Desc.MeleeDamage.Down.04</t>
  </si>
  <si>
    <t>Buff.Desc.MeleeDamage.Down.05</t>
  </si>
  <si>
    <t>Buff.Desc.RangeDamage.Down.01</t>
  </si>
  <si>
    <t>Buff.Desc.RangeDamage.Down.02</t>
  </si>
  <si>
    <t>Buff.Desc.RangeDamage.Down.03</t>
  </si>
  <si>
    <t>Buff.Desc.RangeDamage.Down.04</t>
  </si>
  <si>
    <t>Buff.Desc.RangeDamage.Down.05</t>
  </si>
  <si>
    <t>Buff.Desc.DotDamage.Down.01</t>
  </si>
  <si>
    <t>Buff.Desc.DotDamage.Down.02</t>
  </si>
  <si>
    <t>Buff.Desc.DotDamage.Down.03</t>
  </si>
  <si>
    <t>Buff.Desc.DotDamage.Down.04</t>
  </si>
  <si>
    <t>Buff.Desc.Reduce.Damage.Down.01</t>
  </si>
  <si>
    <t>Buff.Desc.Reduce.Damage.Down.02</t>
  </si>
  <si>
    <t>Buff.Desc.Reduce.Damage.Down.03</t>
  </si>
  <si>
    <t>Buff.Desc.Reduce.Damage.Down.04</t>
  </si>
  <si>
    <t>Buff.Desc.Reduce.Damage.Down.05</t>
  </si>
  <si>
    <t>Buff.Desc.Reduce.SingleDamage.Down.01</t>
  </si>
  <si>
    <t>Buff.Desc.Reduce.SingleDamage.Down.02</t>
  </si>
  <si>
    <t>Buff.Desc.Reduce.SingleDamage.Down.03</t>
  </si>
  <si>
    <t>Buff.Desc.Reduce.SingleDamage.Down.04</t>
  </si>
  <si>
    <t>Buff.Desc.Reduce.SingleDamage.Down.05</t>
  </si>
  <si>
    <t>Buff.Desc.Reduce.Active.Damage.Down.01</t>
  </si>
  <si>
    <t>Buff.Desc.Reduce.Active.Damage.Down.02</t>
  </si>
  <si>
    <t>Buff.Desc.Reduce.Active.Damage.Down.03</t>
  </si>
  <si>
    <t>Buff.Desc.Reduce.Active.Damage.Down.04</t>
  </si>
  <si>
    <t>Buff.Desc.Reduce.Active.Damage.Down.05</t>
  </si>
  <si>
    <t>Buff.Desc.Reduce.Ultimate.Damage.Down.01</t>
  </si>
  <si>
    <t>Buff.Desc.Reduce.Ultimate.Damage.Down.02</t>
  </si>
  <si>
    <t>Buff.Desc.Reduce.Ultimate.Damage.Down.03</t>
  </si>
  <si>
    <t>Buff.Desc.Reduce.Ultimate.Damage.Down.04</t>
  </si>
  <si>
    <t>Buff.Desc.Reduce.Ultimate.Damage.Down.05</t>
  </si>
  <si>
    <t>Buff.Desc.Reduce.AreaDamage.Down.01</t>
  </si>
  <si>
    <t>Buff.Desc.Reduce.AreaDamage.Down.02</t>
  </si>
  <si>
    <t>Buff.Desc.Reduce.AreaDamage.Down.03</t>
  </si>
  <si>
    <t>Buff.Desc.Reduce.AreaDamage.Down.04</t>
  </si>
  <si>
    <t>Buff.Desc.Reduce.AreaDamage.Down.05</t>
  </si>
  <si>
    <t>Buff.Desc.Reduce.MeleeDamage.Down.01</t>
  </si>
  <si>
    <t>Buff.Desc.Reduce.MeleeDamage.Down.02</t>
  </si>
  <si>
    <t>Buff.Desc.Reduce.MeleeDamage.Down.03</t>
  </si>
  <si>
    <t>Buff.Desc.Reduce.MeleeDamage.Down.04</t>
  </si>
  <si>
    <t>Buff.Desc.Reduce.MeleeDamage.Down.05</t>
  </si>
  <si>
    <t>Buff.Desc.Reduce.RangeDamage.Down.01</t>
  </si>
  <si>
    <t>Buff.Desc.Reduce.RangeDamage.Down.02</t>
  </si>
  <si>
    <t>Buff.Desc.Reduce.RangeDamage.Down.03</t>
  </si>
  <si>
    <t>Buff.Desc.Reduce.RangeDamage.Down.04</t>
  </si>
  <si>
    <t>Buff.Desc.Reduce.RangeDamage.Down.05</t>
  </si>
  <si>
    <t>Buff.Desc.Reduce.DotDamage.Down.01</t>
  </si>
  <si>
    <t>Buff.Desc.Reduce.DotDamage.Down.02</t>
  </si>
  <si>
    <t>Buff.Desc.Reduce.DotDamage.Down.03</t>
  </si>
  <si>
    <t>Buff.Desc.Reduce.DotDamage.Down.04</t>
  </si>
  <si>
    <t>Buff.Desc.Reduce.DotDamage.Down.05</t>
  </si>
  <si>
    <t>Buff.Desc.Reduce.DotDamage.Down.06</t>
  </si>
  <si>
    <t>Buff.Desc.Reduce.DotDamage.Down.07</t>
  </si>
  <si>
    <t>Buff.Desc.Reduce.DotDamage.Down.08</t>
  </si>
  <si>
    <t>Buff.Desc.Reduce.DotDamage.Down.09</t>
  </si>
  <si>
    <t>Buff.Desc.Reduce.DotDamage.Down.10</t>
  </si>
  <si>
    <t>Buff.Desc.GuardRate.Down.01</t>
  </si>
  <si>
    <t>Buff.Desc.GuardRate.Down.02</t>
  </si>
  <si>
    <t>Buff.Desc.GuardRate.Down.03</t>
  </si>
  <si>
    <t>Buff.Desc.GuardRate.Down.04</t>
  </si>
  <si>
    <t>Buff.Desc.GuardRate.Down.05</t>
  </si>
  <si>
    <t>Buff.Desc.GuardReduce.Down.01</t>
  </si>
  <si>
    <t>Buff.Desc.GuardReduce.Down.02</t>
  </si>
  <si>
    <t>Buff.Desc.GuardReduce.Down.03</t>
  </si>
  <si>
    <t>Buff.Desc.GuardReduce.Down.04</t>
  </si>
  <si>
    <t>Buff.Desc.CriticalResist.Down.01</t>
  </si>
  <si>
    <t>Buff.Desc.CriticalResist.Down.02</t>
  </si>
  <si>
    <t>Buff.Desc.CriticalResist.Down.03</t>
  </si>
  <si>
    <t>Buff.Desc.CriticalResist.Down.04</t>
  </si>
  <si>
    <t>Buff.Desc.CriticalResist.Down.05</t>
  </si>
  <si>
    <t>Buff.Desc.CriticalResist.Down.06</t>
  </si>
  <si>
    <t>Buff.Desc.CriticalResist.Down.07</t>
  </si>
  <si>
    <t>Buff.Desc.CriticalResist.Down.08</t>
  </si>
  <si>
    <t>Buff.Desc.CriticalResist.Down.09</t>
  </si>
  <si>
    <t>Buff.Desc.CriticalResist.Down.10</t>
  </si>
  <si>
    <t>Buff.Desc.HealRate.Down.01</t>
  </si>
  <si>
    <t>Buff.Desc.HealRate.Down.02</t>
  </si>
  <si>
    <t>Buff.Desc.HealRate.Down.03</t>
  </si>
  <si>
    <t>Buff.Desc.HealRate.Down.04</t>
  </si>
  <si>
    <t>Buff.Desc.HealRate.Down.05</t>
  </si>
  <si>
    <t>Buff.Desc.ReceiveHealRate.Down.01</t>
  </si>
  <si>
    <t>Buff.Desc.ReceiveHealRate.Down.02</t>
  </si>
  <si>
    <t>Buff.Desc.ReceiveHealRate.Down.03</t>
  </si>
  <si>
    <t>Buff.Desc.ReceiveHealRate.Down.04</t>
  </si>
  <si>
    <t>Buff.Desc.ReceiveHealRate.Down.05</t>
  </si>
  <si>
    <t>Buff.Desc.ReceiveHealRate.Down.06</t>
  </si>
  <si>
    <t>Buff.Desc.ReceiveHealRate.Down.07</t>
  </si>
  <si>
    <t>Buff.Desc.ReceiveHealRate.Down.08</t>
  </si>
  <si>
    <t>Buff.Desc.ReceiveHealRate.Down.09</t>
  </si>
  <si>
    <t>Buff.Desc.ReceiveHealRate.Down.10</t>
  </si>
  <si>
    <t>Buff.Desc.RechargeRate.Down.01</t>
  </si>
  <si>
    <t>Buff.Desc.RechargeRate.Down.02</t>
  </si>
  <si>
    <t>Buff.Desc.RechargeRate.Down.03</t>
  </si>
  <si>
    <t>Buff.Desc.RechargeRate.Down.04</t>
  </si>
  <si>
    <t>Buff.Desc.RechargeRate.Down.05</t>
  </si>
  <si>
    <t>Buff.Desc.AccelerationSkillTime.Down.01</t>
  </si>
  <si>
    <t>Buff.Desc.AccelerationSkillTime.Down.02</t>
  </si>
  <si>
    <t>Buff.Desc.AccelerationSkillTime.Down.03</t>
  </si>
  <si>
    <t>Buff.Desc.AccelerationSkillTime.Down.04</t>
  </si>
  <si>
    <t>Buff.Desc.AccelerationSkillTime.Down.05</t>
  </si>
  <si>
    <t>Buff.Desc.ReceiveNormalDamage.Up.01</t>
  </si>
  <si>
    <t>Buff.Desc.ReceiveNormalDamage.Up.02</t>
  </si>
  <si>
    <t>Buff.Desc.ReceiveNormalDamage.Up.03</t>
  </si>
  <si>
    <t>Buff.Desc.ReceiveNormalDamage.Up.04</t>
  </si>
  <si>
    <t>Buff.Desc.ReceiveNormalDamage.Up.05</t>
  </si>
  <si>
    <t>Buff.Desc.ReceiveNormalDamage.Up.06</t>
  </si>
  <si>
    <t>Buff.Desc.ReceiveNormalDamage.Up.07</t>
  </si>
  <si>
    <t>Buff.Desc.ReceiveNormalDamage.Up.08</t>
  </si>
  <si>
    <t>Buff.Desc.ReceiveNormalDamage.Up.09</t>
  </si>
  <si>
    <t>Buff.Desc.ReceiveNormalDamage.Up.10</t>
  </si>
  <si>
    <t>Buff.Desc.Critical.Damage.Derate.Down.01</t>
  </si>
  <si>
    <t>Buff.Desc.Critical.Damage.Derate.Down.02</t>
  </si>
  <si>
    <t>Buff.Desc.Critical.Damage.Derate.Down.03</t>
  </si>
  <si>
    <t>Buff.Desc.Critical.Damage.Derate.Down.04</t>
  </si>
  <si>
    <t>Buff.Desc.Critical.Damage.Derate.Down.05</t>
  </si>
  <si>
    <t>Buff.Desc.NormalDamageDerate.Down.01</t>
  </si>
  <si>
    <t>Buff.Desc.NormalDamageDerate.Down.02</t>
  </si>
  <si>
    <t>Buff.Desc.NormalDamageDerate.Down.03</t>
  </si>
  <si>
    <t>Buff.Desc.NormalDamageDerate.Down.04</t>
  </si>
  <si>
    <t>Buff.Desc.NormalDamageDerate.Down.05</t>
  </si>
  <si>
    <t>Buff.Desc.NormalDamageDerate.Down.06</t>
  </si>
  <si>
    <t>Buff.Desc.NormalDamageDerate.Down.07</t>
  </si>
  <si>
    <t>Buff.Desc.NormalDamageDerate.Down.08</t>
  </si>
  <si>
    <t>Buff.Desc.NormalDamageDerate.Down.09</t>
  </si>
  <si>
    <t>Buff.Desc.NormalDamageDerate.Down.10</t>
  </si>
  <si>
    <t>Buff.Desc.Burn.01</t>
  </si>
  <si>
    <t>Buff.Desc.Burn.02</t>
  </si>
  <si>
    <t>Buff.Desc.Burn.03</t>
  </si>
  <si>
    <t>Buff.Desc.Burn.04</t>
  </si>
  <si>
    <t>Buff.Desc.Burn.05</t>
  </si>
  <si>
    <t>Buff.Desc.Frost.01</t>
  </si>
  <si>
    <t>Buff.Desc.Bleed.01</t>
  </si>
  <si>
    <t>Buff.Desc.Bleed.02</t>
  </si>
  <si>
    <t>Buff.Desc.Bleed.03</t>
  </si>
  <si>
    <t>Buff.Desc.Bleed.04</t>
  </si>
  <si>
    <t>Buff.Desc.Bleed.05</t>
  </si>
  <si>
    <t>Buff.Name.Atk.Up.01</t>
  </si>
  <si>
    <t>Buff.Name.Atk.Up.02</t>
  </si>
  <si>
    <t>Buff.Name.Atk.Up.03</t>
  </si>
  <si>
    <t>Buff.Name.Atk.Up.04</t>
  </si>
  <si>
    <t>Buff.Name.Atk.Up.05</t>
  </si>
  <si>
    <t>Buff.Name.Def.Up.01</t>
  </si>
  <si>
    <t>Buff.Name.Def.Up.02</t>
  </si>
  <si>
    <t>Buff.Name.Def.Up.03</t>
  </si>
  <si>
    <t>Buff.Name.Def.Up.04</t>
  </si>
  <si>
    <t>Buff.Name.Def.Up.05</t>
  </si>
  <si>
    <t>Buff.Name.Critical.Up.01</t>
  </si>
  <si>
    <t>Buff.Name.Critical.Up.02</t>
  </si>
  <si>
    <t>Buff.Name.Critical.Up.03</t>
  </si>
  <si>
    <t>Buff.Name.Critical.Up.04</t>
  </si>
  <si>
    <t>Buff.Name.Critical.Up.05</t>
  </si>
  <si>
    <t>Buff.Name.CriticalDamage.Up.01</t>
  </si>
  <si>
    <t>Buff.Name.CriticalDamage.Up.02</t>
  </si>
  <si>
    <t>Buff.Name.CriticalDamage.Up.03</t>
  </si>
  <si>
    <t>Buff.Name.CriticalDamage.Up.04</t>
  </si>
  <si>
    <t>Buff.Name.CriticalDamage.Up.05</t>
  </si>
  <si>
    <t>Buff.Name.AtkSpeed.Up.01</t>
  </si>
  <si>
    <t>Buff.Name.AtkSpeed.Up.02</t>
  </si>
  <si>
    <t>Buff.Name.AtkSpeed.Up.03</t>
  </si>
  <si>
    <t>Buff.Name.AtkSpeed.Up.04</t>
  </si>
  <si>
    <t>Buff.Name.AtkSpeed.Up.05</t>
  </si>
  <si>
    <t>Buff.Name.Accuracy.Up.01</t>
  </si>
  <si>
    <t>Buff.Name.Accuracy.Up.02</t>
  </si>
  <si>
    <t>Buff.Name.Accuracy.Up.03</t>
  </si>
  <si>
    <t>Buff.Name.Accuracy.Up.04</t>
  </si>
  <si>
    <t>Buff.Name.Accuracy.Up.05</t>
  </si>
  <si>
    <t>Buff.Name.Evasion.Up.01</t>
  </si>
  <si>
    <t>Buff.Name.Evasion.Up.02</t>
  </si>
  <si>
    <t>Buff.Name.Evasion.Up.03</t>
  </si>
  <si>
    <t>Buff.Name.Evasion.Up.04</t>
  </si>
  <si>
    <t>Buff.Name.Evasion.Up.05</t>
  </si>
  <si>
    <t>Buff.Name.Damage.Up.01</t>
  </si>
  <si>
    <t>Buff.Name.Damage.Up.02</t>
  </si>
  <si>
    <t>Buff.Name.Damage.Up.03</t>
  </si>
  <si>
    <t>Buff.Name.Damage.Up.04</t>
  </si>
  <si>
    <t>Buff.Name.Damage.Up.05</t>
  </si>
  <si>
    <t>Buff.Name.SingleDamage.Up.01</t>
  </si>
  <si>
    <t>Buff.Name.SingleDamage.Up.02</t>
  </si>
  <si>
    <t>Buff.Name.SingleDamage.Up.03</t>
  </si>
  <si>
    <t>Buff.Name.SingleDamage.Up.04</t>
  </si>
  <si>
    <t>Buff.Name.SingleDamage.Up.05</t>
  </si>
  <si>
    <t>Buff.Name.AreaDamage.Up.01</t>
  </si>
  <si>
    <t>Buff.Name.AreaDamage.Up.02</t>
  </si>
  <si>
    <t>Buff.Name.AreaDamage.Up.03</t>
  </si>
  <si>
    <t>Buff.Name.AreaDamage.Up.04</t>
  </si>
  <si>
    <t>Buff.Name.AreaDamage.Up.05</t>
  </si>
  <si>
    <t>Buff.Name.MeleeDamage.Up.01</t>
  </si>
  <si>
    <t>Buff.Name.MeleeDamage.Up.02</t>
  </si>
  <si>
    <t>Buff.Name.MeleeDamage.Up.03</t>
  </si>
  <si>
    <t>Buff.Name.MeleeDamage.Up.04</t>
  </si>
  <si>
    <t>Buff.Name.MeleeDamage.Up.05</t>
  </si>
  <si>
    <t>Buff.Name.RangeDamage.Up.01</t>
  </si>
  <si>
    <t>Buff.Name.RangeDamage.Up.02</t>
  </si>
  <si>
    <t>Buff.Name.RangeDamage.Up.03</t>
  </si>
  <si>
    <t>Buff.Name.RangeDamage.Up.04</t>
  </si>
  <si>
    <t>Buff.Name.RangeDamage.Up.05</t>
  </si>
  <si>
    <t>Buff.Name.DotDamage.Up.01</t>
  </si>
  <si>
    <t>Buff.Name.DotDamage.Up.02</t>
  </si>
  <si>
    <t>Buff.Name.DotDamage.Up.03</t>
  </si>
  <si>
    <t>Buff.Name.DotDamage.Up.04</t>
  </si>
  <si>
    <t>Buff.Name.DotDamage.Up.05</t>
  </si>
  <si>
    <t>Buff.Name.Reduce.Damage.Up.01</t>
  </si>
  <si>
    <t>Buff.Name.Reduce.Damage.Up.02</t>
  </si>
  <si>
    <t>Buff.Name.Reduce.Damage.Up.03</t>
  </si>
  <si>
    <t>Buff.Name.Reduce.Damage.Up.04</t>
  </si>
  <si>
    <t>Buff.Name.Reduce.Damage.Up.05</t>
  </si>
  <si>
    <t>Buff.Name.Reduce.SingleDamage.Up.01</t>
  </si>
  <si>
    <t>Buff.Name.Reduce.SingleDamage.Up.02</t>
  </si>
  <si>
    <t>Buff.Name.Reduce.SingleDamage.Up.03</t>
  </si>
  <si>
    <t>Buff.Name.Reduce.SingleDamage.Up.04</t>
  </si>
  <si>
    <t>Buff.Name.Reduce.SingleDamage.Up.05</t>
  </si>
  <si>
    <t>Buff.Name.Reduce.AreaDamage.Up.01</t>
  </si>
  <si>
    <t>Buff.Name.Reduce.AreaDamage.Up.02</t>
  </si>
  <si>
    <t>Buff.Name.Reduce.AreaDamage.Up.03</t>
  </si>
  <si>
    <t>Buff.Name.Reduce.AreaDamage.Up.04</t>
  </si>
  <si>
    <t>Buff.Name.Reduce.AreaDamage.Up.05</t>
  </si>
  <si>
    <t>Buff.Name.Reduce.MeleeDamage.Up.01</t>
  </si>
  <si>
    <t>Buff.Name.Reduce.MeleeDamage.Up.02</t>
  </si>
  <si>
    <t>Buff.Name.Reduce.MeleeDamage.Up.03</t>
  </si>
  <si>
    <t>Buff.Name.Reduce.MeleeDamage.Up.04</t>
  </si>
  <si>
    <t>Buff.Name.Reduce.MeleeDamage.Up.05</t>
  </si>
  <si>
    <t>Buff.Name.Reduce.RangeDamage.Up.01</t>
  </si>
  <si>
    <t>Buff.Name.Reduce.RangeDamage.Up.02</t>
  </si>
  <si>
    <t>Buff.Name.Reduce.RangeDamage.Up.03</t>
  </si>
  <si>
    <t>Buff.Name.Reduce.RangeDamage.Up.04</t>
  </si>
  <si>
    <t>Buff.Name.Reduce.RangeDamage.Up.05</t>
  </si>
  <si>
    <t>Buff.Name.Reduce.DotDamage.Up.01</t>
  </si>
  <si>
    <t>Buff.Name.Reduce.DotDamage.Up.02</t>
  </si>
  <si>
    <t>Buff.Name.Reduce.DotDamage.Up.03</t>
  </si>
  <si>
    <t>Buff.Name.Reduce.DotDamage.Up.04</t>
  </si>
  <si>
    <t>Buff.Name.Reduce.DotDamage.Up.05</t>
  </si>
  <si>
    <t>Buff.Name.GuardRate.Up.01</t>
  </si>
  <si>
    <t>Buff.Name.GuardRate.Up.02</t>
  </si>
  <si>
    <t>Buff.Name.GuardRate.Up.03</t>
  </si>
  <si>
    <t>Buff.Name.GuardRate.Up.04</t>
  </si>
  <si>
    <t>Buff.Name.GuardRate.Up.05</t>
  </si>
  <si>
    <t>Buff.Name.GuardReduce.Up.01</t>
  </si>
  <si>
    <t>Buff.Name.GuardReduce.Up.02</t>
  </si>
  <si>
    <t>Buff.Name.GuardReduce.Up.03</t>
  </si>
  <si>
    <t>Buff.Name.GuardReduce.Up.04</t>
  </si>
  <si>
    <t>Buff.Name.GuardReduce.Up.05</t>
  </si>
  <si>
    <t>Buff.Name.CriticalResist.Up.01</t>
  </si>
  <si>
    <t>Buff.Name.CriticalResist.Up.02</t>
  </si>
  <si>
    <t>Buff.Name.CriticalResist.Up.03</t>
  </si>
  <si>
    <t>Buff.Name.CriticalResist.Up.04</t>
  </si>
  <si>
    <t>Buff.Name.CriticalResist.Up.05</t>
  </si>
  <si>
    <t>Buff.Name.HealRate.Up.01</t>
  </si>
  <si>
    <t>Buff.Name.HealRate.Up.02</t>
  </si>
  <si>
    <t>Buff.Name.HealRate.Up.03</t>
  </si>
  <si>
    <t>Buff.Name.HealRate.Up.04</t>
  </si>
  <si>
    <t>Buff.Name.HealRate.Up.05</t>
  </si>
  <si>
    <t>Buff.Name.ReceiveHealRate.Up.01</t>
  </si>
  <si>
    <t>Buff.Name.ReceiveHealRate.Up.02</t>
  </si>
  <si>
    <t>Buff.Name.ReceiveHealRate.Up.03</t>
  </si>
  <si>
    <t>Buff.Name.ReceiveHealRate.Up.04</t>
  </si>
  <si>
    <t>Buff.Name.ReceiveHealRate.Up.05</t>
  </si>
  <si>
    <t>Buff.Name.RechargeRate.Up.01</t>
  </si>
  <si>
    <t>Buff.Name.RechargeRate.Up.02</t>
  </si>
  <si>
    <t>Buff.Name.RechargeRate.Up.03</t>
  </si>
  <si>
    <t>Buff.Name.RechargeRate.Up.04</t>
  </si>
  <si>
    <t>Buff.Name.RechargeRate.Up.05</t>
  </si>
  <si>
    <t>Buff.Name.AccelerationSkillTime.Up.01</t>
  </si>
  <si>
    <t>Buff.Name.AccelerationSkillTime.Up.02</t>
  </si>
  <si>
    <t>Buff.Name.AccelerationSkillTime.Up.03</t>
  </si>
  <si>
    <t>Buff.Name.AccelerationSkillTime.Up.04</t>
  </si>
  <si>
    <t>Buff.Name.AccelerationSkillTime.Up.05</t>
  </si>
  <si>
    <t>Buff.Name.NormalDamage.Up.01</t>
  </si>
  <si>
    <t>Buff.Name.NormalDamage.Up.02</t>
  </si>
  <si>
    <t>Buff.Name.NormalDamage.Up.03</t>
  </si>
  <si>
    <t>Buff.Name.NormalDamage.Up.04</t>
  </si>
  <si>
    <t>Buff.Name.NormalDamage.Up.05</t>
  </si>
  <si>
    <t>Buff.Name.NormalDamage.Up.06</t>
  </si>
  <si>
    <t>Buff.Name.NormalDamage.Up.07</t>
  </si>
  <si>
    <t>Buff.Name.NormalDamage.Up.08</t>
  </si>
  <si>
    <t>Buff.Name.NormalDamage.Up.09</t>
  </si>
  <si>
    <t>Buff.Name.NormalDamage.Up.10</t>
  </si>
  <si>
    <t>Buff.Name.GuardDerate.Up.01</t>
  </si>
  <si>
    <t>Buff.Name.GuardDerate.Up.02</t>
  </si>
  <si>
    <t>Buff.Name.GuardDerate.Up.03</t>
  </si>
  <si>
    <t>Buff.Name.GuardDerate.Up.04</t>
  </si>
  <si>
    <t>Buff.Name.GuardDerate.Up.05</t>
  </si>
  <si>
    <t>Buff.Name.ActiveDamage.Up.01</t>
  </si>
  <si>
    <t>Buff.Name.ActiveDamage.Up.02</t>
  </si>
  <si>
    <t>Buff.Name.ActiveDamage.Up.03</t>
  </si>
  <si>
    <t>Buff.Name.ActiveDamage.Up.04</t>
  </si>
  <si>
    <t>Buff.Name.ActiveDamage.Up.05</t>
  </si>
  <si>
    <t>Buff.Name.UltDamage.Up.01</t>
  </si>
  <si>
    <t>Buff.Name.UltDamage.Up.02</t>
  </si>
  <si>
    <t>Buff.Name.UltDamage.Up.03</t>
  </si>
  <si>
    <t>Buff.Name.UltDamage.Up.04</t>
  </si>
  <si>
    <t>Buff.Name.UltDamage.Up.05</t>
  </si>
  <si>
    <t>Buff.Name.Atk.Down.01</t>
  </si>
  <si>
    <t>Buff.Name.Atk.Down.02</t>
  </si>
  <si>
    <t>Buff.Name.Atk.Down.03</t>
  </si>
  <si>
    <t>Buff.Name.Atk.Down.04</t>
  </si>
  <si>
    <t>Buff.Name.Atk.Down.05</t>
  </si>
  <si>
    <t>Buff.Name.Def.Down.01</t>
  </si>
  <si>
    <t>Buff.Name.Def.Down.02</t>
  </si>
  <si>
    <t>Buff.Name.Def.Down.03</t>
  </si>
  <si>
    <t>Buff.Name.Def.Down.04</t>
  </si>
  <si>
    <t>Buff.Name.Def.Down.05</t>
  </si>
  <si>
    <t>Buff.Name.Critical.Down.01</t>
  </si>
  <si>
    <t>Buff.Name.Critical.Down.02</t>
  </si>
  <si>
    <t>Buff.Name.Critical.Down.03</t>
  </si>
  <si>
    <t>Buff.Name.Critical.Down.04</t>
  </si>
  <si>
    <t>Buff.Name.Critical.Down.05</t>
  </si>
  <si>
    <t>Buff.Name.CriticalDamage.Down.01</t>
  </si>
  <si>
    <t>Buff.Name.CriticalDamage.Down.02</t>
  </si>
  <si>
    <t>Buff.Name.CriticalDamage.Down.03</t>
  </si>
  <si>
    <t>Buff.Name.CriticalDamage.Down.04</t>
  </si>
  <si>
    <t>Buff.Name.CriticalDamage.Down.05</t>
  </si>
  <si>
    <t>Buff.Name.AtkSpeed.Down.01</t>
  </si>
  <si>
    <t>Buff.Name.AtkSpeed.Down.02</t>
  </si>
  <si>
    <t>Buff.Name.AtkSpeed.Down.03</t>
  </si>
  <si>
    <t>Buff.Name.AtkSpeed.Down.04</t>
  </si>
  <si>
    <t>Buff.Name.AtkSpeed.Down.05</t>
  </si>
  <si>
    <t>Buff.Name.Accuracy.Down.01</t>
  </si>
  <si>
    <t>Buff.Name.Accuracy.Down.02</t>
  </si>
  <si>
    <t>Buff.Name.Accuracy.Down.03</t>
  </si>
  <si>
    <t>Buff.Name.Accuracy.Down.04</t>
  </si>
  <si>
    <t>Buff.Name.Accuracy.Down.05</t>
  </si>
  <si>
    <t>Buff.Name.Evasion.Down.01</t>
  </si>
  <si>
    <t>Buff.Name.Evasion.Down.02</t>
  </si>
  <si>
    <t>Buff.Name.Evasion.Down.03</t>
  </si>
  <si>
    <t>Buff.Name.Evasion.Down.04</t>
  </si>
  <si>
    <t>Buff.Name.Evasion.Down.05</t>
  </si>
  <si>
    <t>Buff.Name.Damage.Down.01</t>
  </si>
  <si>
    <t>Buff.Name.Damage.Down.02</t>
  </si>
  <si>
    <t>Buff.Name.Damage.Down.03</t>
  </si>
  <si>
    <t>Buff.Name.Damage.Down.04</t>
  </si>
  <si>
    <t>Buff.Name.Damage.Down.05</t>
  </si>
  <si>
    <t>Buff.Name.SingleDamage.Down.01</t>
  </si>
  <si>
    <t>Buff.Name.SingleDamage.Down.02</t>
  </si>
  <si>
    <t>Buff.Name.SingleDamage.Down.03</t>
  </si>
  <si>
    <t>Buff.Name.SingleDamage.Down.04</t>
  </si>
  <si>
    <t>Buff.Name.SingleDamage.Down.05</t>
  </si>
  <si>
    <t>Buff.Name.AreaDamage.Down.01</t>
  </si>
  <si>
    <t>Buff.Name.AreaDamage.Down.02</t>
  </si>
  <si>
    <t>Buff.Name.AreaDamage.Down.03</t>
  </si>
  <si>
    <t>Buff.Name.AreaDamage.Down.04</t>
  </si>
  <si>
    <t>Buff.Name.AreaDamage.Down.05</t>
  </si>
  <si>
    <t>Buff.Name.MeleeDamage.Down.01</t>
  </si>
  <si>
    <t>Buff.Name.MeleeDamage.Down.02</t>
  </si>
  <si>
    <t>Buff.Name.MeleeDamage.Down.03</t>
  </si>
  <si>
    <t>Buff.Name.MeleeDamage.Down.04</t>
  </si>
  <si>
    <t>Buff.Name.MeleeDamage.Down.05</t>
  </si>
  <si>
    <t>Buff.Name.RangeDamage.Down.01</t>
  </si>
  <si>
    <t>Buff.Name.RangeDamage.Down.02</t>
  </si>
  <si>
    <t>Buff.Name.RangeDamage.Down.03</t>
  </si>
  <si>
    <t>Buff.Name.RangeDamage.Down.04</t>
  </si>
  <si>
    <t>Buff.Name.RangeDamage.Down.05</t>
  </si>
  <si>
    <t>Buff.Name.DotDamage.Down.01</t>
  </si>
  <si>
    <t>Buff.Name.DotDamage.Down.02</t>
  </si>
  <si>
    <t>Buff.Name.DotDamage.Down.03</t>
  </si>
  <si>
    <t>Buff.Name.DotDamage.Down.04</t>
  </si>
  <si>
    <t>Buff.Name.DotDamage.Down.05</t>
  </si>
  <si>
    <t>Buff.Name.Reduce.Damage.Down.01</t>
  </si>
  <si>
    <t>Buff.Name.Reduce.Damage.Down.02</t>
  </si>
  <si>
    <t>Buff.Name.Reduce.Damage.Down.03</t>
  </si>
  <si>
    <t>Buff.Name.Reduce.Damage.Down.04</t>
  </si>
  <si>
    <t>Buff.Name.Reduce.Damage.Down.05</t>
  </si>
  <si>
    <t>Buff.Name.Reduce.SingleDamage.Down.01</t>
  </si>
  <si>
    <t>Buff.Name.Reduce.SingleDamage.Down.02</t>
  </si>
  <si>
    <t>Buff.Name.Reduce.SingleDamage.Down.03</t>
  </si>
  <si>
    <t>Buff.Name.Reduce.SingleDamage.Down.04</t>
  </si>
  <si>
    <t>Buff.Name.Reduce.SingleDamage.Down.05</t>
  </si>
  <si>
    <t>Buff.Name.Reduce.Active.Damage.Down.01</t>
  </si>
  <si>
    <t>Buff.Name.Reduce.Active.Damage.Down.02</t>
  </si>
  <si>
    <t>Buff.Name.Reduce.Active.Damage.Down.03</t>
  </si>
  <si>
    <t>Buff.Name.Reduce.Active.Damage.Down.04</t>
  </si>
  <si>
    <t>Buff.Name.Reduce.Active.Damage.Down.05</t>
  </si>
  <si>
    <t>Buff.Name.Reduce.Ultimate.Damage.Down.01</t>
  </si>
  <si>
    <t>Buff.Name.Reduce.Ultimate.Damage.Down.02</t>
  </si>
  <si>
    <t>Buff.Name.Reduce.Ultimate.Damage.Down.03</t>
  </si>
  <si>
    <t>Buff.Name.Reduce.Ultimate.Damage.Down.04</t>
  </si>
  <si>
    <t>Buff.Name.Reduce.Ultimate.Damage.Down.05</t>
  </si>
  <si>
    <t>Buff.Name.Reduce.AreaDamage.Down.01</t>
  </si>
  <si>
    <t>Buff.Name.Reduce.AreaDamage.Down.02</t>
  </si>
  <si>
    <t>Buff.Name.Reduce.AreaDamage.Down.03</t>
  </si>
  <si>
    <t>Buff.Name.Reduce.AreaDamage.Down.04</t>
  </si>
  <si>
    <t>Buff.Name.Reduce.AreaDamage.Down.05</t>
  </si>
  <si>
    <t>Buff.Name.Reduce.MeleeDamage.Down.01</t>
  </si>
  <si>
    <t>Buff.Name.Reduce.MeleeDamage.Down.02</t>
  </si>
  <si>
    <t>Buff.Name.Reduce.MeleeDamage.Down.03</t>
  </si>
  <si>
    <t>Buff.Name.Reduce.MeleeDamage.Down.04</t>
  </si>
  <si>
    <t>Buff.Name.Reduce.MeleeDamage.Down.05</t>
  </si>
  <si>
    <t>Buff.Name.Reduce.RangeDamage.Down.01</t>
  </si>
  <si>
    <t>Buff.Name.Reduce.RangeDamage.Down.02</t>
  </si>
  <si>
    <t>Buff.Name.Reduce.RangeDamage.Down.03</t>
  </si>
  <si>
    <t>Buff.Name.Reduce.RangeDamage.Down.04</t>
  </si>
  <si>
    <t>Buff.Name.Reduce.RangeDamage.Down.05</t>
  </si>
  <si>
    <t>Buff.Name.Reduce.DotDamage.Down.01</t>
  </si>
  <si>
    <t>Buff.Name.Reduce.DotDamage.Down.02</t>
  </si>
  <si>
    <t>Buff.Name.Reduce.DotDamage.Down.03</t>
  </si>
  <si>
    <t>Buff.Name.Reduce.DotDamage.Down.04</t>
  </si>
  <si>
    <t>Buff.Name.Reduce.DotDamage.Down.05</t>
  </si>
  <si>
    <t>Buff.Name.Reduce.DotDamage.Down.06</t>
  </si>
  <si>
    <t>Buff.Name.Reduce.DotDamage.Down.07</t>
  </si>
  <si>
    <t>Buff.Name.Reduce.DotDamage.Down.08</t>
  </si>
  <si>
    <t>Buff.Name.Reduce.DotDamage.Down.09</t>
  </si>
  <si>
    <t>Buff.Name.Reduce.DotDamage.Down.10</t>
  </si>
  <si>
    <t>Buff.Name.GuardRate.Down.01</t>
  </si>
  <si>
    <t>Buff.Name.GuardRate.Down.02</t>
  </si>
  <si>
    <t>Buff.Name.GuardRate.Down.03</t>
  </si>
  <si>
    <t>Buff.Name.GuardRate.Down.04</t>
  </si>
  <si>
    <t>Buff.Name.GuardRate.Down.05</t>
  </si>
  <si>
    <t>Buff.Name.GuardReduce.Down.01</t>
  </si>
  <si>
    <t>Buff.Name.GuardReduce.Down.02</t>
  </si>
  <si>
    <t>Buff.Name.GuardReduce.Down.03</t>
  </si>
  <si>
    <t>Buff.Name.GuardReduce.Down.04</t>
  </si>
  <si>
    <t>Buff.Name.GuardReduce.Down.05</t>
  </si>
  <si>
    <t>Buff.Name.CriticalResist.Down.01</t>
  </si>
  <si>
    <t>Buff.Name.CriticalResist.Down.02</t>
  </si>
  <si>
    <t>Buff.Name.CriticalResist.Down.03</t>
  </si>
  <si>
    <t>Buff.Name.CriticalResist.Down.04</t>
  </si>
  <si>
    <t>Buff.Name.CriticalResist.Down.05</t>
  </si>
  <si>
    <t>Buff.Name.CriticalResist.Down.06</t>
  </si>
  <si>
    <t>Buff.Name.CriticalResist.Down.07</t>
  </si>
  <si>
    <t>Buff.Name.CriticalResist.Down.08</t>
  </si>
  <si>
    <t>Buff.Name.CriticalResist.Down.09</t>
  </si>
  <si>
    <t>Buff.Name.CriticalResist.Down.10</t>
  </si>
  <si>
    <t>Buff.Name.HealRate.Down.01</t>
  </si>
  <si>
    <t>Buff.Name.HealRate.Down.02</t>
  </si>
  <si>
    <t>Buff.Name.HealRate.Down.03</t>
  </si>
  <si>
    <t>Buff.Name.HealRate.Down.04</t>
  </si>
  <si>
    <t>Buff.Name.HealRate.Down.05</t>
  </si>
  <si>
    <t>Buff.Name.ReceiveHealRate.Down.01</t>
  </si>
  <si>
    <t>Buff.Name.ReceiveHealRate.Down.02</t>
  </si>
  <si>
    <t>Buff.Name.ReceiveHealRate.Down.03</t>
  </si>
  <si>
    <t>Buff.Name.ReceiveHealRate.Down.04</t>
  </si>
  <si>
    <t>Buff.Name.ReceiveHealRate.Down.05</t>
  </si>
  <si>
    <t>Buff.Name.ReceiveHealRate.Down.06</t>
  </si>
  <si>
    <t>Buff.Name.ReceiveHealRate.Down.07</t>
  </si>
  <si>
    <t>Buff.Name.ReceiveHealRate.Down.08</t>
  </si>
  <si>
    <t>Buff.Name.ReceiveHealRate.Down.09</t>
  </si>
  <si>
    <t>Buff.Name.ReceiveHealRate.Down.10</t>
  </si>
  <si>
    <t>Buff.Name.RechargeRate.Down.01</t>
  </si>
  <si>
    <t>Buff.Name.RechargeRate.Down.02</t>
  </si>
  <si>
    <t>Buff.Name.RechargeRate.Down.03</t>
  </si>
  <si>
    <t>Buff.Name.RechargeRate.Down.04</t>
  </si>
  <si>
    <t>Buff.Name.RechargeRate.Down.05</t>
  </si>
  <si>
    <t>Buff.Name.AccelerationSkillTime.Down.01</t>
  </si>
  <si>
    <t>Buff.Name.AccelerationSkillTime.Down.02</t>
  </si>
  <si>
    <t>Buff.Name.AccelerationSkillTime.Down.03</t>
  </si>
  <si>
    <t>Buff.Name.AccelerationSkillTime.Down.04</t>
  </si>
  <si>
    <t>Buff.Name.AccelerationSkillTime.Down.05</t>
  </si>
  <si>
    <t>Buff.Name.ReceiveNormalDamage.Up.01</t>
  </si>
  <si>
    <t>Buff.Name.ReceiveNormalDamage.Up.02</t>
  </si>
  <si>
    <t>Buff.Name.ReceiveNormalDamage.Up.03</t>
  </si>
  <si>
    <t>Buff.Name.ReceiveNormalDamage.Up.04</t>
  </si>
  <si>
    <t>Buff.Name.ReceiveNormalDamage.Up.05</t>
  </si>
  <si>
    <t>Buff.Name.ReceiveNormalDamage.Up.06</t>
  </si>
  <si>
    <t>Buff.Name.ReceiveNormalDamage.Up.07</t>
  </si>
  <si>
    <t>Buff.Name.ReceiveNormalDamage.Up.08</t>
  </si>
  <si>
    <t>Buff.Name.ReceiveNormalDamage.Up.09</t>
  </si>
  <si>
    <t>Buff.Name.ReceiveNormalDamage.Up.10</t>
  </si>
  <si>
    <t>Buff.Name.Critical.Damage.Derate.Down.01</t>
  </si>
  <si>
    <t>Buff.Name.Critical.Damage.Derate.Down.02</t>
  </si>
  <si>
    <t>Buff.Name.Critical.Damage.Derate.Down.03</t>
  </si>
  <si>
    <t>Buff.Name.Critical.Damage.Derate.Down.04</t>
  </si>
  <si>
    <t>Buff.Name.Critical.Damage.Derate.Down.05</t>
  </si>
  <si>
    <t>Buff.Name.NormalDamageDerate.Down.01</t>
  </si>
  <si>
    <t>Buff.Name.NormalDamageDerate.Down.02</t>
  </si>
  <si>
    <t>Buff.Name.NormalDamageDerate.Down.03</t>
  </si>
  <si>
    <t>Buff.Name.NormalDamageDerate.Down.04</t>
  </si>
  <si>
    <t>Buff.Name.NormalDamageDerate.Down.05</t>
  </si>
  <si>
    <t>Buff.Name.NormalDamageDerate.Down.06</t>
  </si>
  <si>
    <t>Buff.Name.NormalDamageDerate.Down.07</t>
  </si>
  <si>
    <t>Buff.Name.NormalDamageDerate.Down.08</t>
  </si>
  <si>
    <t>Buff.Name.NormalDamageDerate.Down.09</t>
  </si>
  <si>
    <t>Buff.Name.NormalDamageDerate.Down.10</t>
  </si>
  <si>
    <t>Buff.Name.Burn.01</t>
  </si>
  <si>
    <t>Buff.Name.Burn.02</t>
  </si>
  <si>
    <t>Buff.Name.Burn.03</t>
  </si>
  <si>
    <t>Buff.Name.Burn.04</t>
  </si>
  <si>
    <t>Buff.Name.Burn.05</t>
  </si>
  <si>
    <t>Buff.Name.Frost.01</t>
  </si>
  <si>
    <t>Buff.Name.Bleed.01</t>
  </si>
  <si>
    <t>Buff.Name.Bleed.02</t>
  </si>
  <si>
    <t>Buff.Name.Bleed.03</t>
  </si>
  <si>
    <t>Buff.Name.Bleed.04</t>
  </si>
  <si>
    <t>Buff.Name.Bleed.05</t>
  </si>
  <si>
    <t>#버프</t>
    <phoneticPr fontId="3" type="noConversion"/>
  </si>
  <si>
    <t>#</t>
    <phoneticPr fontId="3" type="noConversion"/>
  </si>
  <si>
    <t>#</t>
    <phoneticPr fontId="3" type="noConversion"/>
  </si>
  <si>
    <t>info.shield</t>
  </si>
  <si>
    <t>info.taunt</t>
  </si>
  <si>
    <t>info.blind</t>
  </si>
  <si>
    <t>info.link</t>
  </si>
  <si>
    <t>info.linkenemy</t>
  </si>
  <si>
    <t>info.freeze</t>
  </si>
  <si>
    <t>info.airborne</t>
  </si>
  <si>
    <t>info.stun</t>
  </si>
  <si>
    <t>info.fear</t>
  </si>
  <si>
    <t>Position</t>
  </si>
  <si>
    <t>Middle</t>
  </si>
  <si>
    <t>rayhou.revive.effect.buff</t>
  </si>
  <si>
    <t>Effect/Prefab/10_buff/EFF_buff_op_critical_rate_up</t>
  </si>
  <si>
    <t>Effect/Prefab/10_buff/EFF_buff_op_atkspeed_up</t>
  </si>
  <si>
    <t>Effect/Prefab/10_buff/EFF_debuff_atk_down</t>
  </si>
  <si>
    <t>Effect/Prefab/10_buff/EFF_debuff_defdown</t>
  </si>
  <si>
    <t>fei.passive.ex.event.buff.01.02</t>
  </si>
  <si>
    <t>fei.passive.ex.event.buff.01.03</t>
  </si>
  <si>
    <t>fei.passive.ex.event.buff.01.04</t>
  </si>
  <si>
    <t>fei.passive.ex.event.buff.01.05</t>
  </si>
  <si>
    <t>fei.passive.ex.event.buff.01.06</t>
  </si>
  <si>
    <t>fei.passive.ex.event.buff.02.02</t>
  </si>
  <si>
    <t>fei.passive.ex.event.buff.02.03</t>
  </si>
  <si>
    <t>fei.passive.ex.event.buff.02.04</t>
  </si>
  <si>
    <t>fei.passive.ex.event.buff.02.05</t>
  </si>
  <si>
    <t>fei.passive.ex.event.buff.02.06</t>
  </si>
  <si>
    <t>angelica.ult.B.normalatt.buff.01.02</t>
  </si>
  <si>
    <t>angelica.ult.B.normalatt.buff.01.03</t>
  </si>
  <si>
    <t>angelica.ult.B.normalatt.buff.01.04</t>
  </si>
  <si>
    <t>angelica.ult.B.normalatt.buff.01.05</t>
  </si>
  <si>
    <t>angelica.ult.B.normalatt.buff.01.06</t>
  </si>
  <si>
    <t>angelica.ult.B.normalatt.buff.01.07</t>
  </si>
  <si>
    <t>angelica.ult.B.normalatt.buff.02.02</t>
  </si>
  <si>
    <t>angelica.ult.B.normalatt.buff.02.03</t>
  </si>
  <si>
    <t>angelica.ult.B.normalatt.buff.02.04</t>
  </si>
  <si>
    <t>angelica.ult.B.normalatt.buff.02.05</t>
  </si>
  <si>
    <t>angelica.ult.B.normalatt.buff.02.06</t>
  </si>
  <si>
    <t>angelica.ult.B.normalatt.buff.02.07</t>
  </si>
  <si>
    <t>mea.ult.target.taunt</t>
  </si>
  <si>
    <t>mea.ult.target.taunt.buff</t>
  </si>
  <si>
    <t>aggro</t>
    <phoneticPr fontId="3" type="noConversion"/>
  </si>
  <si>
    <t>ignoredefense.35</t>
    <phoneticPr fontId="3" type="noConversion"/>
  </si>
  <si>
    <t>BattleTile.Def.BuffEffect</t>
    <phoneticPr fontId="3" type="noConversion"/>
  </si>
  <si>
    <t>Buff.Name.DefenseUp</t>
    <phoneticPr fontId="3" type="noConversion"/>
  </si>
  <si>
    <t>BattleTile.MaxHp.BuffEffect</t>
    <phoneticPr fontId="3" type="noConversion"/>
  </si>
  <si>
    <t>BattleTile.Def.Faction</t>
    <phoneticPr fontId="3" type="noConversion"/>
  </si>
  <si>
    <t>Attribute.B.dmgrate.buff</t>
    <phoneticPr fontId="3" type="noConversion"/>
  </si>
  <si>
    <t>Attribute.P.dmgrate.buff</t>
    <phoneticPr fontId="3" type="noConversion"/>
  </si>
  <si>
    <t>Buff.Desc.Def.Up.00</t>
    <phoneticPr fontId="12" type="noConversion"/>
  </si>
  <si>
    <t>icon_battle_criticaldamage</t>
  </si>
  <si>
    <t>Buff.Name.Accuracy.Up.00</t>
    <phoneticPr fontId="12" type="noConversion"/>
  </si>
  <si>
    <t>Buff.Desc.SingleDamage.Up.00</t>
    <phoneticPr fontId="12" type="noConversion"/>
  </si>
  <si>
    <t>icon_battle_areadamage</t>
  </si>
  <si>
    <t>icon_battle_meleedamage</t>
  </si>
  <si>
    <t>icon_battle_rangedamage</t>
  </si>
  <si>
    <t>Buff.Name.RangeDamage.Up.00</t>
    <phoneticPr fontId="12" type="noConversion"/>
  </si>
  <si>
    <t>icon_battle_dot_crt</t>
  </si>
  <si>
    <t>Buff.Desc.DotDamage.Up.00</t>
    <phoneticPr fontId="12" type="noConversion"/>
  </si>
  <si>
    <t>icon_battle_effect_res</t>
  </si>
  <si>
    <t>Buff.Name.Reduce.RangeDamage.Up.00</t>
    <phoneticPr fontId="12" type="noConversion"/>
  </si>
  <si>
    <t>icon_battle_guardreduce</t>
  </si>
  <si>
    <t>icon_battle_recovery</t>
  </si>
  <si>
    <t>icon_battle_receiverecovery</t>
  </si>
  <si>
    <t>icon_battle_eprechargerate</t>
  </si>
  <si>
    <t>Buff.Name.AccelerationSkillTime.Up.00</t>
    <phoneticPr fontId="12" type="noConversion"/>
  </si>
  <si>
    <t>Buff.Desc.AccelerationSkillTime.Up.00</t>
    <phoneticPr fontId="12" type="noConversion"/>
  </si>
  <si>
    <t>icon_battle_skill_damage</t>
  </si>
  <si>
    <t>Buff.Name.Def.Down.00</t>
    <phoneticPr fontId="12" type="noConversion"/>
  </si>
  <si>
    <t>Buff.Desc.CriticalDamage.Down.00</t>
    <phoneticPr fontId="12" type="noConversion"/>
  </si>
  <si>
    <t>Buff.Desc.Evasion.Down.01</t>
    <phoneticPr fontId="12" type="noConversion"/>
  </si>
  <si>
    <t>Buff.Desc.SingleDamage.Down.00</t>
    <phoneticPr fontId="12" type="noConversion"/>
  </si>
  <si>
    <t>Buff.Desc.MeleeDamage.Down.00</t>
    <phoneticPr fontId="12" type="noConversion"/>
  </si>
  <si>
    <t>Buff.Name.Reduce.Damage.Down.00</t>
    <phoneticPr fontId="12" type="noConversion"/>
  </si>
  <si>
    <t>Buff.Name.Reduce.SingleDamage.Down.00</t>
    <phoneticPr fontId="12" type="noConversion"/>
  </si>
  <si>
    <t>Buff.Desc.Reduce.SingleDamage.Down.00</t>
    <phoneticPr fontId="12" type="noConversion"/>
  </si>
  <si>
    <t>Buff.Name.Reduce.Ultimate.Damage.Down.00</t>
    <phoneticPr fontId="12" type="noConversion"/>
  </si>
  <si>
    <t>Buff.Name.Reduce.MeleeDamage.Down.00</t>
    <phoneticPr fontId="12" type="noConversion"/>
  </si>
  <si>
    <t>Buff.Desc.Reduce.RangeDamage.Down.00</t>
    <phoneticPr fontId="12" type="noConversion"/>
  </si>
  <si>
    <t>Buff.Name.Reduce.DotDamage.Down.00</t>
    <phoneticPr fontId="12" type="noConversion"/>
  </si>
  <si>
    <t>Buff.Desc.HealRate.Down.00</t>
    <phoneticPr fontId="12" type="noConversion"/>
  </si>
  <si>
    <t>icon_battle_eprechargerate_down</t>
  </si>
  <si>
    <t>Buff.Name.AccelerationSkillTime.Down.00</t>
    <phoneticPr fontId="12" type="noConversion"/>
  </si>
  <si>
    <t>Atk.Up</t>
  </si>
  <si>
    <t>Def.Up</t>
  </si>
  <si>
    <t>Critical.Up</t>
  </si>
  <si>
    <t>CriticalDamage.Up</t>
  </si>
  <si>
    <t>AtkSpeed.Up</t>
  </si>
  <si>
    <t>Accuracy.Up</t>
  </si>
  <si>
    <t>Evasion.Up</t>
  </si>
  <si>
    <t>Damage.Up</t>
  </si>
  <si>
    <t>SingleDamage.Up</t>
  </si>
  <si>
    <t>AreaDamage.Up</t>
  </si>
  <si>
    <t>MeleeDamage.Up</t>
  </si>
  <si>
    <t>RangeDamage.Up</t>
  </si>
  <si>
    <t>DotDamage.Up</t>
  </si>
  <si>
    <t>Reduce.Damage.Up</t>
  </si>
  <si>
    <t>Reduce.SingleDamage.Up</t>
  </si>
  <si>
    <t>Reduce.AreaDamage.Up</t>
  </si>
  <si>
    <t>Reduce.MeleeDamage.Up</t>
  </si>
  <si>
    <t>Reduce.RangeDamage.Up</t>
  </si>
  <si>
    <t>Reduce.DotDamage.Up</t>
  </si>
  <si>
    <t>GuardRate.Up</t>
  </si>
  <si>
    <t>GuardReduce.Up</t>
  </si>
  <si>
    <t>CriticalResist.Up</t>
  </si>
  <si>
    <t>HealRate.Up</t>
  </si>
  <si>
    <t>ReceiveHealRate.Up</t>
  </si>
  <si>
    <t>RechargeRate.Up</t>
  </si>
  <si>
    <t>AccelerationSkillTime.Up</t>
  </si>
  <si>
    <t>NormalDamage.Up</t>
  </si>
  <si>
    <t>GuardDerate.Up</t>
  </si>
  <si>
    <t>ActiveDamage.Up</t>
  </si>
  <si>
    <t>UltDamage.Up</t>
  </si>
  <si>
    <t>Atk.Down</t>
  </si>
  <si>
    <t>Def.Down</t>
  </si>
  <si>
    <t>Critical.Down</t>
  </si>
  <si>
    <t>CriticalDamage.Down</t>
  </si>
  <si>
    <t>AtkSpeed.Down</t>
  </si>
  <si>
    <t>Accuracy.Down</t>
  </si>
  <si>
    <t>Evasion.Down</t>
  </si>
  <si>
    <t>Damage.Down</t>
  </si>
  <si>
    <t>SingleDamage.Down</t>
  </si>
  <si>
    <t>AreaDamage.Down</t>
  </si>
  <si>
    <t>MeleeDamage.Down</t>
  </si>
  <si>
    <t>RangeDamage.Down</t>
  </si>
  <si>
    <t>DotDamage.Down</t>
  </si>
  <si>
    <t>Reduce.Damage.Down</t>
  </si>
  <si>
    <t>Reduce.SingleDamage.Down</t>
  </si>
  <si>
    <t>Reduce.Active.Damage.Down</t>
  </si>
  <si>
    <t>Reduce.Ultimate.Damage.Down</t>
  </si>
  <si>
    <t>Reduce.AreaDamage.Down</t>
  </si>
  <si>
    <t>Reduce.MeleeDamage.Down</t>
  </si>
  <si>
    <t>Reduce.RangeDamage.Down</t>
  </si>
  <si>
    <t>Reduce.DotDamage.Down</t>
  </si>
  <si>
    <t>GuardRate.Down</t>
  </si>
  <si>
    <t>GuardReduce.Down</t>
  </si>
  <si>
    <t>CriticalResist.Down</t>
  </si>
  <si>
    <t>HealRate.Down</t>
  </si>
  <si>
    <t>RechargeRate.Down</t>
  </si>
  <si>
    <t>AccelerationSkillTime.Down</t>
  </si>
  <si>
    <t>ReceiveNormalDamage.Up</t>
  </si>
  <si>
    <t>Critical.Damage.Derate.Down</t>
  </si>
  <si>
    <t>NormalDamageDerate.Down</t>
  </si>
  <si>
    <t>info.airen.buff.adventure</t>
  </si>
  <si>
    <t>icon_battle_monster_damage</t>
  </si>
  <si>
    <t>Desc.info.airen.buff.adventure</t>
  </si>
  <si>
    <t>info.ambrosia.buff.bullet</t>
  </si>
  <si>
    <t>icon_battle_ambrosia_buff</t>
  </si>
  <si>
    <t>Desc.info.ambrosia.buff.bullet</t>
  </si>
  <si>
    <t>info.angelica.buff.burn</t>
  </si>
  <si>
    <t>icon_battle_arcels_burn</t>
  </si>
  <si>
    <t>Desc.info.angelica.buff.burn</t>
  </si>
  <si>
    <t>info.archphase.buff.starcore</t>
  </si>
  <si>
    <t>icon_battle_archphase_starcore</t>
  </si>
  <si>
    <t>Desc.info.archphase.buff.starcore</t>
  </si>
  <si>
    <t>info.archphase.buff.phase</t>
  </si>
  <si>
    <t>icon_battle_archphase_phase</t>
  </si>
  <si>
    <t>Desc.info.archphase.buff.phase</t>
  </si>
  <si>
    <t>info.balencia.buff.ironfist</t>
  </si>
  <si>
    <t>icon_battle_balencia_ironfist</t>
  </si>
  <si>
    <t>Desc.info.balencia.buff.ironfist</t>
  </si>
  <si>
    <t>info.belebeta.buff.redtea</t>
  </si>
  <si>
    <t>icon_battle_belebeta_buff_01</t>
  </si>
  <si>
    <t>Desc.info.belebeta.buff.redtea</t>
  </si>
  <si>
    <t>info.belebeta.buff.greentea</t>
  </si>
  <si>
    <t>icon_battle_belebeta_buff_02</t>
  </si>
  <si>
    <t>Desc.info.belebeta.buff.greentea</t>
  </si>
  <si>
    <t>info.belita.buff.poem</t>
  </si>
  <si>
    <t>icon_battle_belita_buff_01</t>
  </si>
  <si>
    <t>Desc.info.belita.buff.poem</t>
  </si>
  <si>
    <t>info.daria.buff.link</t>
  </si>
  <si>
    <t>Desc.info.daria.buff.link</t>
  </si>
  <si>
    <t>info.daria.buff.counterlink</t>
  </si>
  <si>
    <t>Desc.info.daria.buff.counterlink</t>
  </si>
  <si>
    <t>info.ferrel.buff.eletrofield</t>
  </si>
  <si>
    <t>icon_battle_ferrel_buff_01</t>
  </si>
  <si>
    <t>Desc.info.ferrel.buff.eletrofield</t>
  </si>
  <si>
    <t>info.hellen.buff.perfume</t>
  </si>
  <si>
    <t>Desc.info.hellen.buff.perfume</t>
  </si>
  <si>
    <t>info.hellen.buff.therapy</t>
  </si>
  <si>
    <t>icon_battle_hellen_buff_01</t>
  </si>
  <si>
    <t>Desc.info.hellen.buff.therapy</t>
  </si>
  <si>
    <t>info.ino.buff.inovation</t>
  </si>
  <si>
    <t>icon_battle_ino_invention</t>
  </si>
  <si>
    <t>Desc.info.ino.buff.inovation</t>
  </si>
  <si>
    <t>info.iras.buff.leak</t>
  </si>
  <si>
    <t>icon_battle_iras_electricfield</t>
  </si>
  <si>
    <t>Desc.info.iras.buff.leak</t>
  </si>
  <si>
    <t>info.isabella.buff.quick</t>
  </si>
  <si>
    <t>icon_battle_isabella_quick</t>
  </si>
  <si>
    <t>Desc.info.isabella.buff.quick</t>
  </si>
  <si>
    <t>info.isabella.buff.copy</t>
  </si>
  <si>
    <t>icon_battle_isabella_copy</t>
  </si>
  <si>
    <t>Desc.info.isabella.buff.copy</t>
  </si>
  <si>
    <t>info.lilian.buff.plasma</t>
  </si>
  <si>
    <t>icon_battle_plasma_buff</t>
  </si>
  <si>
    <t>Desc.info.lilian.buff.plasma</t>
  </si>
  <si>
    <t>info.melissa.buff.figure</t>
  </si>
  <si>
    <t>Desc.info.melissa.buff.figure</t>
  </si>
  <si>
    <t>info.melissa.buff.statue</t>
  </si>
  <si>
    <t>Desc.info.melissa.buff.statue</t>
  </si>
  <si>
    <t>info.patricia.buff.frozen</t>
  </si>
  <si>
    <t>Desc.info.patricia.buff.frozen</t>
  </si>
  <si>
    <t>info.patricia.buff.freezinghand</t>
  </si>
  <si>
    <t>icon_battle_patricia_cold</t>
  </si>
  <si>
    <t>Desc.info.patricia.buff.freezinghand</t>
  </si>
  <si>
    <t>info.patricia.buff.blizzard</t>
  </si>
  <si>
    <t>Desc.info.patricia.buff.blizzard</t>
  </si>
  <si>
    <t>info.renas.buff.toenail</t>
  </si>
  <si>
    <t>icon_battle_renas_toenail</t>
  </si>
  <si>
    <t>Desc.info.renas.buff.toenail</t>
  </si>
  <si>
    <t>info.serapulsar.buff.intergrity</t>
  </si>
  <si>
    <t>icon_battle_serapulsar_integrity</t>
  </si>
  <si>
    <t>Desc.info.serapulsar.buff.intergrity</t>
  </si>
  <si>
    <t>info.serapulsar.buff.overdrive</t>
  </si>
  <si>
    <t>icon_battle_serapulsar_overdrive</t>
  </si>
  <si>
    <t>Desc.info.serapulsar.buff.overdrive</t>
  </si>
  <si>
    <t>info.shale.buff.bookmark</t>
  </si>
  <si>
    <t>icon_battle_shale_buff_01</t>
  </si>
  <si>
    <t>Desc.info.shale.buff.bookmark</t>
  </si>
  <si>
    <t>info.snopril.buff.bless</t>
  </si>
  <si>
    <t>icon_battle_snopril_bless</t>
  </si>
  <si>
    <t>Desc.info.snopril.buff.bless</t>
  </si>
  <si>
    <t>info.yuna.buff.clearmind</t>
  </si>
  <si>
    <t>icon_battle_yuna_buff_01</t>
  </si>
  <si>
    <t>Desc.info.yuna.buff.clearmind</t>
  </si>
  <si>
    <t>info.brynhild.buff.evildestroy</t>
  </si>
  <si>
    <t>icon_battle_brynhild_evildestroy</t>
  </si>
  <si>
    <t>info.shery.buff.battery</t>
  </si>
  <si>
    <t>icon_battle_shery_battery</t>
  </si>
  <si>
    <t>Desc.info.shery.buff.battery</t>
  </si>
  <si>
    <t>info.arcels.debuff.burn</t>
  </si>
  <si>
    <t>Desc.info.arcels.debuff.burn</t>
  </si>
  <si>
    <t>info.daria.debuff.counterlink</t>
  </si>
  <si>
    <t>Desc.info.daria.debuff.counterlink</t>
  </si>
  <si>
    <t>info.ferrel.debuff.silence</t>
  </si>
  <si>
    <t>Desc.info.ferrel.debuff.silence</t>
  </si>
  <si>
    <t>info.ino.debuff.target</t>
  </si>
  <si>
    <t>icon_battle_ino_target</t>
  </si>
  <si>
    <t>Desc.info.ino.debuff.target</t>
  </si>
  <si>
    <t>info.mea.debuff.fearseed</t>
  </si>
  <si>
    <t>icon_battle_mea_fearseed</t>
  </si>
  <si>
    <t>Desc.info.mea.debuff.fearseed</t>
  </si>
  <si>
    <t>info.serapulsar.debuff.hurt</t>
  </si>
  <si>
    <t>Desc.info.serapulsar.debuff.hurt</t>
  </si>
  <si>
    <t>info.shale.debuff.polymorph</t>
  </si>
  <si>
    <t>icon_battle_change</t>
  </si>
  <si>
    <t>Desc.info.shale.debuff.polymorph</t>
  </si>
  <si>
    <t>info.snopril.debuff.cold</t>
  </si>
  <si>
    <t>icon_battle_debuffresist_freeze</t>
  </si>
  <si>
    <t>Desc.info.snopril.debuff.cold</t>
  </si>
  <si>
    <t>info.snopril.debuff.frozen</t>
  </si>
  <si>
    <t>snopril.passive.ex.buff.buffeffect</t>
  </si>
  <si>
    <t>icon_battle_angelica_stage1</t>
  </si>
  <si>
    <t>info.airen.buff.a2</t>
  </si>
  <si>
    <t>Effect/Prefab/10_buff/EFF_debuff_silence</t>
  </si>
  <si>
    <t>info.leila.buff.a2</t>
    <phoneticPr fontId="3" type="noConversion"/>
  </si>
  <si>
    <t>Effect/Prefab/10_buff/EFF_buff_op_mp_recovery_up</t>
  </si>
  <si>
    <t>info.crimson.buff.ex</t>
  </si>
  <si>
    <t>yurizia.passive.position.buff.buffeffect.01</t>
  </si>
  <si>
    <t>yurizia.passive.position.buff.buffeffect.02</t>
  </si>
  <si>
    <t>yurizia.passive.position.buff.buffeffect.03</t>
  </si>
  <si>
    <t>yurizia.passive.position.skilleffect.02</t>
  </si>
  <si>
    <t>yurizia.passive.position.skilleffect.03</t>
  </si>
  <si>
    <t>yurizia.passive.buff.buffeffect.02</t>
  </si>
  <si>
    <t>yurizia.passive.buff.buffeffect.03</t>
  </si>
  <si>
    <t>yurizia.passive.buff.buffeffect.04</t>
  </si>
  <si>
    <t>yurizia.passive.buff.buffeffect.05</t>
  </si>
  <si>
    <t>yurizia.passive.buff.buffeffect.06</t>
  </si>
  <si>
    <t>yurizia.ult.position.trigger</t>
  </si>
  <si>
    <t>yurizia.passive.ult.recharge.buff.buffeffect.02</t>
  </si>
  <si>
    <t>yurizia.passive.ult.recharge.buff.buffeffect.03</t>
  </si>
  <si>
    <t>yurizia.passive.ult.recharge.buff.buffeffect.04</t>
  </si>
  <si>
    <t>yurizia.passive.ult.recharge.buff.buffeffect.05</t>
  </si>
  <si>
    <t>yurizia.passive.ult.recharge.buff.buffeffect.06</t>
  </si>
  <si>
    <t>yurizia.passive.buff.02</t>
  </si>
  <si>
    <t>yurizia.passive.buff.03</t>
  </si>
  <si>
    <t>yurizia.passive.buff.04</t>
  </si>
  <si>
    <t>yurizia.passive.buff.05</t>
  </si>
  <si>
    <t>yurizia.passive.buff.06</t>
  </si>
  <si>
    <t>info.yurizia.buff.energydrink</t>
  </si>
  <si>
    <t>info.yurizia.buff.energydrink</t>
    <phoneticPr fontId="3" type="noConversion"/>
  </si>
  <si>
    <t>info.yurizia.buff.8bitegloo</t>
  </si>
  <si>
    <t>icon_battle_yurizia_buff_02</t>
  </si>
  <si>
    <t>icon_battle_yurizia_buff_01</t>
  </si>
  <si>
    <t>elina.ult.B.effect.buff.01.02</t>
  </si>
  <si>
    <t>elina.ult.B.effect.buff.01.03</t>
  </si>
  <si>
    <t>elina.ult.B.effect.buff.01.04</t>
  </si>
  <si>
    <t>elina.ult.B.effect.buff.01.05</t>
  </si>
  <si>
    <t>elina.ult.B.effect.buff.01.06</t>
  </si>
  <si>
    <t>elina.ult.B.effect.buff.01.07</t>
  </si>
  <si>
    <t>elina.ult.B.effect.buff.02.02</t>
  </si>
  <si>
    <t>elina.ult.B.effect.buff.02.03</t>
  </si>
  <si>
    <t>elina.ult.B.effect.buff.02.04</t>
  </si>
  <si>
    <t>elina.ult.B.effect.buff.02.05</t>
  </si>
  <si>
    <t>elina.ult.B.effect.buff.02.06</t>
  </si>
  <si>
    <t>elina.ult.B.effect.buff.02.07</t>
  </si>
  <si>
    <t>info.aggro</t>
  </si>
  <si>
    <t>Reduce.Damage.Up.01</t>
    <phoneticPr fontId="3" type="noConversion"/>
  </si>
  <si>
    <t>Frost.06</t>
  </si>
  <si>
    <t>Frost.07</t>
  </si>
  <si>
    <t>Frost.08</t>
  </si>
  <si>
    <t>Frost.09</t>
  </si>
  <si>
    <t>Frost.10</t>
  </si>
  <si>
    <t>mea.ult.B.target.buff.effect.02</t>
  </si>
  <si>
    <t>mea.ult.B.target.buff.effect.03</t>
  </si>
  <si>
    <t>mea.ult.B.target.buff.effect.04</t>
  </si>
  <si>
    <t>mea.ult.B.target.buff.effect.05</t>
  </si>
  <si>
    <t>mea.ult.B.target.buff.effect.06</t>
  </si>
  <si>
    <t>mea.ult.B.target.buff.effect.07</t>
  </si>
  <si>
    <t>mea.ult.B.target.buff.effect.01</t>
  </si>
  <si>
    <t>mea.active2.event.buff.02</t>
  </si>
  <si>
    <t>mea.active2.event.buff.03</t>
  </si>
  <si>
    <t>mea.active2.event.buff.04</t>
  </si>
  <si>
    <t>mea.active2.event.buff.05</t>
  </si>
  <si>
    <t>mea.active2.event.buff.06</t>
  </si>
  <si>
    <t>mea.active2.event.buff.01</t>
  </si>
  <si>
    <t>mea.active2.defdown.buff.buffeffect.01</t>
  </si>
  <si>
    <t>mea.active2.defdown.buff.buffeffect.02</t>
  </si>
  <si>
    <t>mea.active2.defdown.buff.buffeffect.03</t>
  </si>
  <si>
    <t>mea.active2.defdown.buff.buffeffect.04</t>
  </si>
  <si>
    <t>mea.active2.defdown.buff.buffeffect.05</t>
  </si>
  <si>
    <t>mea.active2.defdown.buff.buffeffect.06</t>
  </si>
  <si>
    <t>mea.ult.B.target.end.buff.effect.01</t>
  </si>
  <si>
    <t>mea.ult.B.target.end.buff.effect.02</t>
  </si>
  <si>
    <t>mea.ult.B.target.end.buff.effect.03</t>
  </si>
  <si>
    <t>mea.ult.B.target.end.buff.effect.04</t>
  </si>
  <si>
    <t>mea.ult.B.target.end.buff.effect.05</t>
  </si>
  <si>
    <t>mea.ult.B.target.end.buff.effect.06</t>
  </si>
  <si>
    <t>mea.ult.B.target.end.buff.effect.07</t>
  </si>
  <si>
    <t>ReceiveHealRate.Down.03</t>
    <phoneticPr fontId="3" type="noConversion"/>
  </si>
  <si>
    <t>mea.pre.buff.buffeffect.02</t>
  </si>
  <si>
    <t>mea.pre.buff.buffeffect.03</t>
  </si>
  <si>
    <t>mea.pre.buff.buffeffect.04</t>
  </si>
  <si>
    <t>mea.pre.buff.buffeffect.05</t>
  </si>
  <si>
    <t>mea.pre.buff.buffeffect.06</t>
  </si>
  <si>
    <t>mea.pre.buff.02</t>
  </si>
  <si>
    <t>mea.pre.buff.03</t>
  </si>
  <si>
    <t>mea.pre.buff.04</t>
  </si>
  <si>
    <t>mea.pre.buff.05</t>
  </si>
  <si>
    <t>mea.pre.buff.06</t>
  </si>
  <si>
    <t>mea.active1.event.buff.02</t>
  </si>
  <si>
    <t>mea.active1.event.buff.03</t>
  </si>
  <si>
    <t>Evasion.Up.03</t>
    <phoneticPr fontId="3" type="noConversion"/>
  </si>
  <si>
    <t>ReceiveHealRate.Down</t>
    <phoneticPr fontId="3" type="noConversion"/>
  </si>
  <si>
    <t>Burn.Healrate.Down.02</t>
  </si>
  <si>
    <t>Burn.Healrate.Down.03</t>
  </si>
  <si>
    <t>Burn.Healrate.Down.04</t>
  </si>
  <si>
    <t>Burn.Healrate.Down.05</t>
  </si>
  <si>
    <t>Electric.Eprate.Down.02</t>
  </si>
  <si>
    <t>Electric.Eprate.Down.03</t>
  </si>
  <si>
    <t>Electric.Eprate.Down.04</t>
  </si>
  <si>
    <t>Electric.Eprate.Down.05</t>
  </si>
  <si>
    <t>Burn.Healrate.Down.01</t>
    <phoneticPr fontId="3" type="noConversion"/>
  </si>
  <si>
    <t>Electric.Eprate.Down.01</t>
    <phoneticPr fontId="3" type="noConversion"/>
  </si>
  <si>
    <t>DotDamageRate</t>
    <phoneticPr fontId="3" type="noConversion"/>
  </si>
  <si>
    <t>iras.passive.hprate.90.02
iras.passive.hprate.80.02
iras.passive.hprate.70.02
iras.passive.hprate.60.02
iras.passive.hprate.50.02
iras.passive.hprate.40.02
iras.passive.hprate.30.02</t>
  </si>
  <si>
    <t>iras.passive.hprate.90.03
iras.passive.hprate.80.03
iras.passive.hprate.70.03
iras.passive.hprate.60.03
iras.passive.hprate.50.03
iras.passive.hprate.40.03
iras.passive.hprate.30.03</t>
  </si>
  <si>
    <t>mea.passive.buff.buffeffect.01.01</t>
  </si>
  <si>
    <t>mea.passive.buff.buffeffect.01.02</t>
  </si>
  <si>
    <t>mea.passive.buff.buffeffect.01.03</t>
  </si>
  <si>
    <t>mea.passive.buff.buffeffect.01.04</t>
  </si>
  <si>
    <t>mea.passive.buff.buffeffect.01.05</t>
  </si>
  <si>
    <t>mea.passive.buff.buffeffect.01.06</t>
  </si>
  <si>
    <t>mea.passive.shield.skilleffect.02</t>
  </si>
  <si>
    <t>mea.passive.shield.skilleffect.03</t>
  </si>
  <si>
    <t>mea.passive.shield.skilleffect.04</t>
  </si>
  <si>
    <t>mea.passive.shield.skilleffect.05</t>
  </si>
  <si>
    <t>mea.passive.shield.skilleffect.06</t>
  </si>
  <si>
    <t>mea.passive.shield.buff.02</t>
  </si>
  <si>
    <t>mea.passive.shield.buff.03</t>
  </si>
  <si>
    <t>mea.passive.shield.buff.04</t>
  </si>
  <si>
    <t>mea.passive.shield.buff.05</t>
  </si>
  <si>
    <t>mea.passive.shield.buff.06</t>
  </si>
  <si>
    <t>mea.passive.shield.buff.buffeffect.02</t>
  </si>
  <si>
    <t>mea.passive.shield.buff.buffeffect.03</t>
  </si>
  <si>
    <t>mea.passive.shield.buff.buffeffect.04</t>
  </si>
  <si>
    <t>mea.passive.shield.buff.buffeffect.05</t>
  </si>
  <si>
    <t>mea.passive.shield.buff.buffeffect.06</t>
  </si>
  <si>
    <t>mea.passive.buff.01.02</t>
  </si>
  <si>
    <t>mea.passive.buff.01.03</t>
  </si>
  <si>
    <t>mea.passive.buff.01.04</t>
  </si>
  <si>
    <t>mea.passive.buff.01.05</t>
  </si>
  <si>
    <t>mea.passive.buff.01.06</t>
  </si>
  <si>
    <t>mea.passive.buff.02.01</t>
  </si>
  <si>
    <t>mea.passive.buff.buffeffect.02.01</t>
  </si>
  <si>
    <t>mea.passive.buff.02.02</t>
  </si>
  <si>
    <t>mea.passive.buff.buffeffect.02.02</t>
  </si>
  <si>
    <t>mea.passive.buff.02.03</t>
  </si>
  <si>
    <t>mea.passive.buff.buffeffect.02.03</t>
  </si>
  <si>
    <t>mea.passive.buff.02.04</t>
  </si>
  <si>
    <t>mea.passive.buff.buffeffect.02.04</t>
  </si>
  <si>
    <t>mea.passive.buff.02.05</t>
  </si>
  <si>
    <t>mea.passive.buff.buffeffect.02.05</t>
  </si>
  <si>
    <t>mea.passive.buff.02.06</t>
  </si>
  <si>
    <t>mea.passive.buff.buffeffect.02.06</t>
  </si>
  <si>
    <t>mea.passive.buff.buffeffect.03.02</t>
  </si>
  <si>
    <t>mea.passive.buff.buffeffect.03.03</t>
  </si>
  <si>
    <t>mea.passive.buff.buffeffect.03.04</t>
  </si>
  <si>
    <t>mea.passive.buff.buffeffect.03.05</t>
  </si>
  <si>
    <t>mea.passive.buff.buffeffect.03.06</t>
  </si>
  <si>
    <t>yurizia.passive.consume.buff.buffeffect.01.02</t>
  </si>
  <si>
    <t>yurizia.passive.consume.buff.buffeffect.01.03</t>
  </si>
  <si>
    <t>yurizia.passive.consume.buff.buffeffect.01.04</t>
  </si>
  <si>
    <t>yurizia.passive.consume.buff.buffeffect.01.05</t>
  </si>
  <si>
    <t>yurizia.passive.consume.buff.buffeffect.01.06</t>
  </si>
  <si>
    <t>yurizia.passive.consume.buff.buffeffect.02.02</t>
  </si>
  <si>
    <t>yurizia.passive.consume.buff.buffeffect.02.03</t>
  </si>
  <si>
    <t>yurizia.passive.consume.buff.buffeffect.02.04</t>
  </si>
  <si>
    <t>yurizia.passive.consume.buff.buffeffect.02.05</t>
  </si>
  <si>
    <t>yurizia.passive.consume.buff.buffeffect.02.06</t>
  </si>
  <si>
    <t>Electric.05
Electric.Eprate.Down.05</t>
  </si>
  <si>
    <t>Electric.06</t>
  </si>
  <si>
    <t>Electric.07</t>
  </si>
  <si>
    <t>Electric.08</t>
  </si>
  <si>
    <t>Electric.09</t>
  </si>
  <si>
    <t>Electric.10</t>
  </si>
  <si>
    <t>Electric.Eprate.Down.06</t>
  </si>
  <si>
    <t>Electric.Eprate.Down.07</t>
  </si>
  <si>
    <t>Electric.Eprate.Down.08</t>
  </si>
  <si>
    <t>Electric.Eprate.Down.09</t>
  </si>
  <si>
    <t>Electric.Eprate.Down.10</t>
  </si>
  <si>
    <t>Burn.06</t>
  </si>
  <si>
    <t>Burn.07</t>
  </si>
  <si>
    <t>Burn.08</t>
  </si>
  <si>
    <t>Burn.09</t>
  </si>
  <si>
    <t>Burn.10</t>
  </si>
  <si>
    <t>Burn.Healrate.Down.06</t>
  </si>
  <si>
    <t>Burn.Healrate.Down.07</t>
  </si>
  <si>
    <t>Burn.Healrate.Down.08</t>
  </si>
  <si>
    <t>Burn.Healrate.Down.09</t>
  </si>
  <si>
    <t>Burn.Healrate.Down.10</t>
  </si>
  <si>
    <t>belebeta.passive.ex.greentea.shield.buff.02</t>
  </si>
  <si>
    <t>belebeta.passive.ex.greentea.shield.buff.03</t>
  </si>
  <si>
    <t>belebeta.passive.ex.greentea.shield.buff.04</t>
  </si>
  <si>
    <t>belebeta.passive.ex.greentea.shield.buff.05</t>
  </si>
  <si>
    <t>belebeta.passive.ex.greentea.shield.buff.06</t>
  </si>
  <si>
    <t>belebeta.passive.ex.greentea.shield.buff.buffeffect.02</t>
  </si>
  <si>
    <t>belebeta.passive.ex.greentea.shield.buff.buffeffect.03</t>
  </si>
  <si>
    <t>belebeta.passive.ex.greentea.shield.buff.buffeffect.04</t>
  </si>
  <si>
    <t>belebeta.passive.ex.greentea.shield.buff.buffeffect.05</t>
  </si>
  <si>
    <t>belebeta.passive.ex.greentea.shield.buff.buffeffect.06</t>
  </si>
  <si>
    <t>yuna.passive.ex.buff.buffeffect.03.02</t>
  </si>
  <si>
    <t>yuna.passive.ex.buff.buffeffect.03.03</t>
  </si>
  <si>
    <t>yuna.passive.ex.buff.buffeffect.03.04</t>
  </si>
  <si>
    <t>yuna.passive.ex.buff.buffeffect.03.05</t>
  </si>
  <si>
    <t>yuna.passive.ex.buff.buffeffect.03.06</t>
  </si>
  <si>
    <t>ccimmune
yurizia.ult.buff.buffeffect.01.02</t>
  </si>
  <si>
    <t>ccimmune
yurizia.ult.buff.buffeffect.01.03</t>
  </si>
  <si>
    <t>ccimmune
yurizia.ult.buff.buffeffect.01.04</t>
  </si>
  <si>
    <t>ccimmune
yurizia.ult.buff.buffeffect.01.05</t>
  </si>
  <si>
    <t>ccimmune
yurizia.ult.buff.buffeffect.01.06</t>
  </si>
  <si>
    <t>ccimmune
yurizia.ult.buff.buffeffect.01.07</t>
  </si>
  <si>
    <t>AccuracyRate</t>
    <phoneticPr fontId="3" type="noConversion"/>
  </si>
  <si>
    <t>*string</t>
    <phoneticPr fontId="3" type="noConversion"/>
  </si>
  <si>
    <t>resist.cc</t>
    <phoneticPr fontId="3" type="noConversion"/>
  </si>
  <si>
    <t>ccimmune</t>
    <phoneticPr fontId="3" type="noConversion"/>
  </si>
  <si>
    <t>damageimmune</t>
    <phoneticPr fontId="3" type="noConversion"/>
  </si>
  <si>
    <t>pre.damageimmune</t>
    <phoneticPr fontId="3" type="noConversion"/>
  </si>
  <si>
    <t>critical.50</t>
    <phoneticPr fontId="3" type="noConversion"/>
  </si>
  <si>
    <t>critical.60</t>
    <phoneticPr fontId="3" type="noConversion"/>
  </si>
  <si>
    <t>ignoredefense.35</t>
    <phoneticPr fontId="3" type="noConversion"/>
  </si>
  <si>
    <t>ignoredefense.45</t>
    <phoneticPr fontId="3" type="noConversion"/>
  </si>
  <si>
    <t>ignoredefense.50</t>
    <phoneticPr fontId="3" type="noConversion"/>
  </si>
  <si>
    <t>ignoredefense.55</t>
    <phoneticPr fontId="3" type="noConversion"/>
  </si>
  <si>
    <t>knockback50</t>
    <phoneticPr fontId="3" type="noConversion"/>
  </si>
  <si>
    <t>knockback300</t>
    <phoneticPr fontId="3" type="noConversion"/>
  </si>
  <si>
    <t>info.silence</t>
    <phoneticPr fontId="3" type="noConversion"/>
  </si>
  <si>
    <t>none</t>
    <phoneticPr fontId="3" type="noConversion"/>
  </si>
  <si>
    <t>info.shield</t>
    <phoneticPr fontId="3" type="noConversion"/>
  </si>
  <si>
    <t>Buff.Desc.burn</t>
    <phoneticPr fontId="3" type="noConversion"/>
  </si>
  <si>
    <t>Buff.Desc.Poison</t>
    <phoneticPr fontId="3" type="noConversion"/>
  </si>
  <si>
    <t>Buff.Desc.CooldownDown</t>
    <phoneticPr fontId="3" type="noConversion"/>
  </si>
  <si>
    <t>Buff.Desc.CooldownUp</t>
    <phoneticPr fontId="3" type="noConversion"/>
  </si>
  <si>
    <t>BattleTile.Atk</t>
    <phoneticPr fontId="3" type="noConversion"/>
  </si>
  <si>
    <t>BattleTile.Atk.BuffEffect</t>
    <phoneticPr fontId="3" type="noConversion"/>
  </si>
  <si>
    <t>Buff.Name.AttackUp</t>
    <phoneticPr fontId="3" type="noConversion"/>
  </si>
  <si>
    <t>BattleTile.Def</t>
    <phoneticPr fontId="3" type="noConversion"/>
  </si>
  <si>
    <t>Buff.Name.DefenseUp</t>
    <phoneticPr fontId="3" type="noConversion"/>
  </si>
  <si>
    <t>BattleTile.MaxHp</t>
    <phoneticPr fontId="3" type="noConversion"/>
  </si>
  <si>
    <t>BattleTile.Recharge</t>
    <phoneticPr fontId="3" type="noConversion"/>
  </si>
  <si>
    <t>BattleTile.Recharge.BuffEffect</t>
    <phoneticPr fontId="3" type="noConversion"/>
  </si>
  <si>
    <t>BattleTile.Atk.Faction</t>
    <phoneticPr fontId="3" type="noConversion"/>
  </si>
  <si>
    <t>BattleTile.Atk.Faction.BuffEffect</t>
    <phoneticPr fontId="3" type="noConversion"/>
  </si>
  <si>
    <t>BattleTile.Def.Faction.BuffEffect</t>
    <phoneticPr fontId="3" type="noConversion"/>
  </si>
  <si>
    <t>BattleTile.MaxHp.Faction</t>
    <phoneticPr fontId="3" type="noConversion"/>
  </si>
  <si>
    <t>BattleTile.MaxHp.Faction.BuffEffect</t>
    <phoneticPr fontId="3" type="noConversion"/>
  </si>
  <si>
    <t>EventCharacter.Buff</t>
    <phoneticPr fontId="3" type="noConversion"/>
  </si>
  <si>
    <t>EventCharacter.Atk.BuffEffect
EventCharacter.Def.BuffEffect
EventCharacter.MaxHp.BuffEffect</t>
    <phoneticPr fontId="3" type="noConversion"/>
  </si>
  <si>
    <t>Monster.Debuff.01</t>
    <phoneticPr fontId="3" type="noConversion"/>
  </si>
  <si>
    <t>Attribute.R.dmgrate.buff</t>
    <phoneticPr fontId="3" type="noConversion"/>
  </si>
  <si>
    <t>Attribute.R.dmgderate.buff</t>
    <phoneticPr fontId="3" type="noConversion"/>
  </si>
  <si>
    <t>Attribute.G.dmgrate.buff</t>
    <phoneticPr fontId="3" type="noConversion"/>
  </si>
  <si>
    <t>Attribute.G.dmgderate.buff</t>
    <phoneticPr fontId="3" type="noConversion"/>
  </si>
  <si>
    <t>Attribute.B.dmgderate.buff</t>
    <phoneticPr fontId="3" type="noConversion"/>
  </si>
  <si>
    <t>Attribute.GD.dmgrate.buff</t>
    <phoneticPr fontId="3" type="noConversion"/>
  </si>
  <si>
    <t>AttributeGold</t>
    <phoneticPr fontId="3" type="noConversion"/>
  </si>
  <si>
    <t>Attribute.GD.dmgderate.buff</t>
    <phoneticPr fontId="3" type="noConversion"/>
  </si>
  <si>
    <t>AttributePurple</t>
    <phoneticPr fontId="3" type="noConversion"/>
  </si>
  <si>
    <t>Attribute.P.dmgderate.buff</t>
    <phoneticPr fontId="3" type="noConversion"/>
  </si>
  <si>
    <t>Buff.Name.Atk.Up.00</t>
    <phoneticPr fontId="12" type="noConversion"/>
  </si>
  <si>
    <t>Buff.Desc.Atk.Up.00</t>
    <phoneticPr fontId="12" type="noConversion"/>
  </si>
  <si>
    <t>Buff.Name.Def.Up.00</t>
    <phoneticPr fontId="12" type="noConversion"/>
  </si>
  <si>
    <t>Critical.Up</t>
    <phoneticPr fontId="3" type="noConversion"/>
  </si>
  <si>
    <t>Buff.Name.Critical.Up.00</t>
    <phoneticPr fontId="12" type="noConversion"/>
  </si>
  <si>
    <t>Buff.Desc.Critical.Up.00</t>
    <phoneticPr fontId="12" type="noConversion"/>
  </si>
  <si>
    <t>Buff.Name.CriticalDamage.Up.00</t>
    <phoneticPr fontId="12" type="noConversion"/>
  </si>
  <si>
    <t>Buff.Desc.CriticalDamage.Up.00</t>
    <phoneticPr fontId="12" type="noConversion"/>
  </si>
  <si>
    <t>CriticalDamage.Up.01</t>
    <phoneticPr fontId="3" type="noConversion"/>
  </si>
  <si>
    <t>CriticalDamage.Up.03</t>
    <phoneticPr fontId="3" type="noConversion"/>
  </si>
  <si>
    <t>AtkSpeed.Up</t>
    <phoneticPr fontId="3" type="noConversion"/>
  </si>
  <si>
    <t>Buff.Name.AtkSpeed.Up.00</t>
    <phoneticPr fontId="12" type="noConversion"/>
  </si>
  <si>
    <t>Buff.Desc.AtkSpeed.Up.00</t>
    <phoneticPr fontId="12" type="noConversion"/>
  </si>
  <si>
    <t>AtkSpeed.Up.01</t>
    <phoneticPr fontId="3" type="noConversion"/>
  </si>
  <si>
    <t>Buff.Desc.Accuracy.Up.00</t>
    <phoneticPr fontId="12" type="noConversion"/>
  </si>
  <si>
    <t>Buff.Name.Evasion.Up.00</t>
    <phoneticPr fontId="12" type="noConversion"/>
  </si>
  <si>
    <t>Buff.Desc.Evasion.Up.00</t>
    <phoneticPr fontId="12" type="noConversion"/>
  </si>
  <si>
    <t>Buff.Name.Damage.Up.00</t>
    <phoneticPr fontId="12" type="noConversion"/>
  </si>
  <si>
    <t>Buff.Desc.Damage.Up.00</t>
    <phoneticPr fontId="12" type="noConversion"/>
  </si>
  <si>
    <t>Buff.Name.SingleDamage.Up.00</t>
    <phoneticPr fontId="12" type="noConversion"/>
  </si>
  <si>
    <t>SingleDamage.Up.01</t>
    <phoneticPr fontId="3" type="noConversion"/>
  </si>
  <si>
    <t>Buff.Name.AreaDamage.Up.00</t>
    <phoneticPr fontId="12" type="noConversion"/>
  </si>
  <si>
    <t>Buff.Desc.AreaDamage.Up.00</t>
    <phoneticPr fontId="12" type="noConversion"/>
  </si>
  <si>
    <t>Buff.Name.MeleeDamage.Up.00</t>
    <phoneticPr fontId="12" type="noConversion"/>
  </si>
  <si>
    <t>Buff.Desc.MeleeDamage.Up.00</t>
    <phoneticPr fontId="12" type="noConversion"/>
  </si>
  <si>
    <t>Buff.Desc.RangeDamage.Up.00</t>
    <phoneticPr fontId="12" type="noConversion"/>
  </si>
  <si>
    <t>Buff.Name.DotDamage.Up.00</t>
    <phoneticPr fontId="12" type="noConversion"/>
  </si>
  <si>
    <t>Reduce.Damage.Up</t>
    <phoneticPr fontId="3" type="noConversion"/>
  </si>
  <si>
    <t>Buff.Name.Reduce.Damage.Up.00</t>
    <phoneticPr fontId="12" type="noConversion"/>
  </si>
  <si>
    <t>Buff.Desc.Reduce.Damage.Up.00</t>
    <phoneticPr fontId="12" type="noConversion"/>
  </si>
  <si>
    <t>Buff.Name.Reduce.SingleDamage.Up.00</t>
    <phoneticPr fontId="12" type="noConversion"/>
  </si>
  <si>
    <t>Buff.Desc.Reduce.SingleDamage.Up.00</t>
    <phoneticPr fontId="12" type="noConversion"/>
  </si>
  <si>
    <t>Buff.Name.Reduce.AreaDamage.Up.00</t>
    <phoneticPr fontId="12" type="noConversion"/>
  </si>
  <si>
    <t>Buff.Desc.Reduce.AreaDamage.Up.00</t>
    <phoneticPr fontId="12" type="noConversion"/>
  </si>
  <si>
    <t>Buff.Name.Reduce.MeleeDamage.Up.00</t>
    <phoneticPr fontId="12" type="noConversion"/>
  </si>
  <si>
    <t>Buff.Desc.Reduce.MeleeDamage.Up.00</t>
    <phoneticPr fontId="12" type="noConversion"/>
  </si>
  <si>
    <t>Buff.Desc.Reduce.RangeDamage.Up.00</t>
    <phoneticPr fontId="12" type="noConversion"/>
  </si>
  <si>
    <t>Buff.Name.Reduce.DotDamage.Up.00</t>
    <phoneticPr fontId="12" type="noConversion"/>
  </si>
  <si>
    <t>Buff.Desc.Reduce.DotDamage.Up.00</t>
    <phoneticPr fontId="12" type="noConversion"/>
  </si>
  <si>
    <t>Buff.Name.GuardRate.Up.00</t>
    <phoneticPr fontId="12" type="noConversion"/>
  </si>
  <si>
    <t>Buff.Desc.GuardRate.Up.00</t>
    <phoneticPr fontId="12" type="noConversion"/>
  </si>
  <si>
    <t>Buff.Name.GuardReduce.Up.00</t>
    <phoneticPr fontId="12" type="noConversion"/>
  </si>
  <si>
    <t>Buff.Desc.GuardReduce.Up.00</t>
    <phoneticPr fontId="12" type="noConversion"/>
  </si>
  <si>
    <t>Buff.Name.CriticalResist.Up.00</t>
    <phoneticPr fontId="12" type="noConversion"/>
  </si>
  <si>
    <t>Buff.Desc.CriticalResist.Up.00</t>
    <phoneticPr fontId="12" type="noConversion"/>
  </si>
  <si>
    <t>Buff.Name.HealRate.Up.00</t>
    <phoneticPr fontId="12" type="noConversion"/>
  </si>
  <si>
    <t>Buff.Desc.HealRate.Up.00</t>
    <phoneticPr fontId="12" type="noConversion"/>
  </si>
  <si>
    <t>Buff.Name.ReceiveHealRate.Up.00</t>
    <phoneticPr fontId="12" type="noConversion"/>
  </si>
  <si>
    <t>Buff.Desc.ReceiveHealRate.Up.00</t>
    <phoneticPr fontId="12" type="noConversion"/>
  </si>
  <si>
    <t>Buff.Name.RechargeRate.Up.00</t>
    <phoneticPr fontId="12" type="noConversion"/>
  </si>
  <si>
    <t>Buff.Desc.RechargeRate.Up.00</t>
    <phoneticPr fontId="12" type="noConversion"/>
  </si>
  <si>
    <t>AccelerationSkillTime.Up.01</t>
    <phoneticPr fontId="3" type="noConversion"/>
  </si>
  <si>
    <t>AccelerationSkillTime.Up.03</t>
    <phoneticPr fontId="3" type="noConversion"/>
  </si>
  <si>
    <t>Buff.Name.NormalDamage.Up.00</t>
    <phoneticPr fontId="12" type="noConversion"/>
  </si>
  <si>
    <t>Buff.Desc.NormalDamage.Up.00</t>
    <phoneticPr fontId="12" type="noConversion"/>
  </si>
  <si>
    <t>NormalDamage.Up.01</t>
    <phoneticPr fontId="3" type="noConversion"/>
  </si>
  <si>
    <t>Buff.Name.GuardDerate.Up.00</t>
    <phoneticPr fontId="12" type="noConversion"/>
  </si>
  <si>
    <t>Buff.Desc.GuardDerate.Up.00</t>
    <phoneticPr fontId="12" type="noConversion"/>
  </si>
  <si>
    <t>GuardDerate.Up.01</t>
    <phoneticPr fontId="3" type="noConversion"/>
  </si>
  <si>
    <t>GuardDerate.Up.05</t>
    <phoneticPr fontId="3" type="noConversion"/>
  </si>
  <si>
    <t>Buff.Name.ActiveDamage.Up.00</t>
    <phoneticPr fontId="12" type="noConversion"/>
  </si>
  <si>
    <t>Buff.Desc.ActiveDamage.Up.00</t>
    <phoneticPr fontId="12" type="noConversion"/>
  </si>
  <si>
    <t>Buff.Name.UltDamage.Up.00</t>
    <phoneticPr fontId="12" type="noConversion"/>
  </si>
  <si>
    <t>Buff.Desc.UltDamage.Up.00</t>
    <phoneticPr fontId="12" type="noConversion"/>
  </si>
  <si>
    <t>UltDamage.Up.01</t>
    <phoneticPr fontId="3" type="noConversion"/>
  </si>
  <si>
    <t>Buff.Name.Atk.Down.00</t>
    <phoneticPr fontId="12" type="noConversion"/>
  </si>
  <si>
    <t>Buff.Desc.Atk.Down.00</t>
    <phoneticPr fontId="12" type="noConversion"/>
  </si>
  <si>
    <t>Def.Down</t>
    <phoneticPr fontId="3" type="noConversion"/>
  </si>
  <si>
    <t>Buff.Desc.Def.Down.00</t>
    <phoneticPr fontId="12" type="noConversion"/>
  </si>
  <si>
    <t>Effect/Prefab/10_buff/EFF_debuff_defdown</t>
    <phoneticPr fontId="3" type="noConversion"/>
  </si>
  <si>
    <t>Def.Down.05</t>
    <phoneticPr fontId="3" type="noConversion"/>
  </si>
  <si>
    <t>Effect/Prefab/10_buff/EFF_debuff_defdown</t>
    <phoneticPr fontId="3" type="noConversion"/>
  </si>
  <si>
    <t>Buff.Name.Critical.Down.00</t>
    <phoneticPr fontId="12" type="noConversion"/>
  </si>
  <si>
    <t>Buff.Desc.Critical.Down.00</t>
    <phoneticPr fontId="12" type="noConversion"/>
  </si>
  <si>
    <t>Buff.Name.CriticalDamage.Down.00</t>
    <phoneticPr fontId="12" type="noConversion"/>
  </si>
  <si>
    <t>Buff.Name.AtkSpeed.Down.00</t>
    <phoneticPr fontId="12" type="noConversion"/>
  </si>
  <si>
    <t>Buff.Desc.AtkSpeed.Down.00</t>
    <phoneticPr fontId="12" type="noConversion"/>
  </si>
  <si>
    <t>AtkSpeed.Down.01</t>
    <phoneticPr fontId="3" type="noConversion"/>
  </si>
  <si>
    <t>Buff.Name.Accuracy.Down.00</t>
    <phoneticPr fontId="12" type="noConversion"/>
  </si>
  <si>
    <t>Buff.Desc.Accuracy.Down.00</t>
    <phoneticPr fontId="12" type="noConversion"/>
  </si>
  <si>
    <t>Accuracy.Down.01</t>
    <phoneticPr fontId="3" type="noConversion"/>
  </si>
  <si>
    <t>Buff.Desc.Evasion.Down.00</t>
    <phoneticPr fontId="12" type="noConversion"/>
  </si>
  <si>
    <t>Buff.Name.Damage.Down.00</t>
    <phoneticPr fontId="12" type="noConversion"/>
  </si>
  <si>
    <t>Buff.Desc.Damage.Down.00</t>
    <phoneticPr fontId="12" type="noConversion"/>
  </si>
  <si>
    <t>Buff.Name.SingleDamage.Down.00</t>
    <phoneticPr fontId="12" type="noConversion"/>
  </si>
  <si>
    <t>Buff.Name.AreaDamage.Down.00</t>
    <phoneticPr fontId="12" type="noConversion"/>
  </si>
  <si>
    <t>Buff.Desc.AreaDamage.Down.00</t>
    <phoneticPr fontId="12" type="noConversion"/>
  </si>
  <si>
    <t>Buff.Name.MeleeDamage.Down.00</t>
    <phoneticPr fontId="12" type="noConversion"/>
  </si>
  <si>
    <t>Buff.Name.RangeDamage.Down.00</t>
    <phoneticPr fontId="12" type="noConversion"/>
  </si>
  <si>
    <t>Buff.Desc.RangeDamage.Down.00</t>
    <phoneticPr fontId="12" type="noConversion"/>
  </si>
  <si>
    <t>Buff.Name.DotDamage.Down.00</t>
    <phoneticPr fontId="12" type="noConversion"/>
  </si>
  <si>
    <t>Buff.Desc.DotDamage.Down.00</t>
    <phoneticPr fontId="12" type="noConversion"/>
  </si>
  <si>
    <t>Buff.Desc.DotDamage.Down.05</t>
    <phoneticPr fontId="12" type="noConversion"/>
  </si>
  <si>
    <t>Buff.Desc.Reduce.Damage.Down.00</t>
    <phoneticPr fontId="12" type="noConversion"/>
  </si>
  <si>
    <t>Reduce.SingleDamage.Down.01</t>
    <phoneticPr fontId="3" type="noConversion"/>
  </si>
  <si>
    <t>Buff.Name.Reduce.Active.Damage.Down.00</t>
    <phoneticPr fontId="12" type="noConversion"/>
  </si>
  <si>
    <t>Buff.Desc.Reduce.Active.Damage.Down.00</t>
    <phoneticPr fontId="12" type="noConversion"/>
  </si>
  <si>
    <t>Reduce.Active.Damage.Down.01</t>
    <phoneticPr fontId="3" type="noConversion"/>
  </si>
  <si>
    <t>Buff.Desc.Reduce.Ultimate.Damage.Down.00</t>
    <phoneticPr fontId="12" type="noConversion"/>
  </si>
  <si>
    <t>Reduce.Ultimate.Damage.Down.01</t>
    <phoneticPr fontId="3" type="noConversion"/>
  </si>
  <si>
    <t>Buff.Name.Reduce.AreaDamage.Down.00</t>
    <phoneticPr fontId="12" type="noConversion"/>
  </si>
  <si>
    <t>Buff.Desc.Reduce.AreaDamage.Down.00</t>
    <phoneticPr fontId="12" type="noConversion"/>
  </si>
  <si>
    <t>Buff.Desc.Reduce.MeleeDamage.Down.00</t>
    <phoneticPr fontId="12" type="noConversion"/>
  </si>
  <si>
    <t>Reduce.MeleeDamage.Down.01</t>
    <phoneticPr fontId="12" type="noConversion"/>
  </si>
  <si>
    <t>Buff.Name.Reduce.RangeDamage.Down.00</t>
    <phoneticPr fontId="12" type="noConversion"/>
  </si>
  <si>
    <t>Reduce.RangeDamage.Down.03</t>
    <phoneticPr fontId="3" type="noConversion"/>
  </si>
  <si>
    <t>Buff.Desc.Reduce.DotDamage.Down.00</t>
    <phoneticPr fontId="12" type="noConversion"/>
  </si>
  <si>
    <t>Buff.Name.GuardRate.Down.00</t>
    <phoneticPr fontId="12" type="noConversion"/>
  </si>
  <si>
    <t>Buff.Desc.GuardRate.Down.00</t>
    <phoneticPr fontId="12" type="noConversion"/>
  </si>
  <si>
    <t>Buff.Name.GuardReduce.Down.00</t>
    <phoneticPr fontId="12" type="noConversion"/>
  </si>
  <si>
    <t>Buff.Desc.GuardReduce.Down.00</t>
    <phoneticPr fontId="12" type="noConversion"/>
  </si>
  <si>
    <t>Buff.Desc.GuardReduce.Down.05</t>
    <phoneticPr fontId="12" type="noConversion"/>
  </si>
  <si>
    <t>Buff.Name.CriticalResist.Down.00</t>
    <phoneticPr fontId="12" type="noConversion"/>
  </si>
  <si>
    <t>Buff.Desc.CriticalResist.Down.00</t>
    <phoneticPr fontId="12" type="noConversion"/>
  </si>
  <si>
    <t>Buff.Name.HealRate.Down.00</t>
    <phoneticPr fontId="12" type="noConversion"/>
  </si>
  <si>
    <t>Buff.Name.ReceiveHealRate.Down.00</t>
    <phoneticPr fontId="12" type="noConversion"/>
  </si>
  <si>
    <t>Buff.Desc.ReceiveHealRate.Down.00</t>
    <phoneticPr fontId="12" type="noConversion"/>
  </si>
  <si>
    <t>ReceiveHealRate.Down.03</t>
    <phoneticPr fontId="3" type="noConversion"/>
  </si>
  <si>
    <t>ReceiveHealRate.Down.06</t>
    <phoneticPr fontId="3" type="noConversion"/>
  </si>
  <si>
    <t>Buff.Name.RechargeRate.Down.00</t>
    <phoneticPr fontId="12" type="noConversion"/>
  </si>
  <si>
    <t>Buff.Desc.RechargeRate.Down.00</t>
    <phoneticPr fontId="12" type="noConversion"/>
  </si>
  <si>
    <t>RechargeRate.Down.03</t>
    <phoneticPr fontId="3" type="noConversion"/>
  </si>
  <si>
    <t>RechargeRate.Down.04</t>
    <phoneticPr fontId="3" type="noConversion"/>
  </si>
  <si>
    <t>Buff.Desc.AccelerationSkillTime.Down.00</t>
    <phoneticPr fontId="12" type="noConversion"/>
  </si>
  <si>
    <t>AccelerationSkillTime.Down.01</t>
    <phoneticPr fontId="3" type="noConversion"/>
  </si>
  <si>
    <t>Buff.Name.ReceiveNormalDamage.Up.00</t>
    <phoneticPr fontId="12" type="noConversion"/>
  </si>
  <si>
    <t>Buff.Desc.ReceiveNormalDamage.Up.00</t>
    <phoneticPr fontId="12" type="noConversion"/>
  </si>
  <si>
    <t>ReceiveNormalDamage.Up.01</t>
    <phoneticPr fontId="3" type="noConversion"/>
  </si>
  <si>
    <t>Buff.Name.Critical.Damage.Derate.Down.00</t>
    <phoneticPr fontId="12" type="noConversion"/>
  </si>
  <si>
    <t>Buff.Desc.Critical.Damage.Derate.Down.00</t>
    <phoneticPr fontId="12" type="noConversion"/>
  </si>
  <si>
    <t>Critical.Damage.Derate.Down.01</t>
    <phoneticPr fontId="3" type="noConversion"/>
  </si>
  <si>
    <t>Critical.Damage.Derate.Down.03</t>
    <phoneticPr fontId="3" type="noConversion"/>
  </si>
  <si>
    <t>icon_battle_attack</t>
    <phoneticPr fontId="3" type="noConversion"/>
  </si>
  <si>
    <t>Buff.Name.NormalDamageDerate.Down.00</t>
    <phoneticPr fontId="12" type="noConversion"/>
  </si>
  <si>
    <t>Buff.Desc.NormalDamageDerate.Down.00</t>
    <phoneticPr fontId="12" type="noConversion"/>
  </si>
  <si>
    <t>NormalDamageDerate.Down.01</t>
    <phoneticPr fontId="3" type="noConversion"/>
  </si>
  <si>
    <t>Info.Burn</t>
    <phoneticPr fontId="3" type="noConversion"/>
  </si>
  <si>
    <t>Buff.Name.burn</t>
    <phoneticPr fontId="3" type="noConversion"/>
  </si>
  <si>
    <t>Frost.01</t>
    <phoneticPr fontId="3" type="noConversion"/>
  </si>
  <si>
    <t>Info.Poison</t>
    <phoneticPr fontId="3" type="noConversion"/>
  </si>
  <si>
    <t>Poison.01</t>
    <phoneticPr fontId="3" type="noConversion"/>
  </si>
  <si>
    <t>Info.Bleed</t>
    <phoneticPr fontId="3" type="noConversion"/>
  </si>
  <si>
    <t>Info.Electric</t>
    <phoneticPr fontId="3" type="noConversion"/>
  </si>
  <si>
    <t>Effect/Prefab/10_buff/EFF_debuff_electric</t>
    <phoneticPr fontId="3" type="noConversion"/>
  </si>
  <si>
    <t>Buff.Name.Electric</t>
  </si>
  <si>
    <t>Buff.Desc.Electric</t>
  </si>
  <si>
    <t>Electric.01</t>
    <phoneticPr fontId="3" type="noConversion"/>
  </si>
  <si>
    <t>Effect/Prefab/10_buff/EFF_debuff_electric</t>
    <phoneticPr fontId="3" type="noConversion"/>
  </si>
  <si>
    <t>info.airen.buff.a2</t>
    <phoneticPr fontId="3" type="noConversion"/>
  </si>
  <si>
    <t>info.airen.buff.a2</t>
    <phoneticPr fontId="3" type="noConversion"/>
  </si>
  <si>
    <t>Desc.info.airen.buff.a2</t>
    <phoneticPr fontId="3" type="noConversion"/>
  </si>
  <si>
    <t>info.crimson.buff.ex</t>
    <phoneticPr fontId="3" type="noConversion"/>
  </si>
  <si>
    <t>Desc.info.crimson.buff.ex</t>
    <phoneticPr fontId="3" type="noConversion"/>
  </si>
  <si>
    <t>info.leila.buff.a2</t>
    <phoneticPr fontId="3" type="noConversion"/>
  </si>
  <si>
    <t>Desc.info.leila.buff.a2</t>
    <phoneticPr fontId="3" type="noConversion"/>
  </si>
  <si>
    <t>Desc.info.brynhild.buff.evildestroy</t>
    <phoneticPr fontId="3" type="noConversion"/>
  </si>
  <si>
    <t>info.yurizia.buff.8bitegloo</t>
    <phoneticPr fontId="3" type="noConversion"/>
  </si>
  <si>
    <t>Desc.info.yurizia.buff.8bitegloo</t>
    <phoneticPr fontId="3" type="noConversion"/>
  </si>
  <si>
    <t>info.yurizia.buff.energydrink</t>
    <phoneticPr fontId="3" type="noConversion"/>
  </si>
  <si>
    <t>Desc.info.yurizia.buff.energydrink</t>
    <phoneticPr fontId="3" type="noConversion"/>
  </si>
  <si>
    <t>Info.Electric</t>
  </si>
  <si>
    <t>Info.Burn</t>
  </si>
  <si>
    <t>Info.Bleed</t>
  </si>
  <si>
    <t>Info.Frost</t>
  </si>
  <si>
    <t>siege.ult.pre.buff.02</t>
  </si>
  <si>
    <t>siege.ult.pre.buff.03</t>
  </si>
  <si>
    <t>siege.ult.pre.buff.04</t>
  </si>
  <si>
    <t>siege.ult.pre.buff.05</t>
  </si>
  <si>
    <t>siege.ult.pre.buff.06</t>
  </si>
  <si>
    <t>siege.ult.pre.buff.07</t>
  </si>
  <si>
    <t>siege.ult.pre.buff.01</t>
  </si>
  <si>
    <t>siege.ult.pre.buff.buffeffect.01</t>
  </si>
  <si>
    <t>siege.ult.pre.buff.buffeffect.02</t>
  </si>
  <si>
    <t>siege.ult.pre.buff.buffeffect.03</t>
  </si>
  <si>
    <t>siege.ult.pre.buff.buffeffect.04</t>
  </si>
  <si>
    <t>siege.ult.pre.buff.buffeffect.05</t>
  </si>
  <si>
    <t>siege.ult.pre.buff.buffeffect.06</t>
  </si>
  <si>
    <t>siege.ult.pre.buff.buffeffect.07</t>
  </si>
  <si>
    <t>siege.ult.shield.02</t>
  </si>
  <si>
    <t>siege.ult.shield.03</t>
  </si>
  <si>
    <t>siege.ult.shield.04</t>
  </si>
  <si>
    <t>siege.ult.shield.05</t>
  </si>
  <si>
    <t>siege.ult.shield.06</t>
  </si>
  <si>
    <t>siege.ult.shield.07</t>
  </si>
  <si>
    <t>siege.ult.shield.01</t>
  </si>
  <si>
    <t>Critical.Damage.Derate.Down.06</t>
  </si>
  <si>
    <t>Critical.Damage.Derate.Down.07</t>
  </si>
  <si>
    <t>Critical.Damage.Derate.Down.08</t>
  </si>
  <si>
    <t>Critical.Damage.Derate.Down.09</t>
  </si>
  <si>
    <t>Critical.Damage.Derate.Down.10</t>
  </si>
  <si>
    <t>belita.passive.ex.buff.buffeffect.01</t>
  </si>
  <si>
    <t>belita.passive.ex.buff.01.02</t>
  </si>
  <si>
    <t>belita.passive.ex.buff.01.03</t>
  </si>
  <si>
    <t>belita.passive.ex.buff.01.04</t>
  </si>
  <si>
    <t>belita.passive.ex.buff.01.05</t>
  </si>
  <si>
    <t>belita.passive.ex.buff.01.06</t>
  </si>
  <si>
    <t>icon_cha_skill_backstep_u</t>
  </si>
  <si>
    <t>Buff.Desc.Aggrobuff</t>
  </si>
  <si>
    <t>IgnoreDefense.Up.00</t>
  </si>
  <si>
    <t>IgnoreDefense.Up.00</t>
    <phoneticPr fontId="3" type="noConversion"/>
  </si>
  <si>
    <t>Buff.Name.IgnoreDefense.Up.00</t>
    <phoneticPr fontId="12" type="noConversion"/>
  </si>
  <si>
    <t>Buff.Desc.IgnoreDefense.Up.00</t>
    <phoneticPr fontId="12" type="noConversion"/>
  </si>
  <si>
    <t>snopril.ult.B.pre.buff.01.buffeffect.02</t>
  </si>
  <si>
    <t>snopril.ult.B.effect</t>
  </si>
  <si>
    <t>shale.active1.silence.buff.02</t>
  </si>
  <si>
    <t>shale.active1.silence.buff.03</t>
  </si>
  <si>
    <t>shale.active1.silence.buff.04</t>
  </si>
  <si>
    <t>shale.active1.silence.buff.05</t>
  </si>
  <si>
    <t>shale.active1.silence.buff.06</t>
  </si>
  <si>
    <t>shale.active1.silence.buff.01</t>
  </si>
  <si>
    <t>Invincible.secret</t>
  </si>
  <si>
    <t>stun.secret</t>
  </si>
  <si>
    <t>bind.secret</t>
  </si>
  <si>
    <t>freeze.secret</t>
  </si>
  <si>
    <t>shock.secret</t>
  </si>
  <si>
    <t>paralysis.secret</t>
  </si>
  <si>
    <t>wound.secret</t>
  </si>
  <si>
    <t>fear.secret</t>
  </si>
  <si>
    <t>charm.secret</t>
  </si>
  <si>
    <t>silence.secret</t>
  </si>
  <si>
    <t>blind.secret</t>
  </si>
  <si>
    <t>sleep.secret</t>
  </si>
  <si>
    <t>exile.secret</t>
  </si>
  <si>
    <t>knockback.secret</t>
  </si>
  <si>
    <t>airborne.secret</t>
  </si>
  <si>
    <t>pushed.secret</t>
  </si>
  <si>
    <t>Confusion.secret</t>
  </si>
  <si>
    <t>DeathHeal.secret</t>
  </si>
  <si>
    <t>provoke.secret</t>
  </si>
  <si>
    <t>aggro.secret</t>
  </si>
  <si>
    <t>linkall.secret</t>
  </si>
  <si>
    <t>linkto.secret</t>
  </si>
  <si>
    <t>linkform.secret</t>
  </si>
  <si>
    <t>Buff.Name.Evasion.Down.00</t>
    <phoneticPr fontId="12" type="noConversion"/>
  </si>
  <si>
    <t>itus.ult.self.buff.01</t>
    <phoneticPr fontId="3" type="noConversion"/>
  </si>
  <si>
    <t>Effect/Prefab/10_buff/EFF_buff_itus_ult_weapon</t>
    <phoneticPr fontId="3" type="noConversion"/>
  </si>
  <si>
    <t>itus.ult.self.buff.02</t>
  </si>
  <si>
    <t>itus.ult.self.buff.03</t>
  </si>
  <si>
    <t>itus.ult.self.buff.04</t>
  </si>
  <si>
    <t>itus.ult.self.buff.05</t>
  </si>
  <si>
    <t>itus.ult.self.buff.06</t>
  </si>
  <si>
    <t>itus.ult.self.buff.07</t>
  </si>
  <si>
    <t>itus.ult.op.buff.01</t>
  </si>
  <si>
    <t>itus.ult.op.buff.02</t>
  </si>
  <si>
    <t>itus.ult.op.buff.03</t>
  </si>
  <si>
    <t>itus.ult.op.buff.04</t>
  </si>
  <si>
    <t>itus.ult.op.buff.05</t>
  </si>
  <si>
    <t>itus.ult.op.buff.06</t>
  </si>
  <si>
    <t>itus.ult.op.buff.07</t>
  </si>
  <si>
    <t>itus.ult.shield.buff.buffeffect.01</t>
    <phoneticPr fontId="3" type="noConversion"/>
  </si>
  <si>
    <t>itus.passive.buff.01</t>
    <phoneticPr fontId="3" type="noConversion"/>
  </si>
  <si>
    <t>itus.passive.op.buff.01.01</t>
    <phoneticPr fontId="3" type="noConversion"/>
  </si>
  <si>
    <t>itus.passive.op.buff.01.02</t>
  </si>
  <si>
    <t>itus.passive.op.buff.01.03</t>
  </si>
  <si>
    <t>itus.passive.op.buff.01.04</t>
  </si>
  <si>
    <t>itus.passive.op.buff.01.05</t>
  </si>
  <si>
    <t>itus.passive.op.buff.01.06</t>
  </si>
  <si>
    <t>itus.passive.ex.buff.01</t>
    <phoneticPr fontId="3" type="noConversion"/>
  </si>
  <si>
    <t>itus.passive.ex.buff.02</t>
  </si>
  <si>
    <t>itus.passive.ex.buff.03</t>
  </si>
  <si>
    <t>itus.passive.ex.buff.04</t>
  </si>
  <si>
    <t>itus.passive.ex.buff.05</t>
  </si>
  <si>
    <t>itus.passive.ex.buff.06</t>
  </si>
  <si>
    <t>itus.passive.ex.allynself.buff.01</t>
    <phoneticPr fontId="3" type="noConversion"/>
  </si>
  <si>
    <t>itus.passive.ex.allynself.buff.02</t>
  </si>
  <si>
    <t>itus.passive.ex.allynself.buff.03</t>
  </si>
  <si>
    <t>itus.passive.ex.allynself.buff.04</t>
  </si>
  <si>
    <t>itus.passive.ex.allynself.buff.05</t>
  </si>
  <si>
    <t>itus.passive.ex.allynself.buff.06</t>
  </si>
  <si>
    <t>itus.ult.self.buff.buffeffect.01</t>
  </si>
  <si>
    <t>itus.ult.self.buff.buffeffect.02.01</t>
    <phoneticPr fontId="3" type="noConversion"/>
  </si>
  <si>
    <t>itus.ult.self.buff.cost.skilleffect.01</t>
    <phoneticPr fontId="3" type="noConversion"/>
  </si>
  <si>
    <t>itus.ult.self.buff.buffeffect.02.02</t>
  </si>
  <si>
    <t>Active</t>
    <phoneticPr fontId="3" type="noConversion"/>
  </si>
  <si>
    <t>itus.ult.self.buff.cost.skilleffect.02</t>
  </si>
  <si>
    <t>itus.ult.self.buff.buffeffect.02.03</t>
  </si>
  <si>
    <t>itus.ult.self.buff.cost.skilleffect.03</t>
  </si>
  <si>
    <t>itus.ult.self.buff.buffeffect.02.04</t>
  </si>
  <si>
    <t>itus.ult.self.buff.cost.skilleffect.04</t>
  </si>
  <si>
    <t>itus.ult.self.buff.buffeffect.02.05</t>
  </si>
  <si>
    <t>itus.ult.self.buff.cost.skilleffect.05</t>
  </si>
  <si>
    <t>itus.ult.self.buff.buffeffect.02.06</t>
  </si>
  <si>
    <t>itus.ult.self.buff.cost.skilleffect.06</t>
  </si>
  <si>
    <t>itus.ult.self.buff.buffeffect.02.07</t>
  </si>
  <si>
    <t>itus.ult.self.buff.cost.skilleffect.07</t>
  </si>
  <si>
    <t>itus.ult.self.buff.buffeffect.03.01</t>
    <phoneticPr fontId="3" type="noConversion"/>
  </si>
  <si>
    <t>itus.ult.skill.effect.modifier.01</t>
    <phoneticPr fontId="3" type="noConversion"/>
  </si>
  <si>
    <t>itus.ult.self.buff.buffeffect.03.02</t>
  </si>
  <si>
    <t>itus.ult.skill.effect.modifier.02</t>
  </si>
  <si>
    <t>itus.ult.self.buff.buffeffect.03.03</t>
  </si>
  <si>
    <t>itus.ult.skill.effect.modifier.03</t>
  </si>
  <si>
    <t>itus.ult.self.buff.buffeffect.03.04</t>
  </si>
  <si>
    <t>itus.ult.skill.effect.modifier.04</t>
  </si>
  <si>
    <t>itus.ult.self.buff.buffeffect.03.05</t>
  </si>
  <si>
    <t>itus.ult.skill.effect.modifier.05</t>
  </si>
  <si>
    <t>itus.ult.self.buff.buffeffect.03.06</t>
  </si>
  <si>
    <t>itus.ult.skill.effect.modifier.06</t>
  </si>
  <si>
    <t>itus.ult.self.buff.buffeffect.03.07</t>
  </si>
  <si>
    <t>itus.ult.skill.effect.modifier.07</t>
  </si>
  <si>
    <t>Defense</t>
    <phoneticPr fontId="3" type="noConversion"/>
  </si>
  <si>
    <t>itus.passive.op.buff.01.01</t>
  </si>
  <si>
    <t>itus.passive.buff.buffeffect.03.01</t>
    <phoneticPr fontId="3" type="noConversion"/>
  </si>
  <si>
    <t>itus.passive.buff.buffeffect.03.02</t>
  </si>
  <si>
    <t>itus.passive.buff.buffeffect.03.03</t>
  </si>
  <si>
    <t>itus.passive.buff.buffeffect.03.04</t>
  </si>
  <si>
    <t>itus.passive.buff.buffeffect.03.05</t>
  </si>
  <si>
    <t>itus.passive.buff.buffeffect.03.06</t>
  </si>
  <si>
    <t>itus.passive.ex.allynself.buff.buffeffect.01.01</t>
    <phoneticPr fontId="3" type="noConversion"/>
  </si>
  <si>
    <t>itus.passive.ex.allynself.buff.buffeffect.01.02</t>
  </si>
  <si>
    <t>itus.passive.ex.allynself.buff.buffeffect.01.03</t>
  </si>
  <si>
    <t>itus.passive.ex.allynself.buff.buffeffect.01.04</t>
  </si>
  <si>
    <t>itus.passive.ex.allynself.buff.buffeffect.01.05</t>
  </si>
  <si>
    <t>itus.passive.ex.allynself.buff.buffeffect.01.06</t>
  </si>
  <si>
    <t>itus.passive.ex.allynself.buff.buffeffect.02.01</t>
    <phoneticPr fontId="3" type="noConversion"/>
  </si>
  <si>
    <t>itus.passive.ex.allynself.buff.buffeffect.02.02</t>
  </si>
  <si>
    <t>itus.passive.ex.allynself.buff.buffeffect.02.03</t>
  </si>
  <si>
    <t>itus.passive.ex.allynself.buff.buffeffect.02.04</t>
  </si>
  <si>
    <t>itus.passive.ex.allynself.buff.buffeffect.02.05</t>
  </si>
  <si>
    <t>itus.passive.ex.allynself.buff.buffeffect.02.06</t>
  </si>
  <si>
    <t>itus.ult.B.post.buff.02</t>
  </si>
  <si>
    <t>itus.ult.B.post.buff.03</t>
  </si>
  <si>
    <t>itus.ult.B.post.buff.04</t>
  </si>
  <si>
    <t>itus.ult.B.post.buff.05</t>
  </si>
  <si>
    <t>itus.ult.B.post.buff.06</t>
  </si>
  <si>
    <t>itus.ult.B.post.buff.07</t>
  </si>
  <si>
    <t>itus.ult.B.post.buff.01</t>
    <phoneticPr fontId="3" type="noConversion"/>
  </si>
  <si>
    <t>itus.ult.B.post.buff.buffeffect.01</t>
  </si>
  <si>
    <t>itus.ult.B.post.buff.buffeffect.01</t>
    <phoneticPr fontId="3" type="noConversion"/>
  </si>
  <si>
    <t>itus.ult.B.post.buff.buffeffect.02</t>
  </si>
  <si>
    <t>itus.ult.B.post.buff.buffeffect.03</t>
  </si>
  <si>
    <t>itus.ult.B.post.buff.buffeffect.04</t>
  </si>
  <si>
    <t>itus.ult.B.post.buff.buffeffect.05</t>
  </si>
  <si>
    <t>itus.ult.B.post.buff.buffeffect.06</t>
  </si>
  <si>
    <t>itus.ult.B.post.buff.buffeffect.07</t>
  </si>
  <si>
    <t>itus.ult.B.post.buff.skilleffect.01</t>
    <phoneticPr fontId="3" type="noConversion"/>
  </si>
  <si>
    <t>itus.ult.B.post.buff.skilleffect.02</t>
  </si>
  <si>
    <t>itus.ult.B.post.buff.skilleffect.03</t>
  </si>
  <si>
    <t>itus.ult.B.post.buff.skilleffect.04</t>
  </si>
  <si>
    <t>itus.ult.B.post.buff.skilleffect.05</t>
  </si>
  <si>
    <t>itus.ult.B.post.buff.skilleffect.06</t>
  </si>
  <si>
    <t>itus.ult.B.post.buff.skilleffect.07</t>
  </si>
  <si>
    <t>itus.ult.B.shield.buff.02</t>
  </si>
  <si>
    <t>itus.ult.B.shield.buff.03</t>
  </si>
  <si>
    <t>itus.ult.B.shield.buff.04</t>
  </si>
  <si>
    <t>itus.ult.B.shield.buff.05</t>
  </si>
  <si>
    <t>itus.ult.B.shield.buff.06</t>
  </si>
  <si>
    <t>itus.ult.B.shield.buff.07</t>
  </si>
  <si>
    <t>itus.ult.B.shield.buff.01</t>
  </si>
  <si>
    <t>itus.ult.B.op.atkdown.buff.01</t>
    <phoneticPr fontId="3" type="noConversion"/>
  </si>
  <si>
    <t>itus.ult.B.op.atkdown.buff.02</t>
  </si>
  <si>
    <t>itus.ult.B.op.atkdown.buff.03</t>
  </si>
  <si>
    <t>itus.ult.B.op.atkdown.buff.04</t>
  </si>
  <si>
    <t>itus.ult.B.op.atkdown.buff.05</t>
  </si>
  <si>
    <t>itus.ult.B.op.atkdown.buff.06</t>
  </si>
  <si>
    <t>itus.ult.B.op.atkdown.buff.07</t>
  </si>
  <si>
    <t>itus.ult.B.shield.buff.buffeffect.01</t>
  </si>
  <si>
    <t>itus.ult.B.shield.buff.buffeffect.01</t>
    <phoneticPr fontId="3" type="noConversion"/>
  </si>
  <si>
    <t>itus.ult.B.shield.buff.buffeffect.02</t>
  </si>
  <si>
    <t>itus.ult.B.shield.buff.buffeffect.03</t>
  </si>
  <si>
    <t>itus.ult.B.shield.buff.buffeffect.04</t>
  </si>
  <si>
    <t>itus.ult.B.shield.buff.buffeffect.05</t>
  </si>
  <si>
    <t>itus.ult.B.shield.buff.buffeffect.06</t>
  </si>
  <si>
    <t>itus.ult.B.shield.buff.buffeffect.07</t>
  </si>
  <si>
    <t>itus.active2.dmgdown.buff.01.01</t>
    <phoneticPr fontId="3" type="noConversion"/>
  </si>
  <si>
    <t>itus.active2.dmgdown.buff.01.02</t>
  </si>
  <si>
    <t>itus.active2.dmgdown.buff.01.03</t>
  </si>
  <si>
    <t>itus.active2.dmgdown.buff.01.04</t>
  </si>
  <si>
    <t>itus.active2.dmgdown.buff.01.05</t>
  </si>
  <si>
    <t>itus.active2.dmgdown.buff.01.06</t>
  </si>
  <si>
    <t>itus.active2.dmgdown.buff.02.01</t>
    <phoneticPr fontId="3" type="noConversion"/>
  </si>
  <si>
    <t>itus.active2.dmgdown.buff.02.02</t>
  </si>
  <si>
    <t>itus.active2.dmgdown.buff.02.03</t>
  </si>
  <si>
    <t>itus.active2.dmgdown.buff.02.04</t>
  </si>
  <si>
    <t>itus.active2.dmgdown.buff.02.05</t>
  </si>
  <si>
    <t>itus.active2.dmgdown.buff.02.06</t>
  </si>
  <si>
    <t>ActiveDamage.Down.01</t>
    <phoneticPr fontId="3" type="noConversion"/>
  </si>
  <si>
    <t>ActiveDamage.Down.02</t>
  </si>
  <si>
    <t>ActiveDamage.Down.03</t>
  </si>
  <si>
    <t>ActiveDamage.Down.04</t>
  </si>
  <si>
    <t>ActiveDamage.Down.05</t>
  </si>
  <si>
    <t>UltDamage.Down.02</t>
  </si>
  <si>
    <t>UltDamage.Down.03</t>
  </si>
  <si>
    <t>UltDamage.Down.04</t>
  </si>
  <si>
    <t>UltDamage.Down.05</t>
  </si>
  <si>
    <t>ActiveDamage.Down.01</t>
    <phoneticPr fontId="3" type="noConversion"/>
  </si>
  <si>
    <t>ActiveDamage.Down</t>
  </si>
  <si>
    <t>UltDamage.Down.01</t>
    <phoneticPr fontId="3" type="noConversion"/>
  </si>
  <si>
    <t>UltDamage.Down.01</t>
    <phoneticPr fontId="3" type="noConversion"/>
  </si>
  <si>
    <t>UltDamage.Down</t>
    <phoneticPr fontId="3" type="noConversion"/>
  </si>
  <si>
    <t>UltDamage.Up.01</t>
  </si>
  <si>
    <t>hellen.passive.ex.buff.buffeffect.02</t>
  </si>
  <si>
    <t>hellen.passive.ex.buff.buffeffect.03</t>
  </si>
  <si>
    <t>hellen.passive.ex.buff.buffeffect.04</t>
  </si>
  <si>
    <t>hellen.passive.ex.buff.buffeffect.05</t>
  </si>
  <si>
    <t>hellen.passive.ex.buff.buffeffect.06</t>
  </si>
  <si>
    <t>archphase.passive.ex.buff.trigger</t>
  </si>
  <si>
    <t>itus.ult.self.buff.buffeffect.04.01</t>
    <phoneticPr fontId="3" type="noConversion"/>
  </si>
  <si>
    <t>itus.ult.self.buff.buffeffect.04.02</t>
  </si>
  <si>
    <t>itus.ult.self.buff.buffeffect.04.03</t>
  </si>
  <si>
    <t>itus.ult.self.buff.buffeffect.04.04</t>
  </si>
  <si>
    <t>itus.ult.self.buff.buffeffect.04.05</t>
  </si>
  <si>
    <t>itus.ult.self.buff.buffeffect.04.06</t>
  </si>
  <si>
    <t>itus.ult.self.buff.buffeffect.04.07</t>
  </si>
  <si>
    <t>Effect</t>
    <phoneticPr fontId="3" type="noConversion"/>
  </si>
  <si>
    <t>itus.ult.attack.event.effect.02.01</t>
    <phoneticPr fontId="3" type="noConversion"/>
  </si>
  <si>
    <t>itus.ult.attack.event.effect.02.02</t>
  </si>
  <si>
    <t>itus.ult.attack.event.effect.02.03</t>
  </si>
  <si>
    <t>itus.ult.attack.event.effect.02.04</t>
  </si>
  <si>
    <t>itus.ult.attack.event.effect.02.05</t>
  </si>
  <si>
    <t>itus.ult.attack.event.effect.02.06</t>
  </si>
  <si>
    <t>itus.ult.attack.event.effect.02.07</t>
  </si>
  <si>
    <t>itus.ult.attack.self.buff.01</t>
    <phoneticPr fontId="3" type="noConversion"/>
  </si>
  <si>
    <t>itus.ult.attack.self.buff.02</t>
  </si>
  <si>
    <t>itus.ult.attack.self.buff.03</t>
  </si>
  <si>
    <t>itus.ult.attack.self.buff.04</t>
  </si>
  <si>
    <t>itus.ult.attack.self.buff.05</t>
  </si>
  <si>
    <t>itus.ult.attack.self.buff.06</t>
  </si>
  <si>
    <t>itus.ult.attack.self.buff.07</t>
  </si>
  <si>
    <t>itus.ult.attack.shield.buff.buffeffect.01</t>
    <phoneticPr fontId="3" type="noConversion"/>
  </si>
  <si>
    <t>itus.ult.attack.shield.buff.buffeffect.02</t>
  </si>
  <si>
    <t>itus.ult.attack.shield.buff.buffeffect.03</t>
  </si>
  <si>
    <t>itus.ult.attack.shield.buff.buffeffect.04</t>
  </si>
  <si>
    <t>itus.ult.attack.shield.buff.buffeffect.05</t>
  </si>
  <si>
    <t>itus.ult.attack.shield.buff.buffeffect.06</t>
  </si>
  <si>
    <t>itus.ult.attack.shield.buff.buffeffect.07</t>
  </si>
  <si>
    <t>itus.ult.attack.shield.buff.buffeffect.01</t>
    <phoneticPr fontId="3" type="noConversion"/>
  </si>
  <si>
    <t>AttackSpeedRate</t>
    <phoneticPr fontId="3" type="noConversion"/>
  </si>
  <si>
    <t>info.itus.debuff.passive</t>
  </si>
  <si>
    <t>UltimateDamageDerate</t>
    <phoneticPr fontId="3" type="noConversion"/>
  </si>
  <si>
    <t>itus.active1.shield.buff.01.01</t>
    <phoneticPr fontId="3" type="noConversion"/>
  </si>
  <si>
    <t>itus.active1.shield.buff.01.02</t>
  </si>
  <si>
    <t>itus.active1.shield.buff.01.03</t>
  </si>
  <si>
    <t>itus.active1.shield.buff.01.04</t>
  </si>
  <si>
    <t>itus.active1.shield.buff.01.05</t>
  </si>
  <si>
    <t>itus.active1.shield.buff.01.06</t>
  </si>
  <si>
    <t>itus.active1.shield.buff.buffeffect.01.01</t>
    <phoneticPr fontId="3" type="noConversion"/>
  </si>
  <si>
    <t>itus.active1.shield.buff.buffeffect.01.02</t>
  </si>
  <si>
    <t>itus.active1.shield.buff.buffeffect.01.03</t>
  </si>
  <si>
    <t>itus.active1.shield.buff.buffeffect.01.04</t>
  </si>
  <si>
    <t>itus.active1.shield.buff.buffeffect.01.05</t>
  </si>
  <si>
    <t>itus.active1.shield.buff.buffeffect.01.06</t>
  </si>
  <si>
    <t>itus.active1.shield.buff.buffeffect.01.01</t>
    <phoneticPr fontId="3" type="noConversion"/>
  </si>
  <si>
    <t>itus.passive.ex.buff.buffeffect.01.02</t>
  </si>
  <si>
    <t>itus.passive.ex.buff.buffeffect.01.03</t>
  </si>
  <si>
    <t>itus.passive.ex.buff.buffeffect.01.04</t>
  </si>
  <si>
    <t>itus.passive.ex.buff.buffeffect.01.05</t>
  </si>
  <si>
    <t>itus.passive.ex.buff.buffeffect.01.06</t>
  </si>
  <si>
    <t>itus.passive.ex.buff.buffeffect.01.01
itus.passive.ex.buff.buffeffect.02.01</t>
    <phoneticPr fontId="3" type="noConversion"/>
  </si>
  <si>
    <t>itus.passive.ex.buff.buffeffect.01.02
itus.passive.ex.buff.buffeffect.02.02</t>
    <phoneticPr fontId="3" type="noConversion"/>
  </si>
  <si>
    <t>itus.passive.ex.buff.buffeffect.01.03
itus.passive.ex.buff.buffeffect.02.03</t>
    <phoneticPr fontId="3" type="noConversion"/>
  </si>
  <si>
    <t>itus.passive.ex.buff.buffeffect.01.04
itus.passive.ex.buff.buffeffect.02.04</t>
    <phoneticPr fontId="3" type="noConversion"/>
  </si>
  <si>
    <t>itus.passive.ex.buff.buffeffect.01.05
itus.passive.ex.buff.buffeffect.02.05</t>
    <phoneticPr fontId="3" type="noConversion"/>
  </si>
  <si>
    <t>itus.passive.ex.buff.buffeffect.01.06
itus.passive.ex.buff.buffeffect.02.06</t>
    <phoneticPr fontId="3" type="noConversion"/>
  </si>
  <si>
    <t>Active</t>
    <phoneticPr fontId="3" type="noConversion"/>
  </si>
  <si>
    <t>itus.passive.ex.buff.buffeffect.01.01</t>
    <phoneticPr fontId="3" type="noConversion"/>
  </si>
  <si>
    <t>itus.passive.ex.buff.buffeffect.02.01</t>
    <phoneticPr fontId="3" type="noConversion"/>
  </si>
  <si>
    <t>itus.passive.ex.buff.buffeffect.02.02</t>
  </si>
  <si>
    <t>itus.passive.ex.buff.buffeffect.02.03</t>
  </si>
  <si>
    <t>itus.passive.ex.buff.buffeffect.02.04</t>
  </si>
  <si>
    <t>itus.passive.ex.buff.buffeffect.02.05</t>
  </si>
  <si>
    <t>itus.passive.ex.buff.buffeffect.02.06</t>
  </si>
  <si>
    <t>itus.passive.ex.buff.skilleffect.01.02</t>
  </si>
  <si>
    <t>itus.passive.ex.buff.skilleffect.01.03</t>
  </si>
  <si>
    <t>itus.passive.ex.buff.skilleffect.01.04</t>
  </si>
  <si>
    <t>itus.passive.ex.buff.skilleffect.01.05</t>
  </si>
  <si>
    <t>itus.passive.ex.buff.skilleffect.01.06</t>
  </si>
  <si>
    <t>itus.passive.ex.buff.skilleffect.01.01</t>
    <phoneticPr fontId="3" type="noConversion"/>
  </si>
  <si>
    <t>itus.passive.ex.buff.skilleffect.02.01</t>
    <phoneticPr fontId="3" type="noConversion"/>
  </si>
  <si>
    <t>itus.passive.ex.buff.skilleffect.02.02</t>
  </si>
  <si>
    <t>itus.passive.ex.buff.skilleffect.02.03</t>
  </si>
  <si>
    <t>itus.passive.ex.buff.skilleffect.02.04</t>
  </si>
  <si>
    <t>itus.passive.ex.buff.skilleffect.02.05</t>
  </si>
  <si>
    <t>itus.passive.ex.buff.skilleffect.02.06</t>
  </si>
  <si>
    <t>itus.passive.buff.buffeffect.00.00
itus.passive.buff.buffeffect.01.01
itus.passive.buff.buffeffect.02.01
itus.passive.buff.buffeffect.03.01</t>
    <phoneticPr fontId="3" type="noConversion"/>
  </si>
  <si>
    <t>itus.passive.buff.buffeffect.00.00
itus.passive.buff.buffeffect.01.02
itus.passive.buff.buffeffect.02.02
itus.passive.buff.buffeffect.03.02</t>
    <phoneticPr fontId="3" type="noConversion"/>
  </si>
  <si>
    <t>itus.passive.buff.buffeffect.00.00
itus.passive.buff.buffeffect.01.03
itus.passive.buff.buffeffect.02.03
itus.passive.buff.buffeffect.03.03</t>
    <phoneticPr fontId="3" type="noConversion"/>
  </si>
  <si>
    <t>itus.passive.buff.buffeffect.00.00
itus.passive.buff.buffeffect.01.04
itus.passive.buff.buffeffect.02.04
itus.passive.buff.buffeffect.03.04</t>
    <phoneticPr fontId="3" type="noConversion"/>
  </si>
  <si>
    <t>itus.passive.buff.buffeffect.00.00
itus.passive.buff.buffeffect.01.05
itus.passive.buff.buffeffect.02.05
itus.passive.buff.buffeffect.03.05</t>
    <phoneticPr fontId="3" type="noConversion"/>
  </si>
  <si>
    <t>itus.passive.buff.buffeffect.00.00
itus.passive.buff.buffeffect.01.06
itus.passive.buff.buffeffect.02.06
itus.passive.buff.buffeffect.03.06</t>
    <phoneticPr fontId="3" type="noConversion"/>
  </si>
  <si>
    <t>itus.passive.buff.buffeffect.00.00</t>
    <phoneticPr fontId="3" type="noConversion"/>
  </si>
  <si>
    <t>itus.ult.self.buff.buffeffect.01
itus.ult.self.buff.buffeffect.02.01
itus.ult.self.buff.buffeffect.03.01
itus.ult.self.buff.buffeffect.04.01</t>
    <phoneticPr fontId="3" type="noConversion"/>
  </si>
  <si>
    <t>itus.ult.self.buff.buffeffect.01
itus.ult.self.buff.buffeffect.02.02
itus.ult.self.buff.buffeffect.03.02
itus.ult.self.buff.buffeffect.04.02</t>
    <phoneticPr fontId="3" type="noConversion"/>
  </si>
  <si>
    <t>itus.ult.self.buff.buffeffect.01
itus.ult.self.buff.buffeffect.02.03
itus.ult.self.buff.buffeffect.03.03
itus.ult.self.buff.buffeffect.04.03</t>
    <phoneticPr fontId="3" type="noConversion"/>
  </si>
  <si>
    <t>itus.ult.self.buff.buffeffect.01
itus.ult.self.buff.buffeffect.02.04
itus.ult.self.buff.buffeffect.03.04
itus.ult.self.buff.buffeffect.04.04</t>
    <phoneticPr fontId="3" type="noConversion"/>
  </si>
  <si>
    <t>itus.ult.self.buff.buffeffect.01
itus.ult.self.buff.buffeffect.02.05
itus.ult.self.buff.buffeffect.03.05
itus.ult.self.buff.buffeffect.04.05</t>
    <phoneticPr fontId="3" type="noConversion"/>
  </si>
  <si>
    <t>itus.ult.self.buff.buffeffect.01
itus.ult.self.buff.buffeffect.02.06
itus.ult.self.buff.buffeffect.03.06
itus.ult.self.buff.buffeffect.04.06</t>
    <phoneticPr fontId="3" type="noConversion"/>
  </si>
  <si>
    <t>itus.ult.self.buff.buffeffect.01
itus.ult.self.buff.buffeffect.02.07
itus.ult.self.buff.buffeffect.03.07
itus.ult.self.buff.buffeffect.04.07</t>
    <phoneticPr fontId="3" type="noConversion"/>
  </si>
  <si>
    <t>provoke</t>
    <phoneticPr fontId="3" type="noConversion"/>
  </si>
  <si>
    <t>silence</t>
    <phoneticPr fontId="3" type="noConversion"/>
  </si>
  <si>
    <t>DamageDerate</t>
    <phoneticPr fontId="3" type="noConversion"/>
  </si>
  <si>
    <t>Status</t>
    <phoneticPr fontId="3" type="noConversion"/>
  </si>
  <si>
    <t>DamageDerate</t>
    <phoneticPr fontId="3" type="noConversion"/>
  </si>
  <si>
    <t>DamageRate</t>
    <phoneticPr fontId="3" type="noConversion"/>
  </si>
  <si>
    <t>itus.passive.op.buff.buffeffect.01.01
itus.passive.op.buff.buffeffect.02.01</t>
    <phoneticPr fontId="3" type="noConversion"/>
  </si>
  <si>
    <t>itus.passive.op.buff.buffeffect.01.02
itus.passive.op.buff.buffeffect.02.02</t>
    <phoneticPr fontId="3" type="noConversion"/>
  </si>
  <si>
    <t>itus.passive.op.buff.buffeffect.01.03
itus.passive.op.buff.buffeffect.02.03</t>
    <phoneticPr fontId="3" type="noConversion"/>
  </si>
  <si>
    <t>itus.passive.op.buff.buffeffect.01.04
itus.passive.op.buff.buffeffect.02.04</t>
    <phoneticPr fontId="3" type="noConversion"/>
  </si>
  <si>
    <t>itus.passive.op.buff.buffeffect.01.05
itus.passive.op.buff.buffeffect.02.05</t>
    <phoneticPr fontId="3" type="noConversion"/>
  </si>
  <si>
    <t>itus.passive.op.buff.buffeffect.01.06
itus.passive.op.buff.buffeffect.02.06</t>
    <phoneticPr fontId="3" type="noConversion"/>
  </si>
  <si>
    <t>itus.passive.op.buff.buffeffect.02.06</t>
  </si>
  <si>
    <t>itus.passive.op.buff.buffeffect.01.02</t>
  </si>
  <si>
    <t>itus.passive.op.buff.buffeffect.01.03</t>
  </si>
  <si>
    <t>itus.passive.op.buff.buffeffect.01.04</t>
  </si>
  <si>
    <t>itus.passive.op.buff.buffeffect.01.05</t>
  </si>
  <si>
    <t>itus.passive.op.buff.buffeffect.01.06</t>
  </si>
  <si>
    <t>itus.passive.op.buff.buffeffect.01.01</t>
    <phoneticPr fontId="3" type="noConversion"/>
  </si>
  <si>
    <t>itus.passive.op.buff.buffeffect.02.01</t>
    <phoneticPr fontId="3" type="noConversion"/>
  </si>
  <si>
    <t>itus.passive.op.buff.buffeffect.02.02</t>
  </si>
  <si>
    <t>itus.passive.op.buff.buffeffect.02.03</t>
  </si>
  <si>
    <t>itus.passive.op.buff.buffeffect.02.04</t>
  </si>
  <si>
    <t>itus.passive.op.buff.buffeffect.02.05</t>
  </si>
  <si>
    <t>icon_battle_itus_buff_01</t>
  </si>
  <si>
    <t>info.itus.buff.ult</t>
    <phoneticPr fontId="3" type="noConversion"/>
  </si>
  <si>
    <t>Desc.info.itus.buff.ult</t>
    <phoneticPr fontId="3" type="noConversion"/>
  </si>
  <si>
    <t>info.itus.buff.ex</t>
    <phoneticPr fontId="3" type="noConversion"/>
  </si>
  <si>
    <t>icon_battle_itus_buff_03</t>
  </si>
  <si>
    <t>Desc.info.itus.buff.ex</t>
    <phoneticPr fontId="3" type="noConversion"/>
  </si>
  <si>
    <t>melissa.summon.passive.buff.buffeffect.01</t>
  </si>
  <si>
    <t>melissa.summon.passive.buff.04</t>
  </si>
  <si>
    <t>melissa.summon.passive.buff.buffeffect.04</t>
  </si>
  <si>
    <t>melissa.summon.passive.buff.05</t>
  </si>
  <si>
    <t>melissa.summon.passive.buff.buffeffect.05</t>
  </si>
  <si>
    <t>melissa.summon.passive.buff.06</t>
  </si>
  <si>
    <t>melissa.summon.passive.buff.buffeffect.06</t>
  </si>
  <si>
    <t>melissa.summon.passive.taunt.buff.01</t>
  </si>
  <si>
    <t>melissa.summon.passive.taunt.buff.05</t>
  </si>
  <si>
    <t>melissa.summon.passive.taunt.buff.buffeffect.05</t>
  </si>
  <si>
    <t>melissa.summon.passive.taunt.buff.06</t>
  </si>
  <si>
    <t>melissa.summon.passive.taunt.buff.buffeffect.06</t>
  </si>
  <si>
    <t>melissa.summon.taunt.buff.01</t>
  </si>
  <si>
    <t>AtkSpeed.Down.01</t>
  </si>
  <si>
    <t>melissa.passive.effect.buffeffect
melissa.passive.behit.effect</t>
  </si>
  <si>
    <t>melissa.passive.ex.buff.01</t>
  </si>
  <si>
    <t>melissa.passive.ex.buff.buffeffect.01</t>
  </si>
  <si>
    <t>lilian.ult.airborne.buff</t>
  </si>
  <si>
    <t>lilian.ult.event.buff.01</t>
  </si>
  <si>
    <t>bind</t>
  </si>
  <si>
    <t>lilian.pull.buff</t>
  </si>
  <si>
    <t>!lilian.ult.pull.buff</t>
  </si>
  <si>
    <t>pull3000</t>
  </si>
  <si>
    <t>lilian.active1.defup.buff.01</t>
  </si>
  <si>
    <t>lilian.plasma.buff</t>
  </si>
  <si>
    <t>lilian.plasma</t>
  </si>
  <si>
    <t>lilian.passive.defup.buff.01</t>
  </si>
  <si>
    <t>lilian.passive.ex.buff.01</t>
  </si>
  <si>
    <t>lilian.passive.ex.buff.buffeffect.01</t>
  </si>
  <si>
    <t>daria.ult.B.link.buff.buffeffect.01</t>
  </si>
  <si>
    <t>daria.passive.buff.01</t>
  </si>
  <si>
    <t>daria.passive.ex.buff.01.01</t>
  </si>
  <si>
    <t>daria.passive.ex.buff.02.01</t>
  </si>
  <si>
    <t>Ranger</t>
  </si>
  <si>
    <t>daria.passive.ex.buff.buffeffect.02.01</t>
  </si>
  <si>
    <t>daria.passive.singledmgdown.buff.01</t>
  </si>
  <si>
    <t>daria.passive.singledmgdown.buff.buffeffect.01</t>
  </si>
  <si>
    <t>daria.passive.singledmgdown.buff.04</t>
  </si>
  <si>
    <t>daria.passive.areadmgup.buff.01</t>
  </si>
  <si>
    <t>daria.passive.areadmgup.buff.buffeffect.01</t>
  </si>
  <si>
    <t>snopril.ult.c.trigger.count.01</t>
  </si>
  <si>
    <t>snopril.ult.trigger.count.01</t>
  </si>
  <si>
    <t>snopril.ult.trigger.buff.buffeffect.01
snopril.ult.trigger.buff.buffeffect.02
snopril.ult.trigger.buff.buffeffect.03
snopril.ult.trigger.buff.buffeffect.04
snopril.ult.trigger.buff.buffeffect.05</t>
  </si>
  <si>
    <t>snopril.ult.B.pre.buff.01.buffeffect.01
snopril.ult.B.pre.buff.01.buffeffect.02
ccimmune
resist.cc</t>
  </si>
  <si>
    <t>snopril.ult.B.trigger.count.01</t>
  </si>
  <si>
    <t>aggro</t>
  </si>
  <si>
    <t>snopril.ult.post.buff.01</t>
  </si>
  <si>
    <t>snopril.ult.post.buff.01.buffeffect.01</t>
  </si>
  <si>
    <t>snopril.ult.B.post.buff.01</t>
  </si>
  <si>
    <t>snopril.ult.B.post.buff.01.buffeffect.01</t>
  </si>
  <si>
    <t>snopril.frostbite</t>
  </si>
  <si>
    <t>frostbite.01
frostbite.02</t>
  </si>
  <si>
    <t>snopril.freeze</t>
  </si>
  <si>
    <t>snopril.passive.buff.01</t>
  </si>
  <si>
    <t>snopril.passive.buff.buffeffect.01</t>
  </si>
  <si>
    <t>anne.active1.effect.movespeeddown.buff.01</t>
  </si>
  <si>
    <t>anne.active1.effect.movespeeddown.buff.buffeffect.01</t>
  </si>
  <si>
    <t>anne.ult.effect.event.buff.04</t>
  </si>
  <si>
    <t>anne.ult.effect.event.buff.buffeffect.04</t>
  </si>
  <si>
    <t>taina.ult.pull.buff.01</t>
  </si>
  <si>
    <t>taina.ult.B.knockback.buff</t>
  </si>
  <si>
    <t>taina.passive.melee.dmgtaken.down.buff.02</t>
  </si>
  <si>
    <t>diana.ult.effect.shield.buff.04</t>
  </si>
  <si>
    <t>diana.ult.effect.shield.buff.buffeffect.04</t>
  </si>
  <si>
    <t>ambrosia.bullet.shell</t>
  </si>
  <si>
    <t>ambrosia.bullet.shell.buffeffect.01
ambrosia.bullet.shell.buffeffect.02
ambrosia.bullet.shell.buffeffect.03
ambrosia.bullet.shell.buffeffect.04
ambrosia.bullet.shell.buffeffect.05</t>
  </si>
  <si>
    <t>ambrosia.ult.pre.buff.01</t>
  </si>
  <si>
    <t>ambrosia.ult.pre.buff.buffeffect.01</t>
  </si>
  <si>
    <t>ambrosia.ult.B.shield.buff.01</t>
  </si>
  <si>
    <t>ambrosia.ult.B.shield.buff.buffeffect.01</t>
  </si>
  <si>
    <t>ambrosia.passive.ex.buffeffect.01.01
ambrosia.passive.ex.buffeffect.02.01</t>
  </si>
  <si>
    <t>ambrosia.passive.ex.buffeffect.01.02
ambrosia.passive.ex.buffeffect.02.02</t>
  </si>
  <si>
    <t>ambrosia.passive.ex.buffeffect.01.03
ambrosia.passive.ex.buffeffect.02.03</t>
  </si>
  <si>
    <t>ambrosia.passive.ex.buffeffect.01.04
ambrosia.passive.ex.buffeffect.02.04</t>
  </si>
  <si>
    <t>ambrosia.passive.ex.buffeffect.01.05
ambrosia.passive.ex.buffeffect.02.05</t>
  </si>
  <si>
    <t>ambrosia.passive.ex.buffeffect.01.06
ambrosia.passive.ex.buffeffect.02.06</t>
  </si>
  <si>
    <t>info.itus.buff.ult</t>
  </si>
  <si>
    <t>info.silence</t>
  </si>
  <si>
    <t>info.silence</t>
    <phoneticPr fontId="3" type="noConversion"/>
  </si>
  <si>
    <t>info.itus.buff.ex</t>
    <phoneticPr fontId="3" type="noConversion"/>
  </si>
  <si>
    <t>melissa.summon.passive.taunt.effect.05</t>
  </si>
  <si>
    <t>melissa.summon.passive.taunt.effect.06</t>
  </si>
  <si>
    <t>Range</t>
  </si>
  <si>
    <t>melissa.passive.behit.effect</t>
  </si>
  <si>
    <t>melissa.passive.ex.buff.buffeffect.skilleffect.01</t>
  </si>
  <si>
    <t>lilian.ult.pull.buffeffect.skilleffect</t>
  </si>
  <si>
    <t>lilian.passive.ex.modifier.01</t>
  </si>
  <si>
    <t>snopril.ult.post.buff.01.skilleffect.01</t>
  </si>
  <si>
    <t>snopril.ult.B.post.buff.01.skilleffect.01</t>
  </si>
  <si>
    <t>ambrosia.bullet.shell.buffeffect.01</t>
  </si>
  <si>
    <t>ambrosia.ult.bullet.damage.01</t>
  </si>
  <si>
    <t>ambrosia.passive.ex.buffeffect.01.01</t>
  </si>
  <si>
    <t>ambrosia.passive.ex.buff.skilleffect.01.01</t>
  </si>
  <si>
    <t>ambrosia.passive.ex.buffeffect.02.01</t>
  </si>
  <si>
    <t>#버프</t>
  </si>
  <si>
    <t>kaito.aile.summon.passive.buff.buffeffect.01.01
kaito.aile.summon.passive.buff.buffeffect.02.01
kaito.aile.summon.passive.buff.dmg.down</t>
  </si>
  <si>
    <t>kaito.aile.summon.passive.buff.buffeffect.01.02
kaito.aile.summon.passive.buff.buffeffect.02.02
kaito.aile.summon.passive.buff.dmg.down</t>
  </si>
  <si>
    <t>kaito.aile.summon.passive.buff.buffeffect.01.03
kaito.aile.summon.passive.buff.buffeffect.02.03
kaito.aile.summon.passive.buff.dmg.down</t>
  </si>
  <si>
    <t>kaito.aile.summon.passive.buff.buffeffect.01.04
kaito.aile.summon.passive.buff.buffeffect.02.04
kaito.aile.summon.passive.buff.dmg.down</t>
  </si>
  <si>
    <t>kaito.aile.summon.passive.buff.buffeffect.01.05
kaito.aile.summon.passive.buff.buffeffect.02.05
kaito.aile.summon.passive.buff.dmg.down</t>
  </si>
  <si>
    <t>kaito.aile.summon.passive.buff.buffeffect.01.06
kaito.aile.summon.passive.buff.buffeffect.02.06
kaito.aile.summon.passive.buff.dmg.down</t>
  </si>
  <si>
    <t>kaito.aile.passive.shock.buff.01</t>
  </si>
  <si>
    <t>kaito.aile.passive.shock.buff.02</t>
  </si>
  <si>
    <t>kaito.aile.passive.shock.buff.03</t>
  </si>
  <si>
    <t>kaito.aile.passive.shock.buff.04</t>
  </si>
  <si>
    <t>kaito.aile.passive.shock.buff.05</t>
  </si>
  <si>
    <t>kaito.aile.passive.shock.buff.06</t>
  </si>
  <si>
    <t>serapulsar.ult.changeskill.normal
serapulsar.ult.changeskill.skill1
serapulsar.ult.changeskill.skill2
serapulsar.ult.buff.buffeffect.01
serapulsar.ult.changeskill.cost.01</t>
  </si>
  <si>
    <t>serapulsar.ult.changeskill.normal
serapulsar.ult.changeskill.skill1
serapulsar.ult.changeskill.skill2
serapulsar.ult.buff.buffeffect.02
serapulsar.ult.changeskill.cost.02</t>
  </si>
  <si>
    <t>serapulsar.ult.changeskill.normal
serapulsar.ult.changeskill.skill1
serapulsar.ult.changeskill.skill2
serapulsar.ult.buff.buffeffect.03
serapulsar.ult.changeskill.cost.03</t>
  </si>
  <si>
    <t>serapulsar.ult.changeskill.normal
serapulsar.ult.changeskill.skill1
serapulsar.ult.changeskill.skill2
serapulsar.ult.buff.buffeffect.04
serapulsar.ult.changeskill.cost.04</t>
  </si>
  <si>
    <t>serapulsar.ult.changeskill.normal
serapulsar.ult.changeskill.skill1
serapulsar.ult.changeskill.skill2
serapulsar.ult.buff.buffeffect.05
serapulsar.ult.changeskill.cost.05</t>
  </si>
  <si>
    <t>serapulsar.ult.changeskill.normal
serapulsar.ult.changeskill.skill1
serapulsar.ult.changeskill.skill2
serapulsar.ult.buff.buffeffect.06
serapulsar.ult.changeskill.cost.06</t>
  </si>
  <si>
    <t>serapulsar.ult.changeskill.normal
serapulsar.ult.changeskill.skill1
serapulsar.ult.changeskill.skill2
serapulsar.ult.buff.buffeffect.07
serapulsar.ult.changeskill.cost.07</t>
  </si>
  <si>
    <t>serapulsar.ult.active2.buff.01</t>
  </si>
  <si>
    <t>serapulsar.passive.ex.buff.buffeffect.01</t>
  </si>
  <si>
    <t>Electric.03
Electric.Eprate.Down.03</t>
  </si>
  <si>
    <t>Electric.04
Electric.Eprate.Down.04</t>
  </si>
  <si>
    <t>iras.ult.B.dotdmgdrdown.01</t>
  </si>
  <si>
    <t>iras.active2.hp.cost.01</t>
  </si>
  <si>
    <t>iras.passive.hprate.trigger.buff.01</t>
  </si>
  <si>
    <t>iras.passive.hprate.90.01
iras.passive.hprate.80.01
iras.passive.hprate.70.01
iras.passive.hprate.60.01
iras.passive.hprate.50.01
iras.passive.hprate.40.01
iras.passive.hprate.30.01</t>
  </si>
  <si>
    <t>iras.passive.areadmgup.buff.01.01</t>
  </si>
  <si>
    <t>iras.passive.areadmgup.buff.02.01</t>
  </si>
  <si>
    <t>iras.passive.ex.buff.01</t>
  </si>
  <si>
    <t>mea.pre.buff.01</t>
  </si>
  <si>
    <t>mea.pre.buff.buffeffect.01</t>
  </si>
  <si>
    <t>mea.ult.pull.buff.01</t>
  </si>
  <si>
    <t>fear
movespeedratedown80</t>
  </si>
  <si>
    <t>stun
mea.ult.target.taunt</t>
  </si>
  <si>
    <t>ReceiveHealRate.Down.03
mea.ult.B.taget.buff.buffeffect.01</t>
  </si>
  <si>
    <t>Effect/Prefab/01.Character/46_mea/EFF_mea_ult02_mark</t>
  </si>
  <si>
    <t>ReceiveHealRate.Down.04
mea.ult.B.taget.buff.buffeffect.02</t>
  </si>
  <si>
    <t>ReceiveHealRate.Down.04
mea.ult.B.taget.buff.buffeffect.03</t>
  </si>
  <si>
    <t>ReceiveHealRate.Down.04
mea.ult.B.taget.buff.buffeffect.04</t>
  </si>
  <si>
    <t>ReceiveHealRate.Down.05
mea.ult.B.taget.buff.buffeffect.05</t>
  </si>
  <si>
    <t>ReceiveHealRate.Down.05
mea.ult.B.taget.buff.buffeffect.06</t>
  </si>
  <si>
    <t>ReceiveHealRate.Down.05
mea.ult.B.taget.buff.buffeffect.07</t>
  </si>
  <si>
    <t>mea.ult.B.fear.01.end.buff</t>
  </si>
  <si>
    <t>mea.ult.B.stun.01.end.buff</t>
  </si>
  <si>
    <t>mea.ult.B.stun.01.buff</t>
  </si>
  <si>
    <t>mea.active1.event.buff.01</t>
  </si>
  <si>
    <t>mea.passive.buff.01.01</t>
  </si>
  <si>
    <t>mea.passive.buff.buffeffect.02.01
mea.passive.buff.buffeffect.03.01</t>
  </si>
  <si>
    <t>mea.passive.buff.buffeffect.02.02
mea.passive.buff.buffeffect.03.02</t>
  </si>
  <si>
    <t>mea.passive.buff.buffeffect.02.03
mea.passive.buff.buffeffect.03.03</t>
  </si>
  <si>
    <t>mea.passive.buff.buffeffect.02.04
mea.passive.buff.buffeffect.03.04</t>
  </si>
  <si>
    <t>mea.passive.buff.buffeffect.02.05
mea.passive.buff.buffeffect.03.05</t>
  </si>
  <si>
    <t>mea.passive.buff.buffeffect.02.06
mea.passive.buff.buffeffect.03.06</t>
  </si>
  <si>
    <t>mea.passive.shield.buff.01</t>
  </si>
  <si>
    <t>mea.passive.shield.buff.buffeffect.01</t>
  </si>
  <si>
    <t>mea.passive.ex.buff.buffeffect.01.01
mea.passive.ex.buff.buffeffect.02.01</t>
  </si>
  <si>
    <t>mea.passive.ex.buff.buffeffect.01.02
mea.passive.ex.buff.buffeffect.02.02</t>
  </si>
  <si>
    <t>mea.passive.ex.buff.buffeffect.01.03
mea.passive.ex.buff.buffeffect.02.03</t>
  </si>
  <si>
    <t>mea.passive.ex.buff.buffeffect.01.04
mea.passive.ex.buff.buffeffect.02.04</t>
  </si>
  <si>
    <t>mea.passive.ex.buff.buffeffect.01.05
mea.passive.ex.buff.buffeffect.02.05</t>
  </si>
  <si>
    <t>mea.passive.ex.buff.buffeffect.01.06
mea.passive.ex.buff.buffeffect.02.06</t>
  </si>
  <si>
    <t>rachel.ult.effect.event.buff.04</t>
  </si>
  <si>
    <t>rachel.passive.buff.06</t>
  </si>
  <si>
    <t>rachel.passive.barrier.buff.01</t>
  </si>
  <si>
    <t>rachel.passive.barrier.buff.buffeffect.01</t>
  </si>
  <si>
    <t>rachel.passive.barrier.buff.02</t>
  </si>
  <si>
    <t>rachel.passive.barrier.buff.03</t>
  </si>
  <si>
    <t>rachel.passive.barrier.buff.buffeffect.skilleffect.buff.01</t>
  </si>
  <si>
    <t>rachel.passive.barrier.buff.buffeffect.skilleffect.buff.02</t>
  </si>
  <si>
    <t>rachel.passive.barrier.buff.buffeffect.skilleffect.buff.03</t>
  </si>
  <si>
    <t>balencia.ult.buff.buffeffect.01</t>
  </si>
  <si>
    <t>balencia.fist</t>
  </si>
  <si>
    <t>balencia.ult.changeskill</t>
  </si>
  <si>
    <t>balencia.fist.stun</t>
  </si>
  <si>
    <t>balencia.ult.attack.pre.buff</t>
  </si>
  <si>
    <t>balencia.ult.attack.pre.buff.buffeffect</t>
  </si>
  <si>
    <t>belita.ult.poem.ultdmgup.01
belita.ult.poem.ignoredef.01
belita.ult.poem.criup.01</t>
  </si>
  <si>
    <t>belita.ult.poem.ultdmgup.02
belita.ult.poem.ignoredef.02
belita.ult.poem.criup.02</t>
  </si>
  <si>
    <t>belita.ult.poem.ultdmgup.03
belita.ult.poem.ignoredef.03
belita.ult.poem.criup.03</t>
  </si>
  <si>
    <t>belita.ult.poem.ultdmgup.04
belita.ult.poem.ignoredef.04
belita.ult.poem.criup.04</t>
  </si>
  <si>
    <t>belita.ult.poem.ultdmgup.05
belita.ult.poem.ignoredef.05
belita.ult.poem.criup.05</t>
  </si>
  <si>
    <t>belita.ult.poem.ultdmgup.06
belita.ult.poem.ignoredef.06
belita.ult.poem.criup.06</t>
  </si>
  <si>
    <t>belita.ult.poem.ultdmgup.07
belita.ult.poem.ignoredef.07
belita.ult.poem.criup.07</t>
  </si>
  <si>
    <t>belita.ult.B.defdown.buff</t>
  </si>
  <si>
    <t>belita.active2.critical.tirgger</t>
  </si>
  <si>
    <t>belita.passive.ex.active2.trigger</t>
  </si>
  <si>
    <t>Effect/Prefab/10_buff/EFF_debuff_eradica&amp;Effect/Prefab/10_buff/EFF_debuff_silence</t>
  </si>
  <si>
    <t>belita.passive.buff.buffeffect.01
belita.ex.passive.buff.buffeffect.01</t>
  </si>
  <si>
    <t>belita.passive.buff.buffeffect.02
belita.ex.passive.buff.buffeffect.02</t>
  </si>
  <si>
    <t>belita.passive.buff.buffeffect.03
belita.ex.passive.buff.buffeffect.03</t>
  </si>
  <si>
    <t>belita.passive.buff.buffeffect.04
belita.ex.passive.buff.buffeffect.04</t>
  </si>
  <si>
    <t>belita.passive.buff.buffeffect.05
belita.ex.passive.buff.buffeffect.05</t>
  </si>
  <si>
    <t>belita.passive.buff.buffeffect.06
belita.ex.passive.buff.buffeffect.06</t>
  </si>
  <si>
    <t>belita.passive.poem.buff.01</t>
  </si>
  <si>
    <t>belita.passive.poem.buff.buffeffect.06
 belita.passive.poem.active2.criup</t>
  </si>
  <si>
    <t>belita.passive.ex.buff.01.01</t>
  </si>
  <si>
    <t>belita.passive.ex.buff.buffeffect.01
belita.ex.active02.dmg.buff.buffeffect.01</t>
  </si>
  <si>
    <t>belita.passive.ex.buff.buffeffect.01
belita.ex.active02.dmg.buff.buffeffect.02</t>
  </si>
  <si>
    <t>belita.passive.ex.buff.buffeffect.01
belita.ex.active02.dmg.buff.buffeffect.03</t>
  </si>
  <si>
    <t>belita.passive.ex.buff.buffeffect.01
belita.ex.active02.dmg.buff.buffeffect.04</t>
  </si>
  <si>
    <t>belita.passive.ex.buff.buffeffect.01
belita.ex.active02.dmg.buff.buffeffect.05</t>
  </si>
  <si>
    <t>belita.passive.ex.buff.buffeffect.01
belita.ex.active02.dmg.buff.buffeffect.06</t>
  </si>
  <si>
    <t>belita.passive.ex.buff.02</t>
  </si>
  <si>
    <t>belita.passive.ex.buff.buffeffect.02</t>
  </si>
  <si>
    <t>CriticalDamage.Up.03</t>
  </si>
  <si>
    <t>belebeta.passive.maindealer.trigger.buffeffect</t>
  </si>
  <si>
    <t>belebeta.passive.maindealer.buff</t>
  </si>
  <si>
    <t>belebeta.passive.critical</t>
  </si>
  <si>
    <t>belebeta.passive.tea.trigger.01</t>
  </si>
  <si>
    <t>belebeta.passive.dice.buff</t>
  </si>
  <si>
    <t>belebeta.passive.redtea.buff.01</t>
  </si>
  <si>
    <t>belebeta.passive.redtea.event.buff.01</t>
  </si>
  <si>
    <t>belebeta.passive.greentea.buff.01</t>
  </si>
  <si>
    <t>belebeta.passive.greentea.event.buff.01</t>
  </si>
  <si>
    <t>belebeta.passive.greentea.event.buff.buffeffect.01</t>
  </si>
  <si>
    <t>belebeta.passive.ex.redtea.buff.buffeffect.01
belebeta.passive.ex.redtea.buff.buffeffect.02
belebeta.passive.ex.redtea.buff.buffeffect.03
belebeta.passive.ex.redtea.buff.buffeffect.04
belebeta.passive.ex.redtea.buff.buffeffect.05
belebeta.passive.ex.redtea.buff.buffeffect.06</t>
  </si>
  <si>
    <t>belebeta.passive.ex.greentea.buff.buffeffect.01
belebeta.passive.ex.greentea.buff.buffeffect.02
belebeta.passive.ex.greentea.buff.buffeffect.03
belebeta.passive.ex.greentea.buff.buffeffect.04
belebeta.passive.ex.greentea.buff.buffeffect.05
belebeta.passive.ex.greentea.buff.buffeffect.06</t>
  </si>
  <si>
    <t>belebeta.passive.ex.buff.trigger</t>
  </si>
  <si>
    <t>belebeta.passive.ex.greentea.shield.buff.01</t>
  </si>
  <si>
    <t>belebeta.passive.ex.greentea.shield.buff.buffeffect.01</t>
  </si>
  <si>
    <t>arcels.ult.buff.01</t>
  </si>
  <si>
    <t>arcels.active2.atkdown.buff.01</t>
  </si>
  <si>
    <t>arcels.passive.burn.buff.01</t>
  </si>
  <si>
    <t>Burn.01
Burn.Healrate.Down.01</t>
  </si>
  <si>
    <t>Burn.02
Burn.Healrate.Down.02</t>
  </si>
  <si>
    <t>Burn.03
Burn.Healrate.Down.03</t>
  </si>
  <si>
    <t>Burn.04
Burn.Healrate.Down.04</t>
  </si>
  <si>
    <t>Burn.05
Burn.Healrate.Down.05</t>
  </si>
  <si>
    <t>arcels.passive.ex.buff.01</t>
  </si>
  <si>
    <t>angelica.ult.stun.buff</t>
  </si>
  <si>
    <t>angelica.ult.B.pre.buff.01</t>
  </si>
  <si>
    <t>angelica.ult.B.pre.buff.buffeffect.01</t>
  </si>
  <si>
    <t>angelica.ult.B.normalatt.buff.01.01</t>
  </si>
  <si>
    <t>angelica.ult.B.normalatt.buff.02.01</t>
  </si>
  <si>
    <t>angelica.passive.buff.buffeffect.01
angelica.passive.areadmgup.01
angelica.trigger</t>
  </si>
  <si>
    <t>angelica.passive.buff.buffeffect.02
angelica.passive.areadmgup.02
angelica.trigger</t>
  </si>
  <si>
    <t>angelica.passive.buff.buffeffect.03
angelica.passive.areadmgup.03
angelica.trigger</t>
  </si>
  <si>
    <t>angelica.passive.buff.buffeffect.04
angelica.passive.areadmgup.04
angelica.trigger</t>
  </si>
  <si>
    <t>angelica.passive.buff.buffeffect.05
angelica.passive.areadmgup.05
angelica.trigger</t>
  </si>
  <si>
    <t>angelica.passive.buff.buffeffect.06
angelica.passive.areadmgup.06
angelica.trigger</t>
  </si>
  <si>
    <t>angelica.passive.areadmgup.buff.buffeffect.01.01</t>
  </si>
  <si>
    <t>angelica.passive.areadmgup.buff.buffeffect.02.01</t>
  </si>
  <si>
    <t>angelica.passive.ex.buff.01</t>
  </si>
  <si>
    <t>angelica.passive.ex.buff.01.buffeffect.01
angelica.passive.ex.buff.02.buffeffect.01</t>
  </si>
  <si>
    <t>angelica.passive.ex.buff.01.buffeffect.02
angelica.passive.ex.buff.02.buffeffect.02</t>
  </si>
  <si>
    <t>angelica.passive.ex.buff.01.buffeffect.03
angelica.passive.ex.buff.02.buffeffect.03</t>
  </si>
  <si>
    <t>angelica.passive.ex.buff.01.buffeffect.04
angelica.passive.ex.buff.02.buffeffect.04</t>
  </si>
  <si>
    <t>angelica.passive.ex.buff.01.buffeffect.05
angelica.passive.ex.buff.02.buffeffect.05</t>
  </si>
  <si>
    <t>angelica.passive.ex.buff.01.buffeffect.06
angelica.passive.ex.buff.02.buffeffect.06</t>
  </si>
  <si>
    <t>angelica.passive.ex.buff.01.01</t>
  </si>
  <si>
    <t>angelica.passive.ex.buff.buffeffect.01.01</t>
  </si>
  <si>
    <t>brynhild.ult.buff.buffeffect.01
brynhild.ult.changeskill
brynhild.ult.changeskill.cost.01</t>
  </si>
  <si>
    <t>brynhild.ult.buff.buffeffect.02
brynhild.ult.changeskill
brynhild.ult.changeskill.cost.02</t>
  </si>
  <si>
    <t>brynhild.ult.buff.buffeffect.03
brynhild.ult.changeskill
brynhild.ult.changeskill.cost.03</t>
  </si>
  <si>
    <t>brynhild.ult.buff.buffeffect.04
brynhild.ult.changeskill
brynhild.ult.changeskill.cost.04</t>
  </si>
  <si>
    <t>brynhild.ult.buff.buffeffect.05
brynhild.ult.changeskill
brynhild.ult.changeskill.cost.05</t>
  </si>
  <si>
    <t>brynhild.ult.buff.buffeffect.06
brynhild.ult.changeskill
brynhild.ult.changeskill.cost.06</t>
  </si>
  <si>
    <t>brynhild.ult.buff.buffeffect.07
brynhild.ult.changeskill
brynhild.ult.changeskill.cost.07</t>
  </si>
  <si>
    <t>brynhild.active1.atkup.buff.01</t>
  </si>
  <si>
    <t>yuna.ult.up.buff.01</t>
  </si>
  <si>
    <t>yuna.ult.B.up.buff.01</t>
  </si>
  <si>
    <t>yuna.ult.B.modifier.buffeffect.01</t>
  </si>
  <si>
    <t>yuna.ult.B.end.buff.01</t>
  </si>
  <si>
    <t>yuna.active1.up.dmg.buff.buffeffect.01</t>
  </si>
  <si>
    <t>yuna.active2.up.dmg.buff.01</t>
  </si>
  <si>
    <t>yuna.active2.up.dmg.buff.buffeffect.01</t>
  </si>
  <si>
    <t>yuna.active2.end.buff.buffeffect.01</t>
  </si>
  <si>
    <t>yuna.passive.condition.buff.buffeffect.01
yuna.passive.critical.event.buff.buffeffect.01</t>
  </si>
  <si>
    <t>yuna.passive.condition.buff.buffeffect.02
yuna.passive.critical.event.buff.buffeffect.02</t>
  </si>
  <si>
    <t>yuna.passive.condition.buff.buffeffect.03
yuna.passive.critical.event.buff.buffeffect.03</t>
  </si>
  <si>
    <t>yuna.passive.condition.buff.buffeffect.04
yuna.passive.critical.event.buff.buffeffect.04</t>
  </si>
  <si>
    <t>yuna.passive.condition.buff.buffeffect.05
yuna.passive.critical.event.buff.buffeffect.05</t>
  </si>
  <si>
    <t>yuna.passive.condition.buff.buffeffect.06
yuna.passive.critical.event.buff.buffeffect.06</t>
  </si>
  <si>
    <t>yuna.passive.atkup.buff.01</t>
  </si>
  <si>
    <t>yuna.passive.atkup.buff.buffeffect.01.01
yuna.passive.atkup.buff.buffeffect.02.01
yuna.atkup</t>
  </si>
  <si>
    <t>yuna.passive.atkup.buff.buffeffect.01.02
yuna.passive.atkup.buff.buffeffect.02.02
yuna.atkup</t>
  </si>
  <si>
    <t>yuna.passive.atkup.buff.buffeffect.01.03
yuna.passive.atkup.buff.buffeffect.02.03
yuna.atkup</t>
  </si>
  <si>
    <t>yuna.passive.atkup.buff.buffeffect.01.04
yuna.passive.atkup.buff.buffeffect.02.04
yuna.atkup</t>
  </si>
  <si>
    <t>yuna.passive.atkup.buff.buffeffect.01.05
yuna.passive.atkup.buff.buffeffect.02.05
yuna.atkup</t>
  </si>
  <si>
    <t>yuna.passive.atkup.buff.buffeffect.01.06
yuna.passive.atkup.buff.buffeffect.02.06
yuna.atkup</t>
  </si>
  <si>
    <t>yuna.passive.ex.buff.01</t>
  </si>
  <si>
    <t>yuna.passive.ex.buff.buffeffect.01.01
yuna.passive.ex.buff.buffeffect.02.01
yuna.passive.ex.buff.buffeffect.03.01</t>
  </si>
  <si>
    <t>yuna.passive.ex.buff.buffeffect.01.02
yuna.passive.ex.buff.buffeffect.02.02
yuna.passive.ex.buff.buffeffect.03.02</t>
  </si>
  <si>
    <t>yuna.passive.ex.buff.buffeffect.01.03
yuna.passive.ex.buff.buffeffect.02.03
yuna.passive.ex.buff.buffeffect.03.03</t>
  </si>
  <si>
    <t>yuna.passive.ex.buff.buffeffect.01.04
yuna.passive.ex.buff.buffeffect.02.04
yuna.passive.ex.buff.buffeffect.03.04</t>
  </si>
  <si>
    <t>yuna.passive.ex.buff.buffeffect.01.05
yuna.passive.ex.buff.buffeffect.02.05
yuna.passive.ex.buff.buffeffect.03.05</t>
  </si>
  <si>
    <t>yuna.passive.ex.buff.buffeffect.01.06
yuna.passive.ex.buff.buffeffect.02.06
yuna.passive.ex.buff.buffeffect.03.06</t>
  </si>
  <si>
    <t>yuna.passive.ex.healderate.buff.01</t>
  </si>
  <si>
    <t>Effect/Prefab/10_buff/EFF_debuff_healdown</t>
  </si>
  <si>
    <t>gray.pushed.100.buff</t>
  </si>
  <si>
    <t>gray.passive.ex.buff.01</t>
  </si>
  <si>
    <t>gray.passive.ex.trigger
gray.passive.ex.buff.buffeffect.01</t>
  </si>
  <si>
    <t>gray.passive.ex.trigger
gray.passive.ex.buff.buffeffect.02</t>
  </si>
  <si>
    <t>gray.passive.ex.trigger
gray.passive.ex.buff.buffeffect.03</t>
  </si>
  <si>
    <t>gray.passive.ex.trigger
gray.passive.ex.buff.buffeffect.04</t>
  </si>
  <si>
    <t>gray.passive.ex.trigger
gray.passive.ex.buff.buffeffect.05</t>
  </si>
  <si>
    <t>gray.passive.ex.event.buff.01</t>
  </si>
  <si>
    <t>fei.dice</t>
  </si>
  <si>
    <t>fei.ult.B.cridmgresistdown.buff.11</t>
  </si>
  <si>
    <t>fei.ult.pre.buff</t>
  </si>
  <si>
    <t>fei.passive.maindealer.buff</t>
  </si>
  <si>
    <t>fei.passive.maindealer.dummy</t>
  </si>
  <si>
    <t>fei.passive.maindealer.ranger.buffeffect
fei.passive.maindealer.attacker.buffeffect</t>
  </si>
  <si>
    <t>fei.passive.buff.buffeffect.01.01
fei.passive.buff.buffeffect.02.01</t>
  </si>
  <si>
    <t>fei.passive.buff.buffeffect.01.02
fei.passive.buff.buffeffect.02.02</t>
  </si>
  <si>
    <t>fei.passive.buff.buffeffect.01.03
fei.passive.buff.buffeffect.02.03</t>
  </si>
  <si>
    <t>fei.passive.buff.buffeffect.01.04
fei.passive.buff.buffeffect.02.04</t>
  </si>
  <si>
    <t>fei.passive.buff.buffeffect.01.05
fei.passive.buff.buffeffect.02.05</t>
  </si>
  <si>
    <t>fei.passive.buff.buffeffect.01.06
fei.passive.buff.buffeffect.02.06</t>
  </si>
  <si>
    <t>fei.passive.ranger.buff.buffeffect.01</t>
  </si>
  <si>
    <t>fei.passive.attacker.buff.buffeffect.01</t>
  </si>
  <si>
    <t>fei.passive.ex.event.buff.01.01</t>
  </si>
  <si>
    <t>fei.passive.ex.event.buff.02.01</t>
  </si>
  <si>
    <t>Effect/Prefab/10_buff/EFF_buff_op_skill_dmg_up</t>
  </si>
  <si>
    <t>airen.active1.crirtical.effect</t>
  </si>
  <si>
    <t>airen.active2.effect.crirateup.buff.buffeffect.01
airen.active2.addenergy.buff.buffeffect.01
airen.active2.defensederate.buff.buffeffect.01</t>
  </si>
  <si>
    <t>airen.active2.effect.crirateup.buff.buffeffect.02
airen.active2.addenergy.buff.buffeffect.02
airen.active2.defensederate.buff.buffeffect.02</t>
  </si>
  <si>
    <t>airen.active2.effect.crirateup.buff.buffeffect.03
airen.active2.addenergy.buff.buffeffect.03
airen.active2.defensederate.buff.buffeffect.03</t>
  </si>
  <si>
    <t>airen.active2.effect.crirateup.buff.buffeffect.04
airen.active2.addenergy.buff.buffeffect.04
airen.active2.defensederate.buff.buffeffect.04</t>
  </si>
  <si>
    <t>airen.active2.effect.crirateup.buff.buffeffect.05
airen.active2.addenergy.buff.buffeffect.05
airen.active2.defensederate.buff.buffeffect.05</t>
  </si>
  <si>
    <t>airen.active2.effect.crirateup.buff.buffeffect.06
airen.active2.addenergy.buff.buffeffect.06
airen.active2.defensederate.buff.buffeffect.06</t>
  </si>
  <si>
    <t>airen.passive.buff.buffeffect.01
airen.passive.cridamage.buff.buffeffect.01</t>
  </si>
  <si>
    <t>airen.passive.buff.buffeffect.02
airen.passive.cridamage.buff.buffeffect.02</t>
  </si>
  <si>
    <t>airen.passive.buff.buffeffect.03
airen.passive.cridamage.buff.buffeffect.03</t>
  </si>
  <si>
    <t>airen.passive.buff.buffeffect.04
airen.passive.cridamage.buff.buffeffect.04</t>
  </si>
  <si>
    <t>airen.passive.buff.buffeffect.05
airen.passive.cridamage.buff.buffeffect.05</t>
  </si>
  <si>
    <t>airen.passive.buff.buffeffect.06
airen.passive.cridamage.buff.buffeffect.06</t>
  </si>
  <si>
    <t>airen.passive.ex.event.buff.01</t>
  </si>
  <si>
    <t>airen.passive.ex.event.buff.buffeffect.01</t>
  </si>
  <si>
    <t>klairs.ult.B.block.buff.01</t>
  </si>
  <si>
    <t>klairs.active1.atkdown.buff.01</t>
  </si>
  <si>
    <t>klairs.active2.provoke.buff.01</t>
  </si>
  <si>
    <t>klairs.passive.buff.01</t>
  </si>
  <si>
    <t>klairs.passive.buff.04</t>
  </si>
  <si>
    <t>klairs.passive.buff.05</t>
  </si>
  <si>
    <t>klairs.passive.buff.06</t>
  </si>
  <si>
    <t>klairs.passive.electric.buff.01</t>
  </si>
  <si>
    <t>klairs.passive.ex.buff.01</t>
  </si>
  <si>
    <t>klairs.passive.ex.buff.buffeffect.01</t>
  </si>
  <si>
    <t>klairs.passive.ex.event.buff.01</t>
  </si>
  <si>
    <t>klairs.passive.ex.event.buff.buffeffect.01</t>
  </si>
  <si>
    <t>#Type</t>
  </si>
  <si>
    <t>#Value1</t>
  </si>
  <si>
    <t>#Value2</t>
  </si>
  <si>
    <t>#Value3</t>
  </si>
  <si>
    <t>#BuffEffectType</t>
  </si>
  <si>
    <t>#string</t>
  </si>
  <si>
    <t>kaito.aile.summon.passive.buff.buffeffect.01.01</t>
  </si>
  <si>
    <t>kaito.aile.summon.passive.buff.taunt.skilleffect.01</t>
  </si>
  <si>
    <t>kaito.aile.summon.passive.buff.buffeffect.01.02</t>
  </si>
  <si>
    <t>kaito.aile.summon.passive.buff.buffeffect.01.03</t>
  </si>
  <si>
    <t>kaito.aile.summon.passive.buff.buffeffect.01.04</t>
  </si>
  <si>
    <t>kaito.aile.summon.passive.buff.buffeffect.01.05</t>
  </si>
  <si>
    <t>kaito.aile.summon.passive.buff.buffeffect.01.06</t>
  </si>
  <si>
    <t>kaito.aile.summon.passive.die.skilleffect.01</t>
  </si>
  <si>
    <t>kaito.aile.summon.passive.buff.dmg.down</t>
  </si>
  <si>
    <t>kaito.aile.passive.buff.buffeffect.skilleffect.02</t>
  </si>
  <si>
    <t>kaito.aile.passive.buff.buffeffect.skilleffect.03</t>
  </si>
  <si>
    <t>kaito.aile.passive.buff.buffeffect.skilleffect.04</t>
  </si>
  <si>
    <t>kaito.aile.passive.buff.buffeffect.skilleffect.05</t>
  </si>
  <si>
    <t>kaito.aile.passive.buff.buffeffect.skilleffect.06</t>
  </si>
  <si>
    <t>serapulsar.ult.act2.buff.buffeffect.modifier.01</t>
  </si>
  <si>
    <t>serapulsar.ult.changeskill.normal</t>
  </si>
  <si>
    <t>serapulsar.ult.changeskill.skill1</t>
  </si>
  <si>
    <t>Skill1</t>
  </si>
  <si>
    <t>serapulsar.ult.changeskill.cost.01</t>
  </si>
  <si>
    <t>serapulsar.ult.changeskill.cost.skilleffect.01</t>
  </si>
  <si>
    <t>serapulsar.ult.B.spd.buff.buffeffect</t>
  </si>
  <si>
    <t>serapulsar.ult.B.changeskill</t>
  </si>
  <si>
    <t>serapulsar.passive.buff.buffeffect.skilleffect.01</t>
  </si>
  <si>
    <t>serapulsar.passive.buff.buffeffect.skilleffect.06</t>
  </si>
  <si>
    <t>serapulsar.passive.ex.buff.buffeffect.skilleffect.01</t>
  </si>
  <si>
    <t>mea.ult.target.taunt.skilleffect</t>
  </si>
  <si>
    <t>mea.passive.shield.skilleffect.01</t>
  </si>
  <si>
    <t>mea.passive.buff.buffeffect.03.01</t>
  </si>
  <si>
    <t>mea.passive.ex.buff.buffeffect.01.01</t>
  </si>
  <si>
    <t>mea.passive.ex.buff.buffeffect.02.01</t>
  </si>
  <si>
    <t>Energy</t>
  </si>
  <si>
    <t>rachel.passive.barrier.buff.buffeffect.skilleffect.01</t>
  </si>
  <si>
    <t>rachel.passive.barrier.buff.buffeffect.skilleffect.02</t>
  </si>
  <si>
    <t>rachel.passive.barrier.buff.buffeffect.skilleffect.03</t>
  </si>
  <si>
    <t>Isbella.passive.summon.killswitch.skilleffect</t>
  </si>
  <si>
    <t>balencia.ult.attack.skillmodifier.01</t>
  </si>
  <si>
    <t>balencia.ult.B.fist.end</t>
  </si>
  <si>
    <t>balencia.passive.ex.buff.skilleffect.01</t>
  </si>
  <si>
    <t>belita.ult.poem.ultdmgup.01</t>
  </si>
  <si>
    <t>belita.ult.poem.ultdmgup.skilleffectmodifier.01</t>
  </si>
  <si>
    <t>belita.ult.poem.ignoredef.01</t>
  </si>
  <si>
    <t>belita.ult.poem.criup.01</t>
  </si>
  <si>
    <t>belita.passive.buff.buffeffect.skilleffect.01</t>
  </si>
  <si>
    <t>belita.ex.passive.buff.buffeffect.skilleffect.01</t>
  </si>
  <si>
    <t>belita.passive.poem.buff.buffeffect.06</t>
  </si>
  <si>
    <t>belita.passive.poem.active2.criup</t>
  </si>
  <si>
    <t>belita.ex.active02.dmg.modifier.01</t>
  </si>
  <si>
    <t>belebeta.passive.maindealer.trigger.buffeffect.skilleffect</t>
  </si>
  <si>
    <t>belebeta.passive.critical.01&amp;belebeta.passive.critical</t>
  </si>
  <si>
    <t>belebeta.passive.redtea.trigger.01</t>
  </si>
  <si>
    <t>belebeta.passive.redtea.trigger.02</t>
  </si>
  <si>
    <t>belebeta.passive.redtea.trigger.03</t>
  </si>
  <si>
    <t>belebeta.passive.redtea.trigger.04</t>
  </si>
  <si>
    <t>belebeta.passive.redtea.trigger.05</t>
  </si>
  <si>
    <t>belebeta.passive.redtea.trigger.06</t>
  </si>
  <si>
    <t>belebeta.passive.greentea.trigger.01</t>
  </si>
  <si>
    <t>!leila</t>
  </si>
  <si>
    <t>angelica.passive.areadmgup.01</t>
  </si>
  <si>
    <t>angelica.trigger</t>
  </si>
  <si>
    <t>angelica.trigger.skilleffect</t>
  </si>
  <si>
    <t>angelica.passive.ex.buff.01.buffeffect.01</t>
  </si>
  <si>
    <t>angelica.passive.ex.buff.01.skilleffect.01</t>
  </si>
  <si>
    <t>angelica.passive.ex.buff.02.buffeffect.01</t>
  </si>
  <si>
    <t>angelica.passive.ex.buff.02.skilleffect.01</t>
  </si>
  <si>
    <t>brynhild.ult.buff.buffeffect.modifier.01</t>
  </si>
  <si>
    <t>brynhild.ult.buff.buffeffect.modifier.05</t>
  </si>
  <si>
    <t>brynhild.ult.changeskill</t>
  </si>
  <si>
    <t>brynhild.ult.changeskill.cost.01</t>
  </si>
  <si>
    <t>brynhild.ult.changeskill.cost.skilleffect.01</t>
  </si>
  <si>
    <t>yuna.ult.dmg.modifier.01</t>
  </si>
  <si>
    <t>yuna.ult.B.dmg.modifier.01</t>
  </si>
  <si>
    <t>yuna.ult.B.evasup.buff.buffeffect.06</t>
  </si>
  <si>
    <t>yuna.ult.B.evasup.buff.buffeffect.07</t>
  </si>
  <si>
    <t>yuna.active1.dmg.modifier.01</t>
  </si>
  <si>
    <t>yuna.active2.dmg.modifier.01</t>
  </si>
  <si>
    <t>yuna.passive.condition.buff.buffeffect.01</t>
  </si>
  <si>
    <t>yuna.passive.condition.buff.buffeffect.04</t>
  </si>
  <si>
    <t>yuna.passive.critical.event.skilleffect.01</t>
  </si>
  <si>
    <t>yuna.passive.critical.event.skilleffect.02</t>
  </si>
  <si>
    <t>yuna.passive.critical.event.skilleffect.03</t>
  </si>
  <si>
    <t>yuna.passive.critical.event.skilleffect.04</t>
  </si>
  <si>
    <t>yuna.passive.critical.event.skilleffect.05</t>
  </si>
  <si>
    <t>yuna.passive.critical.event.skilleffect.06</t>
  </si>
  <si>
    <t>yuna.passive.atkup.buff.buffeffect.01.01</t>
  </si>
  <si>
    <t>yuna.passive.atkup.buff.buffeffect.02.01</t>
  </si>
  <si>
    <t>yuna.passive.ex.buff.buffeffect.01.01</t>
  </si>
  <si>
    <t>yuna.passive.ex.buff.buffeffect.02.01</t>
  </si>
  <si>
    <t>yuna.passive.ex.buff.skilleffect.02.01</t>
  </si>
  <si>
    <t>yuna.passive.ex.buff.buffeffect.03.01</t>
  </si>
  <si>
    <t>gray.passive.critical.event.ep.skilleffect.01</t>
  </si>
  <si>
    <t>gray.passive.ex.buff.buffeffect.skilleffect.01</t>
  </si>
  <si>
    <t>gray.passive.ex.trigger</t>
  </si>
  <si>
    <t>fei.ult.pre.buff.buffeffect.01</t>
  </si>
  <si>
    <t>fei.ult.pre.buff.buffeffect.skilleffect.01</t>
  </si>
  <si>
    <t>fei.passive.maindealer.trigger</t>
  </si>
  <si>
    <t>fei.passive.maindealer.skilleffect</t>
  </si>
  <si>
    <t>fei.passive.maindealer.buff.buffeffect</t>
  </si>
  <si>
    <t>fei.passive.buff.buffeffect.01.01</t>
  </si>
  <si>
    <t>fei.passive.buff.buffeffect.02.01</t>
  </si>
  <si>
    <t>fei.passive.ex.buff.buffeffect.01</t>
  </si>
  <si>
    <t>fei.passive.ex.buff.buffeffect.skilleffect.01</t>
  </si>
  <si>
    <t>fei.passive.ex.dummy.buffeffect</t>
  </si>
  <si>
    <t>airen.passive.cridamage.buff.buffeffect.01</t>
  </si>
  <si>
    <t>renas.passive.hit.trigger.01&amp;3</t>
  </si>
  <si>
    <t>ferrel.passive.buff.buffeffect.01</t>
  </si>
  <si>
    <t>ferrel.passive.buff.buffeffect.02</t>
  </si>
  <si>
    <t>ferrel.passive.buff.buffeffect.03</t>
  </si>
  <si>
    <t>ferrel.passive.buff.buffeffect.04</t>
  </si>
  <si>
    <t>ferrel.passive.buff.buffeffect.05</t>
  </si>
  <si>
    <t>ferrel.passive.buff.buffeffect.06</t>
  </si>
  <si>
    <t>freyja.active1.effect.event.buff.01</t>
  </si>
  <si>
    <t>kanata.ult.ex.buff.buffeffect.01
kanata.ult.ex.buff.buffeffect.02</t>
  </si>
  <si>
    <t>kanata.active2.effect.event.buff.01</t>
  </si>
  <si>
    <t>kanata.active2.effect.event.buff.04</t>
  </si>
  <si>
    <t>archphase.ult.pre.buff.01.01</t>
  </si>
  <si>
    <t>archphase.ult.pre.buff.buffeffect.01.01</t>
  </si>
  <si>
    <t>archphase.ult.pre.buff.02</t>
  </si>
  <si>
    <t>archphase.ult.B.stack.buff.01</t>
  </si>
  <si>
    <t>archphase.ult.B.stack.buff.buffeffect
archphase.ult.B.ex.effect
archphase.ult.B.buff.buffeffect</t>
  </si>
  <si>
    <t>archphase.ult.B.stack.buff.06</t>
  </si>
  <si>
    <t>archphase.passive.ex.buff.06</t>
  </si>
  <si>
    <t>archphase.stack</t>
  </si>
  <si>
    <t>archphase.ex.effect.buff.01</t>
  </si>
  <si>
    <t>Effect/Prefab/01.Character/39_archphase/EEF_archphase_ex_passive_mark</t>
  </si>
  <si>
    <t>archphase.ex.effect.buff.02</t>
  </si>
  <si>
    <t>Effect/Prefab/01.Character/39_archphase/EEF_archphase_ex_passive_laser</t>
  </si>
  <si>
    <t>shery.passive.atkup.buff.01</t>
  </si>
  <si>
    <t>shery.passive.atkup.buff.buffeffect01
shery.ult.criup</t>
  </si>
  <si>
    <t>shery.passive.atkup.buff.buffeffect02
shery.ult.criup</t>
  </si>
  <si>
    <t>shery.passive.atkup.buff.buffeffect03
shery.ult.criup</t>
  </si>
  <si>
    <t>shery.passive.atkup.buff.04</t>
  </si>
  <si>
    <t>shery.passive.atkup.buff.buffeffect04
shery.ult.criup</t>
  </si>
  <si>
    <t>shery.passive.atkup.buff.buffeffect05
shery.ult.criup</t>
  </si>
  <si>
    <t>shery.passive.atkup.buff.buffeffect06
shery.ult.criup</t>
  </si>
  <si>
    <t>patricia.ult.pre.buff.01</t>
  </si>
  <si>
    <t>patricia.ult.pre.buff.burn
patricia.ult.pre.buff.frost
patricia.ult.pre.buff.poison
patricia.ult.pre.buff.electric
patricia.ult.pre.buff.bleed</t>
  </si>
  <si>
    <t>patricia.ult.pre.buff.mark</t>
  </si>
  <si>
    <t>patricia.ult.B.slow.buff.01</t>
  </si>
  <si>
    <t>patricia.ult.B.movement.slow.buffeffect.01
patricia.ult.B.slow.buff.buffeffect.01</t>
  </si>
  <si>
    <t>patricia.ult.B.movement.slow.buffeffect.02
patricia.ult.B.slow.buff.buffeffect.02</t>
  </si>
  <si>
    <t>patricia.ult.B.movement.slow.buffeffect.03
patricia.ult.B.slow.buff.buffeffect.03</t>
  </si>
  <si>
    <t>patricia.ult.B.movement.slow.buffeffect.04
patricia.ult.B.slow.buff.buffeffect.04</t>
  </si>
  <si>
    <t>patricia.ult.B.movement.slow.buffeffect.05
patricia.ult.B.slow.buff.buffeffect.05</t>
  </si>
  <si>
    <t>patricia.ult.B.movement.slow.buffeffect.06
patricia.ult.B.slow.buff.buffeffect.06</t>
  </si>
  <si>
    <t>patricia.ult.B.movement.slow.buffeffect.07
patricia.ult.B.slow.buff.buffeffect.07</t>
  </si>
  <si>
    <t>patricia.ult.B.dotdmg.buff.01</t>
  </si>
  <si>
    <t>patricia.active2.changeskill
patricia.active2.atkup.01</t>
  </si>
  <si>
    <t>patricia.passive.buff.buffeffect.01
patricia.passive.frost.burn.buffeffect.01
patricia.passive.frost.electric.buffeffect.01</t>
  </si>
  <si>
    <t>patricia.passive.buff.buffeffect.02
patricia.passive.frost.burn.buffeffect.02
patricia.passive.frost.electric.buffeffect.02</t>
  </si>
  <si>
    <t>patricia.passive.buff.buffeffect.03
patricia.passive.frost.burn.buffeffect.03
patricia.passive.frost.electric.buffeffect.03</t>
  </si>
  <si>
    <t>patricia.passive.buff.buffeffect.04
patricia.passive.frost.burn.buffeffect.04
patricia.passive.frost.electric.buffeffect.04</t>
  </si>
  <si>
    <t>patricia.passive.buff.buffeffect.05
patricia.passive.frost.burn.buffeffect.05
patricia.passive.frost.electric.buffeffect.05</t>
  </si>
  <si>
    <t>patricia.passive.buff.buffeffect.06
patricia.passive.frost.burn.buffeffect.06
patricia.passive.frost.electric.buffeffect.06</t>
  </si>
  <si>
    <t>Frost.01</t>
  </si>
  <si>
    <t>patricia.passive.frost.burn.buff.01</t>
  </si>
  <si>
    <t>patricia.passive.ex.buffeffect.01</t>
  </si>
  <si>
    <t>Bleed.01</t>
  </si>
  <si>
    <t>renas.ult.B.arrow.buff</t>
  </si>
  <si>
    <t>renas.ult.changeskill</t>
  </si>
  <si>
    <t>Effect/Prefab/01.Character/14_tracer/EFF_tracer_ult02_buff</t>
  </si>
  <si>
    <t>renas.ult.attack.buff.02.01</t>
  </si>
  <si>
    <t>renas.ult.attack.pre.buff.01</t>
  </si>
  <si>
    <t>renas.ult.attack.modifier.buffeffect.01.01
renas.ult.attack.modifier.buffeffect.01.02
renas.ult.attack.modifier.buffeffect.01.03
renas.ult.attack.modifier.buffeffect.01.04
renas.ult.attack.modifier.buffeffect.01.05
renas.ult.attack.modifier.buffeffect.01.06
renas.ult.attack.modifier.buffeffect.01.07</t>
  </si>
  <si>
    <t>renas.ult.attack.modifier.buffeffect.02.01
renas.ult.attack.modifier.buffeffect.02.02
renas.ult.attack.modifier.buffeffect.02.03
renas.ult.attack.modifier.buffeffect.02.04
renas.ult.attack.modifier.buffeffect.02.05
renas.ult.attack.modifier.buffeffect.02.06</t>
  </si>
  <si>
    <t>renas.passive.buff.buffeffect.01
renas.passive.battle.start.01</t>
  </si>
  <si>
    <t>renas.passive.buff.buffeffect.02
renas.passive.battle.start.02</t>
  </si>
  <si>
    <t>renas.passive.buff.buffeffect.03
renas.passive.battle.start.03</t>
  </si>
  <si>
    <t>renas.passive.buff.buffeffect.04
renas.passive.battle.start.04</t>
  </si>
  <si>
    <t>renas.passive.buff.buffeffect.05
renas.passive.battle.start.05</t>
  </si>
  <si>
    <t>renas.passive.buff.buffeffect.06
renas.passive.battle.start.06</t>
  </si>
  <si>
    <t>renas.passive.hit.trigger.01</t>
  </si>
  <si>
    <t>renas.passive.buff.modifier</t>
  </si>
  <si>
    <t>renas.passive.buff.modifier.effect.01
renas.passive.buff.modifier.effect.02
renas.passive.buff.modifier.effect.03
renas.passive.buff.modifier.effect.04
renas.passive.buff.modifier.effect.05
renas.passive.buff.modifier.effect.06</t>
  </si>
  <si>
    <t>renas.passive.ex.buff.01</t>
  </si>
  <si>
    <t>renas.passive.ex.buffeffect.01</t>
  </si>
  <si>
    <t>leila.ult.slow.buff.01</t>
  </si>
  <si>
    <t>leila.ult.slow.buff.buffeffect</t>
  </si>
  <si>
    <t>leila.ult.push.buff.02</t>
  </si>
  <si>
    <t>leila.passive.buff.buffeffect.02
leila.passive.bonus.buffeffect.02
leila.trigger</t>
  </si>
  <si>
    <t>leila.passive.buff.buffeffect.03
leila.passive.bonus.buffeffect.03
leila.trigger</t>
  </si>
  <si>
    <t>leila.passive.buff.buffeffect.05
leila.passive.bonus.buffeffect.05
leila.trigger</t>
  </si>
  <si>
    <t>leila.passive.buff.buffeffect.06
leila.passive.bonus.buffeffect.06
leila.trigger</t>
  </si>
  <si>
    <t>leila.passive.ex.buff.01.01</t>
  </si>
  <si>
    <t>leila.passive.ex.buffeffect.01.01
leila.passive.ex.buffeffect.02.01</t>
  </si>
  <si>
    <t>leila.passive.ex.buffeffect.01.02
leila.passive.ex.buffeffect.02.02</t>
  </si>
  <si>
    <t>leila.passive.ex.buffeffect.01.03
leila.passive.ex.buffeffect.02.03</t>
  </si>
  <si>
    <t>leila.passive.ex.buffeffect.01.04
leila.passive.ex.buffeffect.02.04</t>
  </si>
  <si>
    <t>leila.passive.ex.buffeffect.01.05
leila.passive.ex.buffeffect.02.05</t>
  </si>
  <si>
    <t>leila.passive.ex.buffeffect.01.06
leila.passive.ex.buffeffect.02.06</t>
  </si>
  <si>
    <t>erica.passive.ex.buff.01</t>
  </si>
  <si>
    <t>erica.passive.ex.buff.buffeffect.01</t>
  </si>
  <si>
    <t>ReceiveHealRate.Down.03</t>
  </si>
  <si>
    <t>eiko.ult.B.effect.event.buff.01</t>
  </si>
  <si>
    <t>eiko.active1.event.buff.01</t>
  </si>
  <si>
    <t>eiko.active2.event.buff.01</t>
  </si>
  <si>
    <t>eiko.passive.buff.buffeffect.01
eiko.passive.maindealer.buff.buffeffect</t>
  </si>
  <si>
    <t>eiko.passive.buff.buffeffect.02
eiko.passive.maindealer.buff.buffeffect</t>
  </si>
  <si>
    <t>eiko.passive.buff.buffeffect.03
eiko.passive.maindealer.buff.buffeffect</t>
  </si>
  <si>
    <t>eiko.passive.buff.buffeffect.04
eiko.passive.maindealer.buff.buffeffect</t>
  </si>
  <si>
    <t>eiko.passive.buff.buffeffect.05
eiko.passive.maindealer.buff.buffeffect</t>
  </si>
  <si>
    <t>eiko.passive.buff.buffeffect.06
eiko.passive.maindealer.buff.buffeffect</t>
  </si>
  <si>
    <t>eiko.passive.ex.event.skilleffect.buff.01</t>
  </si>
  <si>
    <t>crimson.active1.event.buff.01</t>
  </si>
  <si>
    <t>crimson.passive.ex.event.buff.01</t>
  </si>
  <si>
    <t>ferrel.ult.B.effect.buff.event.buffeffect.01</t>
  </si>
  <si>
    <t>ferrel.active1.single.dmgtaken.up.buff.01</t>
  </si>
  <si>
    <t>ferrel.passive.elec.buff.01</t>
  </si>
  <si>
    <t>ferrel.passive.elec.buff.buffeffect
ferrel.passive.elec.activedmgup.01
ferrel.passive.elec.ignoredef.01</t>
  </si>
  <si>
    <t>ferrel.passive.elec.buff.buffeffect
ferrel.passive.elec.activedmgup.02
ferrel.passive.elec.ignoredef.02</t>
  </si>
  <si>
    <t>ferrel.passive.elec.buff.buffeffect
ferrel.passive.elec.activedmgup.03
ferrel.passive.elec.ignoredef.03</t>
  </si>
  <si>
    <t>ferrel.passive.elec.buff.buffeffect
ferrel.passive.elec.activedmgup.04
ferrel.passive.elec.ignoredef.04</t>
  </si>
  <si>
    <t>ferrel.passive.elec.buff.buffeffect
ferrel.passive.elec.activedmgup.05
ferrel.passive.elec.ignoredef.05</t>
  </si>
  <si>
    <t>ferrel.passive.elec.buff.buffeffect
ferrel.passive.elec.activedmgup.06
ferrel.passive.elec.ignoredef.06</t>
  </si>
  <si>
    <t>ferrel.passive.ex.ally.buff.01</t>
  </si>
  <si>
    <t>ferrel.passive.ex.ally.buff.buffeffect.01</t>
  </si>
  <si>
    <t>ino.ult.B.pre.buff.event.buff.01</t>
  </si>
  <si>
    <t>ino.ult.B.skillchange
ino.ult.B.buff.buffeffect.01
ino.ult.B.pre.buff.buffeffect.01
ino.ult.B.speed.buff.buffeffect
ino.ult.B.modifier.buff.buffeffect.01</t>
  </si>
  <si>
    <t>ino.ult.B.skillchange
ino.ult.B.buff.buffeffect.02
ino.ult.B.pre.buff.buffeffect.02
ino.ult.B.speed.buff.buffeffect
ino.ult.B.modifier.buff.buffeffect.02</t>
  </si>
  <si>
    <t>ino.ult.B.skillchange
ino.ult.B.buff.buffeffect.03
ino.ult.B.pre.buff.buffeffect.03
ino.ult.B.speed.buff.buffeffect
ino.ult.B.modifier.buff.buffeffect.03</t>
  </si>
  <si>
    <t>ino.ult.B.skillchange
ino.ult.B.buff.buffeffect.04
ino.ult.B.pre.buff.buffeffect.04
ino.ult.B.speed.buff.buffeffect
ino.ult.B.modifier.buff.buffeffect.04</t>
  </si>
  <si>
    <t>ino.ult.B.skillchange
ino.ult.B.buff.buffeffect.05
ino.ult.B.pre.buff.buffeffect.05
ino.ult.B.speed.buff.buffeffect
ino.ult.B.modifier.buff.buffeffect.05</t>
  </si>
  <si>
    <t>ino.ult.B.skillchange
ino.ult.B.buff.buffeffect.06
ino.ult.B.pre.buff.buffeffect.06
ino.ult.B.speed.buff.buffeffect
ino.ult.B.modifier.buff.buffeffect.06</t>
  </si>
  <si>
    <t>ino.ult.B.skillchange
ino.ult.B.buff.buffeffect.07
ino.ult.B.pre.buff.buffeffect.07
ino.ult.B.speed.buff.buffeffect
ino.ult.B.modifier.buff.buffeffect.06</t>
  </si>
  <si>
    <t>ino.active1.evasiondown.buff.01</t>
  </si>
  <si>
    <t>ino.active1.evasiondown.buff.04</t>
  </si>
  <si>
    <t>ino.active2.singledmgdrdown.buff.01</t>
  </si>
  <si>
    <t>Reduce.SingleDamage.Down.01</t>
  </si>
  <si>
    <t>ino.passive.buff.buffeffect.01.01
ino.passive.buff.buffeffect.02.01</t>
  </si>
  <si>
    <t>ino.passive.buff.buffeffect.01.02
ino.passive.buff.buffeffect.02.02</t>
  </si>
  <si>
    <t>ino.passive.buff.buffeffect.01.03
ino.passive.buff.buffeffect.02.03</t>
  </si>
  <si>
    <t>ino.passive.buff.buffeffect.01.04
ino.passive.buff.buffeffect.02.04</t>
  </si>
  <si>
    <t>ino.passive.buff.buffeffect.01.05
ino.passive.buff.buffeffect.02.05</t>
  </si>
  <si>
    <t>ino.passive.buff.buffeffect.01.06
ino.passive.buff.buffeffect.02.06</t>
  </si>
  <si>
    <t>ino.passive.mark</t>
  </si>
  <si>
    <t>ino.passive.ex.buff.01</t>
  </si>
  <si>
    <t>ino.passive.ex.buff.buffeffect.01.01
ino.passive.ex.buff.buffeffect.02.01</t>
  </si>
  <si>
    <t>ino.passive.ex.buff.buffeffect.01.02
ino.passive.ex.buff.buffeffect.02.02</t>
  </si>
  <si>
    <t>ino.passive.ex.buff.buffeffect.01.03
ino.passive.ex.buff.buffeffect.02.03</t>
  </si>
  <si>
    <t>ino.passive.ex.buff.buffeffect.01.04
ino.passive.ex.buff.buffeffect.02.04</t>
  </si>
  <si>
    <t>ino.passive.ex.buff.buffeffect.01.05
ino.passive.ex.buff.buffeffect.02.05</t>
  </si>
  <si>
    <t>ino.passive.ex.buff.buffeffect.01.06
ino.passive.ex.buff.buffeffect.02.06</t>
  </si>
  <si>
    <t>ino.passive.ex.mark.01</t>
  </si>
  <si>
    <t>evasion.down.020
ino.passive.ex.mark</t>
  </si>
  <si>
    <t>evasion.down.022
ino.passive.ex.mark</t>
  </si>
  <si>
    <t>evasion.down.024
ino.passive.ex.mark</t>
  </si>
  <si>
    <t>evasion.down.026
ino.passive.ex.mark</t>
  </si>
  <si>
    <t>mana.active1.effect.event.buff.01</t>
  </si>
  <si>
    <t>mana.passive.buff.01</t>
  </si>
  <si>
    <t>mana.passive.criresistdown.buff.01</t>
  </si>
  <si>
    <t>mana.passive.criresistdown.buff.04</t>
  </si>
  <si>
    <t>ferrel.passive.buff.buffeffect.skilleffect.02</t>
  </si>
  <si>
    <t>ferrel.passive.buff.buffeffect.skilleffect.03</t>
  </si>
  <si>
    <t>ferrel.passive.buff.buffeffect.skilleffect.05</t>
  </si>
  <si>
    <t>ferrel.passive.buff.buffeffect.skilleffect.06</t>
  </si>
  <si>
    <t>archphase.stack&amp;10</t>
  </si>
  <si>
    <t>archphase.ult.skilleffect.modifier.01</t>
  </si>
  <si>
    <t>archphase.ult.B.ex.effect</t>
  </si>
  <si>
    <t>archphase.ex.effect</t>
  </si>
  <si>
    <t>archphase.ult.B.stack.buff.buffeffect</t>
  </si>
  <si>
    <t>archphase.active1.stack.bonus.01</t>
  </si>
  <si>
    <t>archphase.ult.B.buff.buffeffect</t>
  </si>
  <si>
    <t>archphase.stack.active2.buffeffect</t>
  </si>
  <si>
    <t>shery.passive.buff.buffeffect.skilleffect.01</t>
  </si>
  <si>
    <t>shery.passive.buff.buffeffect.skilleffect.04</t>
  </si>
  <si>
    <t>shery.ult.criup</t>
  </si>
  <si>
    <t>patricia.ult.pre.buff.burn.skilleffect</t>
  </si>
  <si>
    <t>patricia.ult.pre.buff.frost.skilleffect</t>
  </si>
  <si>
    <t>patricia.ult.pre.buff.poison.skilleffect</t>
  </si>
  <si>
    <t>patricia.ult.pre.buff.electric.skilleffect</t>
  </si>
  <si>
    <t>patricia.ult.pre.buff.bleed.skilleffect</t>
  </si>
  <si>
    <t>patricia.ult.B.movement.slow.buffeffect.01</t>
  </si>
  <si>
    <t>patricia.active2.changeskill</t>
  </si>
  <si>
    <t>patricia.passive.buff.buffeffect.01</t>
  </si>
  <si>
    <t>patricia.passive.frost.electric.skilleffect.01</t>
  </si>
  <si>
    <t>patricia.passive.frost.burn.buffeffect.01</t>
  </si>
  <si>
    <t>patricia.passive.frost.burn.skilleffect.01</t>
  </si>
  <si>
    <t>patricia.passive.ex.buff.skilleffect.01</t>
  </si>
  <si>
    <t>renas.ult.attack.modifier.buffeffect.01.01</t>
  </si>
  <si>
    <t>renas.ult.B.attack.modifier.01.01</t>
  </si>
  <si>
    <t>renas.ult.attack.modifier.buffeffect.02.01</t>
  </si>
  <si>
    <t>renas.ult.B.attack.modifier.02.01</t>
  </si>
  <si>
    <t>renas.passive.battle.start.01</t>
  </si>
  <si>
    <t>renas.ult.attack.modifier.01</t>
  </si>
  <si>
    <t>leila.active1.effect.slow.event.buff.buffeffect</t>
  </si>
  <si>
    <t>leila.passive.bonus.buffeffect.01</t>
  </si>
  <si>
    <t>leila.passive.bonus.buffeffect.04</t>
  </si>
  <si>
    <t>leila.passive.ex.buffeffect.01.01</t>
  </si>
  <si>
    <t>EnemyDie</t>
  </si>
  <si>
    <t>leila.passive.ex.buff.skilleffect.01.01</t>
  </si>
  <si>
    <t>leila.passive.ex.buffeffect.02.01</t>
  </si>
  <si>
    <t>leila.passive.ex.buff.skilleffect.02.01</t>
  </si>
  <si>
    <t>leila.trigger</t>
  </si>
  <si>
    <t>leila.trigger.skilleffect</t>
  </si>
  <si>
    <t>eiko.passive.buff.buffeffect.01</t>
  </si>
  <si>
    <t>eiko.passive.maindealer.buff.buffeffect</t>
  </si>
  <si>
    <t>eiko.passive.maindealer.skilleffect</t>
  </si>
  <si>
    <t>ferrel.passive.buff.buffeffect.skilleffect.01</t>
  </si>
  <si>
    <t>ferrel.passive.buff.buffeffect.skilleffect.04</t>
  </si>
  <si>
    <t>ferrel.passive.elec.activedmgup.01</t>
  </si>
  <si>
    <t>ferrel.passive.elec.ignoredef.01</t>
  </si>
  <si>
    <t>ferrel.passive.ex.buff.buffeffect.skilleffect.01</t>
  </si>
  <si>
    <t>ino.ult.B.speed.buff.buffeffect</t>
  </si>
  <si>
    <t>ino.ult.B.pre.buff.buffeffect.skilleffect.01</t>
  </si>
  <si>
    <t>ino.ult.B.buff.buffeffect.01</t>
  </si>
  <si>
    <t>ino.ult.B.skilleffect.modifier.01</t>
  </si>
  <si>
    <t>ino.passive.buff.buffeffect.01.01</t>
  </si>
  <si>
    <t>ino.passive.buff.buffeffect.skilleffect.01.01</t>
  </si>
  <si>
    <t>ino.passive.buff.buffeffect.02.01</t>
  </si>
  <si>
    <t>ino.passive.buff.buffeffect.skilleffect.02.01</t>
  </si>
  <si>
    <t>ino.passive.ex.buff.buffeffect.01.01</t>
  </si>
  <si>
    <t>ino.passive.ex.buff.buffeffect.skilleffect.01.01</t>
  </si>
  <si>
    <t>ino.passive.ex.buff.buffeffect.02.01</t>
  </si>
  <si>
    <t>ino.passive.ex.buff.buffeffect.skilleffect.02.01</t>
  </si>
  <si>
    <t>mana.passive.buff.buffeffect.skilleffect.01</t>
  </si>
  <si>
    <t>shale.passive.ex.buff.buffeffect.02</t>
  </si>
  <si>
    <t>shale.passive.ex.buff.buffeffect.03</t>
  </si>
  <si>
    <t>shale.passive.ex.buff.buffeffect.04</t>
  </si>
  <si>
    <t>shale.passive.ex.buff.buffeffect.05</t>
  </si>
  <si>
    <t>shale.passive.ex.buff.buffeffect.06</t>
  </si>
  <si>
    <t>hellen.aroma.trigger</t>
  </si>
  <si>
    <t>hellen.passive.ex.aroma.buff</t>
  </si>
  <si>
    <t>hellen.passive.ex.buff.buffeffect.01
hellen.passive.ex.buff.buffeffect.02
hellen.passive.ex.buff.buffeffect.03
hellen.passive.ex.buff.buffeffect.04
hellen.passive.ex.buff.buffeffect.05
hellen.passive.ex.buff.buffeffect.06</t>
  </si>
  <si>
    <t>yurizia.ult.buff.01</t>
  </si>
  <si>
    <t>ccimmune
yurizia.ult.buff.buffeffect.01.01</t>
  </si>
  <si>
    <t>Effect/Prefab/01.Character/45_yurizia/EFF_yurizia_ult_shield</t>
  </si>
  <si>
    <t>Desc.info.yurizia.buff.8bitegloo</t>
  </si>
  <si>
    <t>yurizia.ult.B.buff.01</t>
  </si>
  <si>
    <t>Effect/Prefab/01.Character/45_yurizia/EFF_yurizia_ult02_icon_1</t>
  </si>
  <si>
    <t>Desc.info.yurizia.buff.energydrink</t>
  </si>
  <si>
    <t>yurizia.ult.B.buff.01.01</t>
  </si>
  <si>
    <t/>
  </si>
  <si>
    <t>yurizia.ult.B.buff.02</t>
  </si>
  <si>
    <t>yurizia.ult.B.buff.02.01</t>
  </si>
  <si>
    <t>yurizia.ult.B.buff.03</t>
  </si>
  <si>
    <t>yurizia.ult.B.buff.03.01</t>
  </si>
  <si>
    <t>yurizia.passive.position.buff.01</t>
  </si>
  <si>
    <t>yurizia.passive.position.buff.buffeffect.01
yurizia.passive.position.buff.buffeffect.02
yurizia.passive.position.buff.buffeffect.03</t>
  </si>
  <si>
    <t>yurizia.passive.buff.01</t>
  </si>
  <si>
    <t>yurizia.passive.buff.buffeffect.01</t>
  </si>
  <si>
    <t>yurizia.passive.consume.buff.buffeffect.01.01
yurizia.passive.consume.buff.buffeffect.02.01</t>
  </si>
  <si>
    <t>yurizia.passive.consume.buff.buffeffect.01.02
yurizia.passive.consume.buff.buffeffect.02.02</t>
  </si>
  <si>
    <t>yurizia.passive.consume.buff.buffeffect.01.03
yurizia.passive.consume.buff.buffeffect.02.03</t>
  </si>
  <si>
    <t>yurizia.passive.consume.buff.buffeffect.01.04
yurizia.passive.consume.buff.buffeffect.02.04</t>
  </si>
  <si>
    <t>yurizia.passive.consume.buff.buffeffect.01.05
yurizia.passive.consume.buff.buffeffect.02.05</t>
  </si>
  <si>
    <t>yurizia.passive.consume.buff.buffeffect.01.06
yurizia.passive.consume.buff.buffeffect.02.06</t>
  </si>
  <si>
    <t>yurizia.passive.ex.buff.01.01</t>
  </si>
  <si>
    <t>yurizia.passive.ex.buff.02.01</t>
  </si>
  <si>
    <t>yurizia.passive.ult.recharge.buff.buffeffect.01</t>
  </si>
  <si>
    <t>shale.ult.pre.buff.01</t>
  </si>
  <si>
    <t>shale.passive.skill1.event.01
shale.passive.skill2.event.01</t>
  </si>
  <si>
    <t>shale.passive.skill1.event.02
shale.passive.skill2.event.02</t>
  </si>
  <si>
    <t>shale.passive.skill1.event.03
shale.passive.skill2.event.03</t>
  </si>
  <si>
    <t>shale.passive.skill1.event.04
shale.passive.skill2.event.04</t>
  </si>
  <si>
    <t>shale.passive.skill1.event.05
shale.passive.skill2.event.05</t>
  </si>
  <si>
    <t>shale.passive.skill1.event.06
shale.passive.skill2.event.06</t>
  </si>
  <si>
    <t>shale.passive.bookmark.01</t>
  </si>
  <si>
    <t>shale.bookmark.atkup.01
shale.bookmark</t>
  </si>
  <si>
    <t>shale.passive.bookmark.02</t>
  </si>
  <si>
    <t>shale.bookmark.atkup.02
shale.bookmark</t>
  </si>
  <si>
    <t>shale.bookmark.atkup.03
shale.bookmark</t>
  </si>
  <si>
    <t>shale.bookmark.atkup.04
shale.bookmark</t>
  </si>
  <si>
    <t>shale.bookmark.atkup.05
shale.bookmark</t>
  </si>
  <si>
    <t>shale.bookmark.atkup.06
shale.bookmark</t>
  </si>
  <si>
    <t>shale.passive.ex.buff.01</t>
  </si>
  <si>
    <t>shale.passive.ex.buff.buffeffect.01</t>
  </si>
  <si>
    <t>shale.passive.ex.bookmark.buff.01</t>
  </si>
  <si>
    <t>rayhou.ult.hot.buff.04</t>
  </si>
  <si>
    <t>Buff.Desc.Airborne</t>
  </si>
  <si>
    <t>rayhou.passive.shield.01</t>
  </si>
  <si>
    <t>rayhou.passive.shield.04</t>
  </si>
  <si>
    <t>rayhou.passive.shield.trigger.buff.01</t>
  </si>
  <si>
    <t>rayhou.passive.shield.buff.01</t>
  </si>
  <si>
    <t>Effect/Prefab/10_buff/EFF_buff_op_resurrection</t>
  </si>
  <si>
    <t>hellen.ult.B.changeskill
hellen.ult.B.changeskill.cost.01
hellen.ult.B.buffeffect.01</t>
  </si>
  <si>
    <t>hellen.ult.B.changeskill
hellen.ult.B.changeskill.cost.02
hellen.ult.B.buffeffect.02</t>
  </si>
  <si>
    <t>hellen.ult.B.changeskill
hellen.ult.B.changeskill.cost.03
hellen.ult.B.buffeffect.03</t>
  </si>
  <si>
    <t>hellen.ult.B.changeskill
hellen.ult.B.changeskill.cost.04
hellen.ult.B.buffeffect.04</t>
  </si>
  <si>
    <t>hellen.ult.B.changeskill
hellen.ult.B.changeskill.cost.05
hellen.ult.B.buffeffect.05</t>
  </si>
  <si>
    <t>hellen.ult.B.changeskill
hellen.ult.B.changeskill.cost.06
hellen.ult.B.buffeffect.06</t>
  </si>
  <si>
    <t>hellen.ult.B.changeskill
hellen.ult.B.changeskill.cost.07
hellen.ult.B.buffeffect.07</t>
  </si>
  <si>
    <t>hellen.active1.effect.event.buff.buffeffect.04</t>
  </si>
  <si>
    <t>hellen.passive.aroma.buff.01</t>
  </si>
  <si>
    <t>hellen.passive.aroma
hellen.passive.aroma.buff.buffeffect.01</t>
  </si>
  <si>
    <t>hellen.passive.aroma
hellen.passive.aroma.buff.buffeffect.02</t>
  </si>
  <si>
    <t>hellen.passive.aroma
hellen.passive.aroma.buff.buffeffect.03</t>
  </si>
  <si>
    <t>hellen.passive.aroma.buff.04</t>
  </si>
  <si>
    <t>hellen.passive.aroma
hellen.passive.aroma.buff.buffeffect.04</t>
  </si>
  <si>
    <t>hellen.passive.aroma
hellen.passive.aroma.buff.buffeffect.05</t>
  </si>
  <si>
    <t>hellen.passive.aroma
hellen.passive.aroma.buff.buffeffect.06</t>
  </si>
  <si>
    <t>hallona.ult.attackspeed.buff.04</t>
  </si>
  <si>
    <t>hallona.ult.attackspeed.buff.07</t>
  </si>
  <si>
    <t>hallona.ult.effect.event.hot.buff.01</t>
  </si>
  <si>
    <t>hallona.ult.effect.event.hot.buff.buffeffect.01</t>
  </si>
  <si>
    <t>elina.ult.pre.buff</t>
  </si>
  <si>
    <t>elina.ult.B.effect.buff.01.01</t>
  </si>
  <si>
    <t>elina.ult.B.effect.buff.02.01</t>
  </si>
  <si>
    <t>elina.active2.defdown.buff.01</t>
  </si>
  <si>
    <t>elina.active2.defdown.buff.02</t>
  </si>
  <si>
    <t>elina.active2.defdown.buff.03</t>
  </si>
  <si>
    <t>elina.active2.defdown.buff.04</t>
  </si>
  <si>
    <t>elina.passive.effect</t>
  </si>
  <si>
    <t>elina.passive.effect.buff</t>
  </si>
  <si>
    <t>Effect/Prefab/10_buff/EFF_buff_elina_passive</t>
  </si>
  <si>
    <t>siege.ult.shield.buff.01</t>
  </si>
  <si>
    <t>siege.ult.shield.buff.buffeffect.01</t>
  </si>
  <si>
    <t>siege.passive.buff.01</t>
  </si>
  <si>
    <t>siege.passive.buff.04</t>
  </si>
  <si>
    <t>shale.bookmark</t>
  </si>
  <si>
    <t>hellen.passive.aroma</t>
  </si>
  <si>
    <t>yurizia.ult.buff.buffeffect.01.01</t>
  </si>
  <si>
    <t>Front</t>
  </si>
  <si>
    <t>yurizia.passive.position.skilleffect.01</t>
  </si>
  <si>
    <t>Back</t>
  </si>
  <si>
    <t>yurizia.passive.consume.buff.buffeffect.01.01</t>
  </si>
  <si>
    <t>yurizia.passive.consume.buff.buffeffect.02.01</t>
  </si>
  <si>
    <t>shale.passive.skill1.event.01</t>
  </si>
  <si>
    <t>shale.passive.skill1.event.04</t>
  </si>
  <si>
    <t>shale.bookmark.atkup.01</t>
  </si>
  <si>
    <t>rayhou.passive.shield.trigger.skilleffect.01</t>
  </si>
  <si>
    <t>rayhou.passive.shield.trigger.skilleffect.04</t>
  </si>
  <si>
    <t>hellen.ult.B.changeskill.cost.01</t>
  </si>
  <si>
    <t>hellen.ult.B.changeskill.cost.skilleffect.01</t>
  </si>
  <si>
    <t>hellen.ult.B.modifier.01</t>
  </si>
  <si>
    <t>hellen.passive.ex.buff.buffeffect.01</t>
  </si>
  <si>
    <t>elina.passive.effect.buffeffect.skilleffect</t>
  </si>
  <si>
    <t>info.itus.buff.ult</t>
    <phoneticPr fontId="3" type="noConversion"/>
  </si>
  <si>
    <t>info.taunt</t>
    <phoneticPr fontId="3" type="noConversion"/>
  </si>
  <si>
    <t>info.shield</t>
    <phoneticPr fontId="3" type="noConversion"/>
  </si>
  <si>
    <t>info.shield</t>
    <phoneticPr fontId="3" type="noConversion"/>
  </si>
  <si>
    <t>itus.active1.shield.buff.02.01</t>
    <phoneticPr fontId="3" type="noConversion"/>
  </si>
  <si>
    <t>itus.active1.shield.buff.02.02</t>
  </si>
  <si>
    <t>itus.active1.shield.buff.02.03</t>
  </si>
  <si>
    <t>itus.active1.shield.buff.02.04</t>
  </si>
  <si>
    <t>itus.active1.shield.buff.02.05</t>
  </si>
  <si>
    <t>itus.active1.shield.buff.02.06</t>
  </si>
  <si>
    <t>itus.active1.shield.buff.buffeffect.02.01</t>
    <phoneticPr fontId="3" type="noConversion"/>
  </si>
  <si>
    <t>itus.active1.shield.buff.buffeffect.02.02</t>
  </si>
  <si>
    <t>itus.active1.shield.buff.buffeffect.02.03</t>
  </si>
  <si>
    <t>itus.active1.shield.buff.buffeffect.02.04</t>
  </si>
  <si>
    <t>itus.active1.shield.buff.buffeffect.02.05</t>
  </si>
  <si>
    <t>itus.active1.shield.buff.buffeffect.02.06</t>
  </si>
  <si>
    <t>itus.passive.ex.allynself.buff.buffeffect.01.01
itus.passive.ex.allynself.buff.buffeffect.02.01
itus.passive.ex.allynself.buff.buffeffect.03.01</t>
    <phoneticPr fontId="3" type="noConversion"/>
  </si>
  <si>
    <t>itus.passive.ex.allynself.buff.buffeffect.01.02
itus.passive.ex.allynself.buff.buffeffect.02.02
itus.passive.ex.allynself.buff.buffeffect.03.02</t>
    <phoneticPr fontId="3" type="noConversion"/>
  </si>
  <si>
    <t>itus.passive.ex.allynself.buff.buffeffect.01.03
itus.passive.ex.allynself.buff.buffeffect.02.03
itus.passive.ex.allynself.buff.buffeffect.03.03</t>
    <phoneticPr fontId="3" type="noConversion"/>
  </si>
  <si>
    <t>itus.passive.ex.allynself.buff.buffeffect.01.04
itus.passive.ex.allynself.buff.buffeffect.02.04
itus.passive.ex.allynself.buff.buffeffect.03.04</t>
    <phoneticPr fontId="3" type="noConversion"/>
  </si>
  <si>
    <t>itus.passive.ex.allynself.buff.buffeffect.01.05
itus.passive.ex.allynself.buff.buffeffect.02.05
itus.passive.ex.allynself.buff.buffeffect.03.05</t>
    <phoneticPr fontId="3" type="noConversion"/>
  </si>
  <si>
    <t>itus.passive.ex.allynself.buff.buffeffect.01.06
itus.passive.ex.allynself.buff.buffeffect.02.06
itus.passive.ex.allynself.buff.buffeffect.03.06</t>
    <phoneticPr fontId="3" type="noConversion"/>
  </si>
  <si>
    <t>itus.passive.ex.allynself.buff.buffeffect.03.01</t>
    <phoneticPr fontId="3" type="noConversion"/>
  </si>
  <si>
    <t>itus.passive.ex.allynself.buff.buffeffect.03.02</t>
  </si>
  <si>
    <t>itus.passive.ex.allynself.buff.buffeffect.03.03</t>
  </si>
  <si>
    <t>itus.passive.ex.allynself.buff.buffeffect.03.04</t>
  </si>
  <si>
    <t>itus.passive.ex.allynself.buff.buffeffect.03.05</t>
  </si>
  <si>
    <t>itus.passive.ex.allynself.buff.buffeffect.03.06</t>
  </si>
  <si>
    <t>AttributeType</t>
    <phoneticPr fontId="3" type="noConversion"/>
  </si>
  <si>
    <t>AttributeBlue</t>
    <phoneticPr fontId="3" type="noConversion"/>
  </si>
  <si>
    <t>DefenseRatio</t>
    <phoneticPr fontId="3" type="noConversion"/>
  </si>
  <si>
    <t>MeleeDamage.Down.03</t>
    <phoneticPr fontId="3" type="noConversion"/>
  </si>
  <si>
    <t>itus.ult.B.shield.buff.01.01</t>
    <phoneticPr fontId="3" type="noConversion"/>
  </si>
  <si>
    <t>itus.ult.B.shield.buff.01.02</t>
  </si>
  <si>
    <t>itus.ult.B.shield.buff.01.03</t>
  </si>
  <si>
    <t>itus.ult.B.shield.buff.01.04</t>
  </si>
  <si>
    <t>itus.ult.B.shield.buff.01.05</t>
  </si>
  <si>
    <t>itus.ult.B.shield.buff.01.06</t>
  </si>
  <si>
    <t>itus.ult.B.shield.buff.01.07</t>
  </si>
  <si>
    <t>itus.ult.B.shield.buff.buffeffect.01.01</t>
    <phoneticPr fontId="3" type="noConversion"/>
  </si>
  <si>
    <t>itus.ult.B.shield.buff.buffeffect.01.02</t>
  </si>
  <si>
    <t>itus.ult.B.shield.buff.buffeffect.01.03</t>
  </si>
  <si>
    <t>itus.ult.B.shield.buff.buffeffect.01.04</t>
  </si>
  <si>
    <t>itus.ult.B.shield.buff.buffeffect.01.05</t>
  </si>
  <si>
    <t>itus.ult.B.shield.buff.buffeffect.01.06</t>
  </si>
  <si>
    <t>itus.ult.B.shield.buff.buffeffect.01.07</t>
  </si>
  <si>
    <t>itus.ult.B.shield.buff.buffeffect.01.01</t>
    <phoneticPr fontId="3" type="noConversion"/>
  </si>
  <si>
    <t>RechargeRate.Up.04</t>
    <phoneticPr fontId="3" type="noConversion"/>
  </si>
  <si>
    <t>RechargeRate.Up.05</t>
    <phoneticPr fontId="3" type="noConversion"/>
  </si>
  <si>
    <t>Def.Down.04</t>
    <phoneticPr fontId="3" type="noConversion"/>
  </si>
  <si>
    <t>Def.Down.05</t>
    <phoneticPr fontId="3" type="noConversion"/>
  </si>
  <si>
    <t>Active</t>
    <phoneticPr fontId="3" type="noConversion"/>
  </si>
  <si>
    <t>elina.passive.ex.buff.skilleffect.01</t>
    <phoneticPr fontId="3" type="noConversion"/>
  </si>
  <si>
    <t>elina.passive.ex.buff.skilleffect.02</t>
  </si>
  <si>
    <t>elina.passive.ex.buff.skilleffect.03</t>
  </si>
  <si>
    <t>elina.passive.ex.buff.skilleffect.04</t>
  </si>
  <si>
    <t>elina.passive.ex.buff.skilleffect.05</t>
  </si>
  <si>
    <t>elina.passive.ex.buff.skilleffect.06</t>
  </si>
  <si>
    <t>AtkSpeed.Up.02</t>
    <phoneticPr fontId="3" type="noConversion"/>
  </si>
  <si>
    <t>AtkSpeed.Up.03</t>
    <phoneticPr fontId="3" type="noConversion"/>
  </si>
  <si>
    <t>AtkSpeed.Up.04</t>
    <phoneticPr fontId="3" type="noConversion"/>
  </si>
  <si>
    <t>AtkSpeed.Up.05</t>
    <phoneticPr fontId="3" type="noConversion"/>
  </si>
  <si>
    <t>angelica.passive.ex.buff.01.01&amp;3</t>
    <phoneticPr fontId="3" type="noConversion"/>
  </si>
  <si>
    <t>angelica.passive.ex.buff.01.02&amp;3</t>
    <phoneticPr fontId="3" type="noConversion"/>
  </si>
  <si>
    <t>angelica.passive.ex.buff.01.03&amp;3</t>
    <phoneticPr fontId="3" type="noConversion"/>
  </si>
  <si>
    <t>angelica.passive.ex.buff.01.04&amp;3</t>
    <phoneticPr fontId="3" type="noConversion"/>
  </si>
  <si>
    <t>angelica.passive.ex.buff.01.05&amp;3</t>
    <phoneticPr fontId="3" type="noConversion"/>
  </si>
  <si>
    <t>angelica.passive.ex.buff.01.06&amp;3</t>
    <phoneticPr fontId="3" type="noConversion"/>
  </si>
  <si>
    <t>sia.ult.pre.buff</t>
    <phoneticPr fontId="3" type="noConversion"/>
  </si>
  <si>
    <t>sia.ult.pre.buff.buffeffect</t>
  </si>
  <si>
    <t>Status</t>
    <phoneticPr fontId="3" type="noConversion"/>
  </si>
  <si>
    <t>CriticalRate</t>
    <phoneticPr fontId="3" type="noConversion"/>
  </si>
  <si>
    <t>sia.ult.B.hp.cost</t>
  </si>
  <si>
    <t>sia.ult.B.hp.cost.buffeffect</t>
  </si>
  <si>
    <t>sia.ult.B.hp.cost.buffeffect</t>
    <phoneticPr fontId="3" type="noConversion"/>
  </si>
  <si>
    <t>Active</t>
    <phoneticPr fontId="3" type="noConversion"/>
  </si>
  <si>
    <t>sia.ult.B.hp.cost.buffeffect.skilleffect</t>
  </si>
  <si>
    <t>sia.passive.ex.buff.01</t>
    <phoneticPr fontId="3" type="noConversion"/>
  </si>
  <si>
    <t>sia.passive.ex.buff.02</t>
  </si>
  <si>
    <t>sia.passive.ex.buff.03</t>
  </si>
  <si>
    <t>sia.passive.ex.buff.04</t>
  </si>
  <si>
    <t>sia.passive.ex.buff.05</t>
  </si>
  <si>
    <t>sia.passive.ex.buff.06</t>
  </si>
  <si>
    <t>sia.ult.B.post.buff.01</t>
    <phoneticPr fontId="3" type="noConversion"/>
  </si>
  <si>
    <t>sia.ult.B.post.buff.02</t>
  </si>
  <si>
    <t>sia.ult.B.post.buff.03</t>
  </si>
  <si>
    <t>sia.ult.B.post.buff.05</t>
  </si>
  <si>
    <t>sia.ult.B.post.buff.06</t>
  </si>
  <si>
    <t>sia.ult.B.post.buff.buffeffect.01</t>
    <phoneticPr fontId="3" type="noConversion"/>
  </si>
  <si>
    <t>sia.ult.B.post.buff.buffeffect.02</t>
  </si>
  <si>
    <t>sia.ult.B.post.buff.buffeffect.03</t>
  </si>
  <si>
    <t>sia.ult.B.post.buff.buffeffect.04</t>
  </si>
  <si>
    <t>sia.ult.B.post.buff.buffeffect.05</t>
  </si>
  <si>
    <t>sia.ult.B.post.buff.buffeffect.06</t>
  </si>
  <si>
    <t>sia.ult.B.event.effect.01.02</t>
  </si>
  <si>
    <t>sia.ult.B.event.effect.01.03</t>
  </si>
  <si>
    <t>sia.ult.B.event.effect.01.04</t>
  </si>
  <si>
    <t>sia.ult.B.event.effect.01.05</t>
  </si>
  <si>
    <t>sia.ult.B.event.effect.01.06</t>
  </si>
  <si>
    <t>sia.ult.B.event.effect.01.07</t>
  </si>
  <si>
    <t>sia.ult.B.post.buff.buffeffect.07</t>
  </si>
  <si>
    <t>sia.ult.B.post.buff.07</t>
  </si>
  <si>
    <t>sia.ult.B.event.effect.01.01</t>
  </si>
  <si>
    <t>sia.passive.buff.buffeffect.01.02</t>
  </si>
  <si>
    <t>sia.passive.buff.buffeffect.01.03</t>
  </si>
  <si>
    <t>sia.passive.buff.buffeffect.01.04</t>
  </si>
  <si>
    <t>sia.passive.buff.buffeffect.01.05</t>
  </si>
  <si>
    <t>sia.passive.buff.buffeffect.01.06</t>
  </si>
  <si>
    <t>sia.passive.buff.buffeffect.01.01
sia.passive.buff.buffeffect.02.01</t>
    <phoneticPr fontId="3" type="noConversion"/>
  </si>
  <si>
    <t>sia.passive.buff.buffeffect.01.02
sia.passive.buff.buffeffect.02.02</t>
    <phoneticPr fontId="3" type="noConversion"/>
  </si>
  <si>
    <t>sia.passive.buff.buffeffect.01.03
sia.passive.buff.buffeffect.02.03</t>
    <phoneticPr fontId="3" type="noConversion"/>
  </si>
  <si>
    <t>sia.passive.buff.buffeffect.01.04
sia.passive.buff.buffeffect.02.04</t>
    <phoneticPr fontId="3" type="noConversion"/>
  </si>
  <si>
    <t>sia.passive.buff.buffeffect.01.05
sia.passive.buff.buffeffect.02.05</t>
    <phoneticPr fontId="3" type="noConversion"/>
  </si>
  <si>
    <t>sia.passive.buff.buffeffect.01.06
sia.passive.buff.buffeffect.02.06</t>
    <phoneticPr fontId="3" type="noConversion"/>
  </si>
  <si>
    <t>sia.passive.buff.buffeffect.01.01</t>
    <phoneticPr fontId="3" type="noConversion"/>
  </si>
  <si>
    <t>DamageDerate</t>
    <phoneticPr fontId="3" type="noConversion"/>
  </si>
  <si>
    <t>sia.passive.buff.buffeffect.02.01</t>
    <phoneticPr fontId="3" type="noConversion"/>
  </si>
  <si>
    <t>sia.passive.buff.buffeffect.02.02</t>
  </si>
  <si>
    <t>sia.passive.buff.buffeffect.02.03</t>
  </si>
  <si>
    <t>sia.passive.buff.buffeffect.02.04</t>
  </si>
  <si>
    <t>sia.passive.buff.buffeffect.02.05</t>
  </si>
  <si>
    <t>sia.passive.buff.buffeffect.02.06</t>
  </si>
  <si>
    <t>Event</t>
    <phoneticPr fontId="3" type="noConversion"/>
  </si>
  <si>
    <t>UseSkill</t>
    <phoneticPr fontId="3" type="noConversion"/>
  </si>
  <si>
    <t>sia.passive.buff.buffeffect.skilleffect.02.02</t>
  </si>
  <si>
    <t>sia.passive.buff.buffeffect.skilleffect.02.03</t>
  </si>
  <si>
    <t>sia.passive.buff.buffeffect.skilleffect.02.04</t>
  </si>
  <si>
    <t>sia.passive.buff.buffeffect.skilleffect.02.05</t>
  </si>
  <si>
    <t>sia.passive.buff.buffeffect.skilleffect.02.06</t>
  </si>
  <si>
    <t>sia.passive.self.buff.01</t>
    <phoneticPr fontId="3" type="noConversion"/>
  </si>
  <si>
    <t>sia.passive.self.buff.02</t>
  </si>
  <si>
    <t>sia.passive.self.buff.03</t>
  </si>
  <si>
    <t>sia.passive.self.buff.04</t>
  </si>
  <si>
    <t>sia.passive.self.buff.05</t>
  </si>
  <si>
    <t>sia.passive.self.buff.06</t>
  </si>
  <si>
    <t>sia.passive.self.buff.buffeffect.01</t>
  </si>
  <si>
    <t>sia.passive.self.buff.buffeffect.02</t>
  </si>
  <si>
    <t>sia.passive.self.buff.buffeffect.03</t>
  </si>
  <si>
    <t>sia.passive.self.buff.buffeffect.04</t>
  </si>
  <si>
    <t>sia.passive.self.buff.buffeffect.05</t>
  </si>
  <si>
    <t>sia.passive.self.buff.buffeffect.06</t>
  </si>
  <si>
    <t>damageimmune</t>
    <phoneticPr fontId="3" type="noConversion"/>
  </si>
  <si>
    <t>sia.passive.self.buff.trigger
sia.passive.self.buff.buffeffect.02</t>
    <phoneticPr fontId="3" type="noConversion"/>
  </si>
  <si>
    <t>sia.passive.self.buff.trigger
sia.passive.self.buff.buffeffect.03</t>
    <phoneticPr fontId="3" type="noConversion"/>
  </si>
  <si>
    <t>sia.passive.self.buff.trigger
sia.passive.self.buff.buffeffect.04</t>
    <phoneticPr fontId="3" type="noConversion"/>
  </si>
  <si>
    <t>sia.passive.self.buff.trigger
sia.passive.self.buff.buffeffect.05</t>
    <phoneticPr fontId="3" type="noConversion"/>
  </si>
  <si>
    <t>sia.passive.self.buff.trigger
sia.passive.self.buff.buffeffect.06</t>
    <phoneticPr fontId="3" type="noConversion"/>
  </si>
  <si>
    <t>BuffEffect</t>
    <phoneticPr fontId="3" type="noConversion"/>
  </si>
  <si>
    <t>sia.passive.self.buff.trigger</t>
  </si>
  <si>
    <t>sia.passive.self.buff.trigger&amp;2</t>
    <phoneticPr fontId="3" type="noConversion"/>
  </si>
  <si>
    <t>sia.passive.self.buff.trigger&amp;3</t>
    <phoneticPr fontId="3" type="noConversion"/>
  </si>
  <si>
    <t>sia.passive.self.buff.trigger&amp;4</t>
    <phoneticPr fontId="3" type="noConversion"/>
  </si>
  <si>
    <t>None</t>
    <phoneticPr fontId="3" type="noConversion"/>
  </si>
  <si>
    <t>sia.passive.self.buff.trigger
sia.passive.self.buff.buffeffect.01</t>
    <phoneticPr fontId="3" type="noConversion"/>
  </si>
  <si>
    <t>sia.active2.pre.buff.01</t>
  </si>
  <si>
    <t>sia.active2.pre.buff.02</t>
  </si>
  <si>
    <t>sia.active2.pre.buff.03</t>
  </si>
  <si>
    <t>sia.active2.pre.buff.04</t>
  </si>
  <si>
    <t>sia.active2.pre.buff.05</t>
  </si>
  <si>
    <t>sia.active2.damage.barrier.buffeffect</t>
    <phoneticPr fontId="3" type="noConversion"/>
  </si>
  <si>
    <t>Active</t>
    <phoneticPr fontId="3" type="noConversion"/>
  </si>
  <si>
    <t>sia.active2.damage.barrier.skilleffect</t>
    <phoneticPr fontId="3" type="noConversion"/>
  </si>
  <si>
    <t>sia.active2.damage.barrier</t>
  </si>
  <si>
    <t>sia.active2.damage.barrier.buff.buffeffect</t>
  </si>
  <si>
    <t>sia.active2.damage.barrier.buff.buffeffect</t>
    <phoneticPr fontId="3" type="noConversion"/>
  </si>
  <si>
    <t>sia.passive.self.buff.trigger&amp;1</t>
    <phoneticPr fontId="3" type="noConversion"/>
  </si>
  <si>
    <t>Active</t>
    <phoneticPr fontId="3" type="noConversion"/>
  </si>
  <si>
    <t>sia.passive.buff.buffeffect.skilleffect.02.01</t>
    <phoneticPr fontId="3" type="noConversion"/>
  </si>
  <si>
    <t>sia.passive.buff.buffeffect.skilleffect.01.01</t>
    <phoneticPr fontId="3" type="noConversion"/>
  </si>
  <si>
    <t>sia.passive.buff.buffeffect.skilleffect.01.02</t>
  </si>
  <si>
    <t>sia.passive.buff.buffeffect.skilleffect.01.03</t>
  </si>
  <si>
    <t>sia.passive.buff.buffeffect.skilleffect.01.04</t>
  </si>
  <si>
    <t>sia.passive.buff.buffeffect.skilleffect.01.05</t>
  </si>
  <si>
    <t>sia.passive.buff.buffeffect.skilleffect.01.06</t>
  </si>
  <si>
    <t>sia.passive.self.buff.trigger&amp;1</t>
  </si>
  <si>
    <t>sia.passive.ex.buff.buffeffect.02.01.01
sia.passive.ex.buff.buffeffect.02.01.02
sia.passive.ex.buff.buffeffect.02.01.03
sia.passive.ex.buff.buffeffect.02.01.04
sia.passive.ex.buff.buffeffect.02.01.05
sia.passive.ex.buff.buffeffect.02.02.01
sia.passive.ex.buff.buffeffect.02.02.02
sia.passive.ex.buff.buffeffect.02.02.03
sia.passive.ex.buff.buffeffect.02.02.04
sia.passive.ex.buff.buffeffect.02.02.05</t>
  </si>
  <si>
    <t>sia.passive.ex.buff.buffeffect.03.01.01
sia.passive.ex.buff.buffeffect.03.01.02
sia.passive.ex.buff.buffeffect.03.01.03
sia.passive.ex.buff.buffeffect.03.01.04
sia.passive.ex.buff.buffeffect.03.01.05
sia.passive.ex.buff.buffeffect.03.02.01
sia.passive.ex.buff.buffeffect.03.02.02
sia.passive.ex.buff.buffeffect.03.02.03
sia.passive.ex.buff.buffeffect.03.02.04
sia.passive.ex.buff.buffeffect.03.02.05</t>
  </si>
  <si>
    <t>sia.passive.ex.buff.buffeffect.04.01.01
sia.passive.ex.buff.buffeffect.04.01.02
sia.passive.ex.buff.buffeffect.04.01.03
sia.passive.ex.buff.buffeffect.04.01.04
sia.passive.ex.buff.buffeffect.04.01.05
sia.passive.ex.buff.buffeffect.04.02.01
sia.passive.ex.buff.buffeffect.04.02.02
sia.passive.ex.buff.buffeffect.04.02.03
sia.passive.ex.buff.buffeffect.04.02.04
sia.passive.ex.buff.buffeffect.04.02.05</t>
  </si>
  <si>
    <t>sia.passive.ex.buff.buffeffect.01.01.01
sia.passive.ex.buff.buffeffect.01.01.02
sia.passive.ex.buff.buffeffect.01.01.03
sia.passive.ex.buff.buffeffect.01.01.04
sia.passive.ex.buff.buffeffect.01.01.05
sia.passive.ex.buff.buffeffect.01.02.01
sia.passive.ex.buff.buffeffect.01.02.02
sia.passive.ex.buff.buffeffect.01.02.03
sia.passive.ex.buff.buffeffect.01.02.04
sia.passive.ex.buff.buffeffect.01.02.05</t>
    <phoneticPr fontId="3" type="noConversion"/>
  </si>
  <si>
    <t>sia.passive.ex.buff.buffeffect.01.01.01</t>
  </si>
  <si>
    <t>sia.passive.ex.buff.buffeffect.01.01.02</t>
  </si>
  <si>
    <t>sia.passive.ex.buff.buffeffect.01.01.03</t>
  </si>
  <si>
    <t>sia.passive.ex.buff.buffeffect.01.01.04</t>
  </si>
  <si>
    <t>sia.passive.ex.buff.buffeffect.01.01.05</t>
  </si>
  <si>
    <t>sia.passive.ex.buff.buffeffect.01.02.01</t>
  </si>
  <si>
    <t>sia.passive.ex.buff.buffeffect.01.02.02</t>
  </si>
  <si>
    <t>sia.passive.ex.buff.buffeffect.01.02.03</t>
  </si>
  <si>
    <t>sia.passive.ex.buff.buffeffect.01.02.04</t>
  </si>
  <si>
    <t>sia.passive.ex.buff.buffeffect.01.02.05</t>
  </si>
  <si>
    <t>IgnoreDefenseRate</t>
    <phoneticPr fontId="3" type="noConversion"/>
  </si>
  <si>
    <t>AttackRatio</t>
    <phoneticPr fontId="3" type="noConversion"/>
  </si>
  <si>
    <t>BuffEffect</t>
    <phoneticPr fontId="3" type="noConversion"/>
  </si>
  <si>
    <t>sia.passive.self.buff.trigger&amp;2</t>
  </si>
  <si>
    <t>sia.passive.self.buff.trigger&amp;3</t>
  </si>
  <si>
    <t>sia.passive.self.buff.trigger&amp;4</t>
  </si>
  <si>
    <t>sia.passive.self.buff.trigger&amp;5</t>
  </si>
  <si>
    <t>sia.passive.ex.buff.buffeffect.02.01.01</t>
  </si>
  <si>
    <t>sia.passive.ex.buff.buffeffect.02.01.02</t>
  </si>
  <si>
    <t>sia.passive.ex.buff.buffeffect.02.01.03</t>
  </si>
  <si>
    <t>sia.passive.ex.buff.buffeffect.02.01.04</t>
  </si>
  <si>
    <t>sia.passive.ex.buff.buffeffect.02.01.05</t>
  </si>
  <si>
    <t>sia.passive.ex.buff.buffeffect.02.02.01</t>
  </si>
  <si>
    <t>sia.passive.ex.buff.buffeffect.02.02.02</t>
  </si>
  <si>
    <t>sia.passive.ex.buff.buffeffect.02.02.03</t>
  </si>
  <si>
    <t>sia.passive.ex.buff.buffeffect.02.02.04</t>
  </si>
  <si>
    <t>sia.passive.ex.buff.buffeffect.02.02.05</t>
  </si>
  <si>
    <t>sia.passive.ex.buff.buffeffect.03.01.01</t>
  </si>
  <si>
    <t>sia.passive.ex.buff.buffeffect.03.01.02</t>
  </si>
  <si>
    <t>sia.passive.ex.buff.buffeffect.03.01.03</t>
  </si>
  <si>
    <t>sia.passive.ex.buff.buffeffect.03.01.04</t>
  </si>
  <si>
    <t>sia.passive.ex.buff.buffeffect.03.01.05</t>
  </si>
  <si>
    <t>sia.passive.ex.buff.buffeffect.03.02.01</t>
  </si>
  <si>
    <t>sia.passive.ex.buff.buffeffect.03.02.02</t>
  </si>
  <si>
    <t>sia.passive.ex.buff.buffeffect.03.02.03</t>
  </si>
  <si>
    <t>sia.passive.ex.buff.buffeffect.03.02.04</t>
  </si>
  <si>
    <t>sia.passive.ex.buff.buffeffect.03.02.05</t>
  </si>
  <si>
    <t>sia.passive.ex.buff.buffeffect.04.01.01</t>
  </si>
  <si>
    <t>sia.passive.ex.buff.buffeffect.04.01.02</t>
  </si>
  <si>
    <t>sia.passive.ex.buff.buffeffect.04.01.03</t>
  </si>
  <si>
    <t>sia.passive.ex.buff.buffeffect.04.01.04</t>
  </si>
  <si>
    <t>sia.passive.ex.buff.buffeffect.04.01.05</t>
  </si>
  <si>
    <t>sia.passive.ex.buff.buffeffect.04.02.01</t>
  </si>
  <si>
    <t>sia.passive.ex.buff.buffeffect.04.02.02</t>
  </si>
  <si>
    <t>sia.passive.ex.buff.buffeffect.04.02.03</t>
  </si>
  <si>
    <t>sia.passive.ex.buff.buffeffect.04.02.04</t>
  </si>
  <si>
    <t>sia.passive.ex.buff.buffeffect.04.02.05</t>
  </si>
  <si>
    <t>Effect/Prefab/10_buff/EFF_buff_invincible
Effect/Prefab/10_buff/EFF_immune</t>
    <phoneticPr fontId="3" type="noConversion"/>
  </si>
  <si>
    <t>info.sia.buff.strongest</t>
    <phoneticPr fontId="3" type="noConversion"/>
  </si>
  <si>
    <t>info.sia.buff.strongest</t>
    <phoneticPr fontId="3" type="noConversion"/>
  </si>
  <si>
    <t>icon_battle_sia_buff_01</t>
    <phoneticPr fontId="3" type="noConversion"/>
  </si>
  <si>
    <t>sia.active2.burn.buff.01</t>
  </si>
  <si>
    <t>sia.active2.burn.buff.02</t>
  </si>
  <si>
    <t>sia.active2.burn.buff.03</t>
  </si>
  <si>
    <t>sia.active2.burn.buff.04</t>
  </si>
  <si>
    <t>Effect/Prefab/10_buff/EFF_buff_sia_skill02_barrier</t>
    <phoneticPr fontId="3" type="noConversion"/>
  </si>
  <si>
    <t>info.sia.buff.strongest.01</t>
    <phoneticPr fontId="3" type="noConversion"/>
  </si>
  <si>
    <t>info.sia.buff.strongest.02</t>
    <phoneticPr fontId="3" type="noConversion"/>
  </si>
  <si>
    <t>info.sia.buff.strongest.03</t>
    <phoneticPr fontId="3" type="noConversion"/>
  </si>
  <si>
    <t>info.sia.buff.strongest.04</t>
    <phoneticPr fontId="3" type="noConversion"/>
  </si>
  <si>
    <t>info.sia.buff.strongest.05</t>
    <phoneticPr fontId="3" type="noConversion"/>
  </si>
  <si>
    <t>info.sia.buff.strongest.06</t>
    <phoneticPr fontId="3" type="noConversion"/>
  </si>
  <si>
    <t>Desc.info.sia.buff.strongest.01</t>
    <phoneticPr fontId="3" type="noConversion"/>
  </si>
  <si>
    <t>Desc.info.sia.buff.strongest.02</t>
    <phoneticPr fontId="3" type="noConversion"/>
  </si>
  <si>
    <t>Desc.info.sia.buff.strongest.03</t>
    <phoneticPr fontId="3" type="noConversion"/>
  </si>
  <si>
    <t>Desc.info.sia.buff.strongest.04</t>
    <phoneticPr fontId="3" type="noConversion"/>
  </si>
  <si>
    <t>Desc.info.sia.buff.strongest.05</t>
    <phoneticPr fontId="3" type="noConversion"/>
  </si>
  <si>
    <t>Desc.info.sia.buff.strongest.06</t>
    <phoneticPr fontId="3" type="noConversion"/>
  </si>
  <si>
    <t>info.sia.buff.strongest.01</t>
  </si>
  <si>
    <t>info.sia.buff.strongest.02</t>
  </si>
  <si>
    <t>info.sia.buff.strongest.03</t>
  </si>
  <si>
    <t>info.sia.buff.strongest.04</t>
  </si>
  <si>
    <t>info.sia.buff.strongest.05</t>
  </si>
  <si>
    <t>info.sia.buff.strongest.06</t>
  </si>
  <si>
    <t>sia.ult.tired.buff</t>
  </si>
  <si>
    <t>Desc.info.sia.buff.strongest</t>
    <phoneticPr fontId="3" type="noConversion"/>
  </si>
  <si>
    <t>info.sia.buff.strongest</t>
    <phoneticPr fontId="3" type="noConversion"/>
  </si>
  <si>
    <t>hallona.ult.B.buff.01</t>
  </si>
  <si>
    <t>none</t>
    <phoneticPr fontId="3" type="noConversion"/>
  </si>
  <si>
    <t>Effect/Prefab/10_buff/EFF_buff_hallona_ult_B</t>
    <phoneticPr fontId="3" type="noConversion"/>
  </si>
  <si>
    <t>AccelerationSkillTime</t>
    <phoneticPr fontId="3" type="noConversion"/>
  </si>
  <si>
    <t>eradica.passive.ex.buff.02</t>
  </si>
  <si>
    <t>eradica.passive.ex.buff.03</t>
  </si>
  <si>
    <t>eradica.passive.ex.buff.04</t>
  </si>
  <si>
    <t>eradica.passive.ex.buff.05</t>
  </si>
  <si>
    <t>eradica.passive.ex.buff.06</t>
  </si>
  <si>
    <t>eradica.passive.ex.buff.buffeffect.01.01</t>
  </si>
  <si>
    <t>eradica.passive.ex.buff.buffeffect.01.01.skilleffect.01</t>
  </si>
  <si>
    <t>eradica.passive.ex.buff.buffeffect.01.02</t>
  </si>
  <si>
    <t>eradica.passive.ex.buff.buffeffect.01.01.skilleffect.02</t>
  </si>
  <si>
    <t>eradica.passive.ex.buff.buffeffect.01.03</t>
  </si>
  <si>
    <t>eradica.passive.ex.buff.buffeffect.01.01.skilleffect.03</t>
  </si>
  <si>
    <t>eradica.passive.ex.buff.buffeffect.01.04</t>
  </si>
  <si>
    <t>eradica.passive.ex.buff.buffeffect.01.01.skilleffect.04</t>
  </si>
  <si>
    <t>eradica.passive.ex.buff.buffeffect.01.05</t>
  </si>
  <si>
    <t>eradica.passive.ex.buff.buffeffect.01.01.skilleffect.05</t>
  </si>
  <si>
    <t>eradica.passive.ex.buff.buffeffect.01.06</t>
  </si>
  <si>
    <t>eradica.passive.ex.buff.buffeffect.01.01.skilleffect.06</t>
  </si>
  <si>
    <t>eradica.passive.ex.buff.buffeffect.02.01</t>
  </si>
  <si>
    <t>eradica.passive.ex.buff.buffeffect.02.02</t>
  </si>
  <si>
    <t>eradica.passive.ex.buff.buffeffect.02.03</t>
  </si>
  <si>
    <t>eradica.passive.ex.buff.buffeffect.02.04</t>
  </si>
  <si>
    <t>eradica.passive.ex.buff.buffeffect.02.05</t>
  </si>
  <si>
    <t>eradica.passive.ex.buff.buffeffect.02.06</t>
  </si>
  <si>
    <t>eradica.passive.ex.buff.buffeffect.02.01.skilleffect.02</t>
  </si>
  <si>
    <t>eradica.passive.ex.buff.buffeffect.02.01.skilleffect.03</t>
  </si>
  <si>
    <t>eradica.passive.ex.buff.buffeffect.02.01.skilleffect.04</t>
  </si>
  <si>
    <t>eradica.passive.ex.buff.buffeffect.02.01.skilleffect.05</t>
  </si>
  <si>
    <t>eradica.passive.ex.buff.buffeffect.02.01.skilleffect.06</t>
  </si>
  <si>
    <t>eradica.passive.ex.buff.buffeffect.03.02</t>
  </si>
  <si>
    <t>eradica.passive.ex.buff.buffeffect.03.03</t>
  </si>
  <si>
    <t>eradica.passive.ex.buff.buffeffect.03.04</t>
  </si>
  <si>
    <t>eradica.passive.ex.buff.buffeffect.03.05</t>
  </si>
  <si>
    <t>eradica.passive.ex.buff.buffeffect.03.06</t>
  </si>
  <si>
    <t>eradica.passive.ex.buff.buffeffect.03.01.skilleffect.02</t>
  </si>
  <si>
    <t>eradica.passive.ex.buff.buffeffect.03.01.skilleffect.03</t>
  </si>
  <si>
    <t>eradica.passive.ex.buff.buffeffect.03.01.skilleffect.04</t>
  </si>
  <si>
    <t>eradica.passive.ex.buff.buffeffect.03.01.skilleffect.05</t>
  </si>
  <si>
    <t>eradica.passive.ex.buff.buffeffect.03.01.skilleffect.06</t>
  </si>
  <si>
    <t>eradica.passive.ex.exile.buff.02</t>
  </si>
  <si>
    <t>eradica.passive.ex.exile.buff.03</t>
  </si>
  <si>
    <t>eradica.passive.ex.exile.buff.04</t>
  </si>
  <si>
    <t>eradica.passive.ex.exile.buff.05</t>
  </si>
  <si>
    <t>eradica.passive.ex.exile.buff.06</t>
  </si>
  <si>
    <t>eradica.passive.ex.exile.buff.01</t>
  </si>
  <si>
    <t>Exile</t>
    <phoneticPr fontId="3" type="noConversion"/>
  </si>
  <si>
    <t>eradica.active2.buff.02</t>
  </si>
  <si>
    <t>eradica.active2.buff.03</t>
  </si>
  <si>
    <t>eradica.active2.buff.04</t>
  </si>
  <si>
    <t>eradica.active2.buff.05</t>
  </si>
  <si>
    <t>eradica.active2.buff.06</t>
  </si>
  <si>
    <t>eradica.active2.buff.01</t>
  </si>
  <si>
    <t>eradica.active2.effect.buff.buffeffect.02.02</t>
  </si>
  <si>
    <t>eradica.active2.effect.buff.buffeffect.02.03</t>
  </si>
  <si>
    <t>eradica.active2.effect.buff.buffeffect.02.04</t>
  </si>
  <si>
    <t>eradica.active2.effect.buff.buffeffect.02.05</t>
  </si>
  <si>
    <t>eradica.active2.effect.buff.buffeffect.02.06</t>
  </si>
  <si>
    <t>eradica.active2.effect.buff.01.02</t>
  </si>
  <si>
    <t>eradica.active2.effect.buff.01.03</t>
  </si>
  <si>
    <t>eradica.active2.effect.buff.01.04</t>
  </si>
  <si>
    <t>eradica.active2.effect.buff.01.05</t>
  </si>
  <si>
    <t>eradica.active2.effect.buff.01.06</t>
  </si>
  <si>
    <t>eradica.active2.effect.buff.buffeffect.01.02</t>
  </si>
  <si>
    <t>eradica.active2.effect.buff.buffeffect.01.03</t>
  </si>
  <si>
    <t>eradica.active2.effect.buff.buffeffect.01.04</t>
  </si>
  <si>
    <t>eradica.active2.effect.buff.buffeffect.01.05</t>
  </si>
  <si>
    <t>eradica.active2.effect.buff.buffeffect.01.06</t>
  </si>
  <si>
    <t>eradica.passive.maindealer.buff.01</t>
  </si>
  <si>
    <t>eradica.passive.buff.buffeffect.03.01</t>
  </si>
  <si>
    <t>eradica.passive.buff.buffeffect.03.02</t>
  </si>
  <si>
    <t>eradica.passive.buff.buffeffect.03.03</t>
  </si>
  <si>
    <t>eradica.passive.buff.buffeffect.03.04</t>
  </si>
  <si>
    <t>eradica.passive.buff.buffeffect.03.05</t>
  </si>
  <si>
    <t>eradica.passive.buff.buffeffect.03.06</t>
  </si>
  <si>
    <t>eradica.passive.buff.buffeffect.04.02</t>
  </si>
  <si>
    <t>eradica.passive.buff.buffeffect.04.03</t>
  </si>
  <si>
    <t>eradica.passive.buff.buffeffect.04.04</t>
  </si>
  <si>
    <t>eradica.passive.buff.buffeffect.04.05</t>
  </si>
  <si>
    <t>eradica.passive.buff.buffeffect.04.06</t>
  </si>
  <si>
    <t>eradica.passive.buff.buffeffect.05.02</t>
  </si>
  <si>
    <t>eradica.passive.buff.buffeffect.05.03</t>
  </si>
  <si>
    <t>eradica.passive.buff.buffeffect.05.04</t>
  </si>
  <si>
    <t>eradica.passive.buff.buffeffect.05.05</t>
  </si>
  <si>
    <t>eradica.passive.buff.buffeffect.05.06</t>
  </si>
  <si>
    <t>eradica.passive.maindealer.passive.buff.02</t>
  </si>
  <si>
    <t>eradica.passive.maindealer.passive.buff.03</t>
  </si>
  <si>
    <t>eradica.passive.maindealer.passive.buff.04</t>
  </si>
  <si>
    <t>eradica.passive.maindealer.passive.buff.05</t>
  </si>
  <si>
    <t>eradica.passive.maindealer.passive.buff.06</t>
  </si>
  <si>
    <t>eradica.passive.maindealer.passive.buff.buffeffect.02.02</t>
  </si>
  <si>
    <t>eradica.passive.maindealer.passive.buff.buffeffect.01.02</t>
  </si>
  <si>
    <t>eradica.passive.maindealer.passive.buff.buffeffect.01.03</t>
  </si>
  <si>
    <t>eradica.passive.maindealer.passive.buff.buffeffect.01.04</t>
  </si>
  <si>
    <t>eradica.passive.maindealer.passive.buff.buffeffect.01.05</t>
  </si>
  <si>
    <t>eradica.passive.maindealer.passive.buff.buffeffect.01.06</t>
  </si>
  <si>
    <t>eradica.passive.maindealer.passive.buff.buffeffect.02.03</t>
  </si>
  <si>
    <t>eradica.passive.maindealer.passive.buff.buffeffect.02.04</t>
  </si>
  <si>
    <t>eradica.passive.maindealer.passive.buff.buffeffect.02.05</t>
  </si>
  <si>
    <t>eradica.passive.maindealer.passive.buff.buffeffect.02.06</t>
  </si>
  <si>
    <t>eradica.passive.ex.buff.buffeffect.04.02</t>
  </si>
  <si>
    <t>eradica.passive.ex.buff.buffeffect.04.03</t>
  </si>
  <si>
    <t>eradica.passive.ex.buff.buffeffect.04.04</t>
  </si>
  <si>
    <t>eradica.passive.ex.buff.buffeffect.04.05</t>
  </si>
  <si>
    <t>eradica.passive.ex.buff.buffeffect.04.06</t>
  </si>
  <si>
    <t>eradica.passive.maindealer.passive.ex.buff.02</t>
  </si>
  <si>
    <t>eradica.passive.maindealer.passive.ex.buff.03</t>
  </si>
  <si>
    <t>eradica.passive.maindealer.passive.ex.buff.04</t>
  </si>
  <si>
    <t>eradica.passive.maindealer.passive.ex.buff.05</t>
  </si>
  <si>
    <t>eradica.passive.maindealer.passive.ex.buff.06</t>
  </si>
  <si>
    <t>eradica.passive.ex.maindealer.passive.ex.buff.buffeffect.01.01</t>
  </si>
  <si>
    <t>eradica.passive.ex.maindealer.passive.ex.buff.buffeffect.01.02</t>
  </si>
  <si>
    <t>eradica.passive.ex.maindealer.passive.ex.buff.buffeffect.01.03</t>
  </si>
  <si>
    <t>eradica.passive.ex.maindealer.passive.ex.buff.buffeffect.01.04</t>
  </si>
  <si>
    <t>eradica.passive.ex.maindealer.passive.ex.buff.buffeffect.01.05</t>
  </si>
  <si>
    <t>eradica.passive.ex.maindealer.passive.ex.buff.buffeffect.01.06</t>
  </si>
  <si>
    <t>eradica.passive.ex.maindealer.passive.ex.buff.buffeffect.02.01</t>
  </si>
  <si>
    <t>eradica.passive.ex.maindealer.passive.ex.buff.buffeffect.02.02</t>
  </si>
  <si>
    <t>eradica.passive.ex.maindealer.passive.ex.buff.buffeffect.02.03</t>
  </si>
  <si>
    <t>eradica.passive.ex.maindealer.passive.ex.buff.buffeffect.02.04</t>
  </si>
  <si>
    <t>eradica.passive.ex.maindealer.passive.ex.buff.buffeffect.02.05</t>
  </si>
  <si>
    <t>eradica.passive.ex.maindealer.passive.ex.buff.buffeffect.02.06</t>
  </si>
  <si>
    <t>eradica.passive.ex.maindealer.passive.ex.buff.buffeffect.03.01</t>
  </si>
  <si>
    <t>eradica.passive.ex.maindealer.passive.ex.buff.buffeffect.03.02</t>
  </si>
  <si>
    <t>eradica.passive.ex.maindealer.passive.ex.buff.buffeffect.03.03</t>
  </si>
  <si>
    <t>eradica.passive.ex.maindealer.passive.ex.buff.buffeffect.03.04</t>
  </si>
  <si>
    <t>eradica.passive.ex.maindealer.passive.ex.buff.buffeffect.03.05</t>
  </si>
  <si>
    <t>eradica.passive.ex.maindealer.passive.ex.buff.buffeffect.03.06</t>
  </si>
  <si>
    <t>eradica.passive.count.buff.02&amp;3</t>
  </si>
  <si>
    <t>eradica.ult.B.post.buff.02</t>
  </si>
  <si>
    <t>eradica.ult.B.post.buff.03</t>
  </si>
  <si>
    <t>eradica.ult.B.post.buff.04</t>
  </si>
  <si>
    <t>eradica.ult.B.post.buff.05</t>
  </si>
  <si>
    <t>eradica.ult.B.post.buff.06</t>
  </si>
  <si>
    <t>eradica.ult.B.post.buff.07</t>
  </si>
  <si>
    <t>eradica.ult.B.post.buff.buffeffect.01</t>
  </si>
  <si>
    <t>eradica.ult.B.post.buff.buffeffect.02</t>
  </si>
  <si>
    <t>eradica.ult.B.post.buff.buffeffect.03</t>
  </si>
  <si>
    <t>eradica.ult.B.post.buff.buffeffect.04</t>
  </si>
  <si>
    <t>eradica.ult.B.post.buff.buffeffect.05</t>
  </si>
  <si>
    <t>eradica.ult.B.post.buff.buffeffect.06</t>
  </si>
  <si>
    <t>eradica.ult.B.post.buff.buffeffect.07</t>
  </si>
  <si>
    <t>eradica.ult.B.post.buff.buffeffect.skilleffect.02</t>
  </si>
  <si>
    <t>eradica.ult.B.post.buff.buffeffect.skilleffect.03</t>
  </si>
  <si>
    <t>eradica.ult.B.post.buff.buffeffect.skilleffect.04</t>
  </si>
  <si>
    <t>eradica.ult.B.post.buff.buffeffect.skilleffect.05</t>
  </si>
  <si>
    <t>eradica.ult.B.post.buff.buffeffect.skilleffect.06</t>
  </si>
  <si>
    <t>eradica.ult.B.post.buff.buffeffect.skilleffect.07</t>
  </si>
  <si>
    <t>icon_battle_eradica_buff_01</t>
  </si>
  <si>
    <t>icon_battle_eradica_buff_02</t>
  </si>
  <si>
    <t>info.eradica.debuff.active2</t>
  </si>
  <si>
    <t>fei.passive.maindealer.buff.buffeffect</t>
    <phoneticPr fontId="3" type="noConversion"/>
  </si>
  <si>
    <t>fei.passive.maindealer.trigger</t>
    <phoneticPr fontId="3" type="noConversion"/>
  </si>
  <si>
    <t>info.eradica.buff.passive</t>
    <phoneticPr fontId="3" type="noConversion"/>
  </si>
  <si>
    <t>info.eradica.buff.passive</t>
    <phoneticPr fontId="3" type="noConversion"/>
  </si>
  <si>
    <t>Desc.info.eradica.buff.passive</t>
    <phoneticPr fontId="3" type="noConversion"/>
  </si>
  <si>
    <t>eradica.passive.ex.maindealer.passive.ex.buff.buffeffect.04.02</t>
  </si>
  <si>
    <t>eradica.passive.ex.maindealer.passive.ex.buff.buffeffect.04.03</t>
  </si>
  <si>
    <t>eradica.passive.ex.maindealer.passive.ex.buff.buffeffect.04.04</t>
  </si>
  <si>
    <t>eradica.passive.ex.maindealer.passive.ex.buff.buffeffect.04.05</t>
  </si>
  <si>
    <t>eradica.passive.ex.maindealer.passive.ex.buff.buffeffect.04.06</t>
  </si>
  <si>
    <t>eradica.ult.pre.buff.buffeffect.01.02</t>
  </si>
  <si>
    <t>eradica.ult.pre.buff.buffeffect.01.03</t>
  </si>
  <si>
    <t>eradica.ult.pre.buff.buffeffect.01.04</t>
  </si>
  <si>
    <t>eradica.exile.end.skilleffect</t>
  </si>
  <si>
    <t>info.exile</t>
  </si>
  <si>
    <t>eradica.ult.B.buff</t>
  </si>
  <si>
    <t>eradica.ult.B.buff.buffeffect.01</t>
  </si>
  <si>
    <t>eradica.passive.count.buff.02&amp;2</t>
  </si>
  <si>
    <t>icon_class_ranger</t>
  </si>
  <si>
    <t>info.fei.ranger.buff</t>
    <phoneticPr fontId="3" type="noConversion"/>
  </si>
  <si>
    <t>Desc.info.fei.ranger.buff</t>
    <phoneticPr fontId="3" type="noConversion"/>
  </si>
  <si>
    <t>info.fei.attacker.buff</t>
    <phoneticPr fontId="3" type="noConversion"/>
  </si>
  <si>
    <t>Desc.info.fei.attacker.buff</t>
    <phoneticPr fontId="3" type="noConversion"/>
  </si>
  <si>
    <t>icon_class_attacker</t>
    <phoneticPr fontId="3" type="noConversion"/>
  </si>
  <si>
    <t>info.fei.attacker.buff</t>
    <phoneticPr fontId="3" type="noConversion"/>
  </si>
  <si>
    <t>info.fei.ranger.buff</t>
    <phoneticPr fontId="3" type="noConversion"/>
  </si>
  <si>
    <t>info.fei.attacker.buff</t>
  </si>
  <si>
    <t>info.fei.ranger.buff</t>
  </si>
  <si>
    <t>eradica.passive.not.maindealer.defup.buff.01</t>
  </si>
  <si>
    <t>eradica.passive.not.maindealer.defup.buff.02</t>
  </si>
  <si>
    <t>eradica.passive.not.maindealer.defup.buff.03</t>
  </si>
  <si>
    <t>eradica.passive.not.maindealer.defup.buff.04</t>
  </si>
  <si>
    <t>eradica.passive.not.maindealer.defup.buff.05</t>
  </si>
  <si>
    <t>eradica.passive.not.maindealer.defup.buff.06</t>
  </si>
  <si>
    <t>eradica.passive.not.maindealer.defup.buff.buffeffect.01</t>
  </si>
  <si>
    <t>eradica.passive.not.maindealer.defup.buff.buffeffect.02</t>
  </si>
  <si>
    <t>eradica.passive.not.maindealer.defup.buff.buffeffect.03</t>
  </si>
  <si>
    <t>eradica.passive.not.maindealer.defup.buff.buffeffect.04</t>
  </si>
  <si>
    <t>eradica.passive.not.maindealer.defup.buff.buffeffect.05</t>
  </si>
  <si>
    <t>eradica.passive.not.maindealer.defup.buff.buffeffect.06</t>
  </si>
  <si>
    <t>archphase.passive.buff.buffeffect.01.01</t>
  </si>
  <si>
    <t>archphase.passive.buff.buffeffect.01.02</t>
  </si>
  <si>
    <t>archphase.passive.buff.buffeffect.01.03</t>
  </si>
  <si>
    <t>archphase.passive.buff.buffeffect.01.04</t>
  </si>
  <si>
    <t>archphase.passive.buff.buffeffect.01.05</t>
  </si>
  <si>
    <t>archphase.passive.buff.buffeffect.01.06</t>
  </si>
  <si>
    <t>archphase.passive.buff.buffeffect.02.01</t>
  </si>
  <si>
    <t>archphase.passive.buff.buffeffect.02.02</t>
  </si>
  <si>
    <t>archphase.passive.buff.buffeffect.02.03</t>
  </si>
  <si>
    <t>archphase.passive.buff.buffeffect.02.04</t>
  </si>
  <si>
    <t>archphase.passive.buff.buffeffect.02.05</t>
  </si>
  <si>
    <t>archphase.passive.buff.buffeffect.02.06</t>
  </si>
  <si>
    <t>sia.ult.B.post.buff.04</t>
    <phoneticPr fontId="3" type="noConversion"/>
  </si>
  <si>
    <t>HealRatedown</t>
    <phoneticPr fontId="3" type="noConversion"/>
  </si>
  <si>
    <t>freyja.passive.uatk.buff.02</t>
  </si>
  <si>
    <t>freyja.passive.uatk.buff.05</t>
  </si>
  <si>
    <t>freyja.passive.uatk.buff.06</t>
  </si>
  <si>
    <t>freyja.ult.B.buff.buffeffect.01</t>
  </si>
  <si>
    <t>freyja.ult.B.buff.buffeffect.02</t>
  </si>
  <si>
    <t>freyja.ult.B.buff.buffeffect.03</t>
  </si>
  <si>
    <t>freyja.ult.B.buff.buffeffect.04</t>
  </si>
  <si>
    <t>freyja.ult.B.buff.buffeffect.05</t>
  </si>
  <si>
    <t>freyja.ult.B.buff.buffeffect.06</t>
  </si>
  <si>
    <t>freyja.ult.B.buff.buffeffect.07</t>
  </si>
  <si>
    <t>UltimateDamageRate</t>
    <phoneticPr fontId="3" type="noConversion"/>
  </si>
  <si>
    <t>freyja.ult.B.passive.buff.02</t>
  </si>
  <si>
    <t>freyja.ult.B.passive.buff.03</t>
  </si>
  <si>
    <t>freyja.ult.B.passive.buff.04</t>
  </si>
  <si>
    <t>freyja.ult.B.passive.buff.05</t>
  </si>
  <si>
    <t>freyja.ult.B.passive.buff.06</t>
  </si>
  <si>
    <t>freyja.ult.B.passive.buff.07</t>
  </si>
  <si>
    <t>freyja.ult.B.passive.buff.buffeffect.02</t>
  </si>
  <si>
    <t>freyja.ult.B.passive.buff.buffeffect.03</t>
  </si>
  <si>
    <t>freyja.ult.B.passive.buff.buffeffect.04</t>
  </si>
  <si>
    <t>freyja.ult.B.passive.buff.buffeffect.05</t>
  </si>
  <si>
    <t>freyja.ult.B.passive.buff.buffeffect.06</t>
  </si>
  <si>
    <t>freyja.ult.B.passive.buff.buffeffect.07</t>
  </si>
  <si>
    <t>freyja.ult.B.passive.buff.buffeffect.buff.01</t>
  </si>
  <si>
    <t>freyja.ult.B.passive.buff.buffeffect.buff.02</t>
  </si>
  <si>
    <t>freyja.ult.B.passive.buff.buffeffect.buff.03</t>
  </si>
  <si>
    <t>freyja.ult.B.passive.buff.buffeffect.buff.04</t>
  </si>
  <si>
    <t>freyja.ult.B.passive.buff.buffeffect.buff.05</t>
  </si>
  <si>
    <t>freyja.ult.B.passive.buff.buffeffect.buff.06</t>
  </si>
  <si>
    <t>freyja.ult.B.passive.buff.buffeffect.buff.07</t>
  </si>
  <si>
    <t>freyja.ult.B.passive.buff.buffeffect.buff.buffeffect.02</t>
  </si>
  <si>
    <t>freyja.ult.B.passive.buff.buffeffect.buff.buffeffect.03</t>
  </si>
  <si>
    <t>freyja.ult.B.passive.buff.buffeffect.buff.buffeffect.04</t>
  </si>
  <si>
    <t>freyja.ult.B.passive.buff.buffeffect.buff.buffeffect.05</t>
  </si>
  <si>
    <t>freyja.ult.B.passive.buff.buffeffect.buff.buffeffect.06</t>
  </si>
  <si>
    <t>freyja.ult.B.passive.buff.buffeffect.buff.buffeffect.07</t>
  </si>
  <si>
    <t>freyja.ult.B.passive.buff.skilleffect.02</t>
  </si>
  <si>
    <t>freyja.ult.B.passive.buff.skilleffect.03</t>
  </si>
  <si>
    <t>freyja.ult.B.passive.buff.skilleffect.04</t>
  </si>
  <si>
    <t>freyja.ult.B.passive.buff.skilleffect.05</t>
  </si>
  <si>
    <t>freyja.ult.B.passive.buff.skilleffect.06</t>
  </si>
  <si>
    <t>freyja.ult.B.passive.buff.skilleffect.07</t>
  </si>
  <si>
    <t>freyja.ult.buff.02</t>
  </si>
  <si>
    <t>freyja.ult.buff.03</t>
  </si>
  <si>
    <t>freyja.ult.buff.04</t>
  </si>
  <si>
    <t>freyja.ult.buff.05</t>
  </si>
  <si>
    <t>freyja.ult.buff.06</t>
  </si>
  <si>
    <t>freyja.ult.buff.07</t>
  </si>
  <si>
    <t>freyja.active2.effect.buff.01.02</t>
  </si>
  <si>
    <t>freyja.active2.effect.buff.01.03</t>
  </si>
  <si>
    <t>freyja.active2.effect.buff.01.04</t>
  </si>
  <si>
    <t>freyja.active2.effect.buff.01.05</t>
  </si>
  <si>
    <t>freyja.active2.effect.buff.01.06</t>
  </si>
  <si>
    <t>freyja.active2.effect.buff.02.02</t>
  </si>
  <si>
    <t>freyja.active2.effect.buff.02.03</t>
  </si>
  <si>
    <t>freyja.active2.effect.buff.02.04</t>
  </si>
  <si>
    <t>freyja.active2.effect.buff.02.05</t>
  </si>
  <si>
    <t>freyja.active2.effect.buff.02.06</t>
  </si>
  <si>
    <t>freyja.active2.effect.buff.buffeffect.02.01</t>
  </si>
  <si>
    <t>freyja.active2.effect.buff.buffeffect.02.02</t>
  </si>
  <si>
    <t>freyja.active2.effect.buff.buffeffect.02.03</t>
  </si>
  <si>
    <t>freyja.active2.effect.buff.buffeffect.02.04</t>
  </si>
  <si>
    <t>freyja.active2.effect.buff.buffeffect.02.05</t>
  </si>
  <si>
    <t>freyja.active2.effect.buff.buffeffect.02.06</t>
  </si>
  <si>
    <t>freyja.passive.ex.buff.02</t>
  </si>
  <si>
    <t>freyja.passive.ex.buff.03</t>
  </si>
  <si>
    <t>freyja.passive.ex.buff.04</t>
  </si>
  <si>
    <t>freyja.passive.ex.buff.05</t>
  </si>
  <si>
    <t>freyja.passive.ex.buff.06</t>
  </si>
  <si>
    <t>freyja.passive.ex.freyja.buffeffect.01
freyja.passive.ex.buff.buffeffect.01
freyja.passive.ex.buff.buffeffect.02.02</t>
  </si>
  <si>
    <t>freyja.passive.ex.freyja.buffeffect.01
freyja.passive.ex.buff.buffeffect.01
freyja.passive.ex.buff.buffeffect.02.03</t>
  </si>
  <si>
    <t>freyja.passive.ex.freyja.buffeffect.01
freyja.passive.ex.buff.buffeffect.01
freyja.passive.ex.buff.buffeffect.02.04</t>
  </si>
  <si>
    <t>freyja.passive.ex.freyja.buffeffect.01
freyja.passive.ex.buff.buffeffect.01
freyja.passive.ex.buff.buffeffect.02.05</t>
  </si>
  <si>
    <t>freyja.passive.ex.freyja.buffeffect.01
freyja.passive.ex.buff.buffeffect.01
freyja.passive.ex.buff.buffeffect.02.06</t>
  </si>
  <si>
    <t>freyja.passive.ex.buff.buffeffect.02.02</t>
  </si>
  <si>
    <t>freyja.passive.ex.buff.buffeffect.02.03</t>
  </si>
  <si>
    <t>freyja.passive.ex.buff.buffeffect.02.04</t>
  </si>
  <si>
    <t>freyja.passive.ex.buff.buffeffect.02.05</t>
  </si>
  <si>
    <t>freyja.passive.ex.buff.buffeffect.02.06</t>
  </si>
  <si>
    <t>freyja.passive.ex.buff.skilleffect.01.02</t>
  </si>
  <si>
    <t>freyja.passive.ex.buff.skilleffect.01.03</t>
  </si>
  <si>
    <t>freyja.passive.ex.buff.skilleffect.01.04</t>
  </si>
  <si>
    <t>freyja.passive.ex.buff.skilleffect.01.05</t>
  </si>
  <si>
    <t>freyja.passive.ex.buff.skilleffect.01.06</t>
  </si>
  <si>
    <t>freyja.passive.ex.effect.buff.01</t>
  </si>
  <si>
    <t>freyja.ult.B.buff.01.02</t>
  </si>
  <si>
    <t>freyja.ult.B.buff.01.03</t>
  </si>
  <si>
    <t>freyja.ult.B.buff.01.04</t>
  </si>
  <si>
    <t>freyja.ult.B.buff.01.05</t>
  </si>
  <si>
    <t>freyja.ult.B.buff.01.06</t>
  </si>
  <si>
    <t>freyja.ult.B.buff.01.07</t>
  </si>
  <si>
    <t>freyja.ult.B.buff.02.02</t>
  </si>
  <si>
    <t>freyja.ult.B.buff.02.03</t>
  </si>
  <si>
    <t>freyja.ult.B.buff.02.04</t>
  </si>
  <si>
    <t>freyja.ult.B.buff.02.05</t>
  </si>
  <si>
    <t>freyja.ult.B.buff.02.06</t>
  </si>
  <si>
    <t>freyja.ult.B.buff.02.07</t>
  </si>
  <si>
    <t>freyja.ult.B.buff.02.01</t>
  </si>
  <si>
    <t>info.freyja.debuff.ultA</t>
  </si>
  <si>
    <t>info.freyja.debuff.ultA</t>
    <phoneticPr fontId="3" type="noConversion"/>
  </si>
  <si>
    <t>info.freyja.debuff.ultB</t>
  </si>
  <si>
    <t>info.freyja.debuff.ultB</t>
    <phoneticPr fontId="3" type="noConversion"/>
  </si>
  <si>
    <t>info.freyja.debuff.ultA</t>
    <phoneticPr fontId="3" type="noConversion"/>
  </si>
  <si>
    <t>Desc.info.freyja.debuff.ultA</t>
    <phoneticPr fontId="3" type="noConversion"/>
  </si>
  <si>
    <t>Desc.info.freyja.debuff.ultB</t>
    <phoneticPr fontId="3" type="noConversion"/>
  </si>
  <si>
    <t>info.freyja.buff.passive</t>
  </si>
  <si>
    <t>info.freyja.buff.passive</t>
    <phoneticPr fontId="3" type="noConversion"/>
  </si>
  <si>
    <t>info.freyja.buff.passive</t>
    <phoneticPr fontId="3" type="noConversion"/>
  </si>
  <si>
    <t>Desc.info.freyja.buff.passive</t>
    <phoneticPr fontId="3" type="noConversion"/>
  </si>
  <si>
    <t>freyja.passive.buff.buffeffect.01.02</t>
  </si>
  <si>
    <t>freyja.passive.buff.buffeffect.01.03</t>
  </si>
  <si>
    <t>freyja.passive.buff.buffeffect.01.04</t>
  </si>
  <si>
    <t>freyja.passive.buff.buffeffect.01.05</t>
  </si>
  <si>
    <t>freyja.passive.buff.buffeffect.01.06</t>
  </si>
  <si>
    <t>freyja.passive.criticalnone.buff.01</t>
  </si>
  <si>
    <t>freyja.passive.buff.buffeffect.02.02</t>
  </si>
  <si>
    <t>freyja.passive.criticalnone.buff.02</t>
  </si>
  <si>
    <t>freyja.passive.buff.buffeffect.02.03</t>
  </si>
  <si>
    <t>freyja.passive.criticalnone.buff.03</t>
  </si>
  <si>
    <t>freyja.passive.buff.buffeffect.02.04</t>
  </si>
  <si>
    <t>freyja.passive.criticalnone.buff.04</t>
  </si>
  <si>
    <t>freyja.passive.buff.buffeffect.02.05</t>
  </si>
  <si>
    <t>freyja.passive.criticalnone.buff.05</t>
  </si>
  <si>
    <t>freyja.passive.buff.buffeffect.02.06</t>
  </si>
  <si>
    <t>freyja.passive.criticalnone.buff.06</t>
  </si>
  <si>
    <t>freyja.passive.criticalnone.buff.buffeffect.01</t>
  </si>
  <si>
    <t>Status(CriticalRate, -9999)</t>
  </si>
  <si>
    <t>freyja.passive.criticalnone.buff.buffeffect.02</t>
  </si>
  <si>
    <t>freyja.passive.criticalnone.buff.buffeffect.03</t>
  </si>
  <si>
    <t>freyja.passive.criticalnone.buff.buffeffect.04</t>
  </si>
  <si>
    <t>freyja.passive.criticalnone.buff.buffeffect.05</t>
  </si>
  <si>
    <t>freyja.passive.criticalnone.buff.buffeffect.06</t>
  </si>
  <si>
    <t>Effect/Prefab/01.Character/25_freyja/EFF_freyja_expassive</t>
  </si>
  <si>
    <t>freyja.passive.buff.buffeffect.skilleffect.02</t>
  </si>
  <si>
    <t>freyja.passive.buff.buffeffect.skilleffect.03</t>
  </si>
  <si>
    <t>freyja.passive.buff.buffeffect.skilleffect.04</t>
  </si>
  <si>
    <t>freyja.passive.buff.buffeffect.skilleffect.05</t>
  </si>
  <si>
    <t>freyja.passive.buff.buffeffect.skilleffect.06</t>
  </si>
  <si>
    <t>freyja.passive.buff.private.02</t>
  </si>
  <si>
    <t>freyja.passive.buff.private.03</t>
  </si>
  <si>
    <t>freyja.passive.buff.private.04</t>
  </si>
  <si>
    <t>freyja.passive.buff.private.05</t>
  </si>
  <si>
    <t>freyja.passive.buff.private.06</t>
  </si>
  <si>
    <t>freyja.passive.buff.buffeffect.skilleffect.private.02</t>
  </si>
  <si>
    <t>freyja.passive.buff.buffeffect.skilleffect.private.03</t>
  </si>
  <si>
    <t>freyja.passive.buff.buffeffect.skilleffect.private.04</t>
  </si>
  <si>
    <t>freyja.passive.buff.buffeffect.skilleffect.private.05</t>
  </si>
  <si>
    <t>freyja.passive.buff.buffeffect.skilleffect.private.06</t>
  </si>
  <si>
    <t>freyja.passive.buff.buffeffect.02.01</t>
  </si>
  <si>
    <t>freyja.passive.buff.buffeffect.01.01</t>
  </si>
  <si>
    <t>freyja.passive.ep.normal.02</t>
  </si>
  <si>
    <t>freyja.passive.ep.normal.03</t>
  </si>
  <si>
    <t>freyja.passive.ep.normal.04</t>
  </si>
  <si>
    <t>freyja.passive.ep.normal.05</t>
  </si>
  <si>
    <t>freyja.passive.ep.normal.06</t>
  </si>
  <si>
    <t>freyja.passive.uatk.buff.01</t>
  </si>
  <si>
    <t>freyja.passive.uatk.buff.03</t>
  </si>
  <si>
    <t>freyja.passive.uatk.buff.04</t>
  </si>
  <si>
    <t>freyja.passive.uatk.buff.buffeffect.01</t>
  </si>
  <si>
    <t>freyja.passive.uatk.buff.buffeffect.02</t>
  </si>
  <si>
    <t>freyja.passive.uatk.buff.buffeffect.03</t>
  </si>
  <si>
    <t>freyja.passive.uatk.buff.buffeffect.04</t>
  </si>
  <si>
    <t>freyja.passive.uatk.buff.buffeffect.05</t>
  </si>
  <si>
    <t>freyja.passive.uatk.buff.buffeffect.06</t>
  </si>
  <si>
    <t>freyja.passive.buff.buffeffect.01.01
freyja.passive.buff.buffeffect.02.01
freyja.passive.ep.scenario.01</t>
  </si>
  <si>
    <t>freyja.passive.buff.buffeffect.01.02
freyja.passive.buff.buffeffect.02.02
freyja.passive.ep.scenario.02</t>
  </si>
  <si>
    <t>freyja.passive.buff.buffeffect.01.03
freyja.passive.buff.buffeffect.02.03
freyja.passive.ep.scenario.03</t>
  </si>
  <si>
    <t>freyja.passive.buff.buffeffect.01.04
freyja.passive.buff.buffeffect.02.04
freyja.passive.ep.scenario.04</t>
  </si>
  <si>
    <t>freyja.passive.buff.buffeffect.01.05
freyja.passive.buff.buffeffect.02.05
freyja.passive.ep.scenario.05</t>
  </si>
  <si>
    <t>freyja.passive.buff.buffeffect.01.06
freyja.passive.buff.buffeffect.02.06
freyja.passive.ep.scenario.06</t>
  </si>
  <si>
    <t>freyja.passive.ep.scenario.02</t>
  </si>
  <si>
    <t>freyja.passive.ep.scenario.03</t>
  </si>
  <si>
    <t>freyja.passive.ep.scenario.04</t>
  </si>
  <si>
    <t>freyja.passive.ep.scenario.05</t>
  </si>
  <si>
    <t>freyja.passive.ep.scenario.06</t>
  </si>
  <si>
    <t>icon_battle_freyja_debuff_01</t>
  </si>
  <si>
    <t>icon_battle_freyja_debuff_02</t>
  </si>
  <si>
    <t>icon_battle_freyja_buff_01</t>
  </si>
  <si>
    <t>freyja.ult.buff.buffeffect.01.02</t>
  </si>
  <si>
    <t>freyja.ult.buff.buffeffect.01.03</t>
  </si>
  <si>
    <t>freyja.ult.buff.buffeffect.01.04</t>
  </si>
  <si>
    <t>freyja.ult.buff.buffeffect.01.05</t>
  </si>
  <si>
    <t>freyja.ult.buff.buffeffect.01.06</t>
  </si>
  <si>
    <t>freyja.ult.buff.buffeffect.01.07</t>
  </si>
  <si>
    <t>freyja.ult.buff.buffeffect.02.02</t>
  </si>
  <si>
    <t>freyja.ult.buff.buffeffect.02.03</t>
  </si>
  <si>
    <t>freyja.ult.buff.buffeffect.02.04</t>
  </si>
  <si>
    <t>freyja.ult.buff.buffeffect.02.05</t>
  </si>
  <si>
    <t>freyja.ult.buff.buffeffect.02.06</t>
  </si>
  <si>
    <t>freyja.ult.buff.buffeffect.02.07</t>
  </si>
  <si>
    <t>!eradica.passive.ex.live.buff.01</t>
  </si>
  <si>
    <t>eradica.passive.ex.live.buff.01</t>
  </si>
  <si>
    <t>info.airborne</t>
    <phoneticPr fontId="3" type="noConversion"/>
  </si>
  <si>
    <t>icon_cha_skill_backstep_u</t>
    <phoneticPr fontId="3" type="noConversion"/>
  </si>
  <si>
    <t>Buff.Desc.Airborne</t>
    <phoneticPr fontId="3" type="noConversion"/>
  </si>
  <si>
    <t>info.pull</t>
    <phoneticPr fontId="3" type="noConversion"/>
  </si>
  <si>
    <t>info.knockback</t>
    <phoneticPr fontId="3" type="noConversion"/>
  </si>
  <si>
    <t>icon_battle_knockback</t>
    <phoneticPr fontId="3" type="noConversion"/>
  </si>
  <si>
    <t>Buff.Name.KnockBack</t>
    <phoneticPr fontId="3" type="noConversion"/>
  </si>
  <si>
    <t>info.pushed</t>
    <phoneticPr fontId="3" type="noConversion"/>
  </si>
  <si>
    <t>Buff.Name.Pushed</t>
    <phoneticPr fontId="3" type="noConversion"/>
  </si>
  <si>
    <t>Buff.Desc.Pushed</t>
    <phoneticPr fontId="3" type="noConversion"/>
  </si>
  <si>
    <t>info.blackhole</t>
    <phoneticPr fontId="3" type="noConversion"/>
  </si>
  <si>
    <t>info.target.attacker</t>
    <phoneticPr fontId="3" type="noConversion"/>
  </si>
  <si>
    <t>info.target.tanker</t>
    <phoneticPr fontId="3" type="noConversion"/>
  </si>
  <si>
    <t>info.target.supporter</t>
    <phoneticPr fontId="3" type="noConversion"/>
  </si>
  <si>
    <t>info.targetattack.ranger</t>
    <phoneticPr fontId="3" type="noConversion"/>
  </si>
  <si>
    <t>info.link</t>
    <phoneticPr fontId="3" type="noConversion"/>
  </si>
  <si>
    <t>info.linkenemy</t>
    <phoneticPr fontId="3" type="noConversion"/>
  </si>
  <si>
    <t>info.stun</t>
    <phoneticPr fontId="3" type="noConversion"/>
  </si>
  <si>
    <t>info.blind</t>
    <phoneticPr fontId="3" type="noConversion"/>
  </si>
  <si>
    <t>info.silence</t>
    <phoneticPr fontId="3" type="noConversion"/>
  </si>
  <si>
    <t>info.fear</t>
    <phoneticPr fontId="3" type="noConversion"/>
  </si>
  <si>
    <t>info.freeze</t>
    <phoneticPr fontId="3" type="noConversion"/>
  </si>
  <si>
    <t>info.exile</t>
    <phoneticPr fontId="3" type="noConversion"/>
  </si>
  <si>
    <t>none</t>
    <phoneticPr fontId="3" type="noConversion"/>
  </si>
  <si>
    <t>info.taunt</t>
    <phoneticPr fontId="3" type="noConversion"/>
  </si>
  <si>
    <t>info.aggro</t>
    <phoneticPr fontId="3" type="noConversion"/>
  </si>
  <si>
    <t>Buff.Name.Aggro</t>
    <phoneticPr fontId="3" type="noConversion"/>
  </si>
  <si>
    <t>Buff.Desc.Aggro</t>
    <phoneticPr fontId="3" type="noConversion"/>
  </si>
  <si>
    <t>info.aggrobuff</t>
    <phoneticPr fontId="3" type="noConversion"/>
  </si>
  <si>
    <t>info.reflect</t>
    <phoneticPr fontId="3" type="noConversion"/>
  </si>
  <si>
    <t>info.shield</t>
    <phoneticPr fontId="3" type="noConversion"/>
  </si>
  <si>
    <t>info.reflect.shield</t>
    <phoneticPr fontId="3" type="noConversion"/>
  </si>
  <si>
    <t>info.barrier</t>
    <phoneticPr fontId="3" type="noConversion"/>
  </si>
  <si>
    <t>info.attackup</t>
    <phoneticPr fontId="3" type="noConversion"/>
  </si>
  <si>
    <t>info.defup</t>
    <phoneticPr fontId="3" type="noConversion"/>
  </si>
  <si>
    <t>info.criup</t>
    <phoneticPr fontId="3" type="noConversion"/>
  </si>
  <si>
    <t>info.damagerateup</t>
    <phoneticPr fontId="3" type="noConversion"/>
  </si>
  <si>
    <t>info.attackspeedup</t>
    <phoneticPr fontId="3" type="noConversion"/>
  </si>
  <si>
    <t>info.attackdown</t>
    <phoneticPr fontId="3" type="noConversion"/>
  </si>
  <si>
    <t>info.damagederatedown</t>
    <phoneticPr fontId="3" type="noConversion"/>
  </si>
  <si>
    <t>Info.Frost</t>
    <phoneticPr fontId="3" type="noConversion"/>
  </si>
  <si>
    <t>Buff.Name.frostbite</t>
  </si>
  <si>
    <t>Buff.Desc.frostbite</t>
  </si>
  <si>
    <t>info.daria.debuff.counterlink</t>
    <phoneticPr fontId="3" type="noConversion"/>
  </si>
  <si>
    <t>Desc.info.snopril.debuff.frozen</t>
  </si>
  <si>
    <t>info.itus.debuff.passive</t>
    <phoneticPr fontId="3" type="noConversion"/>
  </si>
  <si>
    <t>icon_battle_itus_buff_02</t>
    <phoneticPr fontId="3" type="noConversion"/>
  </si>
  <si>
    <t>Desc.info.itus.debuff.passive</t>
    <phoneticPr fontId="3" type="noConversion"/>
  </si>
  <si>
    <t>info.eradica.debuff.active2</t>
    <phoneticPr fontId="3" type="noConversion"/>
  </si>
  <si>
    <t>Desc.info.eradica.debuff.active2</t>
    <phoneticPr fontId="3" type="noConversion"/>
  </si>
  <si>
    <t>Wound</t>
    <phoneticPr fontId="3" type="noConversion"/>
  </si>
  <si>
    <t>icon_battle_wound</t>
    <phoneticPr fontId="3" type="noConversion"/>
  </si>
  <si>
    <t>Buff.Name.Wound</t>
    <phoneticPr fontId="12" type="noConversion"/>
  </si>
  <si>
    <t>Buff.Desc.Wound</t>
  </si>
  <si>
    <t>AttackRatio</t>
    <phoneticPr fontId="3" type="noConversion"/>
  </si>
  <si>
    <t>isabella.passive.killswitch.01</t>
  </si>
  <si>
    <t>isabella.passive.killswitch.buffeffect.01</t>
  </si>
  <si>
    <t>isabella.killswitch.buff.01</t>
  </si>
  <si>
    <t>isabella.passive.killswitch.02</t>
  </si>
  <si>
    <t>isabella.passive.killswitch.buffeffect.02</t>
  </si>
  <si>
    <t>isabella.killswitch.buff.02</t>
  </si>
  <si>
    <t>isabella.active1.crirateup.buff.01</t>
  </si>
  <si>
    <t>isabella.active1.crirateup.buff.buffeffect.01</t>
  </si>
  <si>
    <t>isabella.active1.crirateup.buff.02</t>
  </si>
  <si>
    <t>isabella.active1.crirateup.buff.buffeffect.02</t>
  </si>
  <si>
    <t>isabella.active1.crirateup.buff.03</t>
  </si>
  <si>
    <t>isabella.active1.crirateup.buff.buffeffect.03</t>
  </si>
  <si>
    <t>isabella.active1.crirateup.buff.04</t>
  </si>
  <si>
    <t>isabella.active1.crirateup.buff.buffeffect.04</t>
  </si>
  <si>
    <t>isabella.active1.crirateup.buff.05</t>
  </si>
  <si>
    <t>isabella.active1.crirateup.buff.buffeffect.05</t>
  </si>
  <si>
    <t>isabella.active1.crirateup.buff.06</t>
  </si>
  <si>
    <t>isabella.active1.crirateup.buff.buffeffect.06</t>
  </si>
  <si>
    <t>isabella.active2.defdown.buff.01</t>
  </si>
  <si>
    <t>isabella.active2.defdown.buff.buffeffect.01</t>
  </si>
  <si>
    <t>isabella.active2.defdown.buff.02</t>
  </si>
  <si>
    <t>isabella.active2.defdown.buff.buffeffect.02</t>
  </si>
  <si>
    <t>isabella.active2.defdown.buff.03</t>
  </si>
  <si>
    <t>isabella.active2.defdown.buff.buffeffect.03</t>
  </si>
  <si>
    <t>isabella.active2.defdown.buff.04</t>
  </si>
  <si>
    <t>isabella.active2.defdown.buff.buffeffect.04</t>
  </si>
  <si>
    <t>isabella.active2.defdown.buff.05</t>
  </si>
  <si>
    <t>isabella.active2.defdown.buff.buffeffect.05</t>
  </si>
  <si>
    <t>isabella.active2.defdown.buff.06</t>
  </si>
  <si>
    <t>isabella.active2.defdown.buff.buffeffect.06</t>
  </si>
  <si>
    <t>isabella.passive.buff.01</t>
  </si>
  <si>
    <t>isabella.passive.buff.02</t>
  </si>
  <si>
    <t>isabella.passive.buff.03</t>
  </si>
  <si>
    <t>isabella.passive.buff.04</t>
  </si>
  <si>
    <t>isabella.passive.buff.05</t>
  </si>
  <si>
    <t>isabella.passive.buff.06</t>
  </si>
  <si>
    <t>isabella.passive.critical.event.atkup.buff.01</t>
  </si>
  <si>
    <t>isabella.passive.critical.event.atkup.buff.buffeffect.01</t>
  </si>
  <si>
    <t>isabella.passive.critical.event.atkup.buff.02</t>
  </si>
  <si>
    <t>isabella.passive.critical.event.atkup.buff.buffeffect.02</t>
  </si>
  <si>
    <t>isabella.passive.critical.event.atkup.buff.03</t>
  </si>
  <si>
    <t>isabella.passive.critical.event.atkup.buff.buffeffect.03</t>
  </si>
  <si>
    <t>isabella.passive.critical.event.atkup.buff.04</t>
  </si>
  <si>
    <t>isabella.passive.critical.event.atkup.buff.buffeffect.04</t>
  </si>
  <si>
    <t>isabella.passive.critical.event.atkup.buff.05</t>
  </si>
  <si>
    <t>isabella.passive.critical.event.atkup.buff.buffeffect.05</t>
  </si>
  <si>
    <t>isabella.passive.critical.event.atkup.buff.06</t>
  </si>
  <si>
    <t>isabella.passive.critical.event.atkup.buff.buffeffect.06</t>
  </si>
  <si>
    <t>isabella.passive.private.buff.buffeffect.01</t>
  </si>
  <si>
    <t>isabella.passive.ex.buff.01</t>
  </si>
  <si>
    <t>isabella.passive.ex.buff.buffeffect.01.01
isabella.passive.ex.buff.buffeffect.02.01</t>
  </si>
  <si>
    <t>isabella.passive.ex.buff.02</t>
  </si>
  <si>
    <t>isabella.passive.ex.buff.buffeffect.01.02
isabella.passive.ex.buff.buffeffect.02.02</t>
  </si>
  <si>
    <t>isabella.passive.ex.buff.03</t>
  </si>
  <si>
    <t>isabella.passive.ex.buff.buffeffect.01.03
isabella.passive.ex.buff.buffeffect.02.03</t>
  </si>
  <si>
    <t>isabella.passive.ex.buff.04</t>
  </si>
  <si>
    <t>isabella.passive.ex.buff.buffeffect.01.04
isabella.passive.ex.buff.buffeffect.02.04</t>
  </si>
  <si>
    <t>isabella.passive.ex.buff.05</t>
  </si>
  <si>
    <t>isabella.passive.ex.buff.buffeffect.01.05
isabella.passive.ex.buff.buffeffect.02.05</t>
  </si>
  <si>
    <t>isabella.passive.ex.buff.06</t>
  </si>
  <si>
    <t>isabella.passive.ex.buff.buffeffect.01.06
isabella.passive.ex.buff.buffeffect.02.06</t>
  </si>
  <si>
    <t>isabella.passive.ex.token.buff</t>
  </si>
  <si>
    <t>isabella.active1.summon.crirateup.buff.01</t>
  </si>
  <si>
    <t>isabella.active1.summon.crirateup.buff.buffeffect.01</t>
  </si>
  <si>
    <t>isabella.active1.summon.crirateup.buff.02</t>
  </si>
  <si>
    <t>isabella.active1.summon.crirateup.buff.buffeffect.02</t>
  </si>
  <si>
    <t>isabella.active1.summon.crirateup.buff.03</t>
  </si>
  <si>
    <t>isabella.active1.summon.crirateup.buff.buffeffect.03</t>
  </si>
  <si>
    <t>isabella.active1.summon.crirateup.buff.04</t>
  </si>
  <si>
    <t>isabella.active1.summon.crirateup.buff.buffeffect.04</t>
  </si>
  <si>
    <t>isabella.active1.summon.crirateup.buff.05</t>
  </si>
  <si>
    <t>isabella.active1.summon.crirateup.buff.buffeffect.05</t>
  </si>
  <si>
    <t>isabella.active1.summon.crirateup.buff.06</t>
  </si>
  <si>
    <t>isabella.active1.summon.crirateup.buff.buffeffect.06</t>
  </si>
  <si>
    <t>isabella.active2.summon.defdown.buff.01</t>
  </si>
  <si>
    <t>isabella.active2.summon.defdown.buff.buffeffect.01</t>
  </si>
  <si>
    <t>isabella.active2.summon.defdown.buff.02</t>
  </si>
  <si>
    <t>isabella.active2.summon.defdown.buff.buffeffect.02</t>
  </si>
  <si>
    <t>isabella.active2.summon.defdown.buff.03</t>
  </si>
  <si>
    <t>isabella.active2.summon.defdown.buff.buffeffect.03</t>
  </si>
  <si>
    <t>isabella.active2.summon.defdown.buff.04</t>
  </si>
  <si>
    <t>isabella.active2.summon.defdown.buff.buffeffect.04</t>
  </si>
  <si>
    <t>isabella.active2.summon.defdown.buff.05</t>
  </si>
  <si>
    <t>isabella.active2.summon.defdown.buff.buffeffect.05</t>
  </si>
  <si>
    <t>isabella.active2.summon.defdown.buff.06</t>
  </si>
  <si>
    <t>isabella.active2.summon.defdown.buff.buffeffect.06</t>
  </si>
  <si>
    <t>isabella.passive.ex.token</t>
  </si>
  <si>
    <t>isabella.passive.summon.buff.01</t>
  </si>
  <si>
    <t>isabella.passive.summon.killswitch.01
isabella.passive.summon.killswitch.02
isabella.passive.summon.buff.buffeffect.01.01
isabella.passive.summon.buff.buffeffect.02.01</t>
  </si>
  <si>
    <t>isabella.passive.summon.buff.02</t>
  </si>
  <si>
    <t>isabella.passive.summon.killswitch.01
isabella.passive.summon.killswitch.02
isabella.passive.summon.buff.buffeffect.01.02
isabella.passive.summon.buff.buffeffect.02.02</t>
  </si>
  <si>
    <t>isabella.passive.summon.buff.03</t>
  </si>
  <si>
    <t>isabella.passive.summon.killswitch.01
isabella.passive.summon.killswitch.02
isabella.passive.summon.buff.buffeffect.01.03
isabella.passive.summon.buff.buffeffect.02.03</t>
  </si>
  <si>
    <t>isabella.passive.summon.buff.04</t>
  </si>
  <si>
    <t>isabella.passive.summon.killswitch.01
isabella.passive.summon.killswitch.02
isabella.passive.summon.buff.buffeffect.01.04
isabella.passive.summon.buff.buffeffect.02.04</t>
  </si>
  <si>
    <t>isabella.passive.summon.buff.05</t>
  </si>
  <si>
    <t>isabella.passive.summon.killswitch.01
isabella.passive.summon.killswitch.02
isabella.passive.summon.buff.buffeffect.01.05
isabella.passive.summon.buff.buffeffect.02.05</t>
  </si>
  <si>
    <t>isabella.passive.summon.buff.06</t>
  </si>
  <si>
    <t>isabella.passive.summon.killswitch.01
isabella.passive.summon.killswitch.02
isabella.passive.summon.buff.buffeffect.01.06
isabella.passive.summon.buff.buffeffect.02.06</t>
  </si>
  <si>
    <t>isabella.passive.killswitch.buffeffect.skilleffect.01</t>
  </si>
  <si>
    <t>isabella.passive.killswitch.buffeffect.skilleffect.02</t>
  </si>
  <si>
    <t>isabella.passive.buff.buffeffect.01</t>
  </si>
  <si>
    <t>isabella.passive.buff.buffeffect.02</t>
  </si>
  <si>
    <t>isabella.passive.buff.buffeffect.03</t>
  </si>
  <si>
    <t>isabella.passive.buff.buffeffect.04</t>
  </si>
  <si>
    <t>isabella.passive.buff.buffeffect.05</t>
  </si>
  <si>
    <t>isabella.passive.buff.buffeffect.06</t>
  </si>
  <si>
    <t>isabella.passive.critical.event.01</t>
  </si>
  <si>
    <t>isabella.passive.critical.event.skilleffect.01</t>
  </si>
  <si>
    <t>isabella.passive.critical.event.02</t>
  </si>
  <si>
    <t>isabella.passive.critical.event.skilleffect.02</t>
  </si>
  <si>
    <t>isabella.passive.critical.event.03</t>
  </si>
  <si>
    <t>isabella.passive.critical.event.skilleffect.03</t>
  </si>
  <si>
    <t>isabella.passive.critical.event.04</t>
  </si>
  <si>
    <t>isabella.passive.critical.event.skilleffect.04</t>
  </si>
  <si>
    <t>isabella.passive.critical.event.05</t>
  </si>
  <si>
    <t>isabella.passive.critical.event.skilleffect.05</t>
  </si>
  <si>
    <t>isabella.passive.critical.event.06</t>
  </si>
  <si>
    <t>isabella.passive.critical.event.skilleffect.06</t>
  </si>
  <si>
    <t>isabella.passive.ex.buff.buffeffect.01.01</t>
  </si>
  <si>
    <t>isabella.passive.ex.buff.buffeffect.01.02</t>
  </si>
  <si>
    <t>isabella.passive.ex.buff.buffeffect.01.03</t>
  </si>
  <si>
    <t>isabella.passive.ex.buff.buffeffect.01.04</t>
  </si>
  <si>
    <t>isabella.passive.ex.buff.buffeffect.01.05</t>
  </si>
  <si>
    <t>isabella.passive.ex.buff.buffeffect.01.06</t>
  </si>
  <si>
    <t>isabella.passive.ex.buff.buffeffect.02.01</t>
  </si>
  <si>
    <t>isabella.passive.ex.buff.buffeffect.02.02</t>
  </si>
  <si>
    <t>isabella.passive.ex.buff.buffeffect.02.03</t>
  </si>
  <si>
    <t>isabella.passive.ex.buff.buffeffect.02.04</t>
  </si>
  <si>
    <t>isabella.passive.ex.buff.buffeffect.02.05</t>
  </si>
  <si>
    <t>isabella.passive.ex.buff.buffeffect.02.06</t>
  </si>
  <si>
    <t>isabella.passive.ex.token.buff.skilleffect</t>
  </si>
  <si>
    <t>isabella.passive.summon.killswitch.01</t>
  </si>
  <si>
    <t>isabella.passive.summon.killswitch.02</t>
  </si>
  <si>
    <t>isabella.passive.summon.buff.buffeffect.01.01</t>
  </si>
  <si>
    <t>isabella.passive.summon.buff.buffeffect.01.02</t>
  </si>
  <si>
    <t>isabella.passive.summon.buff.buffeffect.01.03</t>
  </si>
  <si>
    <t>isabella.passive.summon.buff.buffeffect.01.04</t>
  </si>
  <si>
    <t>isabella.passive.summon.buff.buffeffect.01.05</t>
  </si>
  <si>
    <t>isabella.passive.summon.buff.buffeffect.01.06</t>
  </si>
  <si>
    <t>isabella.passive.summon.buff.buffeffect.02.01</t>
  </si>
  <si>
    <t>isabella.passive.summon.buff.buffeffect.02.02</t>
  </si>
  <si>
    <t>isabella.passive.summon.buff.buffeffect.02.03</t>
  </si>
  <si>
    <t>isabella.passive.summon.buff.buffeffect.02.04</t>
  </si>
  <si>
    <t>isabella.passive.summon.buff.buffeffect.02.05</t>
  </si>
  <si>
    <t>isabella.passive.summon.buff.buffeffect.02.06</t>
  </si>
  <si>
    <t>isabella.passive.buff.buffeffect.01
isabella.passive.critical.event.01
isabella.passive.boss.dmgrate.up</t>
    <phoneticPr fontId="3" type="noConversion"/>
  </si>
  <si>
    <t>isabella.passive.buff.buffeffect.02
isabella.passive.critical.event.02
isabella.passive.boss.dmgrate.up</t>
    <phoneticPr fontId="3" type="noConversion"/>
  </si>
  <si>
    <t>isabella.passive.buff.buffeffect.03
isabella.passive.critical.event.03
isabella.passive.boss.dmgrate.up</t>
    <phoneticPr fontId="3" type="noConversion"/>
  </si>
  <si>
    <t>isabella.passive.buff.buffeffect.04
isabella.passive.critical.event.04
isabella.passive.boss.dmgrate.up</t>
    <phoneticPr fontId="3" type="noConversion"/>
  </si>
  <si>
    <t>isabella.passive.buff.buffeffect.05
isabella.passive.critical.event.05
isabella.passive.boss.dmgrate.up</t>
    <phoneticPr fontId="3" type="noConversion"/>
  </si>
  <si>
    <t>isabella.passive.buff.buffeffect.06
isabella.passive.critical.event.06
isabella.passive.boss.dmgrate.up</t>
    <phoneticPr fontId="3" type="noConversion"/>
  </si>
  <si>
    <t>isabella.passive.private.buff</t>
    <phoneticPr fontId="3" type="noConversion"/>
  </si>
  <si>
    <t>isabella.passive.boss.dmgrate.up</t>
    <phoneticPr fontId="3" type="noConversion"/>
  </si>
  <si>
    <t>isabella.passive.ex.token.buff.buffeffect.01</t>
    <phoneticPr fontId="3" type="noConversion"/>
  </si>
  <si>
    <t>isabella.passive.ex.token.buff.buffeffect.02</t>
    <phoneticPr fontId="3" type="noConversion"/>
  </si>
  <si>
    <t>!isabella.passive.private.buff</t>
    <phoneticPr fontId="3" type="noConversion"/>
  </si>
  <si>
    <t>isabella.active2.private.buff</t>
  </si>
  <si>
    <t>isabella.active2.private.buff.buffeffect.01</t>
  </si>
  <si>
    <t>isabella.active2.private.buff.buffeffect.01</t>
    <phoneticPr fontId="3" type="noConversion"/>
  </si>
  <si>
    <t>isabella.active2.private.skilleffect.01</t>
    <phoneticPr fontId="3" type="noConversion"/>
  </si>
  <si>
    <t>balencia.ult.accelarate.middle.buff.01</t>
  </si>
  <si>
    <t>balencia.ult.accelarate.middle.buff.02</t>
  </si>
  <si>
    <t>balencia.ult.accelarate.middle.buff.03</t>
  </si>
  <si>
    <t>balencia.ult.accelarate.middle.buff.04</t>
  </si>
  <si>
    <t>balencia.ult.accelarate.middle.buff.05</t>
  </si>
  <si>
    <t>balencia.ult.accelarate.middle.buff.06</t>
  </si>
  <si>
    <t>balencia.ult.accelarate.middle.buff.07</t>
  </si>
  <si>
    <t>balencia.ult.accelarate.back.buff.01</t>
  </si>
  <si>
    <t>balencia.ult.accelarate.back.buff.02</t>
  </si>
  <si>
    <t>balencia.ult.accelarate.back.buff.03</t>
  </si>
  <si>
    <t>balencia.ult.accelarate.back.buff.04</t>
  </si>
  <si>
    <t>balencia.ult.accelarate.back.buff.05</t>
  </si>
  <si>
    <t>balencia.ult.accelarate.back.buff.06</t>
  </si>
  <si>
    <t>balencia.ult.accelarate.back.buff.07</t>
  </si>
  <si>
    <t>balencia.active1.cridmgup.middle.buff.01</t>
  </si>
  <si>
    <t>balencia.active1.cridmgup.middle.buff.02</t>
  </si>
  <si>
    <t>balencia.active1.cridmgup.middle.buff.03</t>
  </si>
  <si>
    <t>balencia.active1.cridmgup.middle.buff.04</t>
  </si>
  <si>
    <t>balencia.active1.cridmgup.middle.buff.05</t>
  </si>
  <si>
    <t>balencia.active1.cridmgup.middle.buff.06</t>
  </si>
  <si>
    <t>balencia.active1.cridmgup.back.buff.01</t>
  </si>
  <si>
    <t>balencia.active1.cridmgup.back.buff.02</t>
  </si>
  <si>
    <t>balencia.active1.cridmgup.back.buff.03</t>
  </si>
  <si>
    <t>balencia.active1.cridmgup.back.buff.04</t>
  </si>
  <si>
    <t>balencia.active1.cridmgup.back.buff.05</t>
  </si>
  <si>
    <t>balencia.active1.cridmgup.back.buff.06</t>
  </si>
  <si>
    <t>balencia.passive.buff.buffeffect.01.01</t>
    <phoneticPr fontId="3" type="noConversion"/>
  </si>
  <si>
    <t>balencia.passive.buff.buffeffect.01.01
balencia.passive.buff.buffeffect.02.01</t>
    <phoneticPr fontId="3" type="noConversion"/>
  </si>
  <si>
    <t>balencia.passive.ex.buffeffect.01</t>
    <phoneticPr fontId="3" type="noConversion"/>
  </si>
  <si>
    <t>balencia.passive.buff.buffeffect.01.02
balencia.passive.buff.buffeffect.02.02</t>
    <phoneticPr fontId="3" type="noConversion"/>
  </si>
  <si>
    <t>balencia.passive.buff.buffeffect.01.03
balencia.passive.buff.buffeffect.02.03</t>
    <phoneticPr fontId="3" type="noConversion"/>
  </si>
  <si>
    <t>balencia.passive.buff.buffeffect.01.04
balencia.passive.buff.buffeffect.02.04</t>
    <phoneticPr fontId="3" type="noConversion"/>
  </si>
  <si>
    <t>balencia.passive.buff.buffeffect.01.05
balencia.passive.buff.buffeffect.02.05</t>
    <phoneticPr fontId="3" type="noConversion"/>
  </si>
  <si>
    <t>balencia.passive.buff.buffeffect.01.02</t>
  </si>
  <si>
    <t>balencia.passive.buff.buffeffect.01.03</t>
  </si>
  <si>
    <t>balencia.passive.buff.buffeffect.01.04</t>
  </si>
  <si>
    <t>balencia.passive.buff.buffeffect.01.05</t>
  </si>
  <si>
    <t>balencia.passive.buff.buffeffect.02.01</t>
    <phoneticPr fontId="3" type="noConversion"/>
  </si>
  <si>
    <t>balencia.passive.buff.buffeffect.02.02</t>
  </si>
  <si>
    <t>balencia.passive.buff.buffeffect.02.03</t>
  </si>
  <si>
    <t>balencia.passive.buff.buffeffect.02.04</t>
  </si>
  <si>
    <t>balencia.passive.buff.buffeffect.02.05</t>
  </si>
  <si>
    <t>balencia.passive.buff.06</t>
    <phoneticPr fontId="3" type="noConversion"/>
  </si>
  <si>
    <t>balencia.passive.buff.buffeffect.01.06
balencia.passive.buff.buffeffect.02.06</t>
    <phoneticPr fontId="3" type="noConversion"/>
  </si>
  <si>
    <t>balencia.passive.buff.buffeffect.01.06</t>
    <phoneticPr fontId="3" type="noConversion"/>
  </si>
  <si>
    <t>balencia.passive.buff.buffeffect.02.06</t>
    <phoneticPr fontId="3" type="noConversion"/>
  </si>
  <si>
    <t>balencia.passive.cooldown.middle.skilleffect.01</t>
    <phoneticPr fontId="3" type="noConversion"/>
  </si>
  <si>
    <t>balencia.passive.cooldown.middle.skilleffect.02</t>
  </si>
  <si>
    <t>balencia.passive.cooldown.middle.skilleffect.03</t>
  </si>
  <si>
    <t>balencia.passive.cooldown.middle.skilleffect.04</t>
    <phoneticPr fontId="3" type="noConversion"/>
  </si>
  <si>
    <t>balencia.passive.cooldown.middle.skilleffect.05</t>
  </si>
  <si>
    <t>balencia.passive.cooldown.middle.skilleffect.06</t>
  </si>
  <si>
    <t>balencia.passive.cooldown.back.skilleffect.01</t>
  </si>
  <si>
    <t>balencia.passive.cooldown.back.skilleffect.02</t>
  </si>
  <si>
    <t>balencia.passive.cooldown.back.skilleffect.03</t>
  </si>
  <si>
    <t>balencia.passive.cooldown.back.skilleffect.04</t>
  </si>
  <si>
    <t>balencia.passive.cooldown.back.skilleffect.05</t>
  </si>
  <si>
    <t>balencia.passive.cooldown.back.skilleffect.06</t>
  </si>
  <si>
    <t>balencia.passive.ex.private.buff</t>
    <phoneticPr fontId="3" type="noConversion"/>
  </si>
  <si>
    <t>balencia.passive.ex.private.dmgderateup.buff</t>
    <phoneticPr fontId="3" type="noConversion"/>
  </si>
  <si>
    <t>balencia.passive.ex.private.buff.buffeffect.01</t>
  </si>
  <si>
    <t>balencia.passive.ex.private.buff.buffeffect.01</t>
    <phoneticPr fontId="3" type="noConversion"/>
  </si>
  <si>
    <t>balencia.passive.ex.private.dmgderateup.buff.buffeffect.01</t>
  </si>
  <si>
    <t>balencia.passive.ex.private.dmgderateup.buff.buffeffect.01</t>
    <phoneticPr fontId="3" type="noConversion"/>
  </si>
  <si>
    <t>Active</t>
    <phoneticPr fontId="3" type="noConversion"/>
  </si>
  <si>
    <t>balencia.passive.ex.private.skilleffect.01</t>
    <phoneticPr fontId="3" type="noConversion"/>
  </si>
  <si>
    <t>DamageDerate</t>
    <phoneticPr fontId="3" type="noConversion"/>
  </si>
  <si>
    <t>CriticalDamage.Up.02</t>
    <phoneticPr fontId="3" type="noConversion"/>
  </si>
  <si>
    <t>CriticalDamage.Up.03</t>
    <phoneticPr fontId="3" type="noConversion"/>
  </si>
  <si>
    <t>isabella.ult.boss.dmgup.buff</t>
    <phoneticPr fontId="3" type="noConversion"/>
  </si>
  <si>
    <t>isabella.ult.boss.dmgup.buff.buffeffect.01</t>
  </si>
  <si>
    <t>isabella.ult.boss.dmgup.buff.buffeffect.01</t>
    <phoneticPr fontId="3" type="noConversion"/>
  </si>
  <si>
    <t>BossDamageRate</t>
    <phoneticPr fontId="3" type="noConversion"/>
  </si>
  <si>
    <t>balencia.passive.ex.trigger</t>
  </si>
  <si>
    <t>balencia.passive.ex.trigger</t>
    <phoneticPr fontId="3" type="noConversion"/>
  </si>
  <si>
    <t>none</t>
    <phoneticPr fontId="3" type="noConversion"/>
  </si>
  <si>
    <t>isabella.passive.private.buff.buffeffect.01
isabella.passive.ex.token.buff.buffeffect.02</t>
    <phoneticPr fontId="3" type="noConversion"/>
  </si>
  <si>
    <t>balencia.passive.ex.dmgderateup.buff.01</t>
    <phoneticPr fontId="3" type="noConversion"/>
  </si>
  <si>
    <t>balencia.passive.ex.dmgderateup.buff.02</t>
    <phoneticPr fontId="3" type="noConversion"/>
  </si>
  <si>
    <t>balencia.passive.ex.dmgderateup.buff.03</t>
    <phoneticPr fontId="3" type="noConversion"/>
  </si>
  <si>
    <t>balencia.passive.ex.dmgderateup.buff.04</t>
    <phoneticPr fontId="3" type="noConversion"/>
  </si>
  <si>
    <t>balencia.passive.ex.dmgderateup.buff.05</t>
    <phoneticPr fontId="3" type="noConversion"/>
  </si>
  <si>
    <t>balencia.passive.ex.dmgderateup.buff.06</t>
    <phoneticPr fontId="3" type="noConversion"/>
  </si>
  <si>
    <t>balencia.passive.ex.atkspeedup.buff.01</t>
    <phoneticPr fontId="3" type="noConversion"/>
  </si>
  <si>
    <t>balencia.passive.ex.atkspeedup.buff.02</t>
  </si>
  <si>
    <t>balencia.passive.ex.atkspeedup.buff.03</t>
  </si>
  <si>
    <t>balencia.passive.ex.atkspeedup.buff.04</t>
  </si>
  <si>
    <t>balencia.passive.ex.atkspeedup.buff.05</t>
  </si>
  <si>
    <t>balencia.passive.ex.atkspeedup.buff.06</t>
  </si>
  <si>
    <t>balencia.passive.ex.dmgderateup.buff.buffeffect.01</t>
  </si>
  <si>
    <t>balencia.passive.ex.dmgderateup.buff.buffeffect.01</t>
    <phoneticPr fontId="3" type="noConversion"/>
  </si>
  <si>
    <t>balencia.passive.ex.dmgderateup.buff.buffeffect.02</t>
  </si>
  <si>
    <t>balencia.passive.ex.dmgderateup.buff.buffeffect.02</t>
    <phoneticPr fontId="3" type="noConversion"/>
  </si>
  <si>
    <t>balencia.passive.ex.dmgderateup.buff.buffeffect.03</t>
  </si>
  <si>
    <t>balencia.passive.ex.dmgderateup.buff.buffeffect.03</t>
    <phoneticPr fontId="3" type="noConversion"/>
  </si>
  <si>
    <t>balencia.passive.ex.dmgderateup.buff.buffeffect.04</t>
  </si>
  <si>
    <t>balencia.passive.ex.dmgderateup.buff.buffeffect.04</t>
    <phoneticPr fontId="3" type="noConversion"/>
  </si>
  <si>
    <t>balencia.passive.ex.dmgderateup.buff.buffeffect.05</t>
  </si>
  <si>
    <t>balencia.passive.ex.dmgderateup.buff.buffeffect.05</t>
    <phoneticPr fontId="3" type="noConversion"/>
  </si>
  <si>
    <t>balencia.passive.ex.dmgderateup.buff.buffeffect.06</t>
  </si>
  <si>
    <t>balencia.passive.ex.dmgderateup.buff.buffeffect.06</t>
    <phoneticPr fontId="3" type="noConversion"/>
  </si>
  <si>
    <t>balencia.passive.ex.atkspeedup.buff.buffeffect.01</t>
  </si>
  <si>
    <t>balencia.passive.ex.atkspeedup.buff.buffeffect.01</t>
    <phoneticPr fontId="3" type="noConversion"/>
  </si>
  <si>
    <t>balencia.passive.ex.atkspeedup.buff.buffeffect.02</t>
  </si>
  <si>
    <t>balencia.passive.ex.atkspeedup.buff.buffeffect.02</t>
    <phoneticPr fontId="3" type="noConversion"/>
  </si>
  <si>
    <t>balencia.passive.ex.atkspeedup.buff.buffeffect.03</t>
  </si>
  <si>
    <t>balencia.passive.ex.atkspeedup.buff.buffeffect.03</t>
    <phoneticPr fontId="3" type="noConversion"/>
  </si>
  <si>
    <t>balencia.passive.ex.atkspeedup.buff.buffeffect.04</t>
  </si>
  <si>
    <t>balencia.passive.ex.atkspeedup.buff.buffeffect.04</t>
    <phoneticPr fontId="3" type="noConversion"/>
  </si>
  <si>
    <t>balencia.passive.ex.atkspeedup.buff.buffeffect.05</t>
  </si>
  <si>
    <t>balencia.passive.ex.atkspeedup.buff.buffeffect.05</t>
    <phoneticPr fontId="3" type="noConversion"/>
  </si>
  <si>
    <t>balencia.passive.ex.atkspeedup.buff.buffeffect.06</t>
  </si>
  <si>
    <t>balencia.passive.ex.atkspeedup.buff.buffeffect.06</t>
    <phoneticPr fontId="3" type="noConversion"/>
  </si>
  <si>
    <t>Reduce.Damage.Up</t>
    <phoneticPr fontId="3" type="noConversion"/>
  </si>
  <si>
    <t>CriticalDamageRate</t>
    <phoneticPr fontId="3" type="noConversion"/>
  </si>
  <si>
    <t>isabella.passive.private.buff</t>
    <phoneticPr fontId="3" type="noConversion"/>
  </si>
  <si>
    <t>eradica.passive.ex.maindealer.passive.ex.buff.buffeffect.01.02
eradica.passive.ex.maindealer.passive.ex.buff.buffeffect.02.02
eradica.passive.ex.maindealer.passive.ex.buff.buffeffect.03.02
eradica.passive.ex.maindealer.passive.ex.buff.buffeffect.04.02</t>
    <phoneticPr fontId="3" type="noConversion"/>
  </si>
  <si>
    <t>id.active1.buff.02</t>
  </si>
  <si>
    <t>id.active1.buff.buffeffect.02</t>
  </si>
  <si>
    <t>id.active1.buff.03</t>
  </si>
  <si>
    <t>id.active1.buff.buffeffect.03</t>
  </si>
  <si>
    <t>id.active1.buff.04</t>
  </si>
  <si>
    <t>id.active1.buff.buffeffect.04</t>
  </si>
  <si>
    <t>id.active1.buff.05</t>
  </si>
  <si>
    <t>id.active1.buff.buffeffect.05</t>
  </si>
  <si>
    <t>id.active1.buff.06</t>
  </si>
  <si>
    <t>id.active1.buff.buffeffect.06</t>
  </si>
  <si>
    <t>id.active2.buff.02</t>
  </si>
  <si>
    <t>id.active2.buff.buffeffect.02</t>
  </si>
  <si>
    <t>id.active2.buff.03</t>
  </si>
  <si>
    <t>id.active2.buff.buffeffect.03</t>
  </si>
  <si>
    <t>id.active2.buff.04</t>
  </si>
  <si>
    <t>id.active2.buff.buffeffect.04</t>
  </si>
  <si>
    <t>id.active2.buff.05</t>
  </si>
  <si>
    <t>id.active2.buff.buffeffect.05</t>
  </si>
  <si>
    <t>id.active2.buff.06</t>
  </si>
  <si>
    <t>id.active2.buff.buffeffect.06</t>
  </si>
  <si>
    <t>id.active2.buff.passive.buff.01</t>
  </si>
  <si>
    <t>id.active2.buff.passive.buff.02</t>
  </si>
  <si>
    <t>id.active2.buff.passive.buff.buffeffect.02</t>
  </si>
  <si>
    <t>id.active2.buff.passive.buff.03</t>
  </si>
  <si>
    <t>id.active2.buff.passive.buff.buffeffect.03</t>
  </si>
  <si>
    <t>id.active2.buff.passive.buff.04</t>
  </si>
  <si>
    <t>id.active2.buff.passive.buff.buffeffect.04</t>
  </si>
  <si>
    <t>id.active2.buff.passive.buff.05</t>
  </si>
  <si>
    <t>id.active2.buff.passive.buff.buffeffect.05</t>
  </si>
  <si>
    <t>id.active2.buff.passive.buff.06</t>
  </si>
  <si>
    <t>id.active2.buff.passive.buff.buffeffect.06</t>
  </si>
  <si>
    <t>id.passive.buff.poison.02</t>
  </si>
  <si>
    <t>id.passive.buff.poison.buffeffect.02</t>
  </si>
  <si>
    <t>id.passive.buff.poison.03</t>
  </si>
  <si>
    <t>id.passive.buff.poison.buffeffect.03</t>
  </si>
  <si>
    <t>id.passive.buff.poison.04</t>
  </si>
  <si>
    <t>id.passive.buff.poison.buffeffect.04</t>
  </si>
  <si>
    <t>id.passive.buff.poison.05</t>
  </si>
  <si>
    <t>id.passive.buff.poison.buffeffect.05</t>
  </si>
  <si>
    <t>id.passive.buff.poison.06</t>
  </si>
  <si>
    <t>id.passive.buff.poison.buffeffect.06</t>
  </si>
  <si>
    <t>id.passive.poison.01.02</t>
  </si>
  <si>
    <t>id.passive.poison.01.03</t>
  </si>
  <si>
    <t>id.passive.poison.01.04</t>
  </si>
  <si>
    <t>id.passive.poison.01.05</t>
  </si>
  <si>
    <t>id.passive.poison.01.06</t>
  </si>
  <si>
    <t>id.passive.poison.02.02</t>
  </si>
  <si>
    <t>id.passive.poison.02.03</t>
  </si>
  <si>
    <t>id.passive.poison.02.04</t>
  </si>
  <si>
    <t>id.passive.poison.02.05</t>
  </si>
  <si>
    <t>id.passive.poison.02.06</t>
  </si>
  <si>
    <t>id.passive.ex.buff.02</t>
  </si>
  <si>
    <t>id.passive.ex.buff.buffeffect.02</t>
  </si>
  <si>
    <t>id.passive.ex.buff.03</t>
  </si>
  <si>
    <t>id.passive.ex.buff.buffeffect.03</t>
  </si>
  <si>
    <t>id.passive.ex.buff.04</t>
  </si>
  <si>
    <t>id.passive.ex.buff.buffeffect.04</t>
  </si>
  <si>
    <t>id.passive.ex.buff.05</t>
  </si>
  <si>
    <t>id.passive.ex.buff.buffeffect.05</t>
  </si>
  <si>
    <t>id.passive.ex.buff.06</t>
  </si>
  <si>
    <t>id.passive.ex.buff.buffeffect.06</t>
  </si>
  <si>
    <t>freyja.ult.buff.01</t>
    <phoneticPr fontId="3" type="noConversion"/>
  </si>
  <si>
    <t>freyja.ult.buff.buffeffect.01.01
freyja.ult.buff.buffeffect.02.01</t>
    <phoneticPr fontId="3" type="noConversion"/>
  </si>
  <si>
    <t>freyja.ult.buff.buffeffect.01.02
freyja.ult.buff.buffeffect.02.02</t>
    <phoneticPr fontId="3" type="noConversion"/>
  </si>
  <si>
    <t>freyja.ult.buff.buffeffect.01.03
freyja.ult.buff.buffeffect.02.03</t>
    <phoneticPr fontId="3" type="noConversion"/>
  </si>
  <si>
    <t>Effect/Prefab/10_buff/EFF_debuff_defdown</t>
    <phoneticPr fontId="3" type="noConversion"/>
  </si>
  <si>
    <t>freyja.ult.buff.buffeffect.01.04
freyja.ult.buff.buffeffect.02.04</t>
    <phoneticPr fontId="3" type="noConversion"/>
  </si>
  <si>
    <t>freyja.ult.buff.buffeffect.01.05
freyja.ult.buff.buffeffect.02.05</t>
    <phoneticPr fontId="3" type="noConversion"/>
  </si>
  <si>
    <t>freyja.ult.buff.buffeffect.01.06
freyja.ult.buff.buffeffect.02.06</t>
    <phoneticPr fontId="3" type="noConversion"/>
  </si>
  <si>
    <t>freyja.ult.buff.buffeffect.01.07
freyja.ult.buff.buffeffect.02.07</t>
    <phoneticPr fontId="3" type="noConversion"/>
  </si>
  <si>
    <t>freyja.ult.B.buff.01.01</t>
    <phoneticPr fontId="12" type="noConversion"/>
  </si>
  <si>
    <t>none</t>
    <phoneticPr fontId="3" type="noConversion"/>
  </si>
  <si>
    <t>freyja.ult.B.buff.buffeffect.01</t>
    <phoneticPr fontId="3" type="noConversion"/>
  </si>
  <si>
    <t>freyja.ult.B.passive.buff.01</t>
    <phoneticPr fontId="3" type="noConversion"/>
  </si>
  <si>
    <t>freyja.ult.B.passive.buff.buffeffect.01</t>
    <phoneticPr fontId="3" type="noConversion"/>
  </si>
  <si>
    <t>freyja.ult.B.passive.buff.buffeffect.buff.01</t>
    <phoneticPr fontId="3" type="noConversion"/>
  </si>
  <si>
    <t>freyja.ult.B.passive.buff.buffeffect.buff.buffeffect.01</t>
    <phoneticPr fontId="3" type="noConversion"/>
  </si>
  <si>
    <t>HealRatedown</t>
    <phoneticPr fontId="3" type="noConversion"/>
  </si>
  <si>
    <t>Effect/Prefab/10_buff/EFF_debuff_healdown</t>
    <phoneticPr fontId="3" type="noConversion"/>
  </si>
  <si>
    <t>Wound</t>
    <phoneticPr fontId="3" type="noConversion"/>
  </si>
  <si>
    <t>freyja.active1.effect.event.buff.04</t>
    <phoneticPr fontId="3" type="noConversion"/>
  </si>
  <si>
    <t>freyja.active2.effect.buff.01.01</t>
    <phoneticPr fontId="3" type="noConversion"/>
  </si>
  <si>
    <t>freyja.active2.effect.buff.02.01</t>
    <phoneticPr fontId="3" type="noConversion"/>
  </si>
  <si>
    <t>freyja.active2.effect.buff.buffeffect.02.01</t>
    <phoneticPr fontId="3" type="noConversion"/>
  </si>
  <si>
    <t>freyja.passive.buff.buffeffect.01.01
freyja.passive.buff.buffeffect.02.01
freyja.passive.ep.normal.01</t>
    <phoneticPr fontId="3" type="noConversion"/>
  </si>
  <si>
    <t>freyja.passive.buff.buffeffect.01.02
freyja.passive.buff.buffeffect.02.02
freyja.passive.ep.normal.02</t>
    <phoneticPr fontId="3" type="noConversion"/>
  </si>
  <si>
    <t>freyja.passive.buff.buffeffect.01.03
freyja.passive.buff.buffeffect.02.03
freyja.passive.ep.normal.03</t>
    <phoneticPr fontId="3" type="noConversion"/>
  </si>
  <si>
    <t>freyja.passive.buff.buffeffect.01.04
freyja.passive.buff.buffeffect.02.04
freyja.passive.ep.normal.04</t>
    <phoneticPr fontId="3" type="noConversion"/>
  </si>
  <si>
    <t>freyja.passive.buff.buffeffect.01.05
freyja.passive.buff.buffeffect.02.05
freyja.passive.ep.normal.05</t>
    <phoneticPr fontId="3" type="noConversion"/>
  </si>
  <si>
    <t>freyja.passive.buff.buffeffect.01.06
freyja.passive.buff.buffeffect.02.06
freyja.passive.ep.normal.06</t>
    <phoneticPr fontId="3" type="noConversion"/>
  </si>
  <si>
    <t>freyja.passive.buff.private.01</t>
    <phoneticPr fontId="3" type="noConversion"/>
  </si>
  <si>
    <t>freyja.passive.criticalnone.buff.01</t>
    <phoneticPr fontId="3" type="noConversion"/>
  </si>
  <si>
    <t>freyja.passive.uatk.buff.01</t>
    <phoneticPr fontId="3" type="noConversion"/>
  </si>
  <si>
    <t>freyja.passive.uatk.buff.buffeffect.01</t>
    <phoneticPr fontId="3" type="noConversion"/>
  </si>
  <si>
    <t>freyja.passive.uatk.buff.03</t>
    <phoneticPr fontId="3" type="noConversion"/>
  </si>
  <si>
    <t>freyja.passive.uatk.buff.04</t>
    <phoneticPr fontId="3" type="noConversion"/>
  </si>
  <si>
    <t>freyja.passive.ex.buff.01</t>
    <phoneticPr fontId="3" type="noConversion"/>
  </si>
  <si>
    <t>freyja.passive.ex.freyja.buffeffect.01
freyja.passive.ex.buff.buffeffect.01
freyja.passive.ex.buff.buffeffect.02.01</t>
    <phoneticPr fontId="3" type="noConversion"/>
  </si>
  <si>
    <t>freyja.passive.ex.passive.buff.01</t>
    <phoneticPr fontId="3" type="noConversion"/>
  </si>
  <si>
    <t>freyja.passive.ex.passive.buff.buffeffect.01</t>
    <phoneticPr fontId="3" type="noConversion"/>
  </si>
  <si>
    <t>freyja.passive.ex.trigger.buff.01</t>
    <phoneticPr fontId="3" type="noConversion"/>
  </si>
  <si>
    <t>eradica.ult.pre.buff.01</t>
    <phoneticPr fontId="3" type="noConversion"/>
  </si>
  <si>
    <t>eradica.ult.pre.buff.buffeffect.01.01
eradica.ult.pre.buff.buffeffect.01.02
eradica.ult.pre.buff.buffeffect.01.03
eradica.ult.pre.buff.buffeffect.01.04</t>
    <phoneticPr fontId="3" type="noConversion"/>
  </si>
  <si>
    <t>eradica.ult.pre.buff.02</t>
    <phoneticPr fontId="3" type="noConversion"/>
  </si>
  <si>
    <t>eradica.ult.pre.buff.buffeffect.02</t>
    <phoneticPr fontId="3" type="noConversion"/>
  </si>
  <si>
    <t>eradica.ult.B.post.buff.01</t>
    <phoneticPr fontId="3" type="noConversion"/>
  </si>
  <si>
    <t>eradica.ult.B.post.buff.buffeffect.01</t>
    <phoneticPr fontId="3" type="noConversion"/>
  </si>
  <si>
    <t>eradica.ult.B.exile.buff.01</t>
    <phoneticPr fontId="3" type="noConversion"/>
  </si>
  <si>
    <t>exile</t>
    <phoneticPr fontId="3" type="noConversion"/>
  </si>
  <si>
    <t>exile.end.skilleffect</t>
    <phoneticPr fontId="3" type="noConversion"/>
  </si>
  <si>
    <t>Effect/Prefab/10_buff/EFF_debuff_exile</t>
    <phoneticPr fontId="3" type="noConversion"/>
  </si>
  <si>
    <t>info.exile</t>
    <phoneticPr fontId="3" type="noConversion"/>
  </si>
  <si>
    <t>eradica.ult.B.buff.buffeffect.01</t>
    <phoneticPr fontId="3" type="noConversion"/>
  </si>
  <si>
    <t>eradica.ult.B.buff.trigger</t>
    <phoneticPr fontId="3" type="noConversion"/>
  </si>
  <si>
    <t>eradica.active2.effect.buff.01.01</t>
    <phoneticPr fontId="3" type="noConversion"/>
  </si>
  <si>
    <t>eradica.active2.effect.buff.buffeffect.01.01
eradica.active2.effect.buff.buffeffect.02.01</t>
    <phoneticPr fontId="3" type="noConversion"/>
  </si>
  <si>
    <t>info.eradica.debuff.active2</t>
    <phoneticPr fontId="3" type="noConversion"/>
  </si>
  <si>
    <t>eradica.active2.effect.buff.buffeffect.01.02
eradica.active2.effect.buff.buffeffect.02.02</t>
    <phoneticPr fontId="3" type="noConversion"/>
  </si>
  <si>
    <t>eradica.active2.effect.buff.buffeffect.01.03
eradica.active2.effect.buff.buffeffect.02.03</t>
    <phoneticPr fontId="3" type="noConversion"/>
  </si>
  <si>
    <t>eradica.active2.effect.buff.buffeffect.01.04
eradica.active2.effect.buff.buffeffect.02.04</t>
    <phoneticPr fontId="3" type="noConversion"/>
  </si>
  <si>
    <t>eradica.active2.effect.buff.buffeffect.01.05
eradica.active2.effect.buff.buffeffect.02.05</t>
    <phoneticPr fontId="3" type="noConversion"/>
  </si>
  <si>
    <t>eradica.active2.effect.buff.02</t>
    <phoneticPr fontId="3" type="noConversion"/>
  </si>
  <si>
    <t>eradica.passive.buff.buffeffect.01
eradica.passive.buff.buffeffect.02
eradica.passive.buff.buffeffect.03.01
eradica.passive.buff.buffeffect.04.01
eradica.passive.buff.buffeffect.05.01</t>
    <phoneticPr fontId="3" type="noConversion"/>
  </si>
  <si>
    <t>eradica.passive.buff.buffeffect.01
eradica.passive.buff.buffeffect.02
eradica.passive.buff.buffeffect.03.02
eradica.passive.buff.buffeffect.04.02
eradica.passive.buff.buffeffect.05.02</t>
    <phoneticPr fontId="3" type="noConversion"/>
  </si>
  <si>
    <t>eradica.passive.buff.buffeffect.01
eradica.passive.buff.buffeffect.02
eradica.passive.buff.buffeffect.03.03
eradica.passive.buff.buffeffect.04.03
eradica.passive.buff.buffeffect.05.03</t>
    <phoneticPr fontId="3" type="noConversion"/>
  </si>
  <si>
    <t>eradica.passive.buff.buffeffect.01
eradica.passive.buff.buffeffect.02
eradica.passive.buff.buffeffect.03.04
eradica.passive.buff.buffeffect.04.04
eradica.passive.buff.buffeffect.05.04</t>
    <phoneticPr fontId="3" type="noConversion"/>
  </si>
  <si>
    <t>eradica.passive.buff.buffeffect.01
eradica.passive.buff.buffeffect.02
eradica.passive.buff.buffeffect.03.05
eradica.passive.buff.buffeffect.04.05
eradica.passive.buff.buffeffect.05.05</t>
    <phoneticPr fontId="3" type="noConversion"/>
  </si>
  <si>
    <t>eradica.passive.buff.buffeffect.01
eradica.passive.buff.buffeffect.02
eradica.passive.buff.buffeffect.03.06
eradica.passive.buff.buffeffect.04.06
eradica.passive.buff.buffeffect.05.06</t>
    <phoneticPr fontId="3" type="noConversion"/>
  </si>
  <si>
    <t>eradica.passive.maindealer.buff.01</t>
    <phoneticPr fontId="3" type="noConversion"/>
  </si>
  <si>
    <t>info.eradica.buff.passive</t>
    <phoneticPr fontId="3" type="noConversion"/>
  </si>
  <si>
    <t>eradica.passive.count.buff.01</t>
    <phoneticPr fontId="3" type="noConversion"/>
  </si>
  <si>
    <t>eradica.passive.count.buff.02</t>
    <phoneticPr fontId="3" type="noConversion"/>
  </si>
  <si>
    <t>eradica.passive.maindealer.passive.buff.01</t>
    <phoneticPr fontId="3" type="noConversion"/>
  </si>
  <si>
    <t>Buff</t>
    <phoneticPr fontId="3" type="noConversion"/>
  </si>
  <si>
    <t>eradica.passive.maindealer.passive.buff.buffeffect.01.01
eradica.passive.maindealer.passive.buff.buffeffect.02.01</t>
    <phoneticPr fontId="3" type="noConversion"/>
  </si>
  <si>
    <t>eradica.passive.maindealer.passive.buff.buffeffect.01.02
eradica.passive.maindealer.passive.buff.buffeffect.02.02</t>
    <phoneticPr fontId="3" type="noConversion"/>
  </si>
  <si>
    <t>eradica.passive.maindealer.passive.buff.buffeffect.01.03
eradica.passive.maindealer.passive.buff.buffeffect.02.03</t>
    <phoneticPr fontId="3" type="noConversion"/>
  </si>
  <si>
    <t>eradica.passive.maindealer.passive.buff.buffeffect.01.05
eradica.passive.maindealer.passive.buff.buffeffect.02.05</t>
    <phoneticPr fontId="3" type="noConversion"/>
  </si>
  <si>
    <t>eradica.passive.maindealer.passive.buff.buffeffect.01.06
eradica.passive.maindealer.passive.buff.buffeffect.02.06</t>
    <phoneticPr fontId="3" type="noConversion"/>
  </si>
  <si>
    <t>eradica.passive.not.maindealer.defup.buff.01</t>
    <phoneticPr fontId="3" type="noConversion"/>
  </si>
  <si>
    <t>eradica.passive.not.maindealer.defup.buff.buffeffect.01</t>
    <phoneticPr fontId="3" type="noConversion"/>
  </si>
  <si>
    <t>eradica.passive.ex.buff.01</t>
    <phoneticPr fontId="3" type="noConversion"/>
  </si>
  <si>
    <t>eradica.passive.ex.buff.buffeffect.01.01
eradica.passive.ex.buff.buffeffect.02.01
eradica.passive.ex.buff.buffeffect.03.01
eradica.passive.ex.buff.buffeffect.04.01
eradica.passive.ex.buff.buffeffect.05</t>
    <phoneticPr fontId="3" type="noConversion"/>
  </si>
  <si>
    <t>eradica.passive.ex.buff.buffeffect.01.02
eradica.passive.ex.buff.buffeffect.02.02
eradica.passive.ex.buff.buffeffect.03.02
eradica.passive.ex.buff.buffeffect.04.02
eradica.passive.ex.buff.buffeffect.05</t>
    <phoneticPr fontId="3" type="noConversion"/>
  </si>
  <si>
    <t>eradica.passive.ex.buff.buffeffect.01.03
eradica.passive.ex.buff.buffeffect.02.03
eradica.passive.ex.buff.buffeffect.03.03
eradica.passive.ex.buff.buffeffect.04.03
eradica.passive.ex.buff.buffeffect.05</t>
    <phoneticPr fontId="3" type="noConversion"/>
  </si>
  <si>
    <t>eradica.passive.ex.buff.buffeffect.01.04
eradica.passive.ex.buff.buffeffect.02.04
eradica.passive.ex.buff.buffeffect.03.04
eradica.passive.ex.buff.buffeffect.04.04
eradica.passive.ex.buff.buffeffect.05</t>
    <phoneticPr fontId="3" type="noConversion"/>
  </si>
  <si>
    <t>eradica.passive.ex.buff.buffeffect.01.05
eradica.passive.ex.buff.buffeffect.02.05
eradica.passive.ex.buff.buffeffect.03.05
eradica.passive.ex.buff.buffeffect.04.05
eradica.passive.ex.buff.buffeffect.05</t>
    <phoneticPr fontId="3" type="noConversion"/>
  </si>
  <si>
    <t>eradica.passive.ex.buff.buffeffect.01.06
eradica.passive.ex.buff.buffeffect.02.06
eradica.passive.ex.buff.buffeffect.03.06
eradica.passive.ex.buff.buffeffect.04.06
eradica.passive.ex.buff.buffeffect.05</t>
    <phoneticPr fontId="3" type="noConversion"/>
  </si>
  <si>
    <t>eradica.passive.maindealer.passive.ex.buff.01</t>
    <phoneticPr fontId="3" type="noConversion"/>
  </si>
  <si>
    <t>eradica.passive.ex.maindealer.passive.ex.buff.buffeffect.01.01
eradica.passive.ex.maindealer.passive.ex.buff.buffeffect.02.01
eradica.passive.ex.maindealer.passive.ex.buff.buffeffect.03.01
eradica.passive.ex.maindealer.passive.ex.buff.buffeffect.04.01</t>
    <phoneticPr fontId="3" type="noConversion"/>
  </si>
  <si>
    <t>eradica.passive.ex.maindealer.passive.ex.buff.buffeffect.01.03
eradica.passive.ex.maindealer.passive.ex.buff.buffeffect.02.03
eradica.passive.ex.maindealer.passive.ex.buff.buffeffect.03.03
eradica.passive.ex.maindealer.passive.ex.buff.buffeffect.04.03</t>
    <phoneticPr fontId="3" type="noConversion"/>
  </si>
  <si>
    <t>eradica.passive.ex.maindealer.passive.ex.buff.buffeffect.01.04
eradica.passive.ex.maindealer.passive.ex.buff.buffeffect.02.04
eradica.passive.ex.maindealer.passive.ex.buff.buffeffect.03.04
eradica.passive.ex.maindealer.passive.ex.buff.buffeffect.04.04</t>
    <phoneticPr fontId="3" type="noConversion"/>
  </si>
  <si>
    <t>eradica.passive.ex.maindealer.passive.ex.buff.buffeffect.01.05
eradica.passive.ex.maindealer.passive.ex.buff.buffeffect.02.05
eradica.passive.ex.maindealer.passive.ex.buff.buffeffect.03.05
eradica.passive.ex.maindealer.passive.ex.buff.buffeffect.04.05</t>
    <phoneticPr fontId="3" type="noConversion"/>
  </si>
  <si>
    <t>eradica.passive.ex.maindealer.passive.ex.buff.buffeffect.01.06
eradica.passive.ex.maindealer.passive.ex.buff.buffeffect.02.06
eradica.passive.ex.maindealer.passive.ex.buff.buffeffect.03.06
eradica.passive.ex.maindealer.passive.ex.buff.buffeffect.04.06</t>
    <phoneticPr fontId="3" type="noConversion"/>
  </si>
  <si>
    <t>id.active1.buff.01</t>
    <phoneticPr fontId="3" type="noConversion"/>
  </si>
  <si>
    <t>id.active1.buff.buffeffect.01</t>
    <phoneticPr fontId="3" type="noConversion"/>
  </si>
  <si>
    <t>id.active2.buff.01</t>
    <phoneticPr fontId="3" type="noConversion"/>
  </si>
  <si>
    <t>id.active2.buff.buffeffect.01</t>
    <phoneticPr fontId="3" type="noConversion"/>
  </si>
  <si>
    <t>id.active2.buff.passive.buff.buffeffect.01</t>
    <phoneticPr fontId="3" type="noConversion"/>
  </si>
  <si>
    <t>id.active2.event.buff.trigger</t>
    <phoneticPr fontId="12" type="noConversion"/>
  </si>
  <si>
    <t>id.passive.buff.poison.buffeffect.01</t>
    <phoneticPr fontId="3" type="noConversion"/>
  </si>
  <si>
    <t>id.passive.poison.01.01</t>
    <phoneticPr fontId="3" type="noConversion"/>
  </si>
  <si>
    <t>id.passive.poison.02.01</t>
    <phoneticPr fontId="3" type="noConversion"/>
  </si>
  <si>
    <t>id.passive.ex.trigger</t>
    <phoneticPr fontId="3" type="noConversion"/>
  </si>
  <si>
    <t>id.passive.active1.cooldown</t>
    <phoneticPr fontId="3" type="noConversion"/>
  </si>
  <si>
    <t>id.passive.ex.buff.01</t>
    <phoneticPr fontId="3" type="noConversion"/>
  </si>
  <si>
    <t>id.passive.ex.buff.buffeffect.01</t>
    <phoneticPr fontId="3" type="noConversion"/>
  </si>
  <si>
    <t>archphase.passive.ex.buff.trigger</t>
    <phoneticPr fontId="3" type="noConversion"/>
  </si>
  <si>
    <t xml:space="preserve">archphase.stack.ult.buffeffect
archphase.stack.active2.buffeffect
archphase.passive.buff.buffeffect.01.01
archphase.passive.buff.buffeffect.01.02
archphase.passive.buff.buffeffect.01.03
archphase.passive.buff.buffeffect.01.04
archphase.passive.buff.buffeffect.01.05
archphase.passive.buff.buffeffect.01.06
archphase.passive.buff.buffeffect.02.01
archphase.passive.buff.buffeffect.02.02
archphase.passive.buff.buffeffect.02.03
archphase.passive.buff.buffeffect.02.04
archphase.passive.buff.buffeffect.02.05
archphase.passive.buff.buffeffect.02.06 </t>
    <phoneticPr fontId="3" type="noConversion"/>
  </si>
  <si>
    <t>leila.passive.buff.buffeffect.04
leila.passive.bonus.buffeffect.04
leila.trigger</t>
    <phoneticPr fontId="3" type="noConversion"/>
  </si>
  <si>
    <t>none</t>
    <phoneticPr fontId="3" type="noConversion"/>
  </si>
  <si>
    <t>eradica.active2.effect.buff.buffeffect.01.06
eradica.active2.effect.buff.buffeffect.02.06</t>
    <phoneticPr fontId="3" type="noConversion"/>
  </si>
  <si>
    <t>eradica.passive.maindealer.passive.buff.buffeffect.01.04
eradica.passive.maindealer.passive.buff.buffeffect.02.04</t>
    <phoneticPr fontId="3" type="noConversion"/>
  </si>
  <si>
    <t>Buff</t>
    <phoneticPr fontId="3" type="noConversion"/>
  </si>
  <si>
    <t>leila.passive.buff.buffeffect.01
leila.passive.bonus.buffeffect.01
leila.trigger</t>
    <phoneticPr fontId="3" type="noConversion"/>
  </si>
  <si>
    <t>freyja.ult.buff.buffeffect.01.01</t>
    <phoneticPr fontId="3" type="noConversion"/>
  </si>
  <si>
    <t>freyja.ult.buff.buffeffect.02.01</t>
    <phoneticPr fontId="3" type="noConversion"/>
  </si>
  <si>
    <t>Debuff</t>
    <phoneticPr fontId="3" type="noConversion"/>
  </si>
  <si>
    <t>UltimateDamageDerate</t>
    <phoneticPr fontId="3" type="noConversion"/>
  </si>
  <si>
    <t>Ally</t>
    <phoneticPr fontId="3" type="noConversion"/>
  </si>
  <si>
    <t>All</t>
    <phoneticPr fontId="3" type="noConversion"/>
  </si>
  <si>
    <t>Passive</t>
    <phoneticPr fontId="3" type="noConversion"/>
  </si>
  <si>
    <t>Effect</t>
    <phoneticPr fontId="3" type="noConversion"/>
  </si>
  <si>
    <t>OnHitUltimate</t>
    <phoneticPr fontId="3" type="noConversion"/>
  </si>
  <si>
    <t>freyja.ult.B.passive.buff.skilleffect.01</t>
    <phoneticPr fontId="3" type="noConversion"/>
  </si>
  <si>
    <t>Attack</t>
    <phoneticPr fontId="3" type="noConversion"/>
  </si>
  <si>
    <t>UltimateDamageRate</t>
    <phoneticPr fontId="3" type="noConversion"/>
  </si>
  <si>
    <t>freyja.passive.ep.normal.01</t>
    <phoneticPr fontId="3" type="noConversion"/>
  </si>
  <si>
    <t>freyja.passive.buff.buffeffect.skilleffect.01</t>
    <phoneticPr fontId="3" type="noConversion"/>
  </si>
  <si>
    <t>freyja.passive.ep.scenario.01</t>
    <phoneticPr fontId="3" type="noConversion"/>
  </si>
  <si>
    <t>freyja.passive.buff.buffeffect.skilleffect.private.01</t>
    <phoneticPr fontId="3" type="noConversion"/>
  </si>
  <si>
    <t>freyja.passive.ex.buff.buffeffect.01</t>
    <phoneticPr fontId="3" type="noConversion"/>
  </si>
  <si>
    <t>AllyNSelf</t>
    <phoneticPr fontId="3" type="noConversion"/>
  </si>
  <si>
    <t>freyja.passive.ex.freyja.buffeffect.01</t>
    <phoneticPr fontId="3" type="noConversion"/>
  </si>
  <si>
    <t>None</t>
    <phoneticPr fontId="3" type="noConversion"/>
  </si>
  <si>
    <t>OnKill</t>
    <phoneticPr fontId="3" type="noConversion"/>
  </si>
  <si>
    <t>freyja.passive.ex.passive.buff.skilleffect.01</t>
    <phoneticPr fontId="3" type="noConversion"/>
  </si>
  <si>
    <t>freyja.passive.ex.buff.buffeffect.02.01</t>
    <phoneticPr fontId="3" type="noConversion"/>
  </si>
  <si>
    <t>Active</t>
    <phoneticPr fontId="3" type="noConversion"/>
  </si>
  <si>
    <t>freyja.passive.ex.buff.skilleffect.01.01</t>
    <phoneticPr fontId="3" type="noConversion"/>
  </si>
  <si>
    <t>eradica.ult.pre.buff.buffeffect.01.01</t>
    <phoneticPr fontId="3" type="noConversion"/>
  </si>
  <si>
    <t>Self</t>
    <phoneticPr fontId="3" type="noConversion"/>
  </si>
  <si>
    <t>Single</t>
    <phoneticPr fontId="3" type="noConversion"/>
  </si>
  <si>
    <t>Status</t>
    <phoneticPr fontId="3" type="noConversion"/>
  </si>
  <si>
    <t>eradica.passive.count.buff.02&amp;2</t>
    <phoneticPr fontId="3" type="noConversion"/>
  </si>
  <si>
    <t>eradica.passive.count.buff.02&amp;3</t>
    <phoneticPr fontId="3" type="noConversion"/>
  </si>
  <si>
    <t>eradica.passive.count.buff.02&amp;4</t>
    <phoneticPr fontId="3" type="noConversion"/>
  </si>
  <si>
    <t>CriticalRate</t>
    <phoneticPr fontId="3" type="noConversion"/>
  </si>
  <si>
    <t>eradica.ult.B.buff.buffeffect.skilleffect.01</t>
    <phoneticPr fontId="3" type="noConversion"/>
  </si>
  <si>
    <t>eradica.ult.B.post.buff.buffeffect.skilleffect.01</t>
    <phoneticPr fontId="3" type="noConversion"/>
  </si>
  <si>
    <t>eradica.active2.effect.buff.buffeffect.01.01</t>
    <phoneticPr fontId="3" type="noConversion"/>
  </si>
  <si>
    <t>AccuracyDerate</t>
    <phoneticPr fontId="3" type="noConversion"/>
  </si>
  <si>
    <t>eradica.active2.effect.buff.buffeffect.02.01</t>
    <phoneticPr fontId="3" type="noConversion"/>
  </si>
  <si>
    <t>AttackRatio</t>
    <phoneticPr fontId="3" type="noConversion"/>
  </si>
  <si>
    <t>eradica.passive.buff.buffeffect.01</t>
    <phoneticPr fontId="3" type="noConversion"/>
  </si>
  <si>
    <t>eradica.passive.buff.buffeffect.01.skilleffect.01</t>
    <phoneticPr fontId="3" type="noConversion"/>
  </si>
  <si>
    <t>eradica.passive.buff.buffeffect.02</t>
    <phoneticPr fontId="3" type="noConversion"/>
  </si>
  <si>
    <t>eradica.passive.buff.buffeffect.02.skilleffect.01</t>
    <phoneticPr fontId="3" type="noConversion"/>
  </si>
  <si>
    <t>IgnoreDefenseRate</t>
    <phoneticPr fontId="3" type="noConversion"/>
  </si>
  <si>
    <t>eradica.passive.buff.buffeffect.04.01</t>
    <phoneticPr fontId="3" type="noConversion"/>
  </si>
  <si>
    <t>!eradica.passive.maindealer.buff.01</t>
    <phoneticPr fontId="3" type="noConversion"/>
  </si>
  <si>
    <t>eradica.passive.buff.buffeffect.05.01</t>
    <phoneticPr fontId="3" type="noConversion"/>
  </si>
  <si>
    <t>eradica.passive.maindealer.passive.buff.buffeffect.01.01</t>
    <phoneticPr fontId="3" type="noConversion"/>
  </si>
  <si>
    <t>eradica.passive.maindealer.passive.buff.buffeffect.02.01</t>
    <phoneticPr fontId="3" type="noConversion"/>
  </si>
  <si>
    <t>CriticalDamageRate</t>
    <phoneticPr fontId="3" type="noConversion"/>
  </si>
  <si>
    <t>!eradica.passive.ex.live.buff.01</t>
    <phoneticPr fontId="3" type="noConversion"/>
  </si>
  <si>
    <t>eradica.passive.ex.buff.buffeffect.02.01.skilleffect.01</t>
    <phoneticPr fontId="3" type="noConversion"/>
  </si>
  <si>
    <t>eradica.passive.ex.buff.buffeffect.03.01</t>
    <phoneticPr fontId="3" type="noConversion"/>
  </si>
  <si>
    <t>eradica.passive.ex.buff.buffeffect.03.01.skilleffect.01</t>
    <phoneticPr fontId="3" type="noConversion"/>
  </si>
  <si>
    <t>eradica.passive.ex.buff.buffeffect.04.01</t>
    <phoneticPr fontId="3" type="noConversion"/>
  </si>
  <si>
    <t>eradica.passive.ex.buff.buffeffect.05</t>
    <phoneticPr fontId="3" type="noConversion"/>
  </si>
  <si>
    <t>eradica.passive.ex.buff.buffeffect.05.skilleffect.01</t>
    <phoneticPr fontId="3" type="noConversion"/>
  </si>
  <si>
    <t>eradica.passive.ex.maindealer.passive.ex.buff.buffeffect.04.01</t>
    <phoneticPr fontId="3" type="noConversion"/>
  </si>
  <si>
    <t>id.passive.active1.cooldown&amp;1</t>
    <phoneticPr fontId="3" type="noConversion"/>
  </si>
  <si>
    <t>id.active1.buff.skilleffect.01.01</t>
    <phoneticPr fontId="3" type="noConversion"/>
  </si>
  <si>
    <t>id.active1.buff.skilleffect.01.02</t>
  </si>
  <si>
    <t>id.active1.buff.skilleffect.01.03</t>
  </si>
  <si>
    <t>id.active1.buff.skilleffect.01.04</t>
  </si>
  <si>
    <t>id.active1.buff.skilleffect.01.05</t>
  </si>
  <si>
    <t>id.active1.buff.skilleffect.01.06</t>
  </si>
  <si>
    <t>Enemy</t>
    <phoneticPr fontId="3" type="noConversion"/>
  </si>
  <si>
    <t>id.active2.buff.passive.buff.01</t>
    <phoneticPr fontId="3" type="noConversion"/>
  </si>
  <si>
    <t>OnHeal</t>
    <phoneticPr fontId="3" type="noConversion"/>
  </si>
  <si>
    <t>id.active2.buff.skilleffect.01</t>
  </si>
  <si>
    <t>id.active2.buff.skilleffect.02</t>
  </si>
  <si>
    <t>id.active2.buff.skilleffect.03</t>
  </si>
  <si>
    <t>id.active2.buff.skilleffect.04</t>
  </si>
  <si>
    <t>id.active2.buff.skilleffect.05</t>
  </si>
  <si>
    <t>id.active2.buff.skilleffect.06</t>
  </si>
  <si>
    <t>id.passive.buff.buffeffect.01.01</t>
    <phoneticPr fontId="3" type="noConversion"/>
  </si>
  <si>
    <t>OnHitActiveSkill</t>
    <phoneticPr fontId="3" type="noConversion"/>
  </si>
  <si>
    <t>id.passive.buff.skilleffect.01.01</t>
    <phoneticPr fontId="3" type="noConversion"/>
  </si>
  <si>
    <t>id.passive.buff.buffeffect.01.02</t>
  </si>
  <si>
    <t>id.passive.buff.skilleffect.01.02</t>
  </si>
  <si>
    <t>id.passive.buff.buffeffect.01.03</t>
  </si>
  <si>
    <t>id.passive.buff.skilleffect.01.03</t>
  </si>
  <si>
    <t>id.passive.buff.buffeffect.01.04</t>
  </si>
  <si>
    <t>id.passive.buff.skilleffect.01.04</t>
  </si>
  <si>
    <t>id.passive.buff.buffeffect.01.05</t>
  </si>
  <si>
    <t>id.passive.buff.skilleffect.01.05</t>
  </si>
  <si>
    <t>id.passive.buff.buffeffect.01.06</t>
  </si>
  <si>
    <t>id.passive.buff.skilleffect.01.06</t>
  </si>
  <si>
    <t>id.passive.buff.buffeffect.02.01</t>
    <phoneticPr fontId="3" type="noConversion"/>
  </si>
  <si>
    <t>OnHitUltimate</t>
  </si>
  <si>
    <t>id.passive.buff.skilleffect.01.01</t>
  </si>
  <si>
    <t>id.passive.buff.buffeffect.02.02</t>
  </si>
  <si>
    <t>id.passive.buff.buffeffect.02.03</t>
  </si>
  <si>
    <t>id.passive.buff.buffeffect.02.04</t>
  </si>
  <si>
    <t>id.passive.buff.buffeffect.02.05</t>
  </si>
  <si>
    <t>id.passive.buff.buffeffect.02.06</t>
  </si>
  <si>
    <t>id.passive.buff.poison.01&amp;3</t>
    <phoneticPr fontId="3" type="noConversion"/>
  </si>
  <si>
    <t>id.passive.buff.poison.skilleffect.01.01</t>
    <phoneticPr fontId="3" type="noConversion"/>
  </si>
  <si>
    <t>id.passive.buff.poison.02&amp;3</t>
    <phoneticPr fontId="3" type="noConversion"/>
  </si>
  <si>
    <t>id.passive.buff.poison.skilleffect.01.02</t>
  </si>
  <si>
    <t>id.passive.buff.poison.03&amp;3</t>
    <phoneticPr fontId="3" type="noConversion"/>
  </si>
  <si>
    <t>id.passive.buff.poison.skilleffect.01.03</t>
  </si>
  <si>
    <t>id.passive.buff.poison.04&amp;3</t>
    <phoneticPr fontId="3" type="noConversion"/>
  </si>
  <si>
    <t>id.passive.buff.poison.skilleffect.01.04</t>
  </si>
  <si>
    <t>id.passive.buff.poison.05&amp;3</t>
    <phoneticPr fontId="3" type="noConversion"/>
  </si>
  <si>
    <t>id.passive.buff.poison.skilleffect.01.05</t>
  </si>
  <si>
    <t>id.passive.buff.poison.06&amp;3</t>
    <phoneticPr fontId="3" type="noConversion"/>
  </si>
  <si>
    <t>id.passive.buff.poison.skilleffect.01.06</t>
  </si>
  <si>
    <t>id.passive.venom.buffeffect</t>
    <phoneticPr fontId="3" type="noConversion"/>
  </si>
  <si>
    <t>id.passive.ex.buff.skilleffect.01.01</t>
    <phoneticPr fontId="3" type="noConversion"/>
  </si>
  <si>
    <t>id.passive.ex.buff.skilleffect.01.02</t>
  </si>
  <si>
    <t>id.passive.ex.buff.skilleffect.01.03</t>
  </si>
  <si>
    <t>id.passive.ex.buff.skilleffect.01.04</t>
  </si>
  <si>
    <t>id.passive.ex.buff.skilleffect.01.05</t>
  </si>
  <si>
    <t>id.passive.ex.buff.skilleffect.01.06</t>
  </si>
  <si>
    <t>Poison.06</t>
  </si>
  <si>
    <t>Poison.07</t>
  </si>
  <si>
    <t>Poison.08</t>
  </si>
  <si>
    <t>Poison.09</t>
  </si>
  <si>
    <t>Poison.10</t>
  </si>
  <si>
    <t>Poison.11</t>
  </si>
  <si>
    <t>Poison.12</t>
  </si>
  <si>
    <t>Poison.13</t>
  </si>
  <si>
    <t>Poison.14</t>
  </si>
  <si>
    <t>Poison.15</t>
  </si>
  <si>
    <t>Poison.07</t>
    <phoneticPr fontId="3" type="noConversion"/>
  </si>
  <si>
    <t>Poison.11</t>
    <phoneticPr fontId="3" type="noConversion"/>
  </si>
  <si>
    <t>Buff.Name.Poison.06</t>
  </si>
  <si>
    <t>Buff.Desc.Poison.06</t>
  </si>
  <si>
    <t>Buff.Name.Poison.07</t>
  </si>
  <si>
    <t>Buff.Desc.Poison.07</t>
  </si>
  <si>
    <t>Buff.Name.Poison.08</t>
  </si>
  <si>
    <t>Buff.Desc.Poison.08</t>
  </si>
  <si>
    <t>Buff.Name.Poison.09</t>
  </si>
  <si>
    <t>Buff.Desc.Poison.09</t>
  </si>
  <si>
    <t>Buff.Name.Poison.10</t>
  </si>
  <si>
    <t>Buff.Desc.Poison.10</t>
  </si>
  <si>
    <t>Buff.Name.Poison.11</t>
  </si>
  <si>
    <t>Buff.Desc.Poison.11</t>
  </si>
  <si>
    <t>Buff.Name.Poison.12</t>
  </si>
  <si>
    <t>Buff.Desc.Poison.12</t>
  </si>
  <si>
    <t>Buff.Name.Poison.13</t>
  </si>
  <si>
    <t>Buff.Desc.Poison.13</t>
  </si>
  <si>
    <t>Buff.Name.Poison.14</t>
  </si>
  <si>
    <t>Buff.Desc.Poison.14</t>
  </si>
  <si>
    <t>Buff.Name.Poison.15</t>
  </si>
  <si>
    <t>Buff.Desc.Poison.15</t>
  </si>
  <si>
    <t>id.passive.ex.vfx.buff.01</t>
  </si>
  <si>
    <t>Poison.16</t>
  </si>
  <si>
    <t>Poison.17</t>
  </si>
  <si>
    <t>Poison.18</t>
  </si>
  <si>
    <t>Poison.19</t>
  </si>
  <si>
    <t>Poison.20</t>
  </si>
  <si>
    <t>Effect/Prefab/10_buff/EFF_ID_passive</t>
    <phoneticPr fontId="3" type="noConversion"/>
  </si>
  <si>
    <t>id.passive.buff.poison.01</t>
    <phoneticPr fontId="3" type="noConversion"/>
  </si>
  <si>
    <t>id.passive.vfx.buff.01</t>
    <phoneticPr fontId="12" type="noConversion"/>
  </si>
  <si>
    <t>id.passive.vfx.buff.02</t>
  </si>
  <si>
    <t>id.passive.vfx.buff.03</t>
  </si>
  <si>
    <t>Effect/Prefab/10_buff/EFF_ID_debuff1</t>
    <phoneticPr fontId="3" type="noConversion"/>
  </si>
  <si>
    <t>Effect/Prefab/10_buff/EFF_ID_debuff2</t>
  </si>
  <si>
    <t>Effect/Prefab/10_buff/EFF_ID_debuff3</t>
    <phoneticPr fontId="3" type="noConversion"/>
  </si>
  <si>
    <t>Effect/Prefab/10_buff/EFF_debuff_poison&amp;Effect/Prefab/10_buff/EFF_ID_debuff3</t>
    <phoneticPr fontId="3" type="noConversion"/>
  </si>
  <si>
    <t>id.passive.buff.buffeffect.01.01
id.passive.buff.buffeffect.02.01
id.passive.vfx.buff.buffeffect.01.01
id.passive.vfx.buff.buffeffect.02.01
id.passive.vfx.buff.buffeffect.03.01</t>
    <phoneticPr fontId="3" type="noConversion"/>
  </si>
  <si>
    <t>id.passive.buff.buffeffect.01.02
id.passive.buff.buffeffect.02.02
id.passive.vfx.buff.buffeffect.01.02
id.passive.vfx.buff.buffeffect.02.02
id.passive.vfx.buff.buffeffect.03.02</t>
    <phoneticPr fontId="3" type="noConversion"/>
  </si>
  <si>
    <t>id.passive.buff.buffeffect.01.03
id.passive.buff.buffeffect.02.03
id.passive.vfx.buff.buffeffect.01.03
id.passive.vfx.buff.buffeffect.02.03
id.passive.vfx.buff.buffeffect.03.03</t>
    <phoneticPr fontId="3" type="noConversion"/>
  </si>
  <si>
    <t>id.passive.buff.buffeffect.01.04
id.passive.buff.buffeffect.02.04
id.passive.vfx.buff.buffeffect.01.04
id.passive.vfx.buff.buffeffect.02.04
id.passive.vfx.buff.buffeffect.03.04</t>
    <phoneticPr fontId="3" type="noConversion"/>
  </si>
  <si>
    <t>id.passive.buff.buffeffect.01.05
id.passive.buff.buffeffect.02.05
id.passive.vfx.buff.buffeffect.01.05
id.passive.vfx.buff.buffeffect.02.05
id.passive.vfx.buff.buffeffect.03.05</t>
    <phoneticPr fontId="3" type="noConversion"/>
  </si>
  <si>
    <t>id.passive.buff.buffeffect.01.06
id.passive.buff.buffeffect.02.06
id.passive.vfx.buff.buffeffect.01.06
id.passive.vfx.buff.buffeffect.02.06
id.passive.vfx.buff.buffeffect.03.06</t>
    <phoneticPr fontId="3" type="noConversion"/>
  </si>
  <si>
    <t>id.passive.vfx.buff.buffeffect.01.01</t>
    <phoneticPr fontId="3" type="noConversion"/>
  </si>
  <si>
    <t>id.passive.vfx.buff.buffeffect.01.02</t>
  </si>
  <si>
    <t>id.passive.vfx.buff.buffeffect.01.03</t>
  </si>
  <si>
    <t>id.passive.vfx.buff.buffeffect.01.04</t>
  </si>
  <si>
    <t>id.passive.vfx.buff.buffeffect.01.05</t>
  </si>
  <si>
    <t>id.passive.vfx.buff.buffeffect.01.06</t>
  </si>
  <si>
    <t>id.passive.vfx.buff.buffeffect.02.01</t>
    <phoneticPr fontId="3" type="noConversion"/>
  </si>
  <si>
    <t>id.passive.vfx.buff.buffeffect.02.02</t>
  </si>
  <si>
    <t>id.passive.vfx.buff.buffeffect.02.03</t>
  </si>
  <si>
    <t>id.passive.vfx.buff.buffeffect.02.04</t>
  </si>
  <si>
    <t>id.passive.vfx.buff.buffeffect.02.05</t>
  </si>
  <si>
    <t>id.passive.vfx.buff.buffeffect.02.06</t>
  </si>
  <si>
    <t>id.passive.vfx.buff.buffeffect.03.01</t>
    <phoneticPr fontId="3" type="noConversion"/>
  </si>
  <si>
    <t>id.passive.vfx.buff.buffeffect.03.02</t>
  </si>
  <si>
    <t>id.passive.vfx.buff.buffeffect.03.03</t>
  </si>
  <si>
    <t>id.passive.vfx.buff.buffeffect.03.04</t>
  </si>
  <si>
    <t>id.passive.vfx.buff.buffeffect.03.05</t>
  </si>
  <si>
    <t>id.passive.vfx.buff.buffeffect.03.06</t>
  </si>
  <si>
    <t>id.passive.vfx.buff.skilleffect.01.01</t>
    <phoneticPr fontId="3" type="noConversion"/>
  </si>
  <si>
    <t>id.passive.vfx.buff.skilleffect.01.02</t>
  </si>
  <si>
    <t>id.passive.vfx.buff.skilleffect.01.03</t>
  </si>
  <si>
    <t>id.passive.vfx.buff.skilleffect.01.04</t>
  </si>
  <si>
    <t>id.passive.vfx.buff.skilleffect.01.05</t>
  </si>
  <si>
    <t>id.passive.vfx.buff.skilleffect.01.06</t>
  </si>
  <si>
    <t>id.passive.vfx.buff.skilleffect.02.01</t>
    <phoneticPr fontId="3" type="noConversion"/>
  </si>
  <si>
    <t>id.passive.vfx.buff.skilleffect.02.02</t>
  </si>
  <si>
    <t>id.passive.vfx.buff.skilleffect.02.03</t>
  </si>
  <si>
    <t>id.passive.vfx.buff.skilleffect.02.04</t>
  </si>
  <si>
    <t>id.passive.vfx.buff.skilleffect.02.05</t>
  </si>
  <si>
    <t>id.passive.vfx.buff.skilleffect.02.06</t>
  </si>
  <si>
    <t>id.passive.vfx.buff.skilleffect.03.01</t>
    <phoneticPr fontId="3" type="noConversion"/>
  </si>
  <si>
    <t>id.passive.vfx.buff.skilleffect.03.02</t>
  </si>
  <si>
    <t>id.passive.vfx.buff.skilleffect.03.03</t>
  </si>
  <si>
    <t>id.passive.vfx.buff.skilleffect.03.04</t>
  </si>
  <si>
    <t>id.passive.vfx.buff.skilleffect.03.05</t>
  </si>
  <si>
    <t>id.passive.vfx.buff.skilleffect.03.06</t>
  </si>
  <si>
    <t>info.id.debuff.passive.01</t>
  </si>
  <si>
    <t>info.id.debuff.passive.01</t>
    <phoneticPr fontId="3" type="noConversion"/>
  </si>
  <si>
    <t>info.id.debuff.passive.02</t>
  </si>
  <si>
    <t>icon_battle_id_debuff1</t>
  </si>
  <si>
    <t>icon_battle_id_debuff2</t>
  </si>
  <si>
    <t>info.id.debuff.passive.01</t>
    <phoneticPr fontId="3" type="noConversion"/>
  </si>
  <si>
    <t>Desc.info.id.debuff.passive.01</t>
    <phoneticPr fontId="3" type="noConversion"/>
  </si>
  <si>
    <t>Desc.info.id.debuff.passive.02</t>
  </si>
  <si>
    <t>info.id.debuff.active2</t>
  </si>
  <si>
    <t>icon_battle_id_debuff3</t>
    <phoneticPr fontId="3" type="noConversion"/>
  </si>
  <si>
    <t>info.id.debuff.active2</t>
    <phoneticPr fontId="3" type="noConversion"/>
  </si>
  <si>
    <t>Desc.info.id.debuff.active2</t>
    <phoneticPr fontId="3" type="noConversion"/>
  </si>
  <si>
    <t>Poison.03</t>
    <phoneticPr fontId="3" type="noConversion"/>
  </si>
  <si>
    <t>Poison.03</t>
    <phoneticPr fontId="3" type="noConversion"/>
  </si>
  <si>
    <t>Poison.04</t>
    <phoneticPr fontId="3" type="noConversion"/>
  </si>
  <si>
    <t>Poison.04</t>
    <phoneticPr fontId="3" type="noConversion"/>
  </si>
  <si>
    <t>Poison.05</t>
    <phoneticPr fontId="3" type="noConversion"/>
  </si>
  <si>
    <t>Poison.05</t>
    <phoneticPr fontId="3" type="noConversion"/>
  </si>
  <si>
    <t>id.passive.venom.buffeffect
Poison.09</t>
    <phoneticPr fontId="3" type="noConversion"/>
  </si>
  <si>
    <t>id.passive.venom.buffeffect
Poison.11</t>
    <phoneticPr fontId="3" type="noConversion"/>
  </si>
  <si>
    <t>id.passive.venom.buffeffect
Poison.12</t>
    <phoneticPr fontId="3" type="noConversion"/>
  </si>
  <si>
    <t>id.passive.venom.buffeffect
Poison.15</t>
    <phoneticPr fontId="3" type="noConversion"/>
  </si>
  <si>
    <t>taina.passive.ex.event.buff.buffeffect.01.01</t>
    <phoneticPr fontId="3" type="noConversion"/>
  </si>
  <si>
    <t>taina.passive.ex.event.buff.buffeffect.01.02</t>
  </si>
  <si>
    <t>taina.passive.ex.event.buff.buffeffect.01.03</t>
  </si>
  <si>
    <t>taina.passive.ex.event.buff.buffeffect.01.04</t>
  </si>
  <si>
    <t>taina.passive.ex.event.buff.buffeffect.01.05</t>
  </si>
  <si>
    <t>taina.passive.ex.event.buff.buffeffect.01.06</t>
  </si>
  <si>
    <t>taina.passive.ex.event.buff.buffeffect.02.01</t>
    <phoneticPr fontId="3" type="noConversion"/>
  </si>
  <si>
    <t>taina.passive.ex.event.buff.buffeffect.02.02</t>
  </si>
  <si>
    <t>taina.passive.ex.event.buff.buffeffect.02.03</t>
  </si>
  <si>
    <t>taina.passive.ex.event.buff.buffeffect.02.04</t>
  </si>
  <si>
    <t>taina.passive.ex.event.buff.buffeffect.02.05</t>
  </si>
  <si>
    <t>taina.passive.ex.event.buff.buffeffect.02.06</t>
  </si>
  <si>
    <t>Active</t>
    <phoneticPr fontId="3" type="noConversion"/>
  </si>
  <si>
    <t>hellen.passive.aroma</t>
    <phoneticPr fontId="3" type="noConversion"/>
  </si>
  <si>
    <t>hellen.passive.aroma</t>
    <phoneticPr fontId="3" type="noConversion"/>
  </si>
  <si>
    <t>BuffEffect</t>
    <phoneticPr fontId="3" type="noConversion"/>
  </si>
  <si>
    <t>taina.passive.ex.buff.buffeffect.01</t>
    <phoneticPr fontId="3" type="noConversion"/>
  </si>
  <si>
    <t>taina.passive.ex.buff.buffeffect.02</t>
  </si>
  <si>
    <t>taina.passive.ex.buff.buffeffect.03</t>
  </si>
  <si>
    <t>taina.passive.ex.buff.buffeffect.04</t>
  </si>
  <si>
    <t>taina.passive.ex.buff.buffeffect.05</t>
  </si>
  <si>
    <t>taina.passive.ex.buff.buffeffect.06</t>
  </si>
  <si>
    <t>taina.passive.ex.buff.skilleffect.01</t>
    <phoneticPr fontId="3" type="noConversion"/>
  </si>
  <si>
    <t>taina.passive.ex.buff.skilleffect.02</t>
  </si>
  <si>
    <t>taina.passive.ex.buff.skilleffect.03</t>
  </si>
  <si>
    <t>taina.passive.ex.buff.skilleffect.04</t>
  </si>
  <si>
    <t>taina.passive.ex.buff.skilleffect.05</t>
  </si>
  <si>
    <t>taina.passive.ex.buff.skilleffect.06</t>
  </si>
  <si>
    <t>taina.passive.ex.buff.buffeffect.01</t>
    <phoneticPr fontId="3" type="noConversion"/>
  </si>
  <si>
    <t>taina.passive.ex.event.buff.01</t>
    <phoneticPr fontId="3" type="noConversion"/>
  </si>
  <si>
    <t>taina.passive.ex.event.buff.02</t>
  </si>
  <si>
    <t>taina.passive.ex.event.buff.03</t>
  </si>
  <si>
    <t>taina.passive.ex.event.buff.04</t>
  </si>
  <si>
    <t>taina.passive.ex.event.buff.05</t>
  </si>
  <si>
    <t>taina.passive.ex.event.buff.06</t>
  </si>
  <si>
    <t>taina.passive.ex.event.buff.buffeffect.01.01
taina.passive.ex.event.buff.buffeffect.02.01</t>
    <phoneticPr fontId="3" type="noConversion"/>
  </si>
  <si>
    <t>taina.passive.ex.event.buff.buffeffect.01.02
taina.passive.ex.event.buff.buffeffect.02.02</t>
    <phoneticPr fontId="3" type="noConversion"/>
  </si>
  <si>
    <t>taina.passive.ex.event.buff.buffeffect.01.03
taina.passive.ex.event.buff.buffeffect.02.03</t>
    <phoneticPr fontId="3" type="noConversion"/>
  </si>
  <si>
    <t>taina.passive.ex.event.buff.buffeffect.01.04
taina.passive.ex.event.buff.buffeffect.02.04</t>
    <phoneticPr fontId="3" type="noConversion"/>
  </si>
  <si>
    <t>taina.passive.ex.event.buff.buffeffect.01.05
taina.passive.ex.event.buff.buffeffect.02.05</t>
    <phoneticPr fontId="3" type="noConversion"/>
  </si>
  <si>
    <t>taina.passive.ex.event.buff.buffeffect.01.06
taina.passive.ex.event.buff.buffeffect.02.06</t>
    <phoneticPr fontId="3" type="noConversion"/>
  </si>
  <si>
    <t>taina.passive.ex.buff.01</t>
    <phoneticPr fontId="3" type="noConversion"/>
  </si>
  <si>
    <t>taina.passive.ex.buff.02</t>
  </si>
  <si>
    <t>taina.passive.ex.buff.03</t>
  </si>
  <si>
    <t>taina.passive.ex.buff.04</t>
  </si>
  <si>
    <t>taina.passive.ex.buff.05</t>
  </si>
  <si>
    <t>taina.passive.ex.buff.06</t>
  </si>
  <si>
    <t>gray.ult.evasionup.buff.01</t>
  </si>
  <si>
    <t>gray.ult.evasionup.buff.02</t>
  </si>
  <si>
    <t>gray.ult.evasionup.buff.03</t>
  </si>
  <si>
    <t>gray.ult.evasionup.buff.04</t>
  </si>
  <si>
    <t>gray.ult.evasionup.buff.05</t>
  </si>
  <si>
    <t>Evasion.up.03</t>
  </si>
  <si>
    <t>gray.ult.evasionup.buff.06</t>
  </si>
  <si>
    <t>gray.ult.evasionup.buff.07</t>
  </si>
  <si>
    <t>gray.active2.shield.buff.01</t>
  </si>
  <si>
    <t>gray.active2.shield.buff.buffeffect.01</t>
  </si>
  <si>
    <t>gray.active2.shield.buff.02</t>
  </si>
  <si>
    <t>gray.active2.shield.buff.buffeffect.02</t>
  </si>
  <si>
    <t>gray.active2.shield.buff.03</t>
  </si>
  <si>
    <t>gray.active2.shield.buff.buffeffect.03</t>
  </si>
  <si>
    <t>gray.active2.shield.buff.04</t>
  </si>
  <si>
    <t>gray.active2.shield.buff.buffeffect.04</t>
  </si>
  <si>
    <t>gray.active2.shield.buff.05</t>
  </si>
  <si>
    <t>gray.active2.shield.buff.buffeffect.05</t>
  </si>
  <si>
    <t>gray.active2.shield.buff.06</t>
  </si>
  <si>
    <t>gray.active2.shield.buff.buffeffect.06</t>
  </si>
  <si>
    <t>gray.passive.shield.buff.01</t>
  </si>
  <si>
    <t>gray.passive.shield.buff.buffeffect.01</t>
  </si>
  <si>
    <t>gray.passive.shield.buff.02</t>
  </si>
  <si>
    <t>gray.passive.shield.buff.buffeffect.02</t>
  </si>
  <si>
    <t>gray.passive.shield.buff.03</t>
  </si>
  <si>
    <t>gray.passive.shield.buff.buffeffect.03</t>
  </si>
  <si>
    <t>gray.passive.shield.buff.04</t>
  </si>
  <si>
    <t>gray.passive.shield.buff.buffeffect.04</t>
  </si>
  <si>
    <t>gray.passive.shield.buff.05</t>
  </si>
  <si>
    <t>gray.passive.shield.buff.buffeffect.05</t>
  </si>
  <si>
    <t>Evasion.Up.01</t>
    <phoneticPr fontId="3" type="noConversion"/>
  </si>
  <si>
    <t>Evasion.up.01</t>
    <phoneticPr fontId="3" type="noConversion"/>
  </si>
  <si>
    <t>Evasion.up.02</t>
    <phoneticPr fontId="3" type="noConversion"/>
  </si>
  <si>
    <t>Evasion.up.03</t>
    <phoneticPr fontId="3" type="noConversion"/>
  </si>
  <si>
    <t>gray.passive.buff.buffeffect.01
gray.passive.shield.01</t>
    <phoneticPr fontId="3" type="noConversion"/>
  </si>
  <si>
    <t>gray.passive.buff.buffeffect.02
gray.passive.shield.02</t>
    <phoneticPr fontId="3" type="noConversion"/>
  </si>
  <si>
    <t>gray.passive.buff.buffeffect.03
gray.passive.shield.03</t>
    <phoneticPr fontId="3" type="noConversion"/>
  </si>
  <si>
    <t>gray.passive.buff.buffeffect.04
gray.passive.shield.04</t>
    <phoneticPr fontId="3" type="noConversion"/>
  </si>
  <si>
    <t>gray.passive.buff.buffeffect.05
gray.passive.shield.05</t>
    <phoneticPr fontId="3" type="noConversion"/>
  </si>
  <si>
    <t>gray.passive.shield.02</t>
  </si>
  <si>
    <t>gray.passive.shield.skilleffect.02</t>
  </si>
  <si>
    <t>gray.passive.shield.03</t>
  </si>
  <si>
    <t>gray.passive.shield.skilleffect.03</t>
  </si>
  <si>
    <t>gray.passive.shield.04</t>
  </si>
  <si>
    <t>gray.passive.shield.skilleffect.04</t>
  </si>
  <si>
    <t>gray.passive.shield.05</t>
  </si>
  <si>
    <t>gray.passive.shield.skilleffect.05</t>
  </si>
  <si>
    <t>gray.passive.shield.01</t>
    <phoneticPr fontId="3" type="noConversion"/>
  </si>
  <si>
    <t>gray.passive.shield.skilleffect.01</t>
    <phoneticPr fontId="3" type="noConversion"/>
  </si>
  <si>
    <t>crimson.ult.B.bleed.buff.01</t>
  </si>
  <si>
    <t>crimson.ult.B.bleed.buff.02</t>
  </si>
  <si>
    <t>crimson.ult.B.bleed.buff.03</t>
  </si>
  <si>
    <t>crimson.ult.B.bleed.buff.04</t>
  </si>
  <si>
    <t>crimson.ult.B.bleed.buff.05</t>
  </si>
  <si>
    <t>crimson.ult.B.bleed.buff.06</t>
  </si>
  <si>
    <t>crimson.ult.B.bleed.buff.07</t>
  </si>
  <si>
    <t>crimson.passive.bleed.buff.01</t>
  </si>
  <si>
    <t>crimson.passive.bleed.buff.02</t>
  </si>
  <si>
    <t>crimson.passive.bleed.buff.03</t>
  </si>
  <si>
    <t>crimson.passive.bleed.buff.04</t>
  </si>
  <si>
    <t>crimson.passive.bleed.buff.05</t>
  </si>
  <si>
    <t>crimson.passive.bleed.buff.06</t>
  </si>
  <si>
    <t>crimson.passive.ex.attribute.buff.01</t>
  </si>
  <si>
    <t>crimson.passive.ex.attribute.buff.buffeffect.01</t>
  </si>
  <si>
    <t>crimson.passive.ex.attribute.buff.02</t>
  </si>
  <si>
    <t>crimson.passive.ex.attribute.buff.buffeffect.02</t>
  </si>
  <si>
    <t>crimson.passive.ex.attribute.buff.03</t>
  </si>
  <si>
    <t>crimson.passive.ex.attribute.buff.buffeffect.03</t>
  </si>
  <si>
    <t>crimson.passive.ex.attribute.buff.04</t>
  </si>
  <si>
    <t>crimson.passive.ex.attribute.buff.buffeffect.04</t>
  </si>
  <si>
    <t>crimson.passive.ex.attribute.buff.05</t>
  </si>
  <si>
    <t>crimson.passive.ex.attribute.buff.buffeffect.05</t>
  </si>
  <si>
    <t>crimson.passive.ex.attribute.buff.06</t>
  </si>
  <si>
    <t>crimson.passive.ex.attribute.buff.buffeffect.06</t>
  </si>
  <si>
    <t>Accuracy.Down.03</t>
    <phoneticPr fontId="3" type="noConversion"/>
  </si>
  <si>
    <t>Accuracy.Down.04</t>
    <phoneticPr fontId="3" type="noConversion"/>
  </si>
  <si>
    <t>crimson.passive.buff.buffeffect.01
crimson.passive.hit.bleed.01</t>
    <phoneticPr fontId="3" type="noConversion"/>
  </si>
  <si>
    <t>crimson.passive.buff.buffeffect.02
crimson.passive.hit.bleed.02</t>
    <phoneticPr fontId="3" type="noConversion"/>
  </si>
  <si>
    <t>crimson.passive.buff.buffeffect.03
crimson.passive.hit.bleed.03</t>
    <phoneticPr fontId="3" type="noConversion"/>
  </si>
  <si>
    <t>crimson.passive.buff.buffeffect.04
crimson.passive.hit.bleed.04</t>
    <phoneticPr fontId="3" type="noConversion"/>
  </si>
  <si>
    <t>crimson.passive.buff.buffeffect.05
crimson.passive.hit.bleed.05</t>
    <phoneticPr fontId="3" type="noConversion"/>
  </si>
  <si>
    <t>crimson.passive.buff.buffeffect.06
crimson.passive.hit.bleed.06</t>
    <phoneticPr fontId="3" type="noConversion"/>
  </si>
  <si>
    <t>crimson.passive.hit.bleed.02</t>
  </si>
  <si>
    <t>crimson.passive.hit.bleed.03</t>
  </si>
  <si>
    <t>crimson.passive.hit.bleed.04</t>
  </si>
  <si>
    <t>crimson.passive.hit.bleed.05</t>
  </si>
  <si>
    <t>crimson.passive.hit.bleed.06</t>
  </si>
  <si>
    <t>crimson.passive.ex.attribute.buffeffect.01</t>
  </si>
  <si>
    <t>crimson.passive.ex.attribute.buffeffect.02</t>
  </si>
  <si>
    <t>crimson.passive.ex.attribute.buffeffect.03</t>
  </si>
  <si>
    <t>crimson.passive.ex.attribute.buffeffect.04</t>
  </si>
  <si>
    <t>crimson.passive.ex.attribute.buffeffect.05</t>
  </si>
  <si>
    <t>crimson.passive.ex.attribute.buffeffect.06</t>
  </si>
  <si>
    <t>crimson.passive.hit.bleed.01</t>
    <phoneticPr fontId="3" type="noConversion"/>
  </si>
  <si>
    <t>crimson.passive.hit.bleed.skilleffect.01</t>
    <phoneticPr fontId="3" type="noConversion"/>
  </si>
  <si>
    <t>crimson.passive.hit.bleed.skilleffect.02</t>
    <phoneticPr fontId="3" type="noConversion"/>
  </si>
  <si>
    <t>crimson.passive.hit.bleed.skilleffect.03</t>
    <phoneticPr fontId="3" type="noConversion"/>
  </si>
  <si>
    <t>crimson.passive.hit.bleed.skilleffect.04</t>
    <phoneticPr fontId="3" type="noConversion"/>
  </si>
  <si>
    <t>crimson.passive.hit.bleed.skilleffect.05</t>
    <phoneticPr fontId="3" type="noConversion"/>
  </si>
  <si>
    <t>crimson.passive.hit.bleed.skilleffect.06</t>
    <phoneticPr fontId="3" type="noConversion"/>
  </si>
  <si>
    <t>Reduce.DotDamage.Down.02</t>
    <phoneticPr fontId="3" type="noConversion"/>
  </si>
  <si>
    <t>Reduce.DotDamage.Down.03</t>
    <phoneticPr fontId="3" type="noConversion"/>
  </si>
  <si>
    <t>AttributeRed</t>
    <phoneticPr fontId="3" type="noConversion"/>
  </si>
  <si>
    <t>crimson.passive.ex.atkup.middle.skilleffect.01</t>
    <phoneticPr fontId="3" type="noConversion"/>
  </si>
  <si>
    <t>crimson.passive.ex.atkup.middle.skilleffect.02</t>
    <phoneticPr fontId="3" type="noConversion"/>
  </si>
  <si>
    <t>crimson.passive.ex.atkup.middle.skilleffect.04</t>
    <phoneticPr fontId="3" type="noConversion"/>
  </si>
  <si>
    <t>crimson.passive.ex.atkup.middle.skilleffect.03</t>
    <phoneticPr fontId="3" type="noConversion"/>
  </si>
  <si>
    <t>crimson.passive.ex.atkup.middle.skilleffect.05</t>
    <phoneticPr fontId="3" type="noConversion"/>
  </si>
  <si>
    <t>crimson.passive.ex.atkup.middle.skilleffect.06</t>
    <phoneticPr fontId="3" type="noConversion"/>
  </si>
  <si>
    <t>crimson.passive.ex.middle.buffeffect.01
crimson.passive.ex.back.buffeffect.01
crimson.passive.ex.attribute.buffeffect.01</t>
    <phoneticPr fontId="3" type="noConversion"/>
  </si>
  <si>
    <t>crimson.passive.ex.middle.buffeffect.02
crimson.passive.ex.back.buffeffect.02
crimson.passive.ex.attribute.buffeffect.02</t>
    <phoneticPr fontId="3" type="noConversion"/>
  </si>
  <si>
    <t>crimson.passive.ex.middle.buffeffect.03
crimson.passive.ex.back.buffeffect.03
crimson.passive.ex.attribute.buffeffect.03</t>
    <phoneticPr fontId="3" type="noConversion"/>
  </si>
  <si>
    <t>crimson.passive.ex.middle.buffeffect.04
crimson.passive.ex.back.buffeffect.04
crimson.passive.ex.attribute.buffeffect.04</t>
    <phoneticPr fontId="3" type="noConversion"/>
  </si>
  <si>
    <t>crimson.passive.ex.middle.buffeffect.05
crimson.passive.ex.back.buffeffect.05
crimson.passive.ex.attribute.buffeffect.05</t>
    <phoneticPr fontId="3" type="noConversion"/>
  </si>
  <si>
    <t>crimson.passive.ex.middle.buffeffect.06
crimson.passive.ex.back.buffeffect.06
crimson.passive.ex.attribute.buffeffect.06</t>
    <phoneticPr fontId="3" type="noConversion"/>
  </si>
  <si>
    <t>crimson.passive.ex.back.buffeffect.01</t>
    <phoneticPr fontId="3" type="noConversion"/>
  </si>
  <si>
    <t>crimson.passive.ex.back.buffeffect.02</t>
  </si>
  <si>
    <t>crimson.passive.ex.back.buffeffect.03</t>
  </si>
  <si>
    <t>crimson.passive.ex.back.buffeffect.04</t>
  </si>
  <si>
    <t>crimson.passive.ex.back.buffeffect.05</t>
  </si>
  <si>
    <t>crimson.passive.ex.back.buffeffect.06</t>
  </si>
  <si>
    <t>crimson.passive.ex.middle.buffeffect.01</t>
    <phoneticPr fontId="3" type="noConversion"/>
  </si>
  <si>
    <t>crimson.passive.ex.middle.buffeffect.02</t>
    <phoneticPr fontId="3" type="noConversion"/>
  </si>
  <si>
    <t>crimson.passive.ex.middle.buffeffect.04</t>
    <phoneticPr fontId="3" type="noConversion"/>
  </si>
  <si>
    <t>crimson.passive.ex.middle.buffeffect.03</t>
    <phoneticPr fontId="3" type="noConversion"/>
  </si>
  <si>
    <t>crimson.passive.ex.middle.buffeffect.05</t>
    <phoneticPr fontId="3" type="noConversion"/>
  </si>
  <si>
    <t>crimson.passive.ex.middle.buffeffect.06</t>
    <phoneticPr fontId="3" type="noConversion"/>
  </si>
  <si>
    <t>crimson.passive.ex.atkup.back.skilleffect.01</t>
  </si>
  <si>
    <t>crimson.passive.ex.atkup.back.skilleffect.02</t>
  </si>
  <si>
    <t>crimson.passive.ex.atkup.back.skilleffect.03</t>
  </si>
  <si>
    <t>crimson.passive.ex.atkup.back.skilleffect.04</t>
  </si>
  <si>
    <t>crimson.passive.ex.atkup.back.skilleffect.05</t>
  </si>
  <si>
    <t>crimson.passive.ex.atkup.back.skilleffect.06</t>
  </si>
  <si>
    <t>DebuffEffectType</t>
  </si>
  <si>
    <t>hallona.passive.ex.buff.01</t>
    <phoneticPr fontId="3" type="noConversion"/>
  </si>
  <si>
    <t>hallona.passive.ex.buff.02</t>
  </si>
  <si>
    <t>hallona.passive.ex.buff.03</t>
  </si>
  <si>
    <t>hallona.passive.ex.buff.04</t>
  </si>
  <si>
    <t>hallona.passive.ex.buff.05</t>
  </si>
  <si>
    <t>hallona.passive.ex.buff.06</t>
  </si>
  <si>
    <t>hallona.passive.buff.01</t>
    <phoneticPr fontId="3" type="noConversion"/>
  </si>
  <si>
    <t>none</t>
    <phoneticPr fontId="3" type="noConversion"/>
  </si>
  <si>
    <t>hallona.passive.ex.buff.buffeffect.01</t>
  </si>
  <si>
    <t>hallona.passive.ex.buff.buffeffect.01</t>
    <phoneticPr fontId="3" type="noConversion"/>
  </si>
  <si>
    <t>hallona.passive.ex.buff.buffeffect.02</t>
  </si>
  <si>
    <t>hallona.passive.ex.buff.buffeffect.03</t>
  </si>
  <si>
    <t>hallona.passive.ex.buff.buffeffect.04</t>
  </si>
  <si>
    <t>hallona.passive.ex.buff.buffeffect.05</t>
  </si>
  <si>
    <t>hallona.passive.ex.buff.buffeffect.06</t>
  </si>
  <si>
    <t>hallona.passive.ex.event.buff.01</t>
  </si>
  <si>
    <t>hallona.passive.ex.event.buff.buffeffect.01</t>
  </si>
  <si>
    <t>hallona.passive.ex.event.buff.02</t>
  </si>
  <si>
    <t>hallona.passive.ex.event.buff.buffeffect.02</t>
  </si>
  <si>
    <t>hallona.passive.ex.event.buff.03</t>
  </si>
  <si>
    <t>hallona.passive.ex.event.buff.buffeffect.03</t>
  </si>
  <si>
    <t>hallona.passive.ex.event.buff.04</t>
  </si>
  <si>
    <t>hallona.passive.ex.event.buff.buffeffect.04</t>
  </si>
  <si>
    <t>hallona.passive.ex.event.buff.05</t>
  </si>
  <si>
    <t>hallona.passive.ex.event.buff.buffeffect.05</t>
  </si>
  <si>
    <t>hallona.passive.ex.event.buff.06</t>
  </si>
  <si>
    <t>hallona.passive.ex.event.buff.buffeffect.06</t>
  </si>
  <si>
    <t>hallona.passive.ex.shield.buff.01</t>
  </si>
  <si>
    <t>hallona.passive.ex.shield.buff.buffeffect.01</t>
  </si>
  <si>
    <t>hallona.passive.ex.shield.buff.02</t>
  </si>
  <si>
    <t>hallona.passive.ex.shield.buff.buffeffect.02</t>
  </si>
  <si>
    <t>hallona.passive.ex.shield.buff.03</t>
  </si>
  <si>
    <t>hallona.passive.ex.shield.buff.buffeffect.03</t>
  </si>
  <si>
    <t>hallona.passive.ex.shield.buff.04</t>
  </si>
  <si>
    <t>hallona.passive.ex.shield.buff.buffeffect.04</t>
  </si>
  <si>
    <t>hallona.passive.ex.shield.buff.05</t>
  </si>
  <si>
    <t>hallona.passive.ex.shield.buff.buffeffect.05</t>
  </si>
  <si>
    <t>hallona.passive.ex.shield.buff.06</t>
  </si>
  <si>
    <t>hallona.passive.ex.shield.buff.buffeffect.06</t>
  </si>
  <si>
    <t>hallona.passive.ex.buff.buffeffect.skilleffect.01</t>
  </si>
  <si>
    <t>hallona.passive.ex.buff.buffeffect.skilleffect.02</t>
  </si>
  <si>
    <t>hallona.passive.ex.buff.buffeffect.skilleffect.03</t>
  </si>
  <si>
    <t>hallona.passive.ex.buff.buffeffect.skilleffect.04</t>
  </si>
  <si>
    <t>hallona.passive.ex.buff.buffeffect.skilleffect.05</t>
  </si>
  <si>
    <t>hallona.passive.ex.buff.buffeffect.skilleffect.06</t>
  </si>
  <si>
    <t>hallona.passive.ex.event.buff.buffeffect.skilleffect.01</t>
  </si>
  <si>
    <t>hallona.passive.ex.event.buff.buffeffect.skilleffect.02</t>
  </si>
  <si>
    <t>hallona.passive.ex.event.buff.buffeffect.skilleffect.03</t>
  </si>
  <si>
    <t>hallona.passive.ex.event.buff.buffeffect.skilleffect.04</t>
  </si>
  <si>
    <t>hallona.passive.ex.event.buff.buffeffect.skilleffect.05</t>
  </si>
  <si>
    <t>hallona.passive.ex.event.buff.buffeffect.skilleffect.06</t>
  </si>
  <si>
    <t>rayhou.passive.ex.buff.buffeffect.01
rayhou.passive.ex.buff.buffeffect.02
rayhou.passive.ex.buff.buffeffect.03.01</t>
    <phoneticPr fontId="3" type="noConversion"/>
  </si>
  <si>
    <t>rayhou.passive.ex.buff.buffeffect.01
rayhou.passive.ex.buff.buffeffect.02
rayhou.passive.ex.buff.buffeffect.03.02</t>
  </si>
  <si>
    <t>rayhou.passive.ex.buff.buffeffect.01
rayhou.passive.ex.buff.buffeffect.02
rayhou.passive.ex.buff.buffeffect.03.03</t>
  </si>
  <si>
    <t>rayhou.passive.ex.buff.buffeffect.01
rayhou.passive.ex.buff.buffeffect.02
rayhou.passive.ex.buff.buffeffect.03.04</t>
  </si>
  <si>
    <t>rayhou.passive.ex.buff.buffeffect.01
rayhou.passive.ex.buff.buffeffect.02
rayhou.passive.ex.buff.buffeffect.03.05</t>
  </si>
  <si>
    <t>rayhou.passive.ex.buff.buffeffect.01
rayhou.passive.ex.buff.buffeffect.02
rayhou.passive.ex.buff.buffeffect.03.06</t>
  </si>
  <si>
    <t>rayhou.passive.ex.buff.buffeffect.03.01</t>
    <phoneticPr fontId="3" type="noConversion"/>
  </si>
  <si>
    <t>rayhou.passive.ex.buff.buffeffect.03.02</t>
  </si>
  <si>
    <t>rayhou.passive.ex.buff.buffeffect.03.03</t>
  </si>
  <si>
    <t>rayhou.passive.ex.buff.buffeffect.03.04</t>
  </si>
  <si>
    <t>rayhou.passive.ex.buff.buffeffect.03.05</t>
  </si>
  <si>
    <t>rayhou.passive.ex.buff.buffeffect.03.06</t>
  </si>
  <si>
    <t>Active</t>
    <phoneticPr fontId="3" type="noConversion"/>
  </si>
  <si>
    <t>rayhou.passive.ex.buff.buffeffect.01</t>
    <phoneticPr fontId="3" type="noConversion"/>
  </si>
  <si>
    <t>rayhou.passive.ex.buff.buffeffect.skilleffect.01</t>
    <phoneticPr fontId="3" type="noConversion"/>
  </si>
  <si>
    <t>rayhou.passive.ex.buff.buffeffect.skilleffect.03.01</t>
    <phoneticPr fontId="3" type="noConversion"/>
  </si>
  <si>
    <t>rayhou.passive.ex.buff.buffeffect.skilleffect.03.02</t>
  </si>
  <si>
    <t>rayhou.passive.ex.buff.buffeffect.skilleffect.03.03</t>
  </si>
  <si>
    <t>rayhou.passive.ex.buff.buffeffect.skilleffect.03.04</t>
  </si>
  <si>
    <t>rayhou.passive.ex.buff.buffeffect.skilleffect.03.05</t>
  </si>
  <si>
    <t>rayhou.passive.ex.buff.buffeffect.skilleffect.03.06</t>
  </si>
  <si>
    <t>rayhou.passive.ex.trigger.01</t>
  </si>
  <si>
    <t>rayhou.passive.ex.trigger.01</t>
    <phoneticPr fontId="3" type="noConversion"/>
  </si>
  <si>
    <t>rayhou.passive.ex.trigger.02</t>
  </si>
  <si>
    <t>Buff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</si>
</sst>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4" borderId="0">
      <alignment vertical="center"/>
    </xf>
    <xf numFmtId="0" fontId="6" fillId="5" borderId="0">
      <alignment vertical="center"/>
    </xf>
    <xf numFmtId="0" fontId="5" fillId="0" borderId="1">
      <alignment horizontal="center"/>
    </xf>
    <xf numFmtId="0" fontId="6" fillId="7" borderId="0">
      <alignment vertical="center"/>
    </xf>
    <xf numFmtId="0" fontId="5" fillId="0" borderId="1">
      <alignment horizontal="center"/>
    </xf>
    <xf numFmtId="0" fontId="6" fillId="9" borderId="0">
      <alignment vertical="center"/>
    </xf>
    <xf numFmtId="0" fontId="2" fillId="29" borderId="0">
      <alignment vertical="center"/>
    </xf>
  </cellStyleXfs>
  <cellXfs count="20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1" applyBorder="1" applyAlignment="1">
      <alignment horizontal="center" vertical="center" wrapText="1"/>
    </xf>
    <xf numFmtId="0" fontId="6" fillId="5" borderId="1" xfId="2" applyBorder="1" applyAlignment="1">
      <alignment horizontal="center" vertical="center" wrapText="1"/>
    </xf>
    <xf numFmtId="0" fontId="6" fillId="7" borderId="1" xfId="4" applyBorder="1" applyAlignment="1">
      <alignment horizontal="center" vertical="center" wrapText="1"/>
    </xf>
    <xf numFmtId="0" fontId="0" fillId="8" borderId="1" xfId="3" applyFont="1" applyFill="1">
      <alignment horizontal="center"/>
    </xf>
    <xf numFmtId="0" fontId="0" fillId="6" borderId="1" xfId="5" applyFont="1" applyFill="1">
      <alignment horizontal="center"/>
    </xf>
    <xf numFmtId="0" fontId="6" fillId="9" borderId="1" xfId="6" applyBorder="1" applyAlignment="1">
      <alignment horizontal="center" vertical="center" wrapText="1"/>
    </xf>
    <xf numFmtId="0" fontId="0" fillId="10" borderId="1" xfId="3" applyFont="1" applyFill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3" applyFont="1" applyFill="1">
      <alignment horizontal="center"/>
    </xf>
    <xf numFmtId="0" fontId="0" fillId="11" borderId="0" xfId="0" applyFill="1"/>
    <xf numFmtId="0" fontId="0" fillId="6" borderId="0" xfId="0" applyFill="1"/>
    <xf numFmtId="0" fontId="0" fillId="12" borderId="1" xfId="3" applyFont="1" applyFill="1">
      <alignment horizontal="center"/>
    </xf>
    <xf numFmtId="0" fontId="0" fillId="12" borderId="1" xfId="5" applyFont="1" applyFill="1">
      <alignment horizontal="center"/>
    </xf>
    <xf numFmtId="0" fontId="0" fillId="6" borderId="1" xfId="0" applyFill="1" applyBorder="1" applyAlignment="1">
      <alignment horizontal="center" vertical="center"/>
    </xf>
    <xf numFmtId="0" fontId="0" fillId="13" borderId="1" xfId="3" applyFont="1" applyFill="1">
      <alignment horizontal="center"/>
    </xf>
    <xf numFmtId="0" fontId="0" fillId="14" borderId="1" xfId="5" applyFont="1" applyFill="1">
      <alignment horizontal="center"/>
    </xf>
    <xf numFmtId="0" fontId="5" fillId="10" borderId="1" xfId="5" applyFill="1">
      <alignment horizontal="center"/>
    </xf>
    <xf numFmtId="0" fontId="0" fillId="15" borderId="1" xfId="5" applyFont="1" applyFill="1">
      <alignment horizontal="center"/>
    </xf>
    <xf numFmtId="0" fontId="0" fillId="15" borderId="1" xfId="3" applyFont="1" applyFill="1">
      <alignment horizontal="center"/>
    </xf>
    <xf numFmtId="0" fontId="5" fillId="15" borderId="1" xfId="5" applyFill="1">
      <alignment horizontal="center"/>
    </xf>
    <xf numFmtId="0" fontId="0" fillId="16" borderId="1" xfId="3" applyFont="1" applyFill="1">
      <alignment horizontal="center"/>
    </xf>
    <xf numFmtId="0" fontId="0" fillId="17" borderId="1" xfId="3" applyFont="1" applyFill="1">
      <alignment horizontal="center"/>
    </xf>
    <xf numFmtId="0" fontId="0" fillId="18" borderId="1" xfId="3" applyFont="1" applyFill="1">
      <alignment horizontal="center"/>
    </xf>
    <xf numFmtId="0" fontId="0" fillId="19" borderId="1" xfId="3" applyFont="1" applyFill="1">
      <alignment horizontal="center"/>
    </xf>
    <xf numFmtId="0" fontId="0" fillId="19" borderId="1" xfId="0" applyFill="1" applyBorder="1" applyAlignment="1">
      <alignment horizontal="center" vertical="center"/>
    </xf>
    <xf numFmtId="0" fontId="5" fillId="19" borderId="1" xfId="3" applyFill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0" fillId="23" borderId="1" xfId="3" applyFont="1" applyFill="1">
      <alignment horizontal="center"/>
    </xf>
    <xf numFmtId="0" fontId="0" fillId="24" borderId="1" xfId="3" applyFont="1" applyFill="1">
      <alignment horizontal="center"/>
    </xf>
    <xf numFmtId="0" fontId="0" fillId="24" borderId="1" xfId="0" applyFill="1" applyBorder="1" applyAlignment="1">
      <alignment horizontal="center" vertical="center"/>
    </xf>
    <xf numFmtId="0" fontId="5" fillId="24" borderId="1" xfId="3" applyFill="1">
      <alignment horizontal="center"/>
    </xf>
    <xf numFmtId="0" fontId="0" fillId="24" borderId="1" xfId="0" applyFill="1" applyBorder="1" applyAlignment="1">
      <alignment horizontal="center"/>
    </xf>
    <xf numFmtId="0" fontId="0" fillId="17" borderId="1" xfId="3" applyFont="1" applyFill="1" applyAlignment="1">
      <alignment horizontal="center" wrapText="1"/>
    </xf>
    <xf numFmtId="0" fontId="0" fillId="16" borderId="1" xfId="3" applyFont="1" applyFill="1" applyAlignment="1">
      <alignment horizontal="center" wrapText="1"/>
    </xf>
    <xf numFmtId="0" fontId="0" fillId="24" borderId="1" xfId="3" applyFont="1" applyFill="1" applyAlignment="1">
      <alignment horizontal="center" wrapText="1"/>
    </xf>
    <xf numFmtId="0" fontId="0" fillId="11" borderId="1" xfId="3" applyFont="1" applyFill="1">
      <alignment horizontal="center"/>
    </xf>
    <xf numFmtId="0" fontId="0" fillId="25" borderId="1" xfId="0" applyFill="1" applyBorder="1" applyAlignment="1">
      <alignment horizontal="center" vertical="center"/>
    </xf>
    <xf numFmtId="0" fontId="0" fillId="18" borderId="1" xfId="3" applyFont="1" applyFill="1" applyAlignment="1">
      <alignment horizontal="center" wrapText="1"/>
    </xf>
    <xf numFmtId="0" fontId="0" fillId="26" borderId="1" xfId="3" applyFont="1" applyFill="1">
      <alignment horizontal="center"/>
    </xf>
    <xf numFmtId="0" fontId="0" fillId="19" borderId="1" xfId="3" applyFont="1" applyFill="1" applyAlignment="1">
      <alignment horizontal="center" wrapText="1"/>
    </xf>
    <xf numFmtId="0" fontId="0" fillId="21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0" borderId="1" xfId="5" applyFont="1" applyFill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0" fillId="13" borderId="1" xfId="5" applyFont="1" applyFill="1">
      <alignment horizontal="center"/>
    </xf>
    <xf numFmtId="0" fontId="0" fillId="27" borderId="1" xfId="3" applyFont="1" applyFill="1">
      <alignment horizontal="center"/>
    </xf>
    <xf numFmtId="0" fontId="0" fillId="27" borderId="1" xfId="3" applyFont="1" applyFill="1" applyAlignment="1">
      <alignment horizontal="center" wrapText="1"/>
    </xf>
    <xf numFmtId="0" fontId="0" fillId="28" borderId="1" xfId="3" applyFont="1" applyFill="1">
      <alignment horizontal="center"/>
    </xf>
    <xf numFmtId="0" fontId="0" fillId="28" borderId="1" xfId="3" applyFont="1" applyFill="1" applyAlignment="1">
      <alignment horizontal="center" wrapText="1"/>
    </xf>
    <xf numFmtId="0" fontId="0" fillId="23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0" fillId="24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30" borderId="1" xfId="3" applyFont="1" applyFill="1">
      <alignment horizontal="center"/>
    </xf>
    <xf numFmtId="0" fontId="0" fillId="31" borderId="1" xfId="3" applyFont="1" applyFill="1">
      <alignment horizontal="center"/>
    </xf>
    <xf numFmtId="0" fontId="0" fillId="31" borderId="1" xfId="3" applyFont="1" applyFill="1" applyAlignment="1">
      <alignment horizontal="center" wrapText="1"/>
    </xf>
    <xf numFmtId="0" fontId="2" fillId="24" borderId="1" xfId="7" applyFill="1" applyBorder="1" applyAlignment="1">
      <alignment horizontal="center" vertical="center"/>
    </xf>
    <xf numFmtId="0" fontId="6" fillId="32" borderId="1" xfId="2" applyFill="1" applyBorder="1" applyAlignment="1">
      <alignment horizontal="center" vertical="center" wrapText="1"/>
    </xf>
    <xf numFmtId="0" fontId="0" fillId="12" borderId="0" xfId="0" applyFill="1"/>
    <xf numFmtId="0" fontId="0" fillId="14" borderId="1" xfId="3" applyFont="1" applyFill="1">
      <alignment horizontal="center"/>
    </xf>
    <xf numFmtId="0" fontId="0" fillId="26" borderId="1" xfId="3" applyFont="1" applyFill="1" applyAlignment="1">
      <alignment horizontal="center" wrapText="1"/>
    </xf>
    <xf numFmtId="0" fontId="0" fillId="14" borderId="1" xfId="3" applyFont="1" applyFill="1" applyAlignment="1">
      <alignment horizontal="center" wrapText="1"/>
    </xf>
    <xf numFmtId="0" fontId="0" fillId="26" borderId="1" xfId="0" applyFill="1" applyBorder="1" applyAlignment="1">
      <alignment horizontal="center"/>
    </xf>
    <xf numFmtId="0" fontId="0" fillId="1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7" fillId="28" borderId="1" xfId="0" applyFont="1" applyFill="1" applyBorder="1" applyAlignment="1">
      <alignment horizontal="center"/>
    </xf>
    <xf numFmtId="0" fontId="7" fillId="28" borderId="0" xfId="0" applyFont="1" applyFill="1" applyAlignment="1">
      <alignment horizontal="center"/>
    </xf>
    <xf numFmtId="0" fontId="0" fillId="14" borderId="1" xfId="3" applyFont="1" applyFill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 wrapText="1"/>
    </xf>
    <xf numFmtId="0" fontId="0" fillId="33" borderId="1" xfId="3" applyFont="1" applyFill="1">
      <alignment horizontal="center"/>
    </xf>
    <xf numFmtId="0" fontId="0" fillId="33" borderId="1" xfId="3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5" fillId="13" borderId="1" xfId="3" applyFill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0" fillId="34" borderId="1" xfId="3" applyFont="1" applyFill="1">
      <alignment horizontal="center"/>
    </xf>
    <xf numFmtId="0" fontId="0" fillId="27" borderId="1" xfId="0" applyFill="1" applyBorder="1" applyAlignment="1">
      <alignment horizontal="center" vertical="center" wrapText="1"/>
    </xf>
    <xf numFmtId="0" fontId="7" fillId="27" borderId="1" xfId="1" applyFont="1" applyFill="1" applyBorder="1" applyAlignment="1">
      <alignment horizontal="center" vertical="center" wrapText="1"/>
    </xf>
    <xf numFmtId="0" fontId="7" fillId="27" borderId="1" xfId="2" applyFont="1" applyFill="1" applyBorder="1" applyAlignment="1">
      <alignment horizontal="center" vertical="center" wrapText="1"/>
    </xf>
    <xf numFmtId="0" fontId="7" fillId="27" borderId="1" xfId="6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7" fillId="34" borderId="1" xfId="1" applyFont="1" applyFill="1" applyBorder="1" applyAlignment="1">
      <alignment horizontal="center" vertical="center" wrapText="1"/>
    </xf>
    <xf numFmtId="0" fontId="7" fillId="34" borderId="1" xfId="2" applyFont="1" applyFill="1" applyBorder="1" applyAlignment="1">
      <alignment horizontal="center" vertical="center" wrapText="1"/>
    </xf>
    <xf numFmtId="0" fontId="7" fillId="34" borderId="1" xfId="6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7" fillId="28" borderId="1" xfId="1" applyFont="1" applyFill="1" applyBorder="1" applyAlignment="1">
      <alignment horizontal="center" vertical="center" wrapText="1"/>
    </xf>
    <xf numFmtId="0" fontId="7" fillId="28" borderId="1" xfId="2" applyFont="1" applyFill="1" applyBorder="1" applyAlignment="1">
      <alignment horizontal="center" vertical="center" wrapText="1"/>
    </xf>
    <xf numFmtId="0" fontId="7" fillId="28" borderId="1" xfId="6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0" fillId="37" borderId="1" xfId="3" applyFont="1" applyFill="1">
      <alignment horizontal="center"/>
    </xf>
    <xf numFmtId="0" fontId="0" fillId="16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5" applyFont="1" applyFill="1">
      <alignment horizontal="center"/>
    </xf>
    <xf numFmtId="0" fontId="8" fillId="4" borderId="1" xfId="1" applyFont="1" applyBorder="1" applyAlignment="1">
      <alignment horizontal="center" vertical="center" wrapText="1"/>
    </xf>
    <xf numFmtId="0" fontId="9" fillId="4" borderId="1" xfId="1" applyFont="1" applyBorder="1" applyAlignment="1">
      <alignment horizontal="center" vertical="center" wrapText="1"/>
    </xf>
    <xf numFmtId="0" fontId="0" fillId="16" borderId="1" xfId="0" applyFill="1" applyBorder="1" applyAlignment="1">
      <alignment horizontal="center" wrapText="1"/>
    </xf>
    <xf numFmtId="0" fontId="0" fillId="28" borderId="1" xfId="5" applyFont="1" applyFill="1">
      <alignment horizontal="center"/>
    </xf>
    <xf numFmtId="0" fontId="5" fillId="12" borderId="1" xfId="5" applyFill="1">
      <alignment horizontal="center"/>
    </xf>
    <xf numFmtId="0" fontId="8" fillId="6" borderId="1" xfId="3" applyFont="1" applyFill="1">
      <alignment horizontal="center"/>
    </xf>
    <xf numFmtId="0" fontId="9" fillId="6" borderId="1" xfId="3" applyFont="1" applyFill="1">
      <alignment horizontal="center"/>
    </xf>
    <xf numFmtId="0" fontId="0" fillId="23" borderId="1" xfId="5" applyFont="1" applyFill="1">
      <alignment horizontal="center"/>
    </xf>
    <xf numFmtId="0" fontId="5" fillId="23" borderId="1" xfId="5" applyFill="1">
      <alignment horizontal="center"/>
    </xf>
    <xf numFmtId="0" fontId="0" fillId="22" borderId="1" xfId="3" applyFont="1" applyFill="1">
      <alignment horizontal="center"/>
    </xf>
    <xf numFmtId="0" fontId="0" fillId="22" borderId="1" xfId="5" applyFont="1" applyFill="1">
      <alignment horizontal="center"/>
    </xf>
    <xf numFmtId="0" fontId="5" fillId="22" borderId="1" xfId="5" applyFill="1">
      <alignment horizontal="center"/>
    </xf>
    <xf numFmtId="0" fontId="5" fillId="14" borderId="1" xfId="5" applyFill="1">
      <alignment horizontal="center"/>
    </xf>
    <xf numFmtId="0" fontId="5" fillId="8" borderId="1" xfId="5" applyFill="1">
      <alignment horizontal="center"/>
    </xf>
    <xf numFmtId="0" fontId="0" fillId="14" borderId="1" xfId="5" applyFont="1" applyFill="1" applyAlignment="1">
      <alignment horizontal="center" wrapText="1"/>
    </xf>
    <xf numFmtId="0" fontId="5" fillId="6" borderId="1" xfId="5" applyFill="1">
      <alignment horizontal="center"/>
    </xf>
    <xf numFmtId="0" fontId="7" fillId="28" borderId="1" xfId="3" applyFont="1" applyFill="1">
      <alignment horizontal="center"/>
    </xf>
    <xf numFmtId="0" fontId="7" fillId="28" borderId="1" xfId="5" applyFont="1" applyFill="1">
      <alignment horizontal="center"/>
    </xf>
    <xf numFmtId="0" fontId="7" fillId="11" borderId="1" xfId="3" applyFont="1" applyFill="1">
      <alignment horizontal="center"/>
    </xf>
    <xf numFmtId="0" fontId="7" fillId="11" borderId="1" xfId="5" applyFont="1" applyFill="1">
      <alignment horizontal="center"/>
    </xf>
    <xf numFmtId="0" fontId="7" fillId="19" borderId="1" xfId="3" applyFont="1" applyFill="1">
      <alignment horizontal="center"/>
    </xf>
    <xf numFmtId="0" fontId="7" fillId="19" borderId="1" xfId="5" applyFont="1" applyFill="1">
      <alignment horizontal="center"/>
    </xf>
    <xf numFmtId="0" fontId="0" fillId="30" borderId="1" xfId="3" applyFont="1" applyFill="1" applyAlignment="1">
      <alignment horizontal="center" wrapText="1"/>
    </xf>
    <xf numFmtId="0" fontId="10" fillId="19" borderId="1" xfId="3" applyFont="1" applyFill="1">
      <alignment horizontal="center"/>
    </xf>
    <xf numFmtId="0" fontId="11" fillId="19" borderId="1" xfId="3" applyFont="1" applyFill="1">
      <alignment horizontal="center"/>
    </xf>
    <xf numFmtId="0" fontId="0" fillId="17" borderId="1" xfId="5" applyFont="1" applyFill="1">
      <alignment horizontal="center"/>
    </xf>
    <xf numFmtId="0" fontId="0" fillId="30" borderId="1" xfId="0" applyFill="1" applyBorder="1" applyAlignment="1">
      <alignment horizontal="center"/>
    </xf>
    <xf numFmtId="0" fontId="2" fillId="18" borderId="1" xfId="7" applyFill="1" applyBorder="1" applyAlignment="1">
      <alignment horizontal="center" vertical="center"/>
    </xf>
    <xf numFmtId="0" fontId="2" fillId="19" borderId="1" xfId="7" applyFill="1" applyBorder="1" applyAlignment="1">
      <alignment horizontal="center" vertical="center"/>
    </xf>
    <xf numFmtId="0" fontId="1" fillId="19" borderId="1" xfId="7" applyFont="1" applyFill="1" applyBorder="1" applyAlignment="1">
      <alignment horizontal="center" vertical="center"/>
    </xf>
    <xf numFmtId="0" fontId="11" fillId="24" borderId="1" xfId="3" applyFont="1" applyFill="1">
      <alignment horizontal="center"/>
    </xf>
    <xf numFmtId="0" fontId="0" fillId="38" borderId="1" xfId="3" applyFont="1" applyFill="1">
      <alignment horizontal="center"/>
    </xf>
    <xf numFmtId="0" fontId="0" fillId="16" borderId="0" xfId="0" applyFill="1"/>
    <xf numFmtId="0" fontId="0" fillId="18" borderId="0" xfId="0" applyFill="1"/>
    <xf numFmtId="0" fontId="0" fillId="33" borderId="0" xfId="0" applyFill="1"/>
    <xf numFmtId="0" fontId="0" fillId="36" borderId="1" xfId="3" applyFont="1" applyFill="1">
      <alignment horizontal="center"/>
    </xf>
    <xf numFmtId="0" fontId="0" fillId="36" borderId="0" xfId="0" applyFill="1"/>
    <xf numFmtId="0" fontId="0" fillId="30" borderId="0" xfId="0" applyFill="1"/>
    <xf numFmtId="0" fontId="0" fillId="11" borderId="1" xfId="3" applyFont="1" applyFill="1" applyAlignment="1">
      <alignment horizontal="center" wrapText="1"/>
    </xf>
    <xf numFmtId="0" fontId="0" fillId="33" borderId="1" xfId="3" applyFont="1" applyFill="1" applyAlignment="1">
      <alignment horizontal="center" wrapText="1"/>
    </xf>
    <xf numFmtId="0" fontId="0" fillId="17" borderId="0" xfId="0" applyFill="1"/>
    <xf numFmtId="0" fontId="0" fillId="35" borderId="1" xfId="3" applyFont="1" applyFill="1">
      <alignment horizontal="center"/>
    </xf>
    <xf numFmtId="0" fontId="0" fillId="35" borderId="0" xfId="0" applyFill="1"/>
    <xf numFmtId="0" fontId="0" fillId="19" borderId="0" xfId="0" applyFill="1"/>
    <xf numFmtId="0" fontId="0" fillId="27" borderId="0" xfId="0" applyFill="1"/>
    <xf numFmtId="0" fontId="0" fillId="8" borderId="0" xfId="0" applyFill="1"/>
    <xf numFmtId="0" fontId="0" fillId="8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wrapText="1"/>
    </xf>
    <xf numFmtId="0" fontId="0" fillId="8" borderId="1" xfId="3" applyFont="1" applyFill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4" borderId="0" xfId="0" applyFill="1"/>
    <xf numFmtId="0" fontId="0" fillId="35" borderId="1" xfId="3" applyFont="1" applyFill="1" applyAlignment="1">
      <alignment horizontal="center" wrapText="1"/>
    </xf>
    <xf numFmtId="0" fontId="0" fillId="26" borderId="0" xfId="0" applyFill="1"/>
    <xf numFmtId="0" fontId="0" fillId="17" borderId="1" xfId="0" applyFill="1" applyBorder="1" applyAlignment="1">
      <alignment horizontal="center" wrapText="1"/>
    </xf>
    <xf numFmtId="0" fontId="0" fillId="28" borderId="0" xfId="0" applyFill="1"/>
    <xf numFmtId="0" fontId="0" fillId="38" borderId="1" xfId="3" applyFont="1" applyFill="1" applyAlignment="1">
      <alignment horizontal="center" wrapText="1"/>
    </xf>
    <xf numFmtId="0" fontId="0" fillId="28" borderId="1" xfId="3" applyFont="1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16" borderId="1" xfId="0" applyFill="1" applyBorder="1" applyAlignment="1"/>
    <xf numFmtId="0" fontId="0" fillId="35" borderId="1" xfId="0" applyFill="1" applyBorder="1" applyAlignment="1"/>
    <xf numFmtId="0" fontId="0" fillId="36" borderId="1" xfId="0" applyFill="1" applyBorder="1" applyAlignment="1"/>
    <xf numFmtId="0" fontId="0" fillId="0" borderId="0" xfId="0" applyAlignment="1"/>
    <xf numFmtId="0" fontId="0" fillId="12" borderId="1" xfId="0" applyFill="1" applyBorder="1" applyAlignment="1">
      <alignment horizontal="center"/>
    </xf>
    <xf numFmtId="0" fontId="7" fillId="39" borderId="1" xfId="3" applyFont="1" applyFill="1">
      <alignment horizontal="center"/>
    </xf>
    <xf numFmtId="0" fontId="0" fillId="39" borderId="1" xfId="5" applyFont="1" applyFill="1">
      <alignment horizontal="center"/>
    </xf>
    <xf numFmtId="0" fontId="0" fillId="39" borderId="0" xfId="0" applyFill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0" fillId="31" borderId="0" xfId="0" applyFill="1"/>
    <xf numFmtId="0" fontId="0" fillId="31" borderId="1" xfId="0" applyFill="1" applyBorder="1" applyAlignment="1">
      <alignment horizontal="center" vertical="center" wrapText="1"/>
    </xf>
    <xf numFmtId="0" fontId="7" fillId="31" borderId="1" xfId="1" applyFont="1" applyFill="1" applyBorder="1" applyAlignment="1">
      <alignment horizontal="center" vertical="center" wrapText="1"/>
    </xf>
    <xf numFmtId="0" fontId="7" fillId="31" borderId="1" xfId="2" applyFont="1" applyFill="1" applyBorder="1" applyAlignment="1">
      <alignment horizontal="center" vertical="center" wrapText="1"/>
    </xf>
    <xf numFmtId="0" fontId="7" fillId="31" borderId="1" xfId="6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wrapText="1"/>
    </xf>
    <xf numFmtId="0" fontId="0" fillId="38" borderId="0" xfId="0" applyFill="1"/>
    <xf numFmtId="0" fontId="0" fillId="11" borderId="1" xfId="0" applyFill="1" applyBorder="1" applyAlignment="1">
      <alignment horizontal="center" wrapText="1"/>
    </xf>
    <xf numFmtId="0" fontId="0" fillId="10" borderId="0" xfId="0" applyFill="1"/>
    <xf numFmtId="0" fontId="0" fillId="11" borderId="1" xfId="3" applyFont="1" applyFill="1" applyAlignment="1">
      <alignment horizontal="center"/>
    </xf>
    <xf numFmtId="0" fontId="0" fillId="10" borderId="1" xfId="3" applyFont="1" applyFill="1" applyAlignment="1">
      <alignment horizont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3" applyFont="1" applyFill="1" applyAlignment="1">
      <alignment horizontal="center"/>
    </xf>
    <xf numFmtId="0" fontId="0" fillId="27" borderId="1" xfId="3" applyFont="1" applyFill="1" applyAlignment="1">
      <alignment horizontal="center"/>
    </xf>
    <xf numFmtId="0" fontId="0" fillId="19" borderId="1" xfId="3" applyFont="1" applyFill="1" applyAlignment="1">
      <alignment horizontal="center"/>
    </xf>
    <xf numFmtId="0" fontId="0" fillId="26" borderId="1" xfId="3" applyFont="1" applyFill="1" applyAlignment="1">
      <alignment horizontal="center"/>
    </xf>
    <xf numFmtId="0" fontId="0" fillId="37" borderId="0" xfId="0" applyFill="1"/>
  </cellXfs>
  <cellStyles count="8">
    <cellStyle name="20% - 강조색6" xfId="7" builtinId="50"/>
    <cellStyle name="강조색1" xfId="6" builtinId="29"/>
    <cellStyle name="강조색2" xfId="1" builtinId="33"/>
    <cellStyle name="강조색4" xfId="2" builtinId="41"/>
    <cellStyle name="강조색6" xfId="4" builtinId="49"/>
    <cellStyle name="기본" xfId="3"/>
    <cellStyle name="테이블 기본" xfId="5"/>
    <cellStyle name="표준" xfId="0" builtinId="0"/>
  </cellStyles>
  <dxfs count="586"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khoonsuh\Desktop\&#44592;&#54925;\&#49436;&#49437;&#54984;\1.29%20&#46972;&#51060;&#48652;%20&#49884;&#51089;!!\202_Buff_Character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ff.CM"/>
      <sheetName val="BuffEffect.CM"/>
      <sheetName val="Buff.T"/>
      <sheetName val="BuffEffect.T"/>
      <sheetName val="Buff.A"/>
      <sheetName val="BuffEffect.A"/>
      <sheetName val="Buff.R"/>
      <sheetName val="BuffEffect.R"/>
      <sheetName val="Buff.S"/>
      <sheetName val="BuffEffect.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0"/>
  <sheetViews>
    <sheetView showGridLines="0" zoomScale="85" zoomScaleNormal="85" workbookViewId="0">
      <pane xSplit="1" ySplit="4" topLeftCell="H635" activePane="bottomRight" state="frozen"/>
      <selection pane="topRight" activeCell="B1" sqref="B1"/>
      <selection pane="bottomLeft" activeCell="A5" sqref="A5"/>
      <selection pane="bottomRight" activeCell="M658" sqref="M658:M660"/>
    </sheetView>
  </sheetViews>
  <sheetFormatPr defaultRowHeight="16.5"/>
  <cols>
    <col min="1" max="1" width="39" style="172" customWidth="1"/>
    <col min="2" max="2" width="17.875" style="172" customWidth="1"/>
    <col min="3" max="3" width="16.25" style="172" customWidth="1"/>
    <col min="4" max="4" width="10.75" style="172" customWidth="1"/>
    <col min="5" max="6" width="9.875" style="172" customWidth="1"/>
    <col min="7" max="7" width="37.125" style="172" customWidth="1"/>
    <col min="8" max="8" width="12.375" style="172" customWidth="1"/>
    <col min="9" max="9" width="12.625" style="172" customWidth="1"/>
    <col min="10" max="10" width="13.75" style="172" customWidth="1"/>
    <col min="11" max="11" width="9.625" style="172" customWidth="1"/>
    <col min="12" max="12" width="43.75" style="172" customWidth="1"/>
    <col min="13" max="13" width="30.125" style="172" customWidth="1"/>
    <col min="14" max="14" width="40.125" style="172" customWidth="1"/>
    <col min="15" max="15" width="37.875" style="172" customWidth="1"/>
    <col min="16" max="16" width="13.75" style="172" customWidth="1"/>
    <col min="17" max="17" width="9.625" style="172" customWidth="1"/>
  </cols>
  <sheetData>
    <row r="1" spans="1:17" ht="33" customHeight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2" t="s">
        <v>23</v>
      </c>
      <c r="H2" s="5" t="s">
        <v>24</v>
      </c>
      <c r="I2" s="5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>
      <c r="A3" s="1" t="s">
        <v>5914</v>
      </c>
      <c r="B3" s="3" t="s">
        <v>35</v>
      </c>
      <c r="C3" s="3" t="s">
        <v>36</v>
      </c>
      <c r="D3" s="3" t="s">
        <v>37</v>
      </c>
      <c r="E3" s="4" t="s">
        <v>37</v>
      </c>
      <c r="F3" s="4" t="s">
        <v>37</v>
      </c>
      <c r="G3" s="2" t="s">
        <v>38</v>
      </c>
      <c r="H3" s="5" t="s">
        <v>39</v>
      </c>
      <c r="I3" s="5" t="s">
        <v>40</v>
      </c>
      <c r="J3" s="1" t="s">
        <v>40</v>
      </c>
      <c r="K3" s="1" t="s">
        <v>40</v>
      </c>
      <c r="L3" s="1" t="s">
        <v>41</v>
      </c>
      <c r="M3" s="1" t="s">
        <v>36</v>
      </c>
      <c r="N3" s="1" t="s">
        <v>36</v>
      </c>
      <c r="O3" s="1" t="s">
        <v>36</v>
      </c>
      <c r="P3" s="1" t="s">
        <v>40</v>
      </c>
      <c r="Q3" s="1" t="s">
        <v>40</v>
      </c>
    </row>
    <row r="4" spans="1:17">
      <c r="A4" s="1" t="s">
        <v>42</v>
      </c>
      <c r="B4" s="3" t="s">
        <v>42</v>
      </c>
      <c r="C4" s="3" t="s">
        <v>42</v>
      </c>
      <c r="D4" s="3" t="s">
        <v>42</v>
      </c>
      <c r="E4" s="4" t="s">
        <v>42</v>
      </c>
      <c r="F4" s="4" t="s">
        <v>42</v>
      </c>
      <c r="G4" s="2" t="s">
        <v>42</v>
      </c>
      <c r="H4" s="5" t="s">
        <v>42</v>
      </c>
      <c r="I4" s="5" t="s">
        <v>42</v>
      </c>
      <c r="J4" s="1" t="s">
        <v>42</v>
      </c>
      <c r="K4" s="1" t="s">
        <v>42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42</v>
      </c>
    </row>
    <row r="5" spans="1:17">
      <c r="A5" s="33" t="s">
        <v>44</v>
      </c>
      <c r="B5" s="33"/>
      <c r="C5" s="33"/>
      <c r="D5" s="33">
        <v>0</v>
      </c>
      <c r="E5" s="33">
        <v>0</v>
      </c>
      <c r="F5" s="33">
        <v>0</v>
      </c>
      <c r="G5" s="33" t="s">
        <v>44</v>
      </c>
      <c r="H5" s="33"/>
      <c r="I5" s="33" t="b">
        <v>0</v>
      </c>
      <c r="J5" s="33" t="b">
        <v>0</v>
      </c>
      <c r="K5" s="33" t="b">
        <v>1</v>
      </c>
      <c r="L5" s="33"/>
      <c r="M5" s="33"/>
      <c r="N5" s="33"/>
      <c r="O5" s="33"/>
      <c r="P5" s="33" t="b">
        <v>0</v>
      </c>
      <c r="Q5" s="33" t="b">
        <v>0</v>
      </c>
    </row>
    <row r="6" spans="1:17">
      <c r="A6" s="33" t="s">
        <v>45</v>
      </c>
      <c r="B6" s="33"/>
      <c r="C6" s="33"/>
      <c r="D6" s="33">
        <v>10000</v>
      </c>
      <c r="E6" s="33">
        <v>0</v>
      </c>
      <c r="F6" s="33">
        <v>0</v>
      </c>
      <c r="G6" s="33" t="s">
        <v>46</v>
      </c>
      <c r="H6" s="33"/>
      <c r="I6" s="33" t="b">
        <v>0</v>
      </c>
      <c r="J6" s="33" t="b">
        <v>0</v>
      </c>
      <c r="K6" s="33" t="b">
        <v>1</v>
      </c>
      <c r="L6" s="33"/>
      <c r="M6" s="33" t="s">
        <v>47</v>
      </c>
      <c r="N6" s="33"/>
      <c r="O6" s="33"/>
      <c r="P6" s="33" t="b">
        <v>0</v>
      </c>
      <c r="Q6" s="33" t="b">
        <v>0</v>
      </c>
    </row>
    <row r="7" spans="1:17">
      <c r="A7" s="33" t="s">
        <v>48</v>
      </c>
      <c r="B7" s="33"/>
      <c r="C7" s="33"/>
      <c r="D7" s="33">
        <v>10000</v>
      </c>
      <c r="E7" s="33">
        <v>0</v>
      </c>
      <c r="F7" s="33">
        <v>0</v>
      </c>
      <c r="G7" s="33" t="s">
        <v>49</v>
      </c>
      <c r="H7" s="33"/>
      <c r="I7" s="33" t="b">
        <v>0</v>
      </c>
      <c r="J7" s="33" t="b">
        <v>0</v>
      </c>
      <c r="K7" s="33" t="b">
        <v>1</v>
      </c>
      <c r="L7" s="15"/>
      <c r="M7" s="33" t="s">
        <v>47</v>
      </c>
      <c r="N7" s="33"/>
      <c r="O7" s="33"/>
      <c r="P7" s="33" t="b">
        <v>0</v>
      </c>
      <c r="Q7" s="33" t="b">
        <v>0</v>
      </c>
    </row>
    <row r="8" spans="1:17" ht="33" customHeight="1">
      <c r="A8" s="30" t="s">
        <v>5915</v>
      </c>
      <c r="B8" s="30"/>
      <c r="C8" s="30"/>
      <c r="D8" s="30">
        <v>0</v>
      </c>
      <c r="E8" s="30">
        <v>0</v>
      </c>
      <c r="F8" s="30">
        <v>0</v>
      </c>
      <c r="G8" s="30" t="s">
        <v>4512</v>
      </c>
      <c r="H8" s="30"/>
      <c r="I8" s="30" t="b">
        <v>0</v>
      </c>
      <c r="J8" s="30" t="b">
        <v>0</v>
      </c>
      <c r="K8" s="30" t="b">
        <v>1</v>
      </c>
      <c r="L8" s="49"/>
      <c r="M8" s="30"/>
      <c r="N8" s="30"/>
      <c r="O8" s="30"/>
      <c r="P8" s="30" t="b">
        <v>0</v>
      </c>
      <c r="Q8" s="30" t="b">
        <v>0</v>
      </c>
    </row>
    <row r="9" spans="1:17" ht="33" customHeight="1">
      <c r="A9" s="30" t="s">
        <v>5916</v>
      </c>
      <c r="B9" s="30"/>
      <c r="C9" s="30"/>
      <c r="D9" s="30">
        <v>20000</v>
      </c>
      <c r="E9" s="30">
        <v>0</v>
      </c>
      <c r="F9" s="30">
        <v>0</v>
      </c>
      <c r="G9" s="30" t="s">
        <v>50</v>
      </c>
      <c r="H9" s="30"/>
      <c r="I9" s="30" t="b">
        <v>0</v>
      </c>
      <c r="J9" s="30" t="b">
        <v>0</v>
      </c>
      <c r="K9" s="30" t="b">
        <v>1</v>
      </c>
      <c r="L9" s="49" t="s">
        <v>51</v>
      </c>
      <c r="M9" s="30" t="s">
        <v>52</v>
      </c>
      <c r="N9" s="30" t="s">
        <v>53</v>
      </c>
      <c r="O9" s="30" t="s">
        <v>1155</v>
      </c>
      <c r="P9" s="30" t="b">
        <v>0</v>
      </c>
      <c r="Q9" s="30" t="b">
        <v>0</v>
      </c>
    </row>
    <row r="10" spans="1:17" ht="82.5" customHeight="1">
      <c r="A10" s="31" t="s">
        <v>5917</v>
      </c>
      <c r="B10" s="31"/>
      <c r="C10" s="31"/>
      <c r="D10" s="31">
        <v>5000</v>
      </c>
      <c r="E10" s="31">
        <v>0</v>
      </c>
      <c r="F10" s="31">
        <v>0</v>
      </c>
      <c r="G10" s="46" t="s">
        <v>55</v>
      </c>
      <c r="H10" s="31"/>
      <c r="I10" s="31" t="b">
        <v>0</v>
      </c>
      <c r="J10" s="31" t="b">
        <v>0</v>
      </c>
      <c r="K10" s="31" t="b">
        <v>1</v>
      </c>
      <c r="L10" s="46" t="s">
        <v>51</v>
      </c>
      <c r="M10" s="31" t="s">
        <v>56</v>
      </c>
      <c r="N10" s="31" t="s">
        <v>57</v>
      </c>
      <c r="O10" s="31" t="s">
        <v>1154</v>
      </c>
      <c r="P10" s="31" t="b">
        <v>0</v>
      </c>
      <c r="Q10" s="31" t="b">
        <v>0</v>
      </c>
    </row>
    <row r="11" spans="1:17" ht="33" customHeight="1">
      <c r="A11" s="31" t="s">
        <v>58</v>
      </c>
      <c r="B11" s="31"/>
      <c r="C11" s="31"/>
      <c r="D11" s="31">
        <v>5000</v>
      </c>
      <c r="E11" s="31">
        <v>0</v>
      </c>
      <c r="F11" s="31">
        <v>0</v>
      </c>
      <c r="G11" s="31" t="s">
        <v>54</v>
      </c>
      <c r="H11" s="31"/>
      <c r="I11" s="31" t="b">
        <v>0</v>
      </c>
      <c r="J11" s="31" t="b">
        <v>0</v>
      </c>
      <c r="K11" s="31" t="b">
        <v>1</v>
      </c>
      <c r="L11" s="46" t="s">
        <v>51</v>
      </c>
      <c r="M11" s="31" t="s">
        <v>56</v>
      </c>
      <c r="N11" s="31" t="s">
        <v>59</v>
      </c>
      <c r="O11" s="31" t="s">
        <v>1156</v>
      </c>
      <c r="P11" s="31" t="b">
        <v>0</v>
      </c>
      <c r="Q11" s="31" t="b">
        <v>0</v>
      </c>
    </row>
    <row r="12" spans="1:17" ht="66" customHeight="1">
      <c r="A12" s="31" t="s">
        <v>60</v>
      </c>
      <c r="B12" s="31"/>
      <c r="C12" s="31"/>
      <c r="D12" s="31">
        <v>5000</v>
      </c>
      <c r="E12" s="31">
        <v>0</v>
      </c>
      <c r="F12" s="31">
        <v>0</v>
      </c>
      <c r="G12" s="46" t="s">
        <v>61</v>
      </c>
      <c r="H12" s="31"/>
      <c r="I12" s="31" t="b">
        <v>0</v>
      </c>
      <c r="J12" s="31" t="b">
        <v>0</v>
      </c>
      <c r="K12" s="31" t="b">
        <v>1</v>
      </c>
      <c r="L12" s="39" t="s">
        <v>51</v>
      </c>
      <c r="M12" s="31" t="s">
        <v>56</v>
      </c>
      <c r="N12" s="31" t="s">
        <v>62</v>
      </c>
      <c r="O12" s="31" t="s">
        <v>1157</v>
      </c>
      <c r="P12" s="31" t="b">
        <v>0</v>
      </c>
      <c r="Q12" s="31" t="b">
        <v>0</v>
      </c>
    </row>
    <row r="13" spans="1:17" ht="82.5" customHeight="1">
      <c r="A13" s="42" t="s">
        <v>5918</v>
      </c>
      <c r="B13" s="42"/>
      <c r="C13" s="42"/>
      <c r="D13" s="42">
        <v>0</v>
      </c>
      <c r="E13" s="42">
        <v>0</v>
      </c>
      <c r="F13" s="42">
        <v>0</v>
      </c>
      <c r="G13" s="47" t="s">
        <v>55</v>
      </c>
      <c r="H13" s="42"/>
      <c r="I13" s="42" t="b">
        <v>0</v>
      </c>
      <c r="J13" s="42" t="b">
        <v>0</v>
      </c>
      <c r="K13" s="42" t="b">
        <v>1</v>
      </c>
      <c r="L13" s="39" t="s">
        <v>7471</v>
      </c>
      <c r="M13" s="42" t="s">
        <v>56</v>
      </c>
      <c r="N13" s="42" t="s">
        <v>57</v>
      </c>
      <c r="O13" s="42" t="s">
        <v>1154</v>
      </c>
      <c r="P13" s="42" t="b">
        <v>0</v>
      </c>
      <c r="Q13" s="42" t="b">
        <v>0</v>
      </c>
    </row>
    <row r="14" spans="1:17" ht="33" customHeight="1">
      <c r="A14" s="42" t="s">
        <v>63</v>
      </c>
      <c r="B14" s="42"/>
      <c r="C14" s="42"/>
      <c r="D14" s="42">
        <v>0</v>
      </c>
      <c r="E14" s="42">
        <v>0</v>
      </c>
      <c r="F14" s="42">
        <v>0</v>
      </c>
      <c r="G14" s="42" t="s">
        <v>54</v>
      </c>
      <c r="H14" s="42"/>
      <c r="I14" s="42" t="b">
        <v>0</v>
      </c>
      <c r="J14" s="42" t="b">
        <v>0</v>
      </c>
      <c r="K14" s="42" t="b">
        <v>1</v>
      </c>
      <c r="L14" s="47" t="s">
        <v>51</v>
      </c>
      <c r="M14" s="42" t="s">
        <v>56</v>
      </c>
      <c r="N14" s="42" t="s">
        <v>59</v>
      </c>
      <c r="O14" s="42" t="s">
        <v>1156</v>
      </c>
      <c r="P14" s="42" t="b">
        <v>0</v>
      </c>
      <c r="Q14" s="42" t="b">
        <v>0</v>
      </c>
    </row>
    <row r="15" spans="1:17" ht="66" customHeight="1">
      <c r="A15" s="42" t="s">
        <v>64</v>
      </c>
      <c r="B15" s="42"/>
      <c r="C15" s="42"/>
      <c r="D15" s="42">
        <v>0</v>
      </c>
      <c r="E15" s="42">
        <v>0</v>
      </c>
      <c r="F15" s="42">
        <v>0</v>
      </c>
      <c r="G15" s="47" t="s">
        <v>61</v>
      </c>
      <c r="H15" s="42"/>
      <c r="I15" s="42" t="b">
        <v>0</v>
      </c>
      <c r="J15" s="42" t="b">
        <v>0</v>
      </c>
      <c r="K15" s="42" t="b">
        <v>1</v>
      </c>
      <c r="L15" s="47" t="s">
        <v>51</v>
      </c>
      <c r="M15" s="42" t="s">
        <v>56</v>
      </c>
      <c r="N15" s="42" t="s">
        <v>62</v>
      </c>
      <c r="O15" s="42" t="s">
        <v>1157</v>
      </c>
      <c r="P15" s="42" t="b">
        <v>0</v>
      </c>
      <c r="Q15" s="42" t="b">
        <v>0</v>
      </c>
    </row>
    <row r="16" spans="1:17">
      <c r="A16" s="15" t="s">
        <v>65</v>
      </c>
      <c r="B16" s="15"/>
      <c r="C16" s="15"/>
      <c r="D16" s="15">
        <v>0</v>
      </c>
      <c r="E16" s="15">
        <v>0</v>
      </c>
      <c r="F16" s="15">
        <v>0</v>
      </c>
      <c r="G16" s="15" t="s">
        <v>65</v>
      </c>
      <c r="H16" s="15"/>
      <c r="I16" s="15" t="b">
        <v>0</v>
      </c>
      <c r="J16" s="15" t="b">
        <v>0</v>
      </c>
      <c r="K16" s="15" t="b">
        <v>1</v>
      </c>
      <c r="L16" s="15" t="s">
        <v>66</v>
      </c>
      <c r="M16" s="15" t="s">
        <v>67</v>
      </c>
      <c r="N16" s="15" t="s">
        <v>68</v>
      </c>
      <c r="O16" s="15" t="s">
        <v>1174</v>
      </c>
      <c r="P16" s="15" t="b">
        <v>0</v>
      </c>
      <c r="Q16" s="15" t="b">
        <v>0</v>
      </c>
    </row>
    <row r="17" spans="1:17">
      <c r="A17" s="15" t="s">
        <v>69</v>
      </c>
      <c r="B17" s="15"/>
      <c r="C17" s="15"/>
      <c r="D17" s="15">
        <v>0</v>
      </c>
      <c r="E17" s="15">
        <v>0</v>
      </c>
      <c r="F17" s="15">
        <v>0</v>
      </c>
      <c r="G17" s="15" t="s">
        <v>69</v>
      </c>
      <c r="H17" s="15"/>
      <c r="I17" s="15" t="b">
        <v>0</v>
      </c>
      <c r="J17" s="15" t="b">
        <v>0</v>
      </c>
      <c r="K17" s="15" t="b">
        <v>1</v>
      </c>
      <c r="L17" s="15" t="s">
        <v>66</v>
      </c>
      <c r="M17" s="15" t="s">
        <v>67</v>
      </c>
      <c r="N17" s="15" t="s">
        <v>68</v>
      </c>
      <c r="O17" s="15" t="s">
        <v>1174</v>
      </c>
      <c r="P17" s="15" t="b">
        <v>0</v>
      </c>
      <c r="Q17" s="15" t="b">
        <v>0</v>
      </c>
    </row>
    <row r="18" spans="1:17">
      <c r="A18" s="15" t="s">
        <v>70</v>
      </c>
      <c r="B18" s="15"/>
      <c r="C18" s="15"/>
      <c r="D18" s="15">
        <v>0</v>
      </c>
      <c r="E18" s="15">
        <v>0</v>
      </c>
      <c r="F18" s="15">
        <v>0</v>
      </c>
      <c r="G18" s="15" t="s">
        <v>70</v>
      </c>
      <c r="H18" s="15"/>
      <c r="I18" s="15" t="b">
        <v>0</v>
      </c>
      <c r="J18" s="15" t="b">
        <v>0</v>
      </c>
      <c r="K18" s="15" t="b">
        <v>1</v>
      </c>
      <c r="L18" s="15" t="s">
        <v>66</v>
      </c>
      <c r="M18" s="15" t="s">
        <v>67</v>
      </c>
      <c r="N18" s="15" t="s">
        <v>68</v>
      </c>
      <c r="O18" s="15" t="s">
        <v>1174</v>
      </c>
      <c r="P18" s="15" t="b">
        <v>0</v>
      </c>
      <c r="Q18" s="15" t="b">
        <v>0</v>
      </c>
    </row>
    <row r="19" spans="1:17">
      <c r="A19" s="15" t="s">
        <v>71</v>
      </c>
      <c r="B19" s="15"/>
      <c r="C19" s="15"/>
      <c r="D19" s="15">
        <v>0</v>
      </c>
      <c r="E19" s="15">
        <v>0</v>
      </c>
      <c r="F19" s="15">
        <v>0</v>
      </c>
      <c r="G19" s="15" t="s">
        <v>71</v>
      </c>
      <c r="H19" s="15"/>
      <c r="I19" s="15" t="b">
        <v>0</v>
      </c>
      <c r="J19" s="15" t="b">
        <v>0</v>
      </c>
      <c r="K19" s="15" t="b">
        <v>1</v>
      </c>
      <c r="L19" s="15" t="s">
        <v>66</v>
      </c>
      <c r="M19" s="15" t="s">
        <v>67</v>
      </c>
      <c r="N19" s="15" t="s">
        <v>68</v>
      </c>
      <c r="O19" s="15" t="s">
        <v>1174</v>
      </c>
      <c r="P19" s="15" t="b">
        <v>0</v>
      </c>
      <c r="Q19" s="15" t="b">
        <v>0</v>
      </c>
    </row>
    <row r="20" spans="1:17">
      <c r="A20" s="15" t="s">
        <v>72</v>
      </c>
      <c r="B20" s="15"/>
      <c r="C20" s="15"/>
      <c r="D20" s="15">
        <v>0</v>
      </c>
      <c r="E20" s="15">
        <v>0</v>
      </c>
      <c r="F20" s="15">
        <v>0</v>
      </c>
      <c r="G20" s="15" t="s">
        <v>72</v>
      </c>
      <c r="H20" s="15"/>
      <c r="I20" s="15" t="b">
        <v>0</v>
      </c>
      <c r="J20" s="15" t="b">
        <v>0</v>
      </c>
      <c r="K20" s="15" t="b">
        <v>1</v>
      </c>
      <c r="L20" s="15" t="s">
        <v>66</v>
      </c>
      <c r="M20" s="15" t="s">
        <v>67</v>
      </c>
      <c r="N20" s="15" t="s">
        <v>68</v>
      </c>
      <c r="O20" s="15" t="s">
        <v>1174</v>
      </c>
      <c r="P20" s="15" t="b">
        <v>0</v>
      </c>
      <c r="Q20" s="15" t="b">
        <v>0</v>
      </c>
    </row>
    <row r="21" spans="1:17">
      <c r="A21" s="15" t="s">
        <v>73</v>
      </c>
      <c r="B21" s="15"/>
      <c r="C21" s="15"/>
      <c r="D21" s="15">
        <v>0</v>
      </c>
      <c r="E21" s="15">
        <v>0</v>
      </c>
      <c r="F21" s="15">
        <v>0</v>
      </c>
      <c r="G21" s="15" t="s">
        <v>73</v>
      </c>
      <c r="H21" s="15"/>
      <c r="I21" s="15" t="b">
        <v>0</v>
      </c>
      <c r="J21" s="15" t="b">
        <v>0</v>
      </c>
      <c r="K21" s="15" t="b">
        <v>1</v>
      </c>
      <c r="L21" s="15" t="s">
        <v>66</v>
      </c>
      <c r="M21" s="15" t="s">
        <v>67</v>
      </c>
      <c r="N21" s="15" t="s">
        <v>68</v>
      </c>
      <c r="O21" s="15" t="s">
        <v>1174</v>
      </c>
      <c r="P21" s="15" t="b">
        <v>0</v>
      </c>
      <c r="Q21" s="15" t="b">
        <v>0</v>
      </c>
    </row>
    <row r="22" spans="1:17">
      <c r="A22" s="15" t="s">
        <v>74</v>
      </c>
      <c r="B22" s="15"/>
      <c r="C22" s="15"/>
      <c r="D22" s="15">
        <v>0</v>
      </c>
      <c r="E22" s="15">
        <v>0</v>
      </c>
      <c r="F22" s="15">
        <v>0</v>
      </c>
      <c r="G22" s="15" t="s">
        <v>74</v>
      </c>
      <c r="H22" s="15"/>
      <c r="I22" s="15" t="b">
        <v>0</v>
      </c>
      <c r="J22" s="15" t="b">
        <v>0</v>
      </c>
      <c r="K22" s="15" t="b">
        <v>1</v>
      </c>
      <c r="L22" s="15" t="s">
        <v>66</v>
      </c>
      <c r="M22" s="15" t="s">
        <v>67</v>
      </c>
      <c r="N22" s="15" t="s">
        <v>68</v>
      </c>
      <c r="O22" s="15" t="s">
        <v>1174</v>
      </c>
      <c r="P22" s="15" t="b">
        <v>0</v>
      </c>
      <c r="Q22" s="15" t="b">
        <v>0</v>
      </c>
    </row>
    <row r="23" spans="1:17">
      <c r="A23" s="15" t="s">
        <v>75</v>
      </c>
      <c r="B23" s="15"/>
      <c r="C23" s="15"/>
      <c r="D23" s="15">
        <v>0</v>
      </c>
      <c r="E23" s="15">
        <v>0</v>
      </c>
      <c r="F23" s="15">
        <v>0</v>
      </c>
      <c r="G23" s="15" t="s">
        <v>75</v>
      </c>
      <c r="H23" s="15"/>
      <c r="I23" s="15" t="b">
        <v>0</v>
      </c>
      <c r="J23" s="15" t="b">
        <v>0</v>
      </c>
      <c r="K23" s="15" t="b">
        <v>1</v>
      </c>
      <c r="L23" s="15" t="s">
        <v>66</v>
      </c>
      <c r="M23" s="15" t="s">
        <v>67</v>
      </c>
      <c r="N23" s="15" t="s">
        <v>68</v>
      </c>
      <c r="O23" s="15" t="s">
        <v>1174</v>
      </c>
      <c r="P23" s="15" t="b">
        <v>0</v>
      </c>
      <c r="Q23" s="15" t="b">
        <v>0</v>
      </c>
    </row>
    <row r="24" spans="1:17">
      <c r="A24" s="50" t="s">
        <v>76</v>
      </c>
      <c r="B24" s="50"/>
      <c r="C24" s="50"/>
      <c r="D24" s="50">
        <v>0</v>
      </c>
      <c r="E24" s="50">
        <v>0</v>
      </c>
      <c r="F24" s="50">
        <v>0</v>
      </c>
      <c r="G24" s="50" t="s">
        <v>76</v>
      </c>
      <c r="H24" s="50"/>
      <c r="I24" s="50" t="b">
        <v>0</v>
      </c>
      <c r="J24" s="50" t="b">
        <v>0</v>
      </c>
      <c r="K24" s="50" t="b">
        <v>1</v>
      </c>
      <c r="L24" s="50"/>
      <c r="M24" s="50" t="s">
        <v>77</v>
      </c>
      <c r="N24" s="50" t="s">
        <v>78</v>
      </c>
      <c r="O24" s="50" t="s">
        <v>1175</v>
      </c>
      <c r="P24" s="50" t="b">
        <v>0</v>
      </c>
      <c r="Q24" s="50" t="b">
        <v>0</v>
      </c>
    </row>
    <row r="25" spans="1:17">
      <c r="A25" s="50" t="s">
        <v>79</v>
      </c>
      <c r="B25" s="50"/>
      <c r="C25" s="50"/>
      <c r="D25" s="50">
        <v>0</v>
      </c>
      <c r="E25" s="50">
        <v>0</v>
      </c>
      <c r="F25" s="50">
        <v>0</v>
      </c>
      <c r="G25" s="50" t="s">
        <v>79</v>
      </c>
      <c r="H25" s="50"/>
      <c r="I25" s="50" t="b">
        <v>0</v>
      </c>
      <c r="J25" s="50" t="b">
        <v>0</v>
      </c>
      <c r="K25" s="50" t="b">
        <v>1</v>
      </c>
      <c r="L25" s="50"/>
      <c r="M25" s="50" t="s">
        <v>77</v>
      </c>
      <c r="N25" s="50" t="s">
        <v>78</v>
      </c>
      <c r="O25" s="50" t="s">
        <v>1175</v>
      </c>
      <c r="P25" s="50" t="b">
        <v>0</v>
      </c>
      <c r="Q25" s="50" t="b">
        <v>0</v>
      </c>
    </row>
    <row r="26" spans="1:17">
      <c r="A26" s="50" t="s">
        <v>80</v>
      </c>
      <c r="B26" s="50"/>
      <c r="C26" s="50"/>
      <c r="D26" s="50">
        <v>0</v>
      </c>
      <c r="E26" s="50">
        <v>0</v>
      </c>
      <c r="F26" s="50">
        <v>0</v>
      </c>
      <c r="G26" s="50" t="s">
        <v>80</v>
      </c>
      <c r="H26" s="50"/>
      <c r="I26" s="50" t="b">
        <v>0</v>
      </c>
      <c r="J26" s="50" t="b">
        <v>0</v>
      </c>
      <c r="K26" s="50" t="b">
        <v>1</v>
      </c>
      <c r="L26" s="50"/>
      <c r="M26" s="50" t="s">
        <v>77</v>
      </c>
      <c r="N26" s="50" t="s">
        <v>78</v>
      </c>
      <c r="O26" s="50" t="s">
        <v>1175</v>
      </c>
      <c r="P26" s="50" t="b">
        <v>0</v>
      </c>
      <c r="Q26" s="50" t="b">
        <v>0</v>
      </c>
    </row>
    <row r="27" spans="1:17">
      <c r="A27" s="50" t="s">
        <v>81</v>
      </c>
      <c r="B27" s="50"/>
      <c r="C27" s="50"/>
      <c r="D27" s="50">
        <v>0</v>
      </c>
      <c r="E27" s="50">
        <v>0</v>
      </c>
      <c r="F27" s="50">
        <v>0</v>
      </c>
      <c r="G27" s="50" t="s">
        <v>81</v>
      </c>
      <c r="H27" s="50"/>
      <c r="I27" s="50" t="b">
        <v>0</v>
      </c>
      <c r="J27" s="50" t="b">
        <v>0</v>
      </c>
      <c r="K27" s="50" t="b">
        <v>1</v>
      </c>
      <c r="L27" s="50"/>
      <c r="M27" s="50" t="s">
        <v>77</v>
      </c>
      <c r="N27" s="50" t="s">
        <v>78</v>
      </c>
      <c r="O27" s="50" t="s">
        <v>1175</v>
      </c>
      <c r="P27" s="50" t="b">
        <v>0</v>
      </c>
      <c r="Q27" s="50" t="b">
        <v>0</v>
      </c>
    </row>
    <row r="28" spans="1:17">
      <c r="A28" s="50" t="s">
        <v>82</v>
      </c>
      <c r="B28" s="50"/>
      <c r="C28" s="50"/>
      <c r="D28" s="50">
        <v>0</v>
      </c>
      <c r="E28" s="50">
        <v>0</v>
      </c>
      <c r="F28" s="50">
        <v>0</v>
      </c>
      <c r="G28" s="50" t="s">
        <v>82</v>
      </c>
      <c r="H28" s="50"/>
      <c r="I28" s="50" t="b">
        <v>0</v>
      </c>
      <c r="J28" s="50" t="b">
        <v>0</v>
      </c>
      <c r="K28" s="50" t="b">
        <v>1</v>
      </c>
      <c r="L28" s="50"/>
      <c r="M28" s="50" t="s">
        <v>77</v>
      </c>
      <c r="N28" s="50" t="s">
        <v>78</v>
      </c>
      <c r="O28" s="50" t="s">
        <v>1175</v>
      </c>
      <c r="P28" s="50" t="b">
        <v>0</v>
      </c>
      <c r="Q28" s="50" t="b">
        <v>0</v>
      </c>
    </row>
    <row r="29" spans="1:17">
      <c r="A29" s="50" t="s">
        <v>83</v>
      </c>
      <c r="B29" s="50"/>
      <c r="C29" s="50"/>
      <c r="D29" s="50">
        <v>0</v>
      </c>
      <c r="E29" s="50">
        <v>0</v>
      </c>
      <c r="F29" s="50">
        <v>0</v>
      </c>
      <c r="G29" s="50" t="s">
        <v>5919</v>
      </c>
      <c r="H29" s="50"/>
      <c r="I29" s="50" t="b">
        <v>0</v>
      </c>
      <c r="J29" s="50" t="b">
        <v>0</v>
      </c>
      <c r="K29" s="50" t="b">
        <v>1</v>
      </c>
      <c r="L29" s="50"/>
      <c r="M29" s="50" t="s">
        <v>77</v>
      </c>
      <c r="N29" s="50" t="s">
        <v>78</v>
      </c>
      <c r="O29" s="50" t="s">
        <v>1175</v>
      </c>
      <c r="P29" s="50" t="b">
        <v>0</v>
      </c>
      <c r="Q29" s="50" t="b">
        <v>0</v>
      </c>
    </row>
    <row r="30" spans="1:17">
      <c r="A30" s="50" t="s">
        <v>5920</v>
      </c>
      <c r="B30" s="50"/>
      <c r="C30" s="50"/>
      <c r="D30" s="50">
        <v>0</v>
      </c>
      <c r="E30" s="50">
        <v>0</v>
      </c>
      <c r="F30" s="50">
        <v>0</v>
      </c>
      <c r="G30" s="50" t="s">
        <v>5920</v>
      </c>
      <c r="H30" s="50"/>
      <c r="I30" s="50" t="b">
        <v>0</v>
      </c>
      <c r="J30" s="50" t="b">
        <v>0</v>
      </c>
      <c r="K30" s="50" t="b">
        <v>1</v>
      </c>
      <c r="L30" s="50"/>
      <c r="M30" s="50" t="s">
        <v>77</v>
      </c>
      <c r="N30" s="50" t="s">
        <v>78</v>
      </c>
      <c r="O30" s="50" t="s">
        <v>1175</v>
      </c>
      <c r="P30" s="50" t="b">
        <v>0</v>
      </c>
      <c r="Q30" s="50" t="b">
        <v>0</v>
      </c>
    </row>
    <row r="31" spans="1:17">
      <c r="A31" s="50" t="s">
        <v>84</v>
      </c>
      <c r="B31" s="50"/>
      <c r="C31" s="50"/>
      <c r="D31" s="50">
        <v>0</v>
      </c>
      <c r="E31" s="50">
        <v>0</v>
      </c>
      <c r="F31" s="50">
        <v>0</v>
      </c>
      <c r="G31" s="50" t="s">
        <v>84</v>
      </c>
      <c r="H31" s="50"/>
      <c r="I31" s="50" t="b">
        <v>0</v>
      </c>
      <c r="J31" s="50" t="b">
        <v>0</v>
      </c>
      <c r="K31" s="50" t="b">
        <v>1</v>
      </c>
      <c r="L31" s="50"/>
      <c r="M31" s="50" t="s">
        <v>77</v>
      </c>
      <c r="N31" s="50" t="s">
        <v>78</v>
      </c>
      <c r="O31" s="50" t="s">
        <v>1175</v>
      </c>
      <c r="P31" s="50" t="b">
        <v>0</v>
      </c>
      <c r="Q31" s="50" t="b">
        <v>0</v>
      </c>
    </row>
    <row r="32" spans="1:17">
      <c r="A32" s="15" t="s">
        <v>85</v>
      </c>
      <c r="B32" s="15"/>
      <c r="C32" s="15"/>
      <c r="D32" s="15">
        <v>0</v>
      </c>
      <c r="E32" s="15">
        <v>0</v>
      </c>
      <c r="F32" s="15">
        <v>0</v>
      </c>
      <c r="G32" s="15" t="s">
        <v>85</v>
      </c>
      <c r="H32" s="15"/>
      <c r="I32" s="15" t="b">
        <v>0</v>
      </c>
      <c r="J32" s="15" t="b">
        <v>0</v>
      </c>
      <c r="K32" s="15" t="b">
        <v>1</v>
      </c>
      <c r="L32" s="15"/>
      <c r="M32" s="15" t="s">
        <v>86</v>
      </c>
      <c r="N32" s="15" t="s">
        <v>87</v>
      </c>
      <c r="O32" s="15" t="s">
        <v>1176</v>
      </c>
      <c r="P32" s="15" t="b">
        <v>0</v>
      </c>
      <c r="Q32" s="15" t="b">
        <v>0</v>
      </c>
    </row>
    <row r="33" spans="1:17">
      <c r="A33" s="15" t="s">
        <v>88</v>
      </c>
      <c r="B33" s="15"/>
      <c r="C33" s="15"/>
      <c r="D33" s="15">
        <v>0</v>
      </c>
      <c r="E33" s="15">
        <v>0</v>
      </c>
      <c r="F33" s="15">
        <v>0</v>
      </c>
      <c r="G33" s="15" t="s">
        <v>88</v>
      </c>
      <c r="H33" s="15"/>
      <c r="I33" s="15" t="b">
        <v>0</v>
      </c>
      <c r="J33" s="15" t="b">
        <v>0</v>
      </c>
      <c r="K33" s="15" t="b">
        <v>1</v>
      </c>
      <c r="L33" s="15"/>
      <c r="M33" s="15" t="s">
        <v>86</v>
      </c>
      <c r="N33" s="15" t="s">
        <v>87</v>
      </c>
      <c r="O33" s="15" t="s">
        <v>1176</v>
      </c>
      <c r="P33" s="15" t="b">
        <v>0</v>
      </c>
      <c r="Q33" s="15" t="b">
        <v>0</v>
      </c>
    </row>
    <row r="34" spans="1:17">
      <c r="A34" s="15" t="s">
        <v>89</v>
      </c>
      <c r="B34" s="15"/>
      <c r="C34" s="15"/>
      <c r="D34" s="15">
        <v>0</v>
      </c>
      <c r="E34" s="15">
        <v>0</v>
      </c>
      <c r="F34" s="15">
        <v>0</v>
      </c>
      <c r="G34" s="15" t="s">
        <v>89</v>
      </c>
      <c r="H34" s="15"/>
      <c r="I34" s="15" t="b">
        <v>0</v>
      </c>
      <c r="J34" s="15" t="b">
        <v>0</v>
      </c>
      <c r="K34" s="15" t="b">
        <v>1</v>
      </c>
      <c r="L34" s="15"/>
      <c r="M34" s="15" t="s">
        <v>86</v>
      </c>
      <c r="N34" s="15" t="s">
        <v>87</v>
      </c>
      <c r="O34" s="15" t="s">
        <v>1176</v>
      </c>
      <c r="P34" s="15" t="b">
        <v>0</v>
      </c>
      <c r="Q34" s="15" t="b">
        <v>0</v>
      </c>
    </row>
    <row r="35" spans="1:17">
      <c r="A35" s="15" t="s">
        <v>90</v>
      </c>
      <c r="B35" s="15"/>
      <c r="C35" s="15"/>
      <c r="D35" s="15">
        <v>0</v>
      </c>
      <c r="E35" s="15">
        <v>0</v>
      </c>
      <c r="F35" s="15">
        <v>0</v>
      </c>
      <c r="G35" s="15" t="s">
        <v>90</v>
      </c>
      <c r="H35" s="15"/>
      <c r="I35" s="15" t="b">
        <v>0</v>
      </c>
      <c r="J35" s="15" t="b">
        <v>0</v>
      </c>
      <c r="K35" s="15" t="b">
        <v>1</v>
      </c>
      <c r="L35" s="15"/>
      <c r="M35" s="15" t="s">
        <v>86</v>
      </c>
      <c r="N35" s="15" t="s">
        <v>87</v>
      </c>
      <c r="O35" s="15" t="s">
        <v>1176</v>
      </c>
      <c r="P35" s="15" t="b">
        <v>0</v>
      </c>
      <c r="Q35" s="15" t="b">
        <v>0</v>
      </c>
    </row>
    <row r="36" spans="1:17">
      <c r="A36" s="15" t="s">
        <v>5502</v>
      </c>
      <c r="B36" s="15"/>
      <c r="C36" s="15"/>
      <c r="D36" s="15">
        <v>0</v>
      </c>
      <c r="E36" s="15">
        <v>0</v>
      </c>
      <c r="F36" s="15">
        <v>0</v>
      </c>
      <c r="G36" s="15" t="s">
        <v>5921</v>
      </c>
      <c r="H36" s="15"/>
      <c r="I36" s="15" t="b">
        <v>0</v>
      </c>
      <c r="J36" s="15" t="b">
        <v>0</v>
      </c>
      <c r="K36" s="15" t="b">
        <v>1</v>
      </c>
      <c r="L36" s="15"/>
      <c r="M36" s="15" t="s">
        <v>86</v>
      </c>
      <c r="N36" s="15" t="s">
        <v>87</v>
      </c>
      <c r="O36" s="15" t="s">
        <v>1176</v>
      </c>
      <c r="P36" s="15" t="b">
        <v>0</v>
      </c>
      <c r="Q36" s="15" t="b">
        <v>0</v>
      </c>
    </row>
    <row r="37" spans="1:17">
      <c r="A37" s="15" t="s">
        <v>91</v>
      </c>
      <c r="B37" s="15"/>
      <c r="C37" s="15"/>
      <c r="D37" s="15">
        <v>0</v>
      </c>
      <c r="E37" s="15">
        <v>0</v>
      </c>
      <c r="F37" s="15">
        <v>0</v>
      </c>
      <c r="G37" s="15" t="s">
        <v>91</v>
      </c>
      <c r="H37" s="15"/>
      <c r="I37" s="15" t="b">
        <v>0</v>
      </c>
      <c r="J37" s="15" t="b">
        <v>0</v>
      </c>
      <c r="K37" s="15" t="b">
        <v>1</v>
      </c>
      <c r="L37" s="15"/>
      <c r="M37" s="15" t="s">
        <v>86</v>
      </c>
      <c r="N37" s="15" t="s">
        <v>87</v>
      </c>
      <c r="O37" s="15" t="s">
        <v>1176</v>
      </c>
      <c r="P37" s="15" t="b">
        <v>0</v>
      </c>
      <c r="Q37" s="15" t="b">
        <v>0</v>
      </c>
    </row>
    <row r="38" spans="1:17">
      <c r="A38" s="15" t="s">
        <v>5922</v>
      </c>
      <c r="B38" s="15"/>
      <c r="C38" s="15"/>
      <c r="D38" s="15">
        <v>0</v>
      </c>
      <c r="E38" s="15">
        <v>0</v>
      </c>
      <c r="F38" s="15">
        <v>0</v>
      </c>
      <c r="G38" s="15" t="s">
        <v>5922</v>
      </c>
      <c r="H38" s="15"/>
      <c r="I38" s="15" t="b">
        <v>0</v>
      </c>
      <c r="J38" s="15" t="b">
        <v>0</v>
      </c>
      <c r="K38" s="15" t="b">
        <v>1</v>
      </c>
      <c r="L38" s="15"/>
      <c r="M38" s="15" t="s">
        <v>86</v>
      </c>
      <c r="N38" s="15" t="s">
        <v>87</v>
      </c>
      <c r="O38" s="15" t="s">
        <v>1176</v>
      </c>
      <c r="P38" s="15" t="b">
        <v>0</v>
      </c>
      <c r="Q38" s="15" t="b">
        <v>0</v>
      </c>
    </row>
    <row r="39" spans="1:17">
      <c r="A39" s="15" t="s">
        <v>92</v>
      </c>
      <c r="B39" s="15"/>
      <c r="C39" s="15"/>
      <c r="D39" s="15">
        <v>0</v>
      </c>
      <c r="E39" s="15">
        <v>0</v>
      </c>
      <c r="F39" s="15">
        <v>0</v>
      </c>
      <c r="G39" s="15" t="s">
        <v>5923</v>
      </c>
      <c r="H39" s="15"/>
      <c r="I39" s="15" t="b">
        <v>0</v>
      </c>
      <c r="J39" s="15" t="b">
        <v>0</v>
      </c>
      <c r="K39" s="15" t="b">
        <v>1</v>
      </c>
      <c r="L39" s="15"/>
      <c r="M39" s="15" t="s">
        <v>86</v>
      </c>
      <c r="N39" s="15" t="s">
        <v>87</v>
      </c>
      <c r="O39" s="15" t="s">
        <v>1176</v>
      </c>
      <c r="P39" s="15" t="b">
        <v>0</v>
      </c>
      <c r="Q39" s="15" t="b">
        <v>0</v>
      </c>
    </row>
    <row r="40" spans="1:17">
      <c r="A40" s="15" t="s">
        <v>5924</v>
      </c>
      <c r="B40" s="15"/>
      <c r="C40" s="15"/>
      <c r="D40" s="15">
        <v>0</v>
      </c>
      <c r="E40" s="15">
        <v>0</v>
      </c>
      <c r="F40" s="15">
        <v>0</v>
      </c>
      <c r="G40" s="15" t="s">
        <v>5924</v>
      </c>
      <c r="H40" s="15"/>
      <c r="I40" s="15" t="b">
        <v>0</v>
      </c>
      <c r="J40" s="15" t="b">
        <v>0</v>
      </c>
      <c r="K40" s="15" t="b">
        <v>1</v>
      </c>
      <c r="L40" s="15"/>
      <c r="M40" s="15" t="s">
        <v>86</v>
      </c>
      <c r="N40" s="15" t="s">
        <v>87</v>
      </c>
      <c r="O40" s="15" t="s">
        <v>1176</v>
      </c>
      <c r="P40" s="15" t="b">
        <v>0</v>
      </c>
      <c r="Q40" s="15" t="b">
        <v>0</v>
      </c>
    </row>
    <row r="41" spans="1:17">
      <c r="A41" s="15" t="s">
        <v>93</v>
      </c>
      <c r="B41" s="15"/>
      <c r="C41" s="15"/>
      <c r="D41" s="15">
        <v>0</v>
      </c>
      <c r="E41" s="15">
        <v>0</v>
      </c>
      <c r="F41" s="15">
        <v>0</v>
      </c>
      <c r="G41" s="15" t="s">
        <v>93</v>
      </c>
      <c r="H41" s="15"/>
      <c r="I41" s="15" t="b">
        <v>0</v>
      </c>
      <c r="J41" s="15" t="b">
        <v>0</v>
      </c>
      <c r="K41" s="15" t="b">
        <v>1</v>
      </c>
      <c r="L41" s="15"/>
      <c r="M41" s="15" t="s">
        <v>86</v>
      </c>
      <c r="N41" s="15" t="s">
        <v>87</v>
      </c>
      <c r="O41" s="15" t="s">
        <v>1176</v>
      </c>
      <c r="P41" s="15" t="b">
        <v>0</v>
      </c>
      <c r="Q41" s="15" t="b">
        <v>0</v>
      </c>
    </row>
    <row r="42" spans="1:17">
      <c r="A42" s="15" t="s">
        <v>94</v>
      </c>
      <c r="B42" s="15"/>
      <c r="C42" s="15"/>
      <c r="D42" s="15">
        <v>0</v>
      </c>
      <c r="E42" s="15">
        <v>0</v>
      </c>
      <c r="F42" s="15">
        <v>0</v>
      </c>
      <c r="G42" s="15" t="s">
        <v>94</v>
      </c>
      <c r="H42" s="15"/>
      <c r="I42" s="15" t="b">
        <v>0</v>
      </c>
      <c r="J42" s="15" t="b">
        <v>0</v>
      </c>
      <c r="K42" s="15" t="b">
        <v>1</v>
      </c>
      <c r="L42" s="15"/>
      <c r="M42" s="15" t="s">
        <v>86</v>
      </c>
      <c r="N42" s="15" t="s">
        <v>87</v>
      </c>
      <c r="O42" s="15" t="s">
        <v>1176</v>
      </c>
      <c r="P42" s="15" t="b">
        <v>0</v>
      </c>
      <c r="Q42" s="15" t="b">
        <v>0</v>
      </c>
    </row>
    <row r="43" spans="1:17">
      <c r="A43" s="15" t="s">
        <v>95</v>
      </c>
      <c r="B43" s="15"/>
      <c r="C43" s="15"/>
      <c r="D43" s="15">
        <v>0</v>
      </c>
      <c r="E43" s="15">
        <v>0</v>
      </c>
      <c r="F43" s="15">
        <v>0</v>
      </c>
      <c r="G43" s="15" t="s">
        <v>95</v>
      </c>
      <c r="H43" s="15"/>
      <c r="I43" s="15" t="b">
        <v>0</v>
      </c>
      <c r="J43" s="15" t="b">
        <v>0</v>
      </c>
      <c r="K43" s="15" t="b">
        <v>1</v>
      </c>
      <c r="L43" s="15"/>
      <c r="M43" s="15" t="s">
        <v>86</v>
      </c>
      <c r="N43" s="15" t="s">
        <v>87</v>
      </c>
      <c r="O43" s="15" t="s">
        <v>1176</v>
      </c>
      <c r="P43" s="15" t="b">
        <v>0</v>
      </c>
      <c r="Q43" s="15" t="b">
        <v>0</v>
      </c>
    </row>
    <row r="44" spans="1:17">
      <c r="A44" s="15" t="s">
        <v>96</v>
      </c>
      <c r="B44" s="15"/>
      <c r="C44" s="15"/>
      <c r="D44" s="15">
        <v>0</v>
      </c>
      <c r="E44" s="15">
        <v>0</v>
      </c>
      <c r="F44" s="15">
        <v>0</v>
      </c>
      <c r="G44" s="15" t="s">
        <v>96</v>
      </c>
      <c r="H44" s="15"/>
      <c r="I44" s="15" t="b">
        <v>0</v>
      </c>
      <c r="J44" s="15" t="b">
        <v>0</v>
      </c>
      <c r="K44" s="15" t="b">
        <v>1</v>
      </c>
      <c r="L44" s="15"/>
      <c r="M44" s="15" t="s">
        <v>86</v>
      </c>
      <c r="N44" s="15" t="s">
        <v>87</v>
      </c>
      <c r="O44" s="15" t="s">
        <v>1176</v>
      </c>
      <c r="P44" s="15" t="b">
        <v>0</v>
      </c>
      <c r="Q44" s="15" t="b">
        <v>0</v>
      </c>
    </row>
    <row r="45" spans="1:17">
      <c r="A45" s="15" t="s">
        <v>97</v>
      </c>
      <c r="B45" s="15"/>
      <c r="C45" s="15"/>
      <c r="D45" s="15">
        <v>0</v>
      </c>
      <c r="E45" s="15">
        <v>0</v>
      </c>
      <c r="F45" s="15">
        <v>0</v>
      </c>
      <c r="G45" s="15" t="s">
        <v>97</v>
      </c>
      <c r="H45" s="15"/>
      <c r="I45" s="15" t="b">
        <v>0</v>
      </c>
      <c r="J45" s="15" t="b">
        <v>0</v>
      </c>
      <c r="K45" s="15" t="b">
        <v>1</v>
      </c>
      <c r="L45" s="15"/>
      <c r="M45" s="15" t="s">
        <v>86</v>
      </c>
      <c r="N45" s="15" t="s">
        <v>87</v>
      </c>
      <c r="O45" s="15" t="s">
        <v>1176</v>
      </c>
      <c r="P45" s="15" t="b">
        <v>0</v>
      </c>
      <c r="Q45" s="15" t="b">
        <v>0</v>
      </c>
    </row>
    <row r="46" spans="1:17">
      <c r="A46" s="15" t="s">
        <v>98</v>
      </c>
      <c r="B46" s="15"/>
      <c r="C46" s="15"/>
      <c r="D46" s="15">
        <v>0</v>
      </c>
      <c r="E46" s="15">
        <v>0</v>
      </c>
      <c r="F46" s="15">
        <v>0</v>
      </c>
      <c r="G46" s="15" t="s">
        <v>98</v>
      </c>
      <c r="H46" s="15"/>
      <c r="I46" s="15" t="b">
        <v>0</v>
      </c>
      <c r="J46" s="15" t="b">
        <v>0</v>
      </c>
      <c r="K46" s="15" t="b">
        <v>1</v>
      </c>
      <c r="L46" s="15"/>
      <c r="M46" s="15" t="s">
        <v>86</v>
      </c>
      <c r="N46" s="15" t="s">
        <v>87</v>
      </c>
      <c r="O46" s="15" t="s">
        <v>1176</v>
      </c>
      <c r="P46" s="15" t="b">
        <v>0</v>
      </c>
      <c r="Q46" s="15" t="b">
        <v>0</v>
      </c>
    </row>
    <row r="47" spans="1:17">
      <c r="A47" s="15" t="s">
        <v>99</v>
      </c>
      <c r="B47" s="15"/>
      <c r="C47" s="15"/>
      <c r="D47" s="15">
        <v>0</v>
      </c>
      <c r="E47" s="15">
        <v>0</v>
      </c>
      <c r="F47" s="15">
        <v>0</v>
      </c>
      <c r="G47" s="15" t="s">
        <v>99</v>
      </c>
      <c r="H47" s="15"/>
      <c r="I47" s="15" t="b">
        <v>0</v>
      </c>
      <c r="J47" s="15" t="b">
        <v>0</v>
      </c>
      <c r="K47" s="15" t="b">
        <v>1</v>
      </c>
      <c r="L47" s="15"/>
      <c r="M47" s="15" t="s">
        <v>86</v>
      </c>
      <c r="N47" s="15" t="s">
        <v>87</v>
      </c>
      <c r="O47" s="15" t="s">
        <v>1176</v>
      </c>
      <c r="P47" s="15" t="b">
        <v>0</v>
      </c>
      <c r="Q47" s="15" t="b">
        <v>0</v>
      </c>
    </row>
    <row r="48" spans="1:17">
      <c r="A48" s="15" t="s">
        <v>100</v>
      </c>
      <c r="B48" s="15"/>
      <c r="C48" s="15"/>
      <c r="D48" s="15">
        <v>0</v>
      </c>
      <c r="E48" s="15">
        <v>0</v>
      </c>
      <c r="F48" s="15">
        <v>0</v>
      </c>
      <c r="G48" s="15" t="s">
        <v>100</v>
      </c>
      <c r="H48" s="15"/>
      <c r="I48" s="15" t="b">
        <v>0</v>
      </c>
      <c r="J48" s="15" t="b">
        <v>0</v>
      </c>
      <c r="K48" s="15" t="b">
        <v>1</v>
      </c>
      <c r="L48" s="15"/>
      <c r="M48" s="15" t="s">
        <v>86</v>
      </c>
      <c r="N48" s="15" t="s">
        <v>87</v>
      </c>
      <c r="O48" s="15" t="s">
        <v>1176</v>
      </c>
      <c r="P48" s="15" t="b">
        <v>0</v>
      </c>
      <c r="Q48" s="15" t="b">
        <v>0</v>
      </c>
    </row>
    <row r="49" spans="1:17">
      <c r="A49" s="15" t="s">
        <v>101</v>
      </c>
      <c r="B49" s="15"/>
      <c r="C49" s="15"/>
      <c r="D49" s="15">
        <v>0</v>
      </c>
      <c r="E49" s="15">
        <v>0</v>
      </c>
      <c r="F49" s="15">
        <v>0</v>
      </c>
      <c r="G49" s="15" t="s">
        <v>101</v>
      </c>
      <c r="H49" s="15"/>
      <c r="I49" s="15" t="b">
        <v>0</v>
      </c>
      <c r="J49" s="15" t="b">
        <v>0</v>
      </c>
      <c r="K49" s="15" t="b">
        <v>1</v>
      </c>
      <c r="L49" s="15"/>
      <c r="M49" s="15" t="s">
        <v>86</v>
      </c>
      <c r="N49" s="15" t="s">
        <v>87</v>
      </c>
      <c r="O49" s="15" t="s">
        <v>1176</v>
      </c>
      <c r="P49" s="15" t="b">
        <v>0</v>
      </c>
      <c r="Q49" s="15" t="b">
        <v>0</v>
      </c>
    </row>
    <row r="50" spans="1:17">
      <c r="A50" s="50" t="s">
        <v>102</v>
      </c>
      <c r="B50" s="50"/>
      <c r="C50" s="50"/>
      <c r="D50" s="50">
        <v>0</v>
      </c>
      <c r="E50" s="50">
        <v>0</v>
      </c>
      <c r="F50" s="50">
        <v>0</v>
      </c>
      <c r="G50" s="50" t="s">
        <v>102</v>
      </c>
      <c r="H50" s="50"/>
      <c r="I50" s="50" t="b">
        <v>0</v>
      </c>
      <c r="J50" s="50" t="b">
        <v>0</v>
      </c>
      <c r="K50" s="50" t="b">
        <v>1</v>
      </c>
      <c r="L50" s="50"/>
      <c r="M50" s="50" t="s">
        <v>103</v>
      </c>
      <c r="N50" s="50" t="s">
        <v>104</v>
      </c>
      <c r="O50" s="50" t="s">
        <v>1177</v>
      </c>
      <c r="P50" s="50" t="b">
        <v>0</v>
      </c>
      <c r="Q50" s="50" t="b">
        <v>0</v>
      </c>
    </row>
    <row r="51" spans="1:17">
      <c r="A51" s="50" t="s">
        <v>105</v>
      </c>
      <c r="B51" s="50"/>
      <c r="C51" s="50"/>
      <c r="D51" s="50">
        <v>0</v>
      </c>
      <c r="E51" s="50">
        <v>0</v>
      </c>
      <c r="F51" s="50">
        <v>0</v>
      </c>
      <c r="G51" s="50" t="s">
        <v>105</v>
      </c>
      <c r="H51" s="50"/>
      <c r="I51" s="50" t="b">
        <v>0</v>
      </c>
      <c r="J51" s="50" t="b">
        <v>0</v>
      </c>
      <c r="K51" s="50" t="b">
        <v>1</v>
      </c>
      <c r="L51" s="50"/>
      <c r="M51" s="50" t="s">
        <v>103</v>
      </c>
      <c r="N51" s="50" t="s">
        <v>104</v>
      </c>
      <c r="O51" s="50" t="s">
        <v>1177</v>
      </c>
      <c r="P51" s="50" t="b">
        <v>0</v>
      </c>
      <c r="Q51" s="50" t="b">
        <v>0</v>
      </c>
    </row>
    <row r="52" spans="1:17">
      <c r="A52" s="15" t="s">
        <v>106</v>
      </c>
      <c r="B52" s="15"/>
      <c r="C52" s="15"/>
      <c r="D52" s="15">
        <v>0</v>
      </c>
      <c r="E52" s="15">
        <v>0</v>
      </c>
      <c r="F52" s="15">
        <v>0</v>
      </c>
      <c r="G52" s="15" t="s">
        <v>106</v>
      </c>
      <c r="H52" s="15"/>
      <c r="I52" s="15" t="b">
        <v>0</v>
      </c>
      <c r="J52" s="15" t="b">
        <v>0</v>
      </c>
      <c r="K52" s="15" t="b">
        <v>1</v>
      </c>
      <c r="L52" s="15"/>
      <c r="M52" s="15" t="s">
        <v>107</v>
      </c>
      <c r="N52" s="15" t="s">
        <v>108</v>
      </c>
      <c r="O52" s="15" t="s">
        <v>1178</v>
      </c>
      <c r="P52" s="15" t="b">
        <v>0</v>
      </c>
      <c r="Q52" s="15" t="b">
        <v>0</v>
      </c>
    </row>
    <row r="53" spans="1:17">
      <c r="A53" s="15" t="s">
        <v>109</v>
      </c>
      <c r="B53" s="15"/>
      <c r="C53" s="15"/>
      <c r="D53" s="15">
        <v>0</v>
      </c>
      <c r="E53" s="15">
        <v>0</v>
      </c>
      <c r="F53" s="15">
        <v>0</v>
      </c>
      <c r="G53" s="15" t="s">
        <v>109</v>
      </c>
      <c r="H53" s="15"/>
      <c r="I53" s="15" t="b">
        <v>0</v>
      </c>
      <c r="J53" s="15" t="b">
        <v>0</v>
      </c>
      <c r="K53" s="15" t="b">
        <v>1</v>
      </c>
      <c r="L53" s="15"/>
      <c r="M53" s="15" t="s">
        <v>107</v>
      </c>
      <c r="N53" s="15" t="s">
        <v>108</v>
      </c>
      <c r="O53" s="15" t="s">
        <v>1178</v>
      </c>
      <c r="P53" s="15" t="b">
        <v>0</v>
      </c>
      <c r="Q53" s="15" t="b">
        <v>0</v>
      </c>
    </row>
    <row r="54" spans="1:17">
      <c r="A54" s="15" t="s">
        <v>110</v>
      </c>
      <c r="B54" s="15"/>
      <c r="C54" s="15"/>
      <c r="D54" s="15">
        <v>0</v>
      </c>
      <c r="E54" s="15">
        <v>0</v>
      </c>
      <c r="F54" s="15">
        <v>0</v>
      </c>
      <c r="G54" s="15" t="s">
        <v>110</v>
      </c>
      <c r="H54" s="15"/>
      <c r="I54" s="15" t="b">
        <v>0</v>
      </c>
      <c r="J54" s="15" t="b">
        <v>0</v>
      </c>
      <c r="K54" s="15" t="b">
        <v>1</v>
      </c>
      <c r="L54" s="15"/>
      <c r="M54" s="15" t="s">
        <v>107</v>
      </c>
      <c r="N54" s="15" t="s">
        <v>108</v>
      </c>
      <c r="O54" s="15" t="s">
        <v>1178</v>
      </c>
      <c r="P54" s="15" t="b">
        <v>0</v>
      </c>
      <c r="Q54" s="15" t="b">
        <v>0</v>
      </c>
    </row>
    <row r="55" spans="1:17">
      <c r="A55" s="15" t="s">
        <v>111</v>
      </c>
      <c r="B55" s="15"/>
      <c r="C55" s="15"/>
      <c r="D55" s="15">
        <v>0</v>
      </c>
      <c r="E55" s="15">
        <v>0</v>
      </c>
      <c r="F55" s="15">
        <v>0</v>
      </c>
      <c r="G55" s="15" t="s">
        <v>111</v>
      </c>
      <c r="H55" s="15"/>
      <c r="I55" s="15" t="b">
        <v>0</v>
      </c>
      <c r="J55" s="15" t="b">
        <v>0</v>
      </c>
      <c r="K55" s="15" t="b">
        <v>1</v>
      </c>
      <c r="L55" s="15"/>
      <c r="M55" s="15" t="s">
        <v>107</v>
      </c>
      <c r="N55" s="15" t="s">
        <v>108</v>
      </c>
      <c r="O55" s="15" t="s">
        <v>1178</v>
      </c>
      <c r="P55" s="15" t="b">
        <v>0</v>
      </c>
      <c r="Q55" s="15" t="b">
        <v>0</v>
      </c>
    </row>
    <row r="56" spans="1:17">
      <c r="A56" s="50" t="s">
        <v>5925</v>
      </c>
      <c r="B56" s="50"/>
      <c r="C56" s="50"/>
      <c r="D56" s="50">
        <v>50</v>
      </c>
      <c r="E56" s="50">
        <v>0</v>
      </c>
      <c r="F56" s="50">
        <v>0</v>
      </c>
      <c r="G56" s="50" t="s">
        <v>112</v>
      </c>
      <c r="H56" s="50"/>
      <c r="I56" s="50" t="b">
        <v>0</v>
      </c>
      <c r="J56" s="50" t="b">
        <v>0</v>
      </c>
      <c r="K56" s="50" t="b">
        <v>0</v>
      </c>
      <c r="L56" s="50"/>
      <c r="M56" s="15"/>
      <c r="N56" s="50"/>
      <c r="O56" s="50"/>
      <c r="P56" s="50" t="b">
        <v>0</v>
      </c>
      <c r="Q56" s="50" t="b">
        <v>0</v>
      </c>
    </row>
    <row r="57" spans="1:17">
      <c r="A57" s="50" t="s">
        <v>113</v>
      </c>
      <c r="B57" s="50"/>
      <c r="C57" s="50"/>
      <c r="D57" s="50">
        <v>100</v>
      </c>
      <c r="E57" s="50">
        <v>0</v>
      </c>
      <c r="F57" s="50">
        <v>0</v>
      </c>
      <c r="G57" s="50" t="s">
        <v>112</v>
      </c>
      <c r="H57" s="50"/>
      <c r="I57" s="50" t="b">
        <v>0</v>
      </c>
      <c r="J57" s="50" t="b">
        <v>0</v>
      </c>
      <c r="K57" s="50" t="b">
        <v>0</v>
      </c>
      <c r="L57" s="50"/>
      <c r="M57" s="15"/>
      <c r="N57" s="50"/>
      <c r="O57" s="50"/>
      <c r="P57" s="50" t="b">
        <v>0</v>
      </c>
      <c r="Q57" s="50" t="b">
        <v>0</v>
      </c>
    </row>
    <row r="58" spans="1:17">
      <c r="A58" s="50" t="s">
        <v>114</v>
      </c>
      <c r="B58" s="50"/>
      <c r="C58" s="50"/>
      <c r="D58" s="50">
        <v>150</v>
      </c>
      <c r="E58" s="50">
        <v>0</v>
      </c>
      <c r="F58" s="50">
        <v>0</v>
      </c>
      <c r="G58" s="50" t="s">
        <v>112</v>
      </c>
      <c r="H58" s="50"/>
      <c r="I58" s="50" t="b">
        <v>0</v>
      </c>
      <c r="J58" s="50" t="b">
        <v>0</v>
      </c>
      <c r="K58" s="50" t="b">
        <v>0</v>
      </c>
      <c r="L58" s="50"/>
      <c r="M58" s="15"/>
      <c r="N58" s="50"/>
      <c r="O58" s="50"/>
      <c r="P58" s="50" t="b">
        <v>0</v>
      </c>
      <c r="Q58" s="50" t="b">
        <v>0</v>
      </c>
    </row>
    <row r="59" spans="1:17">
      <c r="A59" s="50" t="s">
        <v>115</v>
      </c>
      <c r="B59" s="50"/>
      <c r="C59" s="50"/>
      <c r="D59" s="50">
        <v>200</v>
      </c>
      <c r="E59" s="50">
        <v>0</v>
      </c>
      <c r="F59" s="50">
        <v>0</v>
      </c>
      <c r="G59" s="50" t="s">
        <v>112</v>
      </c>
      <c r="H59" s="50"/>
      <c r="I59" s="50" t="b">
        <v>0</v>
      </c>
      <c r="J59" s="50" t="b">
        <v>0</v>
      </c>
      <c r="K59" s="50" t="b">
        <v>0</v>
      </c>
      <c r="L59" s="50"/>
      <c r="M59" s="15"/>
      <c r="N59" s="50"/>
      <c r="O59" s="50"/>
      <c r="P59" s="50" t="b">
        <v>0</v>
      </c>
      <c r="Q59" s="50" t="b">
        <v>0</v>
      </c>
    </row>
    <row r="60" spans="1:17">
      <c r="A60" s="50" t="s">
        <v>116</v>
      </c>
      <c r="B60" s="50"/>
      <c r="C60" s="50"/>
      <c r="D60" s="50">
        <v>250</v>
      </c>
      <c r="E60" s="50">
        <v>0</v>
      </c>
      <c r="F60" s="50">
        <v>0</v>
      </c>
      <c r="G60" s="50" t="s">
        <v>112</v>
      </c>
      <c r="H60" s="50"/>
      <c r="I60" s="50" t="b">
        <v>0</v>
      </c>
      <c r="J60" s="50" t="b">
        <v>0</v>
      </c>
      <c r="K60" s="50" t="b">
        <v>0</v>
      </c>
      <c r="L60" s="50"/>
      <c r="M60" s="15"/>
      <c r="N60" s="50"/>
      <c r="O60" s="50"/>
      <c r="P60" s="50" t="b">
        <v>0</v>
      </c>
      <c r="Q60" s="50" t="b">
        <v>0</v>
      </c>
    </row>
    <row r="61" spans="1:17">
      <c r="A61" s="50" t="s">
        <v>5926</v>
      </c>
      <c r="B61" s="50"/>
      <c r="C61" s="50"/>
      <c r="D61" s="50">
        <v>300</v>
      </c>
      <c r="E61" s="50">
        <v>0</v>
      </c>
      <c r="F61" s="50">
        <v>0</v>
      </c>
      <c r="G61" s="50" t="s">
        <v>112</v>
      </c>
      <c r="H61" s="50"/>
      <c r="I61" s="50" t="b">
        <v>0</v>
      </c>
      <c r="J61" s="50" t="b">
        <v>0</v>
      </c>
      <c r="K61" s="50" t="b">
        <v>0</v>
      </c>
      <c r="L61" s="50"/>
      <c r="M61" s="15"/>
      <c r="N61" s="50"/>
      <c r="O61" s="50"/>
      <c r="P61" s="50" t="b">
        <v>0</v>
      </c>
      <c r="Q61" s="50" t="b">
        <v>0</v>
      </c>
    </row>
    <row r="62" spans="1:17">
      <c r="A62" s="50" t="s">
        <v>117</v>
      </c>
      <c r="B62" s="50"/>
      <c r="C62" s="50"/>
      <c r="D62" s="50">
        <v>100</v>
      </c>
      <c r="E62" s="50">
        <v>0</v>
      </c>
      <c r="F62" s="50">
        <v>0</v>
      </c>
      <c r="G62" s="50" t="s">
        <v>1364</v>
      </c>
      <c r="H62" s="50"/>
      <c r="I62" s="50" t="b">
        <v>0</v>
      </c>
      <c r="J62" s="50" t="b">
        <v>0</v>
      </c>
      <c r="K62" s="50" t="b">
        <v>0</v>
      </c>
      <c r="L62" s="50"/>
      <c r="M62" s="15"/>
      <c r="N62" s="50"/>
      <c r="O62" s="50"/>
      <c r="P62" s="50" t="b">
        <v>0</v>
      </c>
      <c r="Q62" s="50" t="b">
        <v>0</v>
      </c>
    </row>
    <row r="63" spans="1:17">
      <c r="A63" s="50" t="s">
        <v>119</v>
      </c>
      <c r="B63" s="50"/>
      <c r="C63" s="50"/>
      <c r="D63" s="50">
        <v>150</v>
      </c>
      <c r="E63" s="50">
        <v>0</v>
      </c>
      <c r="F63" s="50">
        <v>0</v>
      </c>
      <c r="G63" s="50" t="s">
        <v>118</v>
      </c>
      <c r="H63" s="50"/>
      <c r="I63" s="50" t="b">
        <v>0</v>
      </c>
      <c r="J63" s="50" t="b">
        <v>0</v>
      </c>
      <c r="K63" s="50" t="b">
        <v>0</v>
      </c>
      <c r="L63" s="50"/>
      <c r="M63" s="15"/>
      <c r="N63" s="50"/>
      <c r="O63" s="50"/>
      <c r="P63" s="50" t="b">
        <v>0</v>
      </c>
      <c r="Q63" s="50" t="b">
        <v>0</v>
      </c>
    </row>
    <row r="64" spans="1:17">
      <c r="A64" s="50" t="s">
        <v>120</v>
      </c>
      <c r="B64" s="50"/>
      <c r="C64" s="50"/>
      <c r="D64" s="50">
        <v>200</v>
      </c>
      <c r="E64" s="50">
        <v>0</v>
      </c>
      <c r="F64" s="50">
        <v>0</v>
      </c>
      <c r="G64" s="50" t="s">
        <v>118</v>
      </c>
      <c r="H64" s="50"/>
      <c r="I64" s="50" t="b">
        <v>0</v>
      </c>
      <c r="J64" s="50" t="b">
        <v>0</v>
      </c>
      <c r="K64" s="50" t="b">
        <v>0</v>
      </c>
      <c r="L64" s="50"/>
      <c r="M64" s="15"/>
      <c r="N64" s="50"/>
      <c r="O64" s="50"/>
      <c r="P64" s="50" t="b">
        <v>0</v>
      </c>
      <c r="Q64" s="50" t="b">
        <v>0</v>
      </c>
    </row>
    <row r="65" spans="1:17">
      <c r="A65" s="18" t="s">
        <v>1082</v>
      </c>
      <c r="B65" s="18"/>
      <c r="C65" s="18"/>
      <c r="D65" s="18">
        <v>1000</v>
      </c>
      <c r="E65" s="18">
        <v>0</v>
      </c>
      <c r="F65" s="18">
        <v>0</v>
      </c>
      <c r="G65" s="18" t="s">
        <v>122</v>
      </c>
      <c r="H65" s="18"/>
      <c r="I65" s="18" t="b">
        <v>0</v>
      </c>
      <c r="J65" s="18" t="b">
        <v>0</v>
      </c>
      <c r="K65" s="18" t="b">
        <v>0</v>
      </c>
      <c r="L65" s="18" t="s">
        <v>1081</v>
      </c>
      <c r="M65" s="18"/>
      <c r="N65" s="18"/>
      <c r="O65" s="18"/>
      <c r="P65" s="18" t="b">
        <v>0</v>
      </c>
      <c r="Q65" s="18" t="b">
        <v>0</v>
      </c>
    </row>
    <row r="66" spans="1:17">
      <c r="A66" s="26" t="s">
        <v>121</v>
      </c>
      <c r="B66" s="26"/>
      <c r="C66" s="26"/>
      <c r="D66" s="26">
        <v>0</v>
      </c>
      <c r="E66" s="26">
        <v>0</v>
      </c>
      <c r="F66" s="26">
        <v>0</v>
      </c>
      <c r="G66" s="33" t="s">
        <v>122</v>
      </c>
      <c r="H66" s="26"/>
      <c r="I66" s="26" t="b">
        <v>0</v>
      </c>
      <c r="J66" s="26" t="b">
        <v>0</v>
      </c>
      <c r="K66" s="26" t="b">
        <v>1</v>
      </c>
      <c r="L66" s="26"/>
      <c r="M66" s="26" t="s">
        <v>52</v>
      </c>
      <c r="N66" s="26" t="s">
        <v>53</v>
      </c>
      <c r="O66" s="26" t="s">
        <v>1155</v>
      </c>
      <c r="P66" s="26" t="b">
        <v>0</v>
      </c>
      <c r="Q66" s="26" t="b">
        <v>0</v>
      </c>
    </row>
    <row r="67" spans="1:17">
      <c r="A67" s="26" t="s">
        <v>123</v>
      </c>
      <c r="B67" s="26"/>
      <c r="C67" s="26"/>
      <c r="D67" s="26">
        <v>0</v>
      </c>
      <c r="E67" s="26">
        <v>0</v>
      </c>
      <c r="F67" s="26">
        <v>0</v>
      </c>
      <c r="G67" s="33" t="s">
        <v>122</v>
      </c>
      <c r="H67" s="26"/>
      <c r="I67" s="26" t="b">
        <v>0</v>
      </c>
      <c r="J67" s="26" t="b">
        <v>0</v>
      </c>
      <c r="K67" s="26" t="b">
        <v>1</v>
      </c>
      <c r="L67" s="26"/>
      <c r="M67" s="26" t="s">
        <v>56</v>
      </c>
      <c r="N67" s="26" t="s">
        <v>57</v>
      </c>
      <c r="O67" s="26" t="s">
        <v>1154</v>
      </c>
      <c r="P67" s="26" t="b">
        <v>0</v>
      </c>
      <c r="Q67" s="26" t="b">
        <v>0</v>
      </c>
    </row>
    <row r="68" spans="1:17">
      <c r="A68" s="26" t="s">
        <v>124</v>
      </c>
      <c r="B68" s="26"/>
      <c r="C68" s="26"/>
      <c r="D68" s="26">
        <v>0</v>
      </c>
      <c r="E68" s="26">
        <v>0</v>
      </c>
      <c r="F68" s="26">
        <v>0</v>
      </c>
      <c r="G68" s="33" t="s">
        <v>122</v>
      </c>
      <c r="H68" s="26"/>
      <c r="I68" s="26" t="b">
        <v>0</v>
      </c>
      <c r="J68" s="26" t="b">
        <v>0</v>
      </c>
      <c r="K68" s="26" t="b">
        <v>1</v>
      </c>
      <c r="L68" s="26"/>
      <c r="M68" s="26" t="s">
        <v>56</v>
      </c>
      <c r="N68" s="26" t="s">
        <v>59</v>
      </c>
      <c r="O68" s="26" t="s">
        <v>1156</v>
      </c>
      <c r="P68" s="26" t="b">
        <v>0</v>
      </c>
      <c r="Q68" s="26" t="b">
        <v>0</v>
      </c>
    </row>
    <row r="69" spans="1:17">
      <c r="A69" s="44" t="s">
        <v>7900</v>
      </c>
      <c r="B69" s="44"/>
      <c r="C69" s="44"/>
      <c r="D69" s="44">
        <v>0</v>
      </c>
      <c r="E69" s="44">
        <v>0</v>
      </c>
      <c r="F69" s="44">
        <v>0</v>
      </c>
      <c r="G69" s="33" t="s">
        <v>122</v>
      </c>
      <c r="H69" s="44"/>
      <c r="I69" s="44" t="b">
        <v>0</v>
      </c>
      <c r="J69" s="44" t="b">
        <v>0</v>
      </c>
      <c r="K69" s="16" t="b">
        <v>0</v>
      </c>
      <c r="L69" s="44"/>
      <c r="M69" s="44" t="s">
        <v>7901</v>
      </c>
      <c r="N69" s="44" t="s">
        <v>4372</v>
      </c>
      <c r="O69" s="44" t="s">
        <v>7902</v>
      </c>
      <c r="P69" s="44" t="b">
        <v>0</v>
      </c>
      <c r="Q69" s="44" t="b">
        <v>0</v>
      </c>
    </row>
    <row r="70" spans="1:17">
      <c r="A70" s="44" t="s">
        <v>7903</v>
      </c>
      <c r="B70" s="44"/>
      <c r="C70" s="44"/>
      <c r="D70" s="44">
        <v>0</v>
      </c>
      <c r="E70" s="44">
        <v>0</v>
      </c>
      <c r="F70" s="44">
        <v>0</v>
      </c>
      <c r="G70" s="33" t="s">
        <v>122</v>
      </c>
      <c r="H70" s="44"/>
      <c r="I70" s="44" t="b">
        <v>0</v>
      </c>
      <c r="J70" s="44" t="b">
        <v>0</v>
      </c>
      <c r="K70" s="16" t="b">
        <v>0</v>
      </c>
      <c r="L70" s="44"/>
      <c r="M70" s="44" t="s">
        <v>125</v>
      </c>
      <c r="N70" s="44" t="s">
        <v>126</v>
      </c>
      <c r="O70" s="44" t="s">
        <v>1158</v>
      </c>
      <c r="P70" s="44" t="b">
        <v>0</v>
      </c>
      <c r="Q70" s="44" t="b">
        <v>0</v>
      </c>
    </row>
    <row r="71" spans="1:17">
      <c r="A71" s="44" t="s">
        <v>7904</v>
      </c>
      <c r="B71" s="44"/>
      <c r="C71" s="44"/>
      <c r="D71" s="44">
        <v>0</v>
      </c>
      <c r="E71" s="44">
        <v>0</v>
      </c>
      <c r="F71" s="44">
        <v>0</v>
      </c>
      <c r="G71" s="33" t="s">
        <v>122</v>
      </c>
      <c r="H71" s="44"/>
      <c r="I71" s="44" t="b">
        <v>0</v>
      </c>
      <c r="J71" s="44" t="b">
        <v>0</v>
      </c>
      <c r="K71" s="16" t="b">
        <v>0</v>
      </c>
      <c r="L71" s="44"/>
      <c r="M71" s="44" t="s">
        <v>7905</v>
      </c>
      <c r="N71" s="44" t="s">
        <v>7906</v>
      </c>
      <c r="O71" s="44" t="s">
        <v>1171</v>
      </c>
      <c r="P71" s="44" t="b">
        <v>0</v>
      </c>
      <c r="Q71" s="44" t="b">
        <v>0</v>
      </c>
    </row>
    <row r="72" spans="1:17">
      <c r="A72" s="44" t="s">
        <v>7907</v>
      </c>
      <c r="B72" s="44"/>
      <c r="C72" s="44"/>
      <c r="D72" s="44">
        <v>0</v>
      </c>
      <c r="E72" s="44">
        <v>0</v>
      </c>
      <c r="F72" s="44">
        <v>0</v>
      </c>
      <c r="G72" s="33" t="s">
        <v>122</v>
      </c>
      <c r="H72" s="44"/>
      <c r="I72" s="44" t="b">
        <v>0</v>
      </c>
      <c r="J72" s="44" t="b">
        <v>0</v>
      </c>
      <c r="K72" s="26" t="b">
        <v>1</v>
      </c>
      <c r="L72" s="44"/>
      <c r="M72" s="44" t="s">
        <v>6156</v>
      </c>
      <c r="N72" s="44" t="s">
        <v>7908</v>
      </c>
      <c r="O72" s="44" t="s">
        <v>7909</v>
      </c>
      <c r="P72" s="44" t="b">
        <v>0</v>
      </c>
      <c r="Q72" s="44" t="b">
        <v>0</v>
      </c>
    </row>
    <row r="73" spans="1:17">
      <c r="A73" s="44" t="s">
        <v>7910</v>
      </c>
      <c r="B73" s="44"/>
      <c r="C73" s="44"/>
      <c r="D73" s="44">
        <v>0</v>
      </c>
      <c r="E73" s="44">
        <v>0</v>
      </c>
      <c r="F73" s="44">
        <v>0</v>
      </c>
      <c r="G73" s="33" t="s">
        <v>122</v>
      </c>
      <c r="H73" s="44"/>
      <c r="I73" s="44" t="b">
        <v>0</v>
      </c>
      <c r="J73" s="44" t="b">
        <v>0</v>
      </c>
      <c r="K73" s="16" t="b">
        <v>0</v>
      </c>
      <c r="L73" s="44"/>
      <c r="M73" s="44" t="s">
        <v>127</v>
      </c>
      <c r="N73" s="44" t="s">
        <v>128</v>
      </c>
      <c r="O73" s="44" t="s">
        <v>1159</v>
      </c>
      <c r="P73" s="44" t="b">
        <v>0</v>
      </c>
      <c r="Q73" s="44" t="b">
        <v>0</v>
      </c>
    </row>
    <row r="74" spans="1:17">
      <c r="A74" s="26" t="s">
        <v>7911</v>
      </c>
      <c r="B74" s="26"/>
      <c r="C74" s="26"/>
      <c r="D74" s="26">
        <v>0</v>
      </c>
      <c r="E74" s="26">
        <v>0</v>
      </c>
      <c r="F74" s="26">
        <v>0</v>
      </c>
      <c r="G74" s="33" t="s">
        <v>122</v>
      </c>
      <c r="H74" s="26"/>
      <c r="I74" s="26" t="b">
        <v>0</v>
      </c>
      <c r="J74" s="26" t="b">
        <v>0</v>
      </c>
      <c r="K74" s="26" t="b">
        <v>1</v>
      </c>
      <c r="L74" s="26"/>
      <c r="M74" s="26" t="s">
        <v>129</v>
      </c>
      <c r="N74" s="26" t="s">
        <v>130</v>
      </c>
      <c r="O74" s="26" t="s">
        <v>1160</v>
      </c>
      <c r="P74" s="26" t="b">
        <v>0</v>
      </c>
      <c r="Q74" s="26" t="b">
        <v>0</v>
      </c>
    </row>
    <row r="75" spans="1:17">
      <c r="A75" s="26" t="s">
        <v>7912</v>
      </c>
      <c r="B75" s="26"/>
      <c r="C75" s="26"/>
      <c r="D75" s="26">
        <v>0</v>
      </c>
      <c r="E75" s="26">
        <v>0</v>
      </c>
      <c r="F75" s="26">
        <v>0</v>
      </c>
      <c r="G75" s="33" t="s">
        <v>122</v>
      </c>
      <c r="H75" s="26"/>
      <c r="I75" s="26" t="b">
        <v>0</v>
      </c>
      <c r="J75" s="26" t="b">
        <v>0</v>
      </c>
      <c r="K75" s="26" t="b">
        <v>1</v>
      </c>
      <c r="L75" s="26"/>
      <c r="M75" s="26" t="s">
        <v>131</v>
      </c>
      <c r="N75" s="26" t="s">
        <v>1139</v>
      </c>
      <c r="O75" s="26" t="s">
        <v>1161</v>
      </c>
      <c r="P75" s="26" t="b">
        <v>0</v>
      </c>
      <c r="Q75" s="26" t="b">
        <v>0</v>
      </c>
    </row>
    <row r="76" spans="1:17">
      <c r="A76" s="26" t="s">
        <v>7913</v>
      </c>
      <c r="B76" s="26"/>
      <c r="C76" s="26"/>
      <c r="D76" s="26">
        <v>0</v>
      </c>
      <c r="E76" s="26">
        <v>0</v>
      </c>
      <c r="F76" s="26">
        <v>0</v>
      </c>
      <c r="G76" s="33" t="s">
        <v>122</v>
      </c>
      <c r="H76" s="26"/>
      <c r="I76" s="26" t="b">
        <v>0</v>
      </c>
      <c r="J76" s="26" t="b">
        <v>0</v>
      </c>
      <c r="K76" s="26" t="b">
        <v>1</v>
      </c>
      <c r="L76" s="26"/>
      <c r="M76" s="26" t="s">
        <v>132</v>
      </c>
      <c r="N76" s="26" t="s">
        <v>133</v>
      </c>
      <c r="O76" s="26" t="s">
        <v>1162</v>
      </c>
      <c r="P76" s="26" t="b">
        <v>0</v>
      </c>
      <c r="Q76" s="26" t="b">
        <v>0</v>
      </c>
    </row>
    <row r="77" spans="1:17">
      <c r="A77" s="26" t="s">
        <v>134</v>
      </c>
      <c r="B77" s="26"/>
      <c r="C77" s="26"/>
      <c r="D77" s="26">
        <v>0</v>
      </c>
      <c r="E77" s="26">
        <v>0</v>
      </c>
      <c r="F77" s="26">
        <v>0</v>
      </c>
      <c r="G77" s="33" t="s">
        <v>122</v>
      </c>
      <c r="H77" s="26"/>
      <c r="I77" s="26" t="b">
        <v>0</v>
      </c>
      <c r="J77" s="26" t="b">
        <v>0</v>
      </c>
      <c r="K77" s="26" t="b">
        <v>1</v>
      </c>
      <c r="L77" s="26"/>
      <c r="M77" s="26" t="s">
        <v>135</v>
      </c>
      <c r="N77" s="26" t="s">
        <v>136</v>
      </c>
      <c r="O77" s="26" t="s">
        <v>1163</v>
      </c>
      <c r="P77" s="26" t="b">
        <v>0</v>
      </c>
      <c r="Q77" s="26" t="b">
        <v>0</v>
      </c>
    </row>
    <row r="78" spans="1:17">
      <c r="A78" s="44" t="s">
        <v>137</v>
      </c>
      <c r="B78" s="44"/>
      <c r="C78" s="44"/>
      <c r="D78" s="44">
        <v>0</v>
      </c>
      <c r="E78" s="44">
        <v>0</v>
      </c>
      <c r="F78" s="44">
        <v>0</v>
      </c>
      <c r="G78" s="33" t="s">
        <v>122</v>
      </c>
      <c r="H78" s="44"/>
      <c r="I78" s="44" t="b">
        <v>0</v>
      </c>
      <c r="J78" s="44" t="b">
        <v>0</v>
      </c>
      <c r="K78" s="44" t="b">
        <v>1</v>
      </c>
      <c r="L78" s="44"/>
      <c r="M78" s="44" t="s">
        <v>138</v>
      </c>
      <c r="N78" s="44" t="s">
        <v>139</v>
      </c>
      <c r="O78" s="44" t="s">
        <v>1164</v>
      </c>
      <c r="P78" s="44" t="b">
        <v>0</v>
      </c>
      <c r="Q78" s="44" t="b">
        <v>0</v>
      </c>
    </row>
    <row r="79" spans="1:17">
      <c r="A79" s="44" t="s">
        <v>140</v>
      </c>
      <c r="B79" s="44"/>
      <c r="C79" s="44"/>
      <c r="D79" s="44">
        <v>0</v>
      </c>
      <c r="E79" s="44">
        <v>0</v>
      </c>
      <c r="F79" s="44">
        <v>0</v>
      </c>
      <c r="G79" s="33" t="s">
        <v>122</v>
      </c>
      <c r="H79" s="44"/>
      <c r="I79" s="44" t="b">
        <v>0</v>
      </c>
      <c r="J79" s="44" t="b">
        <v>0</v>
      </c>
      <c r="K79" s="44" t="b">
        <v>1</v>
      </c>
      <c r="L79" s="44"/>
      <c r="M79" s="44" t="s">
        <v>141</v>
      </c>
      <c r="N79" s="44" t="s">
        <v>1172</v>
      </c>
      <c r="O79" s="44" t="s">
        <v>1186</v>
      </c>
      <c r="P79" s="44" t="b">
        <v>0</v>
      </c>
      <c r="Q79" s="44" t="b">
        <v>0</v>
      </c>
    </row>
    <row r="80" spans="1:17">
      <c r="A80" s="44" t="s">
        <v>142</v>
      </c>
      <c r="B80" s="44"/>
      <c r="C80" s="44"/>
      <c r="D80" s="44">
        <v>0</v>
      </c>
      <c r="E80" s="44">
        <v>0</v>
      </c>
      <c r="F80" s="44">
        <v>0</v>
      </c>
      <c r="G80" s="33" t="s">
        <v>122</v>
      </c>
      <c r="H80" s="44"/>
      <c r="I80" s="44" t="b">
        <v>0</v>
      </c>
      <c r="J80" s="44" t="b">
        <v>0</v>
      </c>
      <c r="K80" s="44" t="b">
        <v>1</v>
      </c>
      <c r="L80" s="44"/>
      <c r="M80" s="44" t="s">
        <v>143</v>
      </c>
      <c r="N80" s="44" t="s">
        <v>144</v>
      </c>
      <c r="O80" s="44" t="s">
        <v>1165</v>
      </c>
      <c r="P80" s="44" t="b">
        <v>0</v>
      </c>
      <c r="Q80" s="44" t="b">
        <v>0</v>
      </c>
    </row>
    <row r="81" spans="1:17">
      <c r="A81" s="44" t="s">
        <v>7914</v>
      </c>
      <c r="B81" s="44"/>
      <c r="C81" s="44"/>
      <c r="D81" s="44">
        <v>0</v>
      </c>
      <c r="E81" s="44">
        <v>0</v>
      </c>
      <c r="F81" s="44">
        <v>0</v>
      </c>
      <c r="G81" s="33" t="s">
        <v>122</v>
      </c>
      <c r="H81" s="44"/>
      <c r="I81" s="44" t="b">
        <v>0</v>
      </c>
      <c r="J81" s="44" t="b">
        <v>0</v>
      </c>
      <c r="K81" s="44" t="b">
        <v>1</v>
      </c>
      <c r="L81" s="44"/>
      <c r="M81" s="44" t="s">
        <v>145</v>
      </c>
      <c r="N81" s="44" t="s">
        <v>146</v>
      </c>
      <c r="O81" s="44" t="s">
        <v>1166</v>
      </c>
      <c r="P81" s="44" t="b">
        <v>0</v>
      </c>
      <c r="Q81" s="44" t="b">
        <v>0</v>
      </c>
    </row>
    <row r="82" spans="1:17">
      <c r="A82" s="44" t="s">
        <v>7915</v>
      </c>
      <c r="B82" s="44"/>
      <c r="C82" s="44"/>
      <c r="D82" s="44">
        <v>0</v>
      </c>
      <c r="E82" s="44">
        <v>0</v>
      </c>
      <c r="F82" s="44">
        <v>0</v>
      </c>
      <c r="G82" s="33" t="s">
        <v>122</v>
      </c>
      <c r="H82" s="44"/>
      <c r="I82" s="44" t="b">
        <v>0</v>
      </c>
      <c r="J82" s="44" t="b">
        <v>0</v>
      </c>
      <c r="K82" s="44" t="b">
        <v>1</v>
      </c>
      <c r="L82" s="44"/>
      <c r="M82" s="44" t="s">
        <v>284</v>
      </c>
      <c r="N82" s="44" t="s">
        <v>285</v>
      </c>
      <c r="O82" s="44" t="s">
        <v>1150</v>
      </c>
      <c r="P82" s="44" t="b">
        <v>0</v>
      </c>
      <c r="Q82" s="44" t="b">
        <v>0</v>
      </c>
    </row>
    <row r="83" spans="1:17">
      <c r="A83" s="26" t="s">
        <v>7916</v>
      </c>
      <c r="B83" s="26"/>
      <c r="C83" s="26"/>
      <c r="D83" s="26">
        <v>0</v>
      </c>
      <c r="E83" s="26">
        <v>0</v>
      </c>
      <c r="F83" s="26">
        <v>0</v>
      </c>
      <c r="G83" s="33" t="s">
        <v>122</v>
      </c>
      <c r="H83" s="26"/>
      <c r="I83" s="26" t="b">
        <v>0</v>
      </c>
      <c r="J83" s="26" t="b">
        <v>0</v>
      </c>
      <c r="K83" s="44" t="b">
        <v>0</v>
      </c>
      <c r="L83" s="26"/>
      <c r="M83" s="28" t="s">
        <v>284</v>
      </c>
      <c r="N83" s="27" t="s">
        <v>285</v>
      </c>
      <c r="O83" s="27" t="s">
        <v>1150</v>
      </c>
      <c r="P83" s="26" t="b">
        <v>0</v>
      </c>
      <c r="Q83" s="26" t="b">
        <v>0</v>
      </c>
    </row>
    <row r="84" spans="1:17">
      <c r="A84" s="26" t="s">
        <v>7917</v>
      </c>
      <c r="B84" s="26"/>
      <c r="C84" s="26"/>
      <c r="D84" s="26">
        <v>0</v>
      </c>
      <c r="E84" s="26">
        <v>0</v>
      </c>
      <c r="F84" s="26">
        <v>0</v>
      </c>
      <c r="G84" s="33" t="s">
        <v>122</v>
      </c>
      <c r="H84" s="26"/>
      <c r="I84" s="26" t="b">
        <v>0</v>
      </c>
      <c r="J84" s="26" t="b">
        <v>0</v>
      </c>
      <c r="K84" s="16" t="b">
        <v>0</v>
      </c>
      <c r="L84" s="26"/>
      <c r="M84" s="26" t="s">
        <v>315</v>
      </c>
      <c r="N84" s="26" t="s">
        <v>244</v>
      </c>
      <c r="O84" s="26" t="s">
        <v>1152</v>
      </c>
      <c r="P84" s="26" t="b">
        <v>0</v>
      </c>
      <c r="Q84" s="26" t="b">
        <v>0</v>
      </c>
    </row>
    <row r="85" spans="1:17">
      <c r="A85" s="26" t="s">
        <v>7918</v>
      </c>
      <c r="B85" s="26"/>
      <c r="C85" s="26"/>
      <c r="D85" s="26">
        <v>0</v>
      </c>
      <c r="E85" s="26">
        <v>0</v>
      </c>
      <c r="F85" s="26">
        <v>0</v>
      </c>
      <c r="G85" s="33" t="s">
        <v>122</v>
      </c>
      <c r="H85" s="26"/>
      <c r="I85" s="26" t="b">
        <v>0</v>
      </c>
      <c r="J85" s="26" t="b">
        <v>0</v>
      </c>
      <c r="K85" s="16" t="b">
        <v>0</v>
      </c>
      <c r="L85" s="26"/>
      <c r="M85" s="26" t="s">
        <v>4370</v>
      </c>
      <c r="N85" s="26" t="s">
        <v>257</v>
      </c>
      <c r="O85" s="26" t="s">
        <v>4371</v>
      </c>
      <c r="P85" s="26" t="b">
        <v>0</v>
      </c>
      <c r="Q85" s="26" t="b">
        <v>0</v>
      </c>
    </row>
    <row r="86" spans="1:17">
      <c r="A86" s="26" t="s">
        <v>7919</v>
      </c>
      <c r="B86" s="26"/>
      <c r="C86" s="26"/>
      <c r="D86" s="26">
        <v>0</v>
      </c>
      <c r="E86" s="26">
        <v>0</v>
      </c>
      <c r="F86" s="26">
        <v>0</v>
      </c>
      <c r="G86" s="33" t="s">
        <v>122</v>
      </c>
      <c r="H86" s="26"/>
      <c r="I86" s="26" t="b">
        <v>0</v>
      </c>
      <c r="J86" s="26" t="b">
        <v>0</v>
      </c>
      <c r="K86" s="16" t="b">
        <v>0</v>
      </c>
      <c r="L86" s="26"/>
      <c r="M86" s="26" t="s">
        <v>3341</v>
      </c>
      <c r="N86" s="26" t="s">
        <v>255</v>
      </c>
      <c r="O86" s="26" t="s">
        <v>3342</v>
      </c>
      <c r="P86" s="26" t="b">
        <v>0</v>
      </c>
      <c r="Q86" s="26" t="b">
        <v>0</v>
      </c>
    </row>
    <row r="87" spans="1:17">
      <c r="A87" s="26" t="s">
        <v>7920</v>
      </c>
      <c r="B87" s="26"/>
      <c r="C87" s="26"/>
      <c r="D87" s="26">
        <v>0</v>
      </c>
      <c r="E87" s="26">
        <v>0</v>
      </c>
      <c r="F87" s="26">
        <v>0</v>
      </c>
      <c r="G87" s="33" t="s">
        <v>122</v>
      </c>
      <c r="H87" s="26"/>
      <c r="I87" s="26" t="b">
        <v>0</v>
      </c>
      <c r="J87" s="26" t="b">
        <v>0</v>
      </c>
      <c r="K87" s="16" t="b">
        <v>0</v>
      </c>
      <c r="L87" s="26"/>
      <c r="M87" s="26" t="s">
        <v>467</v>
      </c>
      <c r="N87" s="26" t="s">
        <v>252</v>
      </c>
      <c r="O87" s="26" t="s">
        <v>1170</v>
      </c>
      <c r="P87" s="26" t="b">
        <v>0</v>
      </c>
      <c r="Q87" s="26" t="b">
        <v>0</v>
      </c>
    </row>
    <row r="88" spans="1:17">
      <c r="A88" s="26" t="s">
        <v>7921</v>
      </c>
      <c r="B88" s="26"/>
      <c r="C88" s="26"/>
      <c r="D88" s="26">
        <v>0</v>
      </c>
      <c r="E88" s="26">
        <v>0</v>
      </c>
      <c r="F88" s="26">
        <v>0</v>
      </c>
      <c r="G88" s="33" t="s">
        <v>122</v>
      </c>
      <c r="H88" s="26"/>
      <c r="I88" s="26" t="b">
        <v>0</v>
      </c>
      <c r="J88" s="26" t="b">
        <v>0</v>
      </c>
      <c r="K88" s="16" t="b">
        <v>0</v>
      </c>
      <c r="L88" s="26"/>
      <c r="M88" s="26" t="s">
        <v>147</v>
      </c>
      <c r="N88" s="26" t="s">
        <v>148</v>
      </c>
      <c r="O88" s="26" t="s">
        <v>1153</v>
      </c>
      <c r="P88" s="26" t="b">
        <v>0</v>
      </c>
      <c r="Q88" s="26" t="b">
        <v>0</v>
      </c>
    </row>
    <row r="89" spans="1:17">
      <c r="A89" s="26" t="s">
        <v>7922</v>
      </c>
      <c r="B89" s="26"/>
      <c r="C89" s="26"/>
      <c r="D89" s="26">
        <v>0</v>
      </c>
      <c r="E89" s="26">
        <v>0</v>
      </c>
      <c r="F89" s="26">
        <v>0</v>
      </c>
      <c r="G89" s="33" t="s">
        <v>7923</v>
      </c>
      <c r="H89" s="26"/>
      <c r="I89" s="26" t="b">
        <v>0</v>
      </c>
      <c r="J89" s="26" t="b">
        <v>0</v>
      </c>
      <c r="K89" s="16" t="b">
        <v>0</v>
      </c>
      <c r="L89" s="26"/>
      <c r="M89" s="26" t="s">
        <v>1223</v>
      </c>
      <c r="N89" s="26" t="s">
        <v>261</v>
      </c>
      <c r="O89" s="26" t="s">
        <v>1224</v>
      </c>
      <c r="P89" s="26" t="b">
        <v>0</v>
      </c>
      <c r="Q89" s="26" t="b">
        <v>0</v>
      </c>
    </row>
    <row r="90" spans="1:17">
      <c r="A90" s="26" t="s">
        <v>7924</v>
      </c>
      <c r="B90" s="26"/>
      <c r="C90" s="26"/>
      <c r="D90" s="26">
        <v>0</v>
      </c>
      <c r="E90" s="26">
        <v>0</v>
      </c>
      <c r="F90" s="26">
        <v>0</v>
      </c>
      <c r="G90" s="33" t="s">
        <v>122</v>
      </c>
      <c r="H90" s="26"/>
      <c r="I90" s="26" t="b">
        <v>0</v>
      </c>
      <c r="J90" s="26" t="b">
        <v>0</v>
      </c>
      <c r="K90" s="16" t="b">
        <v>0</v>
      </c>
      <c r="L90" s="26"/>
      <c r="M90" s="26" t="s">
        <v>287</v>
      </c>
      <c r="N90" s="26" t="s">
        <v>288</v>
      </c>
      <c r="O90" s="26" t="s">
        <v>1151</v>
      </c>
      <c r="P90" s="26" t="b">
        <v>0</v>
      </c>
      <c r="Q90" s="26" t="b">
        <v>0</v>
      </c>
    </row>
    <row r="91" spans="1:17">
      <c r="A91" s="26" t="s">
        <v>7925</v>
      </c>
      <c r="B91" s="26"/>
      <c r="C91" s="26"/>
      <c r="D91" s="26">
        <v>0</v>
      </c>
      <c r="E91" s="26">
        <v>0</v>
      </c>
      <c r="F91" s="26">
        <v>0</v>
      </c>
      <c r="G91" s="33" t="s">
        <v>122</v>
      </c>
      <c r="H91" s="26"/>
      <c r="I91" s="26" t="b">
        <v>0</v>
      </c>
      <c r="J91" s="26" t="b">
        <v>0</v>
      </c>
      <c r="K91" s="16" t="b">
        <v>0</v>
      </c>
      <c r="L91" s="26"/>
      <c r="M91" s="26" t="s">
        <v>287</v>
      </c>
      <c r="N91" s="26" t="s">
        <v>7926</v>
      </c>
      <c r="O91" s="26" t="s">
        <v>7927</v>
      </c>
      <c r="P91" s="26" t="b">
        <v>0</v>
      </c>
      <c r="Q91" s="26" t="b">
        <v>0</v>
      </c>
    </row>
    <row r="92" spans="1:17">
      <c r="A92" s="26" t="s">
        <v>7928</v>
      </c>
      <c r="B92" s="26"/>
      <c r="C92" s="26"/>
      <c r="D92" s="26">
        <v>0</v>
      </c>
      <c r="E92" s="26">
        <v>0</v>
      </c>
      <c r="F92" s="26">
        <v>0</v>
      </c>
      <c r="G92" s="33" t="s">
        <v>122</v>
      </c>
      <c r="H92" s="26"/>
      <c r="I92" s="26" t="b">
        <v>0</v>
      </c>
      <c r="J92" s="26" t="b">
        <v>0</v>
      </c>
      <c r="K92" s="44" t="b">
        <v>1</v>
      </c>
      <c r="L92" s="26"/>
      <c r="M92" s="26" t="s">
        <v>287</v>
      </c>
      <c r="N92" s="26" t="s">
        <v>7926</v>
      </c>
      <c r="O92" s="26" t="s">
        <v>6157</v>
      </c>
      <c r="P92" s="26" t="b">
        <v>0</v>
      </c>
      <c r="Q92" s="26" t="b">
        <v>0</v>
      </c>
    </row>
    <row r="93" spans="1:17">
      <c r="A93" s="26" t="s">
        <v>7929</v>
      </c>
      <c r="B93" s="26"/>
      <c r="C93" s="26"/>
      <c r="D93" s="26">
        <v>0</v>
      </c>
      <c r="E93" s="26">
        <v>0</v>
      </c>
      <c r="F93" s="26">
        <v>0</v>
      </c>
      <c r="G93" s="33" t="s">
        <v>122</v>
      </c>
      <c r="H93" s="26"/>
      <c r="I93" s="26" t="b">
        <v>0</v>
      </c>
      <c r="J93" s="26" t="b">
        <v>0</v>
      </c>
      <c r="K93" s="16" t="b">
        <v>0</v>
      </c>
      <c r="L93" s="26"/>
      <c r="M93" s="26" t="s">
        <v>290</v>
      </c>
      <c r="N93" s="26" t="s">
        <v>291</v>
      </c>
      <c r="O93" s="26" t="s">
        <v>1187</v>
      </c>
      <c r="P93" s="26" t="b">
        <v>0</v>
      </c>
      <c r="Q93" s="26" t="b">
        <v>0</v>
      </c>
    </row>
    <row r="94" spans="1:17">
      <c r="A94" s="26" t="s">
        <v>7930</v>
      </c>
      <c r="B94" s="26"/>
      <c r="C94" s="26"/>
      <c r="D94" s="26">
        <v>0</v>
      </c>
      <c r="E94" s="26">
        <v>0</v>
      </c>
      <c r="F94" s="26">
        <v>0</v>
      </c>
      <c r="G94" s="33" t="s">
        <v>122</v>
      </c>
      <c r="H94" s="26"/>
      <c r="I94" s="26" t="b">
        <v>0</v>
      </c>
      <c r="J94" s="26" t="b">
        <v>0</v>
      </c>
      <c r="K94" s="44" t="b">
        <v>1</v>
      </c>
      <c r="L94" s="26"/>
      <c r="M94" s="26" t="s">
        <v>318</v>
      </c>
      <c r="N94" s="26" t="s">
        <v>319</v>
      </c>
      <c r="O94" s="26" t="s">
        <v>1179</v>
      </c>
      <c r="P94" s="26" t="b">
        <v>0</v>
      </c>
      <c r="Q94" s="26" t="b">
        <v>0</v>
      </c>
    </row>
    <row r="95" spans="1:17">
      <c r="A95" s="26" t="s">
        <v>7931</v>
      </c>
      <c r="B95" s="26"/>
      <c r="C95" s="26"/>
      <c r="D95" s="26">
        <v>0</v>
      </c>
      <c r="E95" s="26">
        <v>0</v>
      </c>
      <c r="F95" s="26">
        <v>0</v>
      </c>
      <c r="G95" s="33" t="s">
        <v>122</v>
      </c>
      <c r="H95" s="26"/>
      <c r="I95" s="26" t="b">
        <v>0</v>
      </c>
      <c r="J95" s="26" t="b">
        <v>0</v>
      </c>
      <c r="K95" s="44" t="b">
        <v>1</v>
      </c>
      <c r="L95" s="26"/>
      <c r="M95" s="26" t="s">
        <v>1225</v>
      </c>
      <c r="N95" s="26" t="s">
        <v>1226</v>
      </c>
      <c r="O95" s="26" t="s">
        <v>1227</v>
      </c>
      <c r="P95" s="26" t="b">
        <v>0</v>
      </c>
      <c r="Q95" s="26" t="b">
        <v>0</v>
      </c>
    </row>
    <row r="96" spans="1:17">
      <c r="A96" s="26" t="s">
        <v>7932</v>
      </c>
      <c r="B96" s="26"/>
      <c r="C96" s="26"/>
      <c r="D96" s="26">
        <v>0</v>
      </c>
      <c r="E96" s="26">
        <v>0</v>
      </c>
      <c r="F96" s="26">
        <v>0</v>
      </c>
      <c r="G96" s="33" t="s">
        <v>122</v>
      </c>
      <c r="H96" s="26"/>
      <c r="I96" s="26" t="b">
        <v>0</v>
      </c>
      <c r="J96" s="26" t="b">
        <v>0</v>
      </c>
      <c r="K96" s="44" t="b">
        <v>1</v>
      </c>
      <c r="L96" s="26"/>
      <c r="M96" s="26" t="s">
        <v>1095</v>
      </c>
      <c r="N96" s="26" t="s">
        <v>1075</v>
      </c>
      <c r="O96" s="26" t="s">
        <v>1076</v>
      </c>
      <c r="P96" s="26" t="b">
        <v>0</v>
      </c>
      <c r="Q96" s="26" t="b">
        <v>0</v>
      </c>
    </row>
    <row r="97" spans="1:17">
      <c r="A97" s="26" t="s">
        <v>7933</v>
      </c>
      <c r="B97" s="26"/>
      <c r="C97" s="26"/>
      <c r="D97" s="26">
        <v>0</v>
      </c>
      <c r="E97" s="26">
        <v>0</v>
      </c>
      <c r="F97" s="26">
        <v>0</v>
      </c>
      <c r="G97" s="33" t="s">
        <v>122</v>
      </c>
      <c r="H97" s="26"/>
      <c r="I97" s="26" t="b">
        <v>0</v>
      </c>
      <c r="J97" s="26" t="b">
        <v>0</v>
      </c>
      <c r="K97" s="44" t="b">
        <v>1</v>
      </c>
      <c r="L97" s="26"/>
      <c r="M97" s="26" t="s">
        <v>375</v>
      </c>
      <c r="N97" s="26" t="s">
        <v>429</v>
      </c>
      <c r="O97" s="26" t="s">
        <v>1180</v>
      </c>
      <c r="P97" s="26" t="b">
        <v>0</v>
      </c>
      <c r="Q97" s="26" t="b">
        <v>0</v>
      </c>
    </row>
    <row r="98" spans="1:17">
      <c r="A98" s="26" t="s">
        <v>7934</v>
      </c>
      <c r="B98" s="26"/>
      <c r="C98" s="26"/>
      <c r="D98" s="26">
        <v>0</v>
      </c>
      <c r="E98" s="26">
        <v>0</v>
      </c>
      <c r="F98" s="26">
        <v>0</v>
      </c>
      <c r="G98" s="33" t="s">
        <v>122</v>
      </c>
      <c r="H98" s="26"/>
      <c r="I98" s="26" t="b">
        <v>0</v>
      </c>
      <c r="J98" s="26" t="b">
        <v>0</v>
      </c>
      <c r="K98" s="44" t="b">
        <v>1</v>
      </c>
      <c r="L98" s="26"/>
      <c r="M98" s="26" t="s">
        <v>316</v>
      </c>
      <c r="N98" s="26" t="s">
        <v>391</v>
      </c>
      <c r="O98" s="26" t="s">
        <v>1185</v>
      </c>
      <c r="P98" s="26" t="b">
        <v>0</v>
      </c>
      <c r="Q98" s="26" t="b">
        <v>0</v>
      </c>
    </row>
    <row r="99" spans="1:17">
      <c r="A99" s="26" t="s">
        <v>7935</v>
      </c>
      <c r="B99" s="26"/>
      <c r="C99" s="26"/>
      <c r="D99" s="26">
        <v>0</v>
      </c>
      <c r="E99" s="26">
        <v>0</v>
      </c>
      <c r="F99" s="26">
        <v>0</v>
      </c>
      <c r="G99" s="33" t="s">
        <v>122</v>
      </c>
      <c r="H99" s="26"/>
      <c r="I99" s="26" t="b">
        <v>0</v>
      </c>
      <c r="J99" s="26" t="b">
        <v>0</v>
      </c>
      <c r="K99" s="44" t="b">
        <v>1</v>
      </c>
      <c r="L99" s="26"/>
      <c r="M99" s="26" t="s">
        <v>77</v>
      </c>
      <c r="N99" s="26" t="s">
        <v>78</v>
      </c>
      <c r="O99" s="26" t="s">
        <v>1175</v>
      </c>
      <c r="P99" s="26" t="b">
        <v>0</v>
      </c>
      <c r="Q99" s="26" t="b">
        <v>0</v>
      </c>
    </row>
    <row r="100" spans="1:17">
      <c r="A100" s="26" t="s">
        <v>7936</v>
      </c>
      <c r="B100" s="26"/>
      <c r="C100" s="26"/>
      <c r="D100" s="26">
        <v>0</v>
      </c>
      <c r="E100" s="26">
        <v>0</v>
      </c>
      <c r="F100" s="26">
        <v>0</v>
      </c>
      <c r="G100" s="33" t="s">
        <v>122</v>
      </c>
      <c r="H100" s="26"/>
      <c r="I100" s="26" t="b">
        <v>0</v>
      </c>
      <c r="J100" s="26" t="b">
        <v>0</v>
      </c>
      <c r="K100" s="44" t="b">
        <v>1</v>
      </c>
      <c r="L100" s="26"/>
      <c r="M100" s="26" t="s">
        <v>361</v>
      </c>
      <c r="N100" s="26" t="s">
        <v>560</v>
      </c>
      <c r="O100" s="26" t="s">
        <v>1188</v>
      </c>
      <c r="P100" s="26" t="b">
        <v>0</v>
      </c>
      <c r="Q100" s="26" t="b">
        <v>0</v>
      </c>
    </row>
    <row r="101" spans="1:17">
      <c r="A101" s="26" t="s">
        <v>7937</v>
      </c>
      <c r="B101" s="26"/>
      <c r="C101" s="26"/>
      <c r="D101" s="26">
        <v>0</v>
      </c>
      <c r="E101" s="26">
        <v>0</v>
      </c>
      <c r="F101" s="26">
        <v>0</v>
      </c>
      <c r="G101" s="33" t="s">
        <v>122</v>
      </c>
      <c r="H101" s="26"/>
      <c r="I101" s="26" t="b">
        <v>0</v>
      </c>
      <c r="J101" s="26" t="b">
        <v>0</v>
      </c>
      <c r="K101" s="44" t="b">
        <v>1</v>
      </c>
      <c r="L101" s="26"/>
      <c r="M101" s="26" t="s">
        <v>496</v>
      </c>
      <c r="N101" s="26" t="s">
        <v>497</v>
      </c>
      <c r="O101" s="26" t="s">
        <v>1182</v>
      </c>
      <c r="P101" s="26" t="b">
        <v>0</v>
      </c>
      <c r="Q101" s="26" t="b">
        <v>0</v>
      </c>
    </row>
    <row r="102" spans="1:17">
      <c r="A102" s="26" t="s">
        <v>7938</v>
      </c>
      <c r="B102" s="26"/>
      <c r="C102" s="26"/>
      <c r="D102" s="26">
        <v>0</v>
      </c>
      <c r="E102" s="26">
        <v>0</v>
      </c>
      <c r="F102" s="26">
        <v>0</v>
      </c>
      <c r="G102" s="33" t="s">
        <v>122</v>
      </c>
      <c r="H102" s="26"/>
      <c r="I102" s="26" t="b">
        <v>0</v>
      </c>
      <c r="J102" s="26" t="b">
        <v>0</v>
      </c>
      <c r="K102" s="44" t="b">
        <v>0</v>
      </c>
      <c r="L102" s="26"/>
      <c r="M102" s="26" t="s">
        <v>375</v>
      </c>
      <c r="N102" s="26" t="s">
        <v>376</v>
      </c>
      <c r="O102" s="26" t="s">
        <v>1181</v>
      </c>
      <c r="P102" s="26" t="b">
        <v>0</v>
      </c>
      <c r="Q102" s="26" t="b">
        <v>0</v>
      </c>
    </row>
    <row r="103" spans="1:17">
      <c r="A103" s="26" t="s">
        <v>7939</v>
      </c>
      <c r="B103" s="26"/>
      <c r="C103" s="26"/>
      <c r="D103" s="26">
        <v>0</v>
      </c>
      <c r="E103" s="26">
        <v>0</v>
      </c>
      <c r="F103" s="26">
        <v>0</v>
      </c>
      <c r="G103" s="33" t="s">
        <v>122</v>
      </c>
      <c r="H103" s="26"/>
      <c r="I103" s="26" t="b">
        <v>0</v>
      </c>
      <c r="J103" s="26" t="b">
        <v>0</v>
      </c>
      <c r="K103" s="44" t="b">
        <v>0</v>
      </c>
      <c r="L103" s="26"/>
      <c r="M103" s="26" t="s">
        <v>47</v>
      </c>
      <c r="N103" s="26" t="s">
        <v>577</v>
      </c>
      <c r="O103" s="26" t="s">
        <v>1189</v>
      </c>
      <c r="P103" s="26" t="b">
        <v>0</v>
      </c>
      <c r="Q103" s="26" t="b">
        <v>0</v>
      </c>
    </row>
    <row r="104" spans="1:17">
      <c r="A104" s="26" t="s">
        <v>149</v>
      </c>
      <c r="B104" s="26"/>
      <c r="C104" s="26"/>
      <c r="D104" s="26">
        <v>4000</v>
      </c>
      <c r="E104" s="26">
        <v>0</v>
      </c>
      <c r="F104" s="26">
        <v>0</v>
      </c>
      <c r="G104" s="33" t="s">
        <v>122</v>
      </c>
      <c r="H104" s="26"/>
      <c r="I104" s="26" t="b">
        <v>0</v>
      </c>
      <c r="J104" s="26" t="b">
        <v>0</v>
      </c>
      <c r="K104" s="16" t="b">
        <v>0</v>
      </c>
      <c r="L104" s="26"/>
      <c r="M104" s="26" t="s">
        <v>147</v>
      </c>
      <c r="N104" s="26" t="s">
        <v>148</v>
      </c>
      <c r="O104" s="26" t="s">
        <v>1153</v>
      </c>
      <c r="P104" s="26" t="b">
        <v>0</v>
      </c>
      <c r="Q104" s="26" t="b">
        <v>0</v>
      </c>
    </row>
    <row r="105" spans="1:17">
      <c r="A105" s="26" t="s">
        <v>150</v>
      </c>
      <c r="B105" s="26"/>
      <c r="C105" s="26"/>
      <c r="D105" s="26">
        <v>6000</v>
      </c>
      <c r="E105" s="26">
        <v>0</v>
      </c>
      <c r="F105" s="26">
        <v>0</v>
      </c>
      <c r="G105" s="33" t="s">
        <v>122</v>
      </c>
      <c r="H105" s="26"/>
      <c r="I105" s="26" t="b">
        <v>0</v>
      </c>
      <c r="J105" s="26" t="b">
        <v>0</v>
      </c>
      <c r="K105" s="16" t="b">
        <v>0</v>
      </c>
      <c r="L105" s="26"/>
      <c r="M105" s="26" t="s">
        <v>147</v>
      </c>
      <c r="N105" s="26" t="s">
        <v>148</v>
      </c>
      <c r="O105" s="26" t="s">
        <v>1153</v>
      </c>
      <c r="P105" s="26" t="b">
        <v>0</v>
      </c>
      <c r="Q105" s="26" t="b">
        <v>0</v>
      </c>
    </row>
    <row r="106" spans="1:17">
      <c r="A106" s="44" t="s">
        <v>151</v>
      </c>
      <c r="B106" s="44"/>
      <c r="C106" s="44"/>
      <c r="D106" s="44">
        <v>0</v>
      </c>
      <c r="E106" s="44">
        <v>0</v>
      </c>
      <c r="F106" s="44">
        <v>0</v>
      </c>
      <c r="G106" s="33" t="s">
        <v>122</v>
      </c>
      <c r="H106" s="44"/>
      <c r="I106" s="44" t="b">
        <v>0</v>
      </c>
      <c r="J106" s="44" t="b">
        <v>0</v>
      </c>
      <c r="K106" s="44" t="b">
        <v>1</v>
      </c>
      <c r="L106" s="44"/>
      <c r="M106" s="44" t="s">
        <v>152</v>
      </c>
      <c r="N106" s="44" t="s">
        <v>153</v>
      </c>
      <c r="O106" s="44" t="s">
        <v>1167</v>
      </c>
      <c r="P106" s="44" t="b">
        <v>0</v>
      </c>
      <c r="Q106" s="44" t="b">
        <v>0</v>
      </c>
    </row>
    <row r="107" spans="1:17">
      <c r="A107" s="44" t="s">
        <v>154</v>
      </c>
      <c r="B107" s="44"/>
      <c r="C107" s="44"/>
      <c r="D107" s="44">
        <v>0</v>
      </c>
      <c r="E107" s="44">
        <v>0</v>
      </c>
      <c r="F107" s="44">
        <v>0</v>
      </c>
      <c r="G107" s="33" t="s">
        <v>122</v>
      </c>
      <c r="H107" s="44"/>
      <c r="I107" s="44" t="b">
        <v>0</v>
      </c>
      <c r="J107" s="44" t="b">
        <v>0</v>
      </c>
      <c r="K107" s="44" t="b">
        <v>1</v>
      </c>
      <c r="L107" s="44"/>
      <c r="M107" s="44" t="s">
        <v>155</v>
      </c>
      <c r="N107" s="44" t="s">
        <v>156</v>
      </c>
      <c r="O107" s="44" t="s">
        <v>1168</v>
      </c>
      <c r="P107" s="44" t="b">
        <v>0</v>
      </c>
      <c r="Q107" s="44" t="b">
        <v>0</v>
      </c>
    </row>
    <row r="108" spans="1:17">
      <c r="A108" s="44" t="s">
        <v>157</v>
      </c>
      <c r="B108" s="44"/>
      <c r="C108" s="44"/>
      <c r="D108" s="44">
        <v>0</v>
      </c>
      <c r="E108" s="44">
        <v>0</v>
      </c>
      <c r="F108" s="44">
        <v>0</v>
      </c>
      <c r="G108" s="33" t="s">
        <v>122</v>
      </c>
      <c r="H108" s="44"/>
      <c r="I108" s="44" t="b">
        <v>0</v>
      </c>
      <c r="J108" s="44" t="b">
        <v>0</v>
      </c>
      <c r="K108" s="44" t="b">
        <v>1</v>
      </c>
      <c r="L108" s="44"/>
      <c r="M108" s="44" t="s">
        <v>158</v>
      </c>
      <c r="N108" s="44" t="s">
        <v>159</v>
      </c>
      <c r="O108" s="44" t="s">
        <v>1169</v>
      </c>
      <c r="P108" s="44" t="b">
        <v>0</v>
      </c>
      <c r="Q108" s="44" t="b">
        <v>0</v>
      </c>
    </row>
    <row r="109" spans="1:17">
      <c r="A109" s="20" t="s">
        <v>160</v>
      </c>
      <c r="B109" s="21"/>
      <c r="C109" s="21"/>
      <c r="D109" s="22">
        <v>10000</v>
      </c>
      <c r="E109" s="21">
        <v>0</v>
      </c>
      <c r="F109" s="21">
        <v>0</v>
      </c>
      <c r="G109" s="20" t="s">
        <v>160</v>
      </c>
      <c r="H109" s="21"/>
      <c r="I109" s="85" t="b">
        <v>0</v>
      </c>
      <c r="J109" s="85" t="b">
        <v>0</v>
      </c>
      <c r="K109" s="85" t="b">
        <v>0</v>
      </c>
      <c r="L109" s="86" t="s">
        <v>161</v>
      </c>
      <c r="M109" s="20" t="s">
        <v>162</v>
      </c>
      <c r="N109" s="20" t="s">
        <v>163</v>
      </c>
      <c r="O109" s="21" t="s">
        <v>5930</v>
      </c>
      <c r="P109" s="10" t="b">
        <v>0</v>
      </c>
      <c r="Q109" s="10" t="b">
        <v>1</v>
      </c>
    </row>
    <row r="110" spans="1:17">
      <c r="A110" s="17" t="s">
        <v>164</v>
      </c>
      <c r="B110" s="50"/>
      <c r="C110" s="50"/>
      <c r="D110" s="17">
        <v>10000</v>
      </c>
      <c r="E110" s="82">
        <v>0</v>
      </c>
      <c r="F110" s="82">
        <v>0</v>
      </c>
      <c r="G110" s="17" t="s">
        <v>164</v>
      </c>
      <c r="H110" s="50"/>
      <c r="I110" s="83" t="b">
        <v>0</v>
      </c>
      <c r="J110" s="83" t="b">
        <v>0</v>
      </c>
      <c r="K110" s="83" t="b">
        <v>0</v>
      </c>
      <c r="L110" s="84" t="s">
        <v>165</v>
      </c>
      <c r="M110" s="17" t="s">
        <v>166</v>
      </c>
      <c r="N110" s="17" t="s">
        <v>623</v>
      </c>
      <c r="O110" s="17" t="s">
        <v>5931</v>
      </c>
      <c r="P110" s="10" t="b">
        <v>0</v>
      </c>
      <c r="Q110" s="10" t="b">
        <v>1</v>
      </c>
    </row>
    <row r="111" spans="1:17">
      <c r="A111" s="48" t="s">
        <v>167</v>
      </c>
      <c r="B111" s="9"/>
      <c r="C111" s="9"/>
      <c r="D111" s="19">
        <v>10000</v>
      </c>
      <c r="E111" s="9">
        <v>0</v>
      </c>
      <c r="F111" s="9">
        <v>0</v>
      </c>
      <c r="G111" s="19" t="s">
        <v>167</v>
      </c>
      <c r="H111" s="9"/>
      <c r="I111" s="80" t="b">
        <v>0</v>
      </c>
      <c r="J111" s="80" t="b">
        <v>0</v>
      </c>
      <c r="K111" s="80" t="b">
        <v>0</v>
      </c>
      <c r="L111" s="81" t="s">
        <v>168</v>
      </c>
      <c r="M111" s="19" t="s">
        <v>169</v>
      </c>
      <c r="N111" s="19" t="s">
        <v>170</v>
      </c>
      <c r="O111" s="9" t="s">
        <v>1184</v>
      </c>
      <c r="P111" s="10" t="b">
        <v>0</v>
      </c>
      <c r="Q111" s="10" t="b">
        <v>1</v>
      </c>
    </row>
    <row r="112" spans="1:17" s="13" customFormat="1">
      <c r="A112" s="34" t="s">
        <v>171</v>
      </c>
      <c r="B112" s="34"/>
      <c r="C112" s="34"/>
      <c r="D112" s="34">
        <v>0</v>
      </c>
      <c r="E112" s="34">
        <v>0</v>
      </c>
      <c r="F112" s="34">
        <v>0</v>
      </c>
      <c r="G112" s="33" t="s">
        <v>122</v>
      </c>
      <c r="H112" s="34"/>
      <c r="I112" s="34" t="b">
        <v>0</v>
      </c>
      <c r="J112" s="34" t="b">
        <v>0</v>
      </c>
      <c r="K112" s="34" t="b">
        <v>1</v>
      </c>
      <c r="L112" s="34" t="s">
        <v>66</v>
      </c>
      <c r="M112" s="34" t="s">
        <v>172</v>
      </c>
      <c r="N112" s="34" t="s">
        <v>173</v>
      </c>
      <c r="O112" s="34" t="s">
        <v>5932</v>
      </c>
      <c r="P112" s="34" t="b">
        <v>0</v>
      </c>
      <c r="Q112" s="34" t="b">
        <v>0</v>
      </c>
    </row>
    <row r="113" spans="1:17">
      <c r="A113" s="25" t="s">
        <v>174</v>
      </c>
      <c r="B113" s="25"/>
      <c r="C113" s="25"/>
      <c r="D113" s="25">
        <v>0</v>
      </c>
      <c r="E113" s="25">
        <v>0</v>
      </c>
      <c r="F113" s="25">
        <v>0</v>
      </c>
      <c r="G113" s="25" t="s">
        <v>122</v>
      </c>
      <c r="H113" s="25"/>
      <c r="I113" s="25" t="b">
        <v>0</v>
      </c>
      <c r="J113" s="25" t="b">
        <v>0</v>
      </c>
      <c r="K113" s="25" t="b">
        <v>0</v>
      </c>
      <c r="L113" s="25" t="s">
        <v>175</v>
      </c>
      <c r="M113" s="25" t="s">
        <v>172</v>
      </c>
      <c r="N113" s="25" t="s">
        <v>176</v>
      </c>
      <c r="O113" s="25" t="s">
        <v>5933</v>
      </c>
      <c r="P113" s="25" t="b">
        <v>0</v>
      </c>
      <c r="Q113" s="25" t="b">
        <v>0</v>
      </c>
    </row>
    <row r="114" spans="1:17">
      <c r="A114" s="15" t="s">
        <v>177</v>
      </c>
      <c r="B114" s="15"/>
      <c r="C114" s="15"/>
      <c r="D114" s="15">
        <v>50</v>
      </c>
      <c r="E114" s="15">
        <v>0</v>
      </c>
      <c r="F114" s="15">
        <v>0</v>
      </c>
      <c r="G114" s="15" t="s">
        <v>112</v>
      </c>
      <c r="H114" s="15"/>
      <c r="I114" s="15" t="b">
        <v>0</v>
      </c>
      <c r="J114" s="15" t="b">
        <v>0</v>
      </c>
      <c r="K114" s="16" t="b">
        <v>0</v>
      </c>
      <c r="L114" s="15"/>
      <c r="M114" s="15"/>
      <c r="N114" s="15"/>
      <c r="O114" s="15"/>
      <c r="P114" s="15" t="b">
        <v>0</v>
      </c>
      <c r="Q114" s="15" t="b">
        <v>0</v>
      </c>
    </row>
    <row r="115" spans="1:17" ht="33" customHeight="1">
      <c r="A115" s="42" t="s">
        <v>5934</v>
      </c>
      <c r="B115" s="42"/>
      <c r="C115" s="42"/>
      <c r="D115" s="42">
        <v>0</v>
      </c>
      <c r="E115" s="42">
        <v>0</v>
      </c>
      <c r="F115" s="42">
        <v>0</v>
      </c>
      <c r="G115" s="42" t="s">
        <v>5935</v>
      </c>
      <c r="H115" s="42"/>
      <c r="I115" s="42" t="b">
        <v>0</v>
      </c>
      <c r="J115" s="42" t="b">
        <v>0</v>
      </c>
      <c r="K115" s="34" t="b">
        <v>1</v>
      </c>
      <c r="L115" s="47" t="s">
        <v>1122</v>
      </c>
      <c r="M115" s="42"/>
      <c r="N115" s="42" t="s">
        <v>5936</v>
      </c>
      <c r="O115" s="42"/>
      <c r="P115" s="74" t="b">
        <v>1</v>
      </c>
      <c r="Q115" s="74" t="b">
        <v>0</v>
      </c>
    </row>
    <row r="116" spans="1:17" ht="33" customHeight="1">
      <c r="A116" s="42" t="s">
        <v>5937</v>
      </c>
      <c r="B116" s="42"/>
      <c r="C116" s="42"/>
      <c r="D116" s="42">
        <v>0</v>
      </c>
      <c r="E116" s="42">
        <v>0</v>
      </c>
      <c r="F116" s="42">
        <v>0</v>
      </c>
      <c r="G116" s="42" t="s">
        <v>5503</v>
      </c>
      <c r="H116" s="42"/>
      <c r="I116" s="42" t="b">
        <v>0</v>
      </c>
      <c r="J116" s="42" t="b">
        <v>0</v>
      </c>
      <c r="K116" s="34" t="b">
        <v>1</v>
      </c>
      <c r="L116" s="47" t="s">
        <v>1122</v>
      </c>
      <c r="M116" s="42"/>
      <c r="N116" s="42" t="s">
        <v>5938</v>
      </c>
      <c r="O116" s="42"/>
      <c r="P116" s="74" t="b">
        <v>1</v>
      </c>
      <c r="Q116" s="74" t="b">
        <v>0</v>
      </c>
    </row>
    <row r="117" spans="1:17" ht="33" customHeight="1">
      <c r="A117" s="42" t="s">
        <v>5939</v>
      </c>
      <c r="B117" s="42"/>
      <c r="C117" s="42"/>
      <c r="D117" s="42">
        <v>0</v>
      </c>
      <c r="E117" s="42">
        <v>0</v>
      </c>
      <c r="F117" s="42">
        <v>0</v>
      </c>
      <c r="G117" s="42" t="s">
        <v>5505</v>
      </c>
      <c r="H117" s="42"/>
      <c r="I117" s="42" t="b">
        <v>0</v>
      </c>
      <c r="J117" s="42" t="b">
        <v>0</v>
      </c>
      <c r="K117" s="34" t="b">
        <v>1</v>
      </c>
      <c r="L117" s="47" t="s">
        <v>1122</v>
      </c>
      <c r="M117" s="42"/>
      <c r="N117" s="42" t="s">
        <v>1173</v>
      </c>
      <c r="O117" s="42"/>
      <c r="P117" s="74" t="b">
        <v>1</v>
      </c>
      <c r="Q117" s="74" t="b">
        <v>0</v>
      </c>
    </row>
    <row r="118" spans="1:17" ht="33" customHeight="1">
      <c r="A118" s="42" t="s">
        <v>5940</v>
      </c>
      <c r="B118" s="42"/>
      <c r="C118" s="42"/>
      <c r="D118" s="42">
        <v>0</v>
      </c>
      <c r="E118" s="42">
        <v>0</v>
      </c>
      <c r="F118" s="42">
        <v>0</v>
      </c>
      <c r="G118" s="42" t="s">
        <v>5941</v>
      </c>
      <c r="H118" s="42"/>
      <c r="I118" s="42" t="b">
        <v>0</v>
      </c>
      <c r="J118" s="42" t="b">
        <v>0</v>
      </c>
      <c r="K118" s="34" t="b">
        <v>1</v>
      </c>
      <c r="L118" s="47" t="s">
        <v>1122</v>
      </c>
      <c r="M118" s="42"/>
      <c r="N118" s="42" t="s">
        <v>445</v>
      </c>
      <c r="O118" s="42"/>
      <c r="P118" s="74" t="b">
        <v>1</v>
      </c>
      <c r="Q118" s="74" t="b">
        <v>0</v>
      </c>
    </row>
    <row r="119" spans="1:17" ht="33" customHeight="1">
      <c r="A119" s="42" t="s">
        <v>5942</v>
      </c>
      <c r="B119" s="42"/>
      <c r="C119" s="42"/>
      <c r="D119" s="42">
        <v>0</v>
      </c>
      <c r="E119" s="42">
        <v>0</v>
      </c>
      <c r="F119" s="42">
        <v>0</v>
      </c>
      <c r="G119" s="42" t="s">
        <v>5943</v>
      </c>
      <c r="H119" s="42"/>
      <c r="I119" s="42" t="b">
        <v>0</v>
      </c>
      <c r="J119" s="42" t="b">
        <v>0</v>
      </c>
      <c r="K119" s="34" t="b">
        <v>1</v>
      </c>
      <c r="L119" s="47" t="s">
        <v>1122</v>
      </c>
      <c r="M119" s="42"/>
      <c r="N119" s="42" t="s">
        <v>5936</v>
      </c>
      <c r="O119" s="42"/>
      <c r="P119" s="74" t="b">
        <v>1</v>
      </c>
      <c r="Q119" s="74" t="b">
        <v>0</v>
      </c>
    </row>
    <row r="120" spans="1:17" ht="33" customHeight="1">
      <c r="A120" s="42" t="s">
        <v>5506</v>
      </c>
      <c r="B120" s="42"/>
      <c r="C120" s="42"/>
      <c r="D120" s="42">
        <v>0</v>
      </c>
      <c r="E120" s="42">
        <v>0</v>
      </c>
      <c r="F120" s="42">
        <v>0</v>
      </c>
      <c r="G120" s="42" t="s">
        <v>5944</v>
      </c>
      <c r="H120" s="42"/>
      <c r="I120" s="42" t="b">
        <v>0</v>
      </c>
      <c r="J120" s="42" t="b">
        <v>0</v>
      </c>
      <c r="K120" s="34" t="b">
        <v>1</v>
      </c>
      <c r="L120" s="47" t="s">
        <v>1122</v>
      </c>
      <c r="M120" s="42"/>
      <c r="N120" s="42" t="s">
        <v>5504</v>
      </c>
      <c r="O120" s="42"/>
      <c r="P120" s="74" t="b">
        <v>1</v>
      </c>
      <c r="Q120" s="74" t="b">
        <v>0</v>
      </c>
    </row>
    <row r="121" spans="1:17" ht="33" customHeight="1">
      <c r="A121" s="42" t="s">
        <v>5945</v>
      </c>
      <c r="B121" s="42"/>
      <c r="C121" s="42"/>
      <c r="D121" s="42">
        <v>0</v>
      </c>
      <c r="E121" s="42">
        <v>0</v>
      </c>
      <c r="F121" s="42">
        <v>0</v>
      </c>
      <c r="G121" s="42" t="s">
        <v>5946</v>
      </c>
      <c r="H121" s="42"/>
      <c r="I121" s="42" t="b">
        <v>0</v>
      </c>
      <c r="J121" s="42" t="b">
        <v>0</v>
      </c>
      <c r="K121" s="34" t="b">
        <v>1</v>
      </c>
      <c r="L121" s="47" t="s">
        <v>1122</v>
      </c>
      <c r="M121" s="42"/>
      <c r="N121" s="42" t="s">
        <v>1173</v>
      </c>
      <c r="O121" s="42"/>
      <c r="P121" s="74" t="b">
        <v>1</v>
      </c>
      <c r="Q121" s="74" t="b">
        <v>0</v>
      </c>
    </row>
    <row r="122" spans="1:17" ht="49.5">
      <c r="A122" s="75" t="s">
        <v>5947</v>
      </c>
      <c r="B122" s="75"/>
      <c r="C122" s="75"/>
      <c r="D122" s="75">
        <v>0</v>
      </c>
      <c r="E122" s="75">
        <v>0</v>
      </c>
      <c r="F122" s="75">
        <v>0</v>
      </c>
      <c r="G122" s="76" t="s">
        <v>5948</v>
      </c>
      <c r="H122" s="75"/>
      <c r="I122" s="75" t="b">
        <v>0</v>
      </c>
      <c r="J122" s="75" t="b">
        <v>0</v>
      </c>
      <c r="K122" s="77" t="b">
        <v>1</v>
      </c>
      <c r="L122" s="76"/>
      <c r="M122" s="75"/>
      <c r="N122" s="75"/>
      <c r="O122" s="75"/>
      <c r="P122" s="78" t="b">
        <v>0</v>
      </c>
      <c r="Q122" s="78" t="b">
        <v>0</v>
      </c>
    </row>
    <row r="123" spans="1:17" ht="33">
      <c r="A123" s="168" t="s">
        <v>5949</v>
      </c>
      <c r="B123" s="168"/>
      <c r="C123" s="168"/>
      <c r="D123" s="168">
        <v>0</v>
      </c>
      <c r="E123" s="168">
        <v>0</v>
      </c>
      <c r="F123" s="168">
        <v>0</v>
      </c>
      <c r="G123" s="79" t="s">
        <v>1143</v>
      </c>
      <c r="H123" s="168"/>
      <c r="I123" s="168" t="b">
        <v>0</v>
      </c>
      <c r="J123" s="168" t="b">
        <v>0</v>
      </c>
      <c r="K123" s="168" t="b">
        <v>1</v>
      </c>
      <c r="L123" s="168"/>
      <c r="M123" s="168"/>
      <c r="N123" s="168"/>
      <c r="O123" s="168"/>
      <c r="P123" s="168" t="b">
        <v>0</v>
      </c>
      <c r="Q123" s="168" t="b">
        <v>0</v>
      </c>
    </row>
    <row r="124" spans="1:17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</row>
    <row r="125" spans="1:17">
      <c r="A125" s="169" t="s">
        <v>5950</v>
      </c>
      <c r="B125" s="169" t="s">
        <v>1234</v>
      </c>
      <c r="C125" s="169" t="s">
        <v>1235</v>
      </c>
      <c r="D125" s="169">
        <v>0</v>
      </c>
      <c r="E125" s="169">
        <v>0</v>
      </c>
      <c r="F125" s="169">
        <v>0</v>
      </c>
      <c r="G125" s="169" t="str">
        <f t="shared" ref="G125:G134" si="0">A125&amp;".buffeffect"</f>
        <v>Attribute.R.dmgrate.buff.buffeffect</v>
      </c>
      <c r="H125" s="169"/>
      <c r="I125" s="169" t="b">
        <v>0</v>
      </c>
      <c r="J125" s="169" t="b">
        <v>0</v>
      </c>
      <c r="K125" s="169" t="b">
        <v>1</v>
      </c>
      <c r="L125" s="169"/>
      <c r="M125" s="169"/>
      <c r="N125" s="169" t="s">
        <v>560</v>
      </c>
      <c r="O125" s="169"/>
      <c r="P125" s="169" t="b">
        <v>1</v>
      </c>
      <c r="Q125" s="169" t="b">
        <v>0</v>
      </c>
    </row>
    <row r="126" spans="1:17">
      <c r="A126" s="169" t="s">
        <v>5951</v>
      </c>
      <c r="B126" s="169" t="s">
        <v>1234</v>
      </c>
      <c r="C126" s="169" t="s">
        <v>1235</v>
      </c>
      <c r="D126" s="169">
        <v>0</v>
      </c>
      <c r="E126" s="169">
        <v>0</v>
      </c>
      <c r="F126" s="169">
        <v>0</v>
      </c>
      <c r="G126" s="169" t="str">
        <f t="shared" si="0"/>
        <v>Attribute.R.dmgderate.buff.buffeffect</v>
      </c>
      <c r="H126" s="169"/>
      <c r="I126" s="169" t="b">
        <v>0</v>
      </c>
      <c r="J126" s="169" t="b">
        <v>0</v>
      </c>
      <c r="K126" s="169" t="b">
        <v>1</v>
      </c>
      <c r="L126" s="169"/>
      <c r="M126" s="169"/>
      <c r="N126" s="169" t="s">
        <v>320</v>
      </c>
      <c r="O126" s="169"/>
      <c r="P126" s="169" t="b">
        <v>1</v>
      </c>
      <c r="Q126" s="169" t="b">
        <v>0</v>
      </c>
    </row>
    <row r="127" spans="1:17">
      <c r="A127" s="170" t="s">
        <v>5952</v>
      </c>
      <c r="B127" s="170" t="s">
        <v>1234</v>
      </c>
      <c r="C127" s="170" t="s">
        <v>1236</v>
      </c>
      <c r="D127" s="170">
        <v>0</v>
      </c>
      <c r="E127" s="170">
        <v>0</v>
      </c>
      <c r="F127" s="170">
        <v>0</v>
      </c>
      <c r="G127" s="170" t="str">
        <f t="shared" si="0"/>
        <v>Attribute.G.dmgrate.buff.buffeffect</v>
      </c>
      <c r="H127" s="170"/>
      <c r="I127" s="170" t="b">
        <v>0</v>
      </c>
      <c r="J127" s="170" t="b">
        <v>0</v>
      </c>
      <c r="K127" s="170" t="b">
        <v>1</v>
      </c>
      <c r="L127" s="170"/>
      <c r="M127" s="170"/>
      <c r="N127" s="170" t="s">
        <v>560</v>
      </c>
      <c r="O127" s="170"/>
      <c r="P127" s="170" t="b">
        <v>1</v>
      </c>
      <c r="Q127" s="170" t="b">
        <v>0</v>
      </c>
    </row>
    <row r="128" spans="1:17">
      <c r="A128" s="170" t="s">
        <v>5953</v>
      </c>
      <c r="B128" s="170" t="s">
        <v>1234</v>
      </c>
      <c r="C128" s="170" t="s">
        <v>1236</v>
      </c>
      <c r="D128" s="170">
        <v>0</v>
      </c>
      <c r="E128" s="170">
        <v>0</v>
      </c>
      <c r="F128" s="170">
        <v>0</v>
      </c>
      <c r="G128" s="170" t="str">
        <f t="shared" si="0"/>
        <v>Attribute.G.dmgderate.buff.buffeffect</v>
      </c>
      <c r="H128" s="170"/>
      <c r="I128" s="170" t="b">
        <v>0</v>
      </c>
      <c r="J128" s="170" t="b">
        <v>0</v>
      </c>
      <c r="K128" s="170" t="b">
        <v>1</v>
      </c>
      <c r="L128" s="170"/>
      <c r="M128" s="170"/>
      <c r="N128" s="170" t="s">
        <v>320</v>
      </c>
      <c r="O128" s="170"/>
      <c r="P128" s="170" t="b">
        <v>1</v>
      </c>
      <c r="Q128" s="170" t="b">
        <v>0</v>
      </c>
    </row>
    <row r="129" spans="1:17">
      <c r="A129" s="171" t="s">
        <v>5507</v>
      </c>
      <c r="B129" s="171" t="s">
        <v>1234</v>
      </c>
      <c r="C129" s="171" t="s">
        <v>1237</v>
      </c>
      <c r="D129" s="171">
        <v>0</v>
      </c>
      <c r="E129" s="171">
        <v>0</v>
      </c>
      <c r="F129" s="171">
        <v>0</v>
      </c>
      <c r="G129" s="171" t="str">
        <f t="shared" si="0"/>
        <v>Attribute.B.dmgrate.buff.buffeffect</v>
      </c>
      <c r="H129" s="171"/>
      <c r="I129" s="171" t="b">
        <v>0</v>
      </c>
      <c r="J129" s="171" t="b">
        <v>0</v>
      </c>
      <c r="K129" s="171" t="b">
        <v>1</v>
      </c>
      <c r="L129" s="171"/>
      <c r="M129" s="171"/>
      <c r="N129" s="171" t="s">
        <v>560</v>
      </c>
      <c r="O129" s="171"/>
      <c r="P129" s="171" t="b">
        <v>1</v>
      </c>
      <c r="Q129" s="171" t="b">
        <v>0</v>
      </c>
    </row>
    <row r="130" spans="1:17">
      <c r="A130" s="171" t="s">
        <v>5954</v>
      </c>
      <c r="B130" s="171" t="s">
        <v>1234</v>
      </c>
      <c r="C130" s="171" t="s">
        <v>1237</v>
      </c>
      <c r="D130" s="171">
        <v>0</v>
      </c>
      <c r="E130" s="171">
        <v>0</v>
      </c>
      <c r="F130" s="171">
        <v>0</v>
      </c>
      <c r="G130" s="171" t="str">
        <f t="shared" si="0"/>
        <v>Attribute.B.dmgderate.buff.buffeffect</v>
      </c>
      <c r="H130" s="171"/>
      <c r="I130" s="171" t="b">
        <v>0</v>
      </c>
      <c r="J130" s="171" t="b">
        <v>0</v>
      </c>
      <c r="K130" s="171" t="b">
        <v>1</v>
      </c>
      <c r="L130" s="171"/>
      <c r="M130" s="171"/>
      <c r="N130" s="171" t="s">
        <v>320</v>
      </c>
      <c r="O130" s="171"/>
      <c r="P130" s="171" t="b">
        <v>1</v>
      </c>
      <c r="Q130" s="171" t="b">
        <v>0</v>
      </c>
    </row>
    <row r="131" spans="1:17">
      <c r="A131" s="170" t="s">
        <v>5955</v>
      </c>
      <c r="B131" s="170" t="s">
        <v>1234</v>
      </c>
      <c r="C131" s="170" t="s">
        <v>5956</v>
      </c>
      <c r="D131" s="170">
        <v>0</v>
      </c>
      <c r="E131" s="170">
        <v>0</v>
      </c>
      <c r="F131" s="170">
        <v>0</v>
      </c>
      <c r="G131" s="170" t="str">
        <f t="shared" si="0"/>
        <v>Attribute.GD.dmgrate.buff.buffeffect</v>
      </c>
      <c r="H131" s="170"/>
      <c r="I131" s="170" t="b">
        <v>0</v>
      </c>
      <c r="J131" s="170" t="b">
        <v>0</v>
      </c>
      <c r="K131" s="170" t="b">
        <v>1</v>
      </c>
      <c r="L131" s="170"/>
      <c r="M131" s="170"/>
      <c r="N131" s="170" t="s">
        <v>560</v>
      </c>
      <c r="O131" s="170"/>
      <c r="P131" s="170" t="b">
        <v>1</v>
      </c>
      <c r="Q131" s="170" t="b">
        <v>0</v>
      </c>
    </row>
    <row r="132" spans="1:17">
      <c r="A132" s="170" t="s">
        <v>5957</v>
      </c>
      <c r="B132" s="170" t="s">
        <v>1234</v>
      </c>
      <c r="C132" s="170" t="s">
        <v>5956</v>
      </c>
      <c r="D132" s="170">
        <v>0</v>
      </c>
      <c r="E132" s="170">
        <v>0</v>
      </c>
      <c r="F132" s="170">
        <v>0</v>
      </c>
      <c r="G132" s="170" t="str">
        <f t="shared" si="0"/>
        <v>Attribute.GD.dmgderate.buff.buffeffect</v>
      </c>
      <c r="H132" s="170"/>
      <c r="I132" s="170" t="b">
        <v>0</v>
      </c>
      <c r="J132" s="170" t="b">
        <v>0</v>
      </c>
      <c r="K132" s="170" t="b">
        <v>1</v>
      </c>
      <c r="L132" s="170"/>
      <c r="M132" s="170"/>
      <c r="N132" s="170" t="s">
        <v>320</v>
      </c>
      <c r="O132" s="170"/>
      <c r="P132" s="170" t="b">
        <v>1</v>
      </c>
      <c r="Q132" s="170" t="b">
        <v>0</v>
      </c>
    </row>
    <row r="133" spans="1:17">
      <c r="A133" s="171" t="s">
        <v>5508</v>
      </c>
      <c r="B133" s="171" t="s">
        <v>1234</v>
      </c>
      <c r="C133" s="171" t="s">
        <v>5958</v>
      </c>
      <c r="D133" s="171">
        <v>0</v>
      </c>
      <c r="E133" s="171">
        <v>0</v>
      </c>
      <c r="F133" s="171">
        <v>0</v>
      </c>
      <c r="G133" s="171" t="str">
        <f t="shared" si="0"/>
        <v>Attribute.P.dmgrate.buff.buffeffect</v>
      </c>
      <c r="H133" s="171"/>
      <c r="I133" s="171" t="b">
        <v>0</v>
      </c>
      <c r="J133" s="171" t="b">
        <v>0</v>
      </c>
      <c r="K133" s="171" t="b">
        <v>1</v>
      </c>
      <c r="L133" s="171"/>
      <c r="M133" s="171"/>
      <c r="N133" s="171" t="s">
        <v>560</v>
      </c>
      <c r="O133" s="171"/>
      <c r="P133" s="171" t="b">
        <v>1</v>
      </c>
      <c r="Q133" s="171" t="b">
        <v>0</v>
      </c>
    </row>
    <row r="134" spans="1:17">
      <c r="A134" s="171" t="s">
        <v>5959</v>
      </c>
      <c r="B134" s="171" t="s">
        <v>1234</v>
      </c>
      <c r="C134" s="171" t="s">
        <v>5958</v>
      </c>
      <c r="D134" s="171">
        <v>0</v>
      </c>
      <c r="E134" s="171">
        <v>0</v>
      </c>
      <c r="F134" s="171">
        <v>0</v>
      </c>
      <c r="G134" s="171" t="str">
        <f t="shared" si="0"/>
        <v>Attribute.P.dmgderate.buff.buffeffect</v>
      </c>
      <c r="H134" s="171"/>
      <c r="I134" s="171" t="b">
        <v>0</v>
      </c>
      <c r="J134" s="171" t="b">
        <v>0</v>
      </c>
      <c r="K134" s="171" t="b">
        <v>1</v>
      </c>
      <c r="L134" s="171"/>
      <c r="M134" s="171"/>
      <c r="N134" s="171" t="s">
        <v>320</v>
      </c>
      <c r="O134" s="171"/>
      <c r="P134" s="171" t="b">
        <v>1</v>
      </c>
      <c r="Q134" s="171" t="b">
        <v>0</v>
      </c>
    </row>
    <row r="136" spans="1:17">
      <c r="A136" s="130" t="s">
        <v>5543</v>
      </c>
      <c r="B136" s="109"/>
      <c r="C136" s="109"/>
      <c r="D136" s="109">
        <v>0</v>
      </c>
      <c r="E136" s="109">
        <v>0</v>
      </c>
      <c r="F136" s="109">
        <v>0</v>
      </c>
      <c r="G136" s="109" t="s">
        <v>122</v>
      </c>
      <c r="H136" s="109"/>
      <c r="I136" s="109" t="b">
        <v>0</v>
      </c>
      <c r="J136" s="109" t="b">
        <v>0</v>
      </c>
      <c r="K136" s="109" t="b">
        <v>1</v>
      </c>
      <c r="L136" s="109" t="s">
        <v>66</v>
      </c>
      <c r="M136" s="109" t="s">
        <v>375</v>
      </c>
      <c r="N136" s="109" t="s">
        <v>5960</v>
      </c>
      <c r="O136" s="109" t="s">
        <v>5961</v>
      </c>
      <c r="P136" s="109" t="b">
        <v>0</v>
      </c>
      <c r="Q136" s="109" t="b">
        <v>0</v>
      </c>
    </row>
    <row r="137" spans="1:17">
      <c r="A137" s="130" t="s">
        <v>1673</v>
      </c>
      <c r="B137" s="109"/>
      <c r="C137" s="109"/>
      <c r="D137" s="109">
        <v>0</v>
      </c>
      <c r="E137" s="109">
        <v>0</v>
      </c>
      <c r="F137" s="109">
        <v>0</v>
      </c>
      <c r="G137" s="109" t="s">
        <v>122</v>
      </c>
      <c r="H137" s="109"/>
      <c r="I137" s="109" t="b">
        <v>0</v>
      </c>
      <c r="J137" s="109" t="b">
        <v>0</v>
      </c>
      <c r="K137" s="109" t="b">
        <v>1</v>
      </c>
      <c r="L137" s="109" t="s">
        <v>66</v>
      </c>
      <c r="M137" s="109" t="s">
        <v>375</v>
      </c>
      <c r="N137" s="109" t="s">
        <v>5112</v>
      </c>
      <c r="O137" s="109" t="s">
        <v>4769</v>
      </c>
      <c r="P137" s="109" t="b">
        <v>0</v>
      </c>
      <c r="Q137" s="109" t="b">
        <v>0</v>
      </c>
    </row>
    <row r="138" spans="1:17">
      <c r="A138" s="130" t="s">
        <v>1416</v>
      </c>
      <c r="B138" s="109"/>
      <c r="C138" s="109"/>
      <c r="D138" s="109">
        <v>0</v>
      </c>
      <c r="E138" s="109">
        <v>0</v>
      </c>
      <c r="F138" s="109">
        <v>0</v>
      </c>
      <c r="G138" s="109" t="s">
        <v>122</v>
      </c>
      <c r="H138" s="109"/>
      <c r="I138" s="109" t="b">
        <v>0</v>
      </c>
      <c r="J138" s="109" t="b">
        <v>0</v>
      </c>
      <c r="K138" s="109" t="b">
        <v>1</v>
      </c>
      <c r="L138" s="109" t="s">
        <v>66</v>
      </c>
      <c r="M138" s="109" t="s">
        <v>375</v>
      </c>
      <c r="N138" s="109" t="s">
        <v>5113</v>
      </c>
      <c r="O138" s="109" t="s">
        <v>4770</v>
      </c>
      <c r="P138" s="109" t="b">
        <v>0</v>
      </c>
      <c r="Q138" s="109" t="b">
        <v>0</v>
      </c>
    </row>
    <row r="139" spans="1:17">
      <c r="A139" s="130" t="s">
        <v>1417</v>
      </c>
      <c r="B139" s="109"/>
      <c r="C139" s="109"/>
      <c r="D139" s="109">
        <v>0</v>
      </c>
      <c r="E139" s="109">
        <v>0</v>
      </c>
      <c r="F139" s="109">
        <v>0</v>
      </c>
      <c r="G139" s="109" t="s">
        <v>122</v>
      </c>
      <c r="H139" s="109"/>
      <c r="I139" s="109" t="b">
        <v>0</v>
      </c>
      <c r="J139" s="109" t="b">
        <v>0</v>
      </c>
      <c r="K139" s="109" t="b">
        <v>1</v>
      </c>
      <c r="L139" s="109" t="s">
        <v>66</v>
      </c>
      <c r="M139" s="109" t="s">
        <v>375</v>
      </c>
      <c r="N139" s="109" t="s">
        <v>5114</v>
      </c>
      <c r="O139" s="109" t="s">
        <v>4771</v>
      </c>
      <c r="P139" s="109" t="b">
        <v>0</v>
      </c>
      <c r="Q139" s="109" t="b">
        <v>0</v>
      </c>
    </row>
    <row r="140" spans="1:17">
      <c r="A140" s="130" t="s">
        <v>1418</v>
      </c>
      <c r="B140" s="109"/>
      <c r="C140" s="109"/>
      <c r="D140" s="109">
        <v>0</v>
      </c>
      <c r="E140" s="109">
        <v>0</v>
      </c>
      <c r="F140" s="109">
        <v>0</v>
      </c>
      <c r="G140" s="109" t="s">
        <v>122</v>
      </c>
      <c r="H140" s="109"/>
      <c r="I140" s="109" t="b">
        <v>0</v>
      </c>
      <c r="J140" s="109" t="b">
        <v>0</v>
      </c>
      <c r="K140" s="109" t="b">
        <v>1</v>
      </c>
      <c r="L140" s="109" t="s">
        <v>66</v>
      </c>
      <c r="M140" s="109" t="s">
        <v>375</v>
      </c>
      <c r="N140" s="109" t="s">
        <v>5115</v>
      </c>
      <c r="O140" s="109" t="s">
        <v>4772</v>
      </c>
      <c r="P140" s="109" t="b">
        <v>0</v>
      </c>
      <c r="Q140" s="109" t="b">
        <v>0</v>
      </c>
    </row>
    <row r="141" spans="1:17">
      <c r="A141" s="130" t="s">
        <v>1419</v>
      </c>
      <c r="B141" s="109"/>
      <c r="C141" s="109"/>
      <c r="D141" s="109">
        <v>0</v>
      </c>
      <c r="E141" s="109">
        <v>0</v>
      </c>
      <c r="F141" s="109">
        <v>0</v>
      </c>
      <c r="G141" s="109" t="s">
        <v>122</v>
      </c>
      <c r="H141" s="109"/>
      <c r="I141" s="109" t="b">
        <v>0</v>
      </c>
      <c r="J141" s="109" t="b">
        <v>0</v>
      </c>
      <c r="K141" s="109" t="b">
        <v>1</v>
      </c>
      <c r="L141" s="109" t="s">
        <v>66</v>
      </c>
      <c r="M141" s="109" t="s">
        <v>375</v>
      </c>
      <c r="N141" s="109" t="s">
        <v>5116</v>
      </c>
      <c r="O141" s="109" t="s">
        <v>4773</v>
      </c>
      <c r="P141" s="109" t="b">
        <v>0</v>
      </c>
      <c r="Q141" s="109" t="b">
        <v>0</v>
      </c>
    </row>
    <row r="142" spans="1:17">
      <c r="A142" s="126" t="s">
        <v>5544</v>
      </c>
      <c r="B142" s="113"/>
      <c r="C142" s="113"/>
      <c r="D142" s="113">
        <v>0</v>
      </c>
      <c r="E142" s="113">
        <v>0</v>
      </c>
      <c r="F142" s="113">
        <v>0</v>
      </c>
      <c r="G142" s="113" t="s">
        <v>122</v>
      </c>
      <c r="H142" s="113"/>
      <c r="I142" s="113" t="b">
        <v>0</v>
      </c>
      <c r="J142" s="113" t="b">
        <v>0</v>
      </c>
      <c r="K142" s="113" t="b">
        <v>1</v>
      </c>
      <c r="L142" s="113" t="s">
        <v>66</v>
      </c>
      <c r="M142" s="113" t="s">
        <v>316</v>
      </c>
      <c r="N142" s="113" t="s">
        <v>5962</v>
      </c>
      <c r="O142" s="113" t="s">
        <v>5509</v>
      </c>
      <c r="P142" s="113" t="b">
        <v>0</v>
      </c>
      <c r="Q142" s="113" t="b">
        <v>0</v>
      </c>
    </row>
    <row r="143" spans="1:17">
      <c r="A143" s="126" t="s">
        <v>1674</v>
      </c>
      <c r="B143" s="113"/>
      <c r="C143" s="113"/>
      <c r="D143" s="113">
        <v>0</v>
      </c>
      <c r="E143" s="113">
        <v>0</v>
      </c>
      <c r="F143" s="113">
        <v>0</v>
      </c>
      <c r="G143" s="113" t="s">
        <v>122</v>
      </c>
      <c r="H143" s="113"/>
      <c r="I143" s="113" t="b">
        <v>0</v>
      </c>
      <c r="J143" s="113" t="b">
        <v>0</v>
      </c>
      <c r="K143" s="113" t="b">
        <v>1</v>
      </c>
      <c r="L143" s="113" t="s">
        <v>66</v>
      </c>
      <c r="M143" s="113" t="s">
        <v>316</v>
      </c>
      <c r="N143" s="113" t="s">
        <v>5117</v>
      </c>
      <c r="O143" s="113" t="s">
        <v>4774</v>
      </c>
      <c r="P143" s="113" t="b">
        <v>0</v>
      </c>
      <c r="Q143" s="113" t="b">
        <v>0</v>
      </c>
    </row>
    <row r="144" spans="1:17">
      <c r="A144" s="126" t="s">
        <v>1420</v>
      </c>
      <c r="B144" s="113"/>
      <c r="C144" s="113"/>
      <c r="D144" s="113">
        <v>0</v>
      </c>
      <c r="E144" s="113">
        <v>0</v>
      </c>
      <c r="F144" s="113">
        <v>0</v>
      </c>
      <c r="G144" s="113" t="s">
        <v>122</v>
      </c>
      <c r="H144" s="113"/>
      <c r="I144" s="113" t="b">
        <v>0</v>
      </c>
      <c r="J144" s="113" t="b">
        <v>0</v>
      </c>
      <c r="K144" s="113" t="b">
        <v>1</v>
      </c>
      <c r="L144" s="113" t="s">
        <v>66</v>
      </c>
      <c r="M144" s="113" t="s">
        <v>316</v>
      </c>
      <c r="N144" s="113" t="s">
        <v>5118</v>
      </c>
      <c r="O144" s="113" t="s">
        <v>4775</v>
      </c>
      <c r="P144" s="113" t="b">
        <v>0</v>
      </c>
      <c r="Q144" s="113" t="b">
        <v>0</v>
      </c>
    </row>
    <row r="145" spans="1:17">
      <c r="A145" s="126" t="s">
        <v>1421</v>
      </c>
      <c r="B145" s="113"/>
      <c r="C145" s="113"/>
      <c r="D145" s="113">
        <v>0</v>
      </c>
      <c r="E145" s="113">
        <v>0</v>
      </c>
      <c r="F145" s="113">
        <v>0</v>
      </c>
      <c r="G145" s="113" t="s">
        <v>122</v>
      </c>
      <c r="H145" s="113"/>
      <c r="I145" s="113" t="b">
        <v>0</v>
      </c>
      <c r="J145" s="113" t="b">
        <v>0</v>
      </c>
      <c r="K145" s="113" t="b">
        <v>1</v>
      </c>
      <c r="L145" s="113" t="s">
        <v>66</v>
      </c>
      <c r="M145" s="113" t="s">
        <v>316</v>
      </c>
      <c r="N145" s="113" t="s">
        <v>5119</v>
      </c>
      <c r="O145" s="113" t="s">
        <v>4776</v>
      </c>
      <c r="P145" s="113" t="b">
        <v>0</v>
      </c>
      <c r="Q145" s="113" t="b">
        <v>0</v>
      </c>
    </row>
    <row r="146" spans="1:17">
      <c r="A146" s="126" t="s">
        <v>1422</v>
      </c>
      <c r="B146" s="113"/>
      <c r="C146" s="113"/>
      <c r="D146" s="113">
        <v>0</v>
      </c>
      <c r="E146" s="113">
        <v>0</v>
      </c>
      <c r="F146" s="113">
        <v>0</v>
      </c>
      <c r="G146" s="113" t="s">
        <v>122</v>
      </c>
      <c r="H146" s="113"/>
      <c r="I146" s="113" t="b">
        <v>0</v>
      </c>
      <c r="J146" s="113" t="b">
        <v>0</v>
      </c>
      <c r="K146" s="113" t="b">
        <v>1</v>
      </c>
      <c r="L146" s="113" t="s">
        <v>66</v>
      </c>
      <c r="M146" s="113" t="s">
        <v>316</v>
      </c>
      <c r="N146" s="113" t="s">
        <v>5120</v>
      </c>
      <c r="O146" s="113" t="s">
        <v>4777</v>
      </c>
      <c r="P146" s="113" t="b">
        <v>0</v>
      </c>
      <c r="Q146" s="113" t="b">
        <v>0</v>
      </c>
    </row>
    <row r="147" spans="1:17">
      <c r="A147" s="126" t="s">
        <v>1423</v>
      </c>
      <c r="B147" s="113"/>
      <c r="C147" s="113"/>
      <c r="D147" s="113">
        <v>0</v>
      </c>
      <c r="E147" s="113">
        <v>0</v>
      </c>
      <c r="F147" s="113">
        <v>0</v>
      </c>
      <c r="G147" s="113" t="s">
        <v>122</v>
      </c>
      <c r="H147" s="113"/>
      <c r="I147" s="113" t="b">
        <v>0</v>
      </c>
      <c r="J147" s="113" t="b">
        <v>0</v>
      </c>
      <c r="K147" s="113" t="b">
        <v>1</v>
      </c>
      <c r="L147" s="113" t="s">
        <v>66</v>
      </c>
      <c r="M147" s="113" t="s">
        <v>316</v>
      </c>
      <c r="N147" s="113" t="s">
        <v>5121</v>
      </c>
      <c r="O147" s="113" t="s">
        <v>4778</v>
      </c>
      <c r="P147" s="113" t="b">
        <v>0</v>
      </c>
      <c r="Q147" s="113" t="b">
        <v>0</v>
      </c>
    </row>
    <row r="148" spans="1:17">
      <c r="A148" s="130" t="s">
        <v>5963</v>
      </c>
      <c r="B148" s="109"/>
      <c r="C148" s="109"/>
      <c r="D148" s="109">
        <v>0</v>
      </c>
      <c r="E148" s="109">
        <v>0</v>
      </c>
      <c r="F148" s="109">
        <v>0</v>
      </c>
      <c r="G148" s="109" t="s">
        <v>122</v>
      </c>
      <c r="H148" s="109"/>
      <c r="I148" s="109" t="b">
        <v>0</v>
      </c>
      <c r="J148" s="109" t="b">
        <v>0</v>
      </c>
      <c r="K148" s="109" t="b">
        <v>1</v>
      </c>
      <c r="L148" s="109" t="s">
        <v>66</v>
      </c>
      <c r="M148" s="109" t="s">
        <v>77</v>
      </c>
      <c r="N148" s="109" t="s">
        <v>5964</v>
      </c>
      <c r="O148" s="109" t="s">
        <v>5965</v>
      </c>
      <c r="P148" s="109" t="b">
        <v>0</v>
      </c>
      <c r="Q148" s="109" t="b">
        <v>0</v>
      </c>
    </row>
    <row r="149" spans="1:17">
      <c r="A149" s="130" t="s">
        <v>1675</v>
      </c>
      <c r="B149" s="109"/>
      <c r="C149" s="109"/>
      <c r="D149" s="109">
        <v>0</v>
      </c>
      <c r="E149" s="109">
        <v>0</v>
      </c>
      <c r="F149" s="109">
        <v>0</v>
      </c>
      <c r="G149" s="109" t="s">
        <v>122</v>
      </c>
      <c r="H149" s="109"/>
      <c r="I149" s="109" t="b">
        <v>0</v>
      </c>
      <c r="J149" s="109" t="b">
        <v>0</v>
      </c>
      <c r="K149" s="109" t="b">
        <v>1</v>
      </c>
      <c r="L149" s="109" t="s">
        <v>66</v>
      </c>
      <c r="M149" s="109" t="s">
        <v>77</v>
      </c>
      <c r="N149" s="109" t="s">
        <v>5122</v>
      </c>
      <c r="O149" s="109" t="s">
        <v>4779</v>
      </c>
      <c r="P149" s="109" t="b">
        <v>0</v>
      </c>
      <c r="Q149" s="109" t="b">
        <v>0</v>
      </c>
    </row>
    <row r="150" spans="1:17">
      <c r="A150" s="130" t="s">
        <v>1424</v>
      </c>
      <c r="B150" s="109"/>
      <c r="C150" s="109"/>
      <c r="D150" s="109">
        <v>0</v>
      </c>
      <c r="E150" s="109">
        <v>0</v>
      </c>
      <c r="F150" s="109">
        <v>0</v>
      </c>
      <c r="G150" s="109" t="s">
        <v>122</v>
      </c>
      <c r="H150" s="109"/>
      <c r="I150" s="109" t="b">
        <v>0</v>
      </c>
      <c r="J150" s="109" t="b">
        <v>0</v>
      </c>
      <c r="K150" s="109" t="b">
        <v>1</v>
      </c>
      <c r="L150" s="109" t="s">
        <v>66</v>
      </c>
      <c r="M150" s="109" t="s">
        <v>77</v>
      </c>
      <c r="N150" s="109" t="s">
        <v>5123</v>
      </c>
      <c r="O150" s="109" t="s">
        <v>4780</v>
      </c>
      <c r="P150" s="109" t="b">
        <v>0</v>
      </c>
      <c r="Q150" s="109" t="b">
        <v>0</v>
      </c>
    </row>
    <row r="151" spans="1:17">
      <c r="A151" s="130" t="s">
        <v>1425</v>
      </c>
      <c r="B151" s="109"/>
      <c r="C151" s="109"/>
      <c r="D151" s="109">
        <v>0</v>
      </c>
      <c r="E151" s="109">
        <v>0</v>
      </c>
      <c r="F151" s="109">
        <v>0</v>
      </c>
      <c r="G151" s="109" t="s">
        <v>122</v>
      </c>
      <c r="H151" s="109"/>
      <c r="I151" s="109" t="b">
        <v>0</v>
      </c>
      <c r="J151" s="109" t="b">
        <v>0</v>
      </c>
      <c r="K151" s="109" t="b">
        <v>1</v>
      </c>
      <c r="L151" s="109" t="s">
        <v>66</v>
      </c>
      <c r="M151" s="109" t="s">
        <v>77</v>
      </c>
      <c r="N151" s="109" t="s">
        <v>5124</v>
      </c>
      <c r="O151" s="109" t="s">
        <v>4781</v>
      </c>
      <c r="P151" s="109" t="b">
        <v>0</v>
      </c>
      <c r="Q151" s="109" t="b">
        <v>0</v>
      </c>
    </row>
    <row r="152" spans="1:17">
      <c r="A152" s="130" t="s">
        <v>1426</v>
      </c>
      <c r="B152" s="109"/>
      <c r="C152" s="109"/>
      <c r="D152" s="109">
        <v>0</v>
      </c>
      <c r="E152" s="109">
        <v>0</v>
      </c>
      <c r="F152" s="109">
        <v>0</v>
      </c>
      <c r="G152" s="109" t="s">
        <v>122</v>
      </c>
      <c r="H152" s="109"/>
      <c r="I152" s="109" t="b">
        <v>0</v>
      </c>
      <c r="J152" s="109" t="b">
        <v>0</v>
      </c>
      <c r="K152" s="109" t="b">
        <v>1</v>
      </c>
      <c r="L152" s="109" t="s">
        <v>66</v>
      </c>
      <c r="M152" s="109" t="s">
        <v>77</v>
      </c>
      <c r="N152" s="109" t="s">
        <v>5125</v>
      </c>
      <c r="O152" s="109" t="s">
        <v>4782</v>
      </c>
      <c r="P152" s="109" t="b">
        <v>0</v>
      </c>
      <c r="Q152" s="109" t="b">
        <v>0</v>
      </c>
    </row>
    <row r="153" spans="1:17">
      <c r="A153" s="130" t="s">
        <v>1427</v>
      </c>
      <c r="B153" s="109"/>
      <c r="C153" s="109"/>
      <c r="D153" s="109">
        <v>0</v>
      </c>
      <c r="E153" s="109">
        <v>0</v>
      </c>
      <c r="F153" s="109">
        <v>0</v>
      </c>
      <c r="G153" s="109" t="s">
        <v>122</v>
      </c>
      <c r="H153" s="109"/>
      <c r="I153" s="109" t="b">
        <v>0</v>
      </c>
      <c r="J153" s="109" t="b">
        <v>0</v>
      </c>
      <c r="K153" s="109" t="b">
        <v>1</v>
      </c>
      <c r="L153" s="109" t="s">
        <v>66</v>
      </c>
      <c r="M153" s="109" t="s">
        <v>77</v>
      </c>
      <c r="N153" s="109" t="s">
        <v>5126</v>
      </c>
      <c r="O153" s="109" t="s">
        <v>4783</v>
      </c>
      <c r="P153" s="109" t="b">
        <v>0</v>
      </c>
      <c r="Q153" s="109" t="b">
        <v>0</v>
      </c>
    </row>
    <row r="154" spans="1:17">
      <c r="A154" s="126" t="s">
        <v>5546</v>
      </c>
      <c r="B154" s="113"/>
      <c r="C154" s="113"/>
      <c r="D154" s="113">
        <v>0</v>
      </c>
      <c r="E154" s="113">
        <v>0</v>
      </c>
      <c r="F154" s="113">
        <v>0</v>
      </c>
      <c r="G154" s="113" t="s">
        <v>122</v>
      </c>
      <c r="H154" s="113"/>
      <c r="I154" s="113" t="b">
        <v>0</v>
      </c>
      <c r="J154" s="113" t="b">
        <v>0</v>
      </c>
      <c r="K154" s="113" t="b">
        <v>1</v>
      </c>
      <c r="L154" s="113" t="s">
        <v>66</v>
      </c>
      <c r="M154" s="113" t="s">
        <v>5510</v>
      </c>
      <c r="N154" s="113" t="s">
        <v>5966</v>
      </c>
      <c r="O154" s="113" t="s">
        <v>5967</v>
      </c>
      <c r="P154" s="113" t="b">
        <v>0</v>
      </c>
      <c r="Q154" s="113" t="b">
        <v>0</v>
      </c>
    </row>
    <row r="155" spans="1:17">
      <c r="A155" s="126" t="s">
        <v>5968</v>
      </c>
      <c r="B155" s="113"/>
      <c r="C155" s="113"/>
      <c r="D155" s="113">
        <v>0</v>
      </c>
      <c r="E155" s="113">
        <v>0</v>
      </c>
      <c r="F155" s="113">
        <v>0</v>
      </c>
      <c r="G155" s="113" t="s">
        <v>122</v>
      </c>
      <c r="H155" s="113"/>
      <c r="I155" s="113" t="b">
        <v>0</v>
      </c>
      <c r="J155" s="113" t="b">
        <v>0</v>
      </c>
      <c r="K155" s="113" t="b">
        <v>1</v>
      </c>
      <c r="L155" s="113" t="s">
        <v>66</v>
      </c>
      <c r="M155" s="113" t="s">
        <v>5510</v>
      </c>
      <c r="N155" s="113" t="s">
        <v>5127</v>
      </c>
      <c r="O155" s="113" t="s">
        <v>4784</v>
      </c>
      <c r="P155" s="113" t="b">
        <v>0</v>
      </c>
      <c r="Q155" s="113" t="b">
        <v>0</v>
      </c>
    </row>
    <row r="156" spans="1:17">
      <c r="A156" s="126" t="s">
        <v>1428</v>
      </c>
      <c r="B156" s="113"/>
      <c r="C156" s="113"/>
      <c r="D156" s="113">
        <v>0</v>
      </c>
      <c r="E156" s="113">
        <v>0</v>
      </c>
      <c r="F156" s="113">
        <v>0</v>
      </c>
      <c r="G156" s="113" t="s">
        <v>122</v>
      </c>
      <c r="H156" s="113"/>
      <c r="I156" s="113" t="b">
        <v>0</v>
      </c>
      <c r="J156" s="113" t="b">
        <v>0</v>
      </c>
      <c r="K156" s="113" t="b">
        <v>1</v>
      </c>
      <c r="L156" s="113" t="s">
        <v>66</v>
      </c>
      <c r="M156" s="113" t="s">
        <v>5510</v>
      </c>
      <c r="N156" s="113" t="s">
        <v>5128</v>
      </c>
      <c r="O156" s="113" t="s">
        <v>4785</v>
      </c>
      <c r="P156" s="113" t="b">
        <v>0</v>
      </c>
      <c r="Q156" s="113" t="b">
        <v>0</v>
      </c>
    </row>
    <row r="157" spans="1:17">
      <c r="A157" s="126" t="s">
        <v>5969</v>
      </c>
      <c r="B157" s="113"/>
      <c r="C157" s="113"/>
      <c r="D157" s="113">
        <v>0</v>
      </c>
      <c r="E157" s="113">
        <v>0</v>
      </c>
      <c r="F157" s="113">
        <v>0</v>
      </c>
      <c r="G157" s="113" t="s">
        <v>122</v>
      </c>
      <c r="H157" s="113"/>
      <c r="I157" s="113" t="b">
        <v>0</v>
      </c>
      <c r="J157" s="113" t="b">
        <v>0</v>
      </c>
      <c r="K157" s="113" t="b">
        <v>1</v>
      </c>
      <c r="L157" s="113" t="s">
        <v>66</v>
      </c>
      <c r="M157" s="113" t="s">
        <v>5510</v>
      </c>
      <c r="N157" s="113" t="s">
        <v>5129</v>
      </c>
      <c r="O157" s="113" t="s">
        <v>4786</v>
      </c>
      <c r="P157" s="113" t="b">
        <v>0</v>
      </c>
      <c r="Q157" s="113" t="b">
        <v>0</v>
      </c>
    </row>
    <row r="158" spans="1:17">
      <c r="A158" s="126" t="s">
        <v>1429</v>
      </c>
      <c r="B158" s="113"/>
      <c r="C158" s="113"/>
      <c r="D158" s="113">
        <v>0</v>
      </c>
      <c r="E158" s="113">
        <v>0</v>
      </c>
      <c r="F158" s="113">
        <v>0</v>
      </c>
      <c r="G158" s="113" t="s">
        <v>122</v>
      </c>
      <c r="H158" s="113"/>
      <c r="I158" s="113" t="b">
        <v>0</v>
      </c>
      <c r="J158" s="113" t="b">
        <v>0</v>
      </c>
      <c r="K158" s="113" t="b">
        <v>1</v>
      </c>
      <c r="L158" s="113" t="s">
        <v>66</v>
      </c>
      <c r="M158" s="113" t="s">
        <v>5510</v>
      </c>
      <c r="N158" s="113" t="s">
        <v>5130</v>
      </c>
      <c r="O158" s="113" t="s">
        <v>4787</v>
      </c>
      <c r="P158" s="113" t="b">
        <v>0</v>
      </c>
      <c r="Q158" s="113" t="b">
        <v>0</v>
      </c>
    </row>
    <row r="159" spans="1:17">
      <c r="A159" s="126" t="s">
        <v>1430</v>
      </c>
      <c r="B159" s="113"/>
      <c r="C159" s="113"/>
      <c r="D159" s="113">
        <v>0</v>
      </c>
      <c r="E159" s="113">
        <v>0</v>
      </c>
      <c r="F159" s="113">
        <v>0</v>
      </c>
      <c r="G159" s="113" t="s">
        <v>122</v>
      </c>
      <c r="H159" s="113"/>
      <c r="I159" s="113" t="b">
        <v>0</v>
      </c>
      <c r="J159" s="113" t="b">
        <v>0</v>
      </c>
      <c r="K159" s="113" t="b">
        <v>1</v>
      </c>
      <c r="L159" s="113" t="s">
        <v>66</v>
      </c>
      <c r="M159" s="113" t="s">
        <v>5510</v>
      </c>
      <c r="N159" s="113" t="s">
        <v>5131</v>
      </c>
      <c r="O159" s="113" t="s">
        <v>4788</v>
      </c>
      <c r="P159" s="113" t="b">
        <v>0</v>
      </c>
      <c r="Q159" s="113" t="b">
        <v>0</v>
      </c>
    </row>
    <row r="160" spans="1:17">
      <c r="A160" s="130" t="s">
        <v>5970</v>
      </c>
      <c r="B160" s="109"/>
      <c r="C160" s="109"/>
      <c r="D160" s="109">
        <v>0</v>
      </c>
      <c r="E160" s="109">
        <v>0</v>
      </c>
      <c r="F160" s="109">
        <v>0</v>
      </c>
      <c r="G160" s="109" t="s">
        <v>122</v>
      </c>
      <c r="H160" s="109"/>
      <c r="I160" s="109" t="b">
        <v>0</v>
      </c>
      <c r="J160" s="109" t="b">
        <v>0</v>
      </c>
      <c r="K160" s="109" t="b">
        <v>1</v>
      </c>
      <c r="L160" s="109" t="s">
        <v>66</v>
      </c>
      <c r="M160" s="109" t="s">
        <v>496</v>
      </c>
      <c r="N160" s="109" t="s">
        <v>5971</v>
      </c>
      <c r="O160" s="109" t="s">
        <v>5972</v>
      </c>
      <c r="P160" s="109" t="b">
        <v>0</v>
      </c>
      <c r="Q160" s="109" t="b">
        <v>0</v>
      </c>
    </row>
    <row r="161" spans="1:17">
      <c r="A161" s="130" t="s">
        <v>5973</v>
      </c>
      <c r="B161" s="109"/>
      <c r="C161" s="109"/>
      <c r="D161" s="109">
        <v>0</v>
      </c>
      <c r="E161" s="109">
        <v>0</v>
      </c>
      <c r="F161" s="109">
        <v>0</v>
      </c>
      <c r="G161" s="109" t="s">
        <v>122</v>
      </c>
      <c r="H161" s="109"/>
      <c r="I161" s="109" t="b">
        <v>0</v>
      </c>
      <c r="J161" s="109" t="b">
        <v>0</v>
      </c>
      <c r="K161" s="109" t="b">
        <v>1</v>
      </c>
      <c r="L161" s="109" t="s">
        <v>66</v>
      </c>
      <c r="M161" s="109" t="s">
        <v>496</v>
      </c>
      <c r="N161" s="109" t="s">
        <v>5132</v>
      </c>
      <c r="O161" s="109" t="s">
        <v>4789</v>
      </c>
      <c r="P161" s="109" t="b">
        <v>0</v>
      </c>
      <c r="Q161" s="109" t="b">
        <v>0</v>
      </c>
    </row>
    <row r="162" spans="1:17">
      <c r="A162" s="130" t="s">
        <v>1431</v>
      </c>
      <c r="B162" s="109"/>
      <c r="C162" s="109"/>
      <c r="D162" s="109">
        <v>0</v>
      </c>
      <c r="E162" s="109">
        <v>0</v>
      </c>
      <c r="F162" s="109">
        <v>0</v>
      </c>
      <c r="G162" s="109" t="s">
        <v>122</v>
      </c>
      <c r="H162" s="109"/>
      <c r="I162" s="109" t="b">
        <v>0</v>
      </c>
      <c r="J162" s="109" t="b">
        <v>0</v>
      </c>
      <c r="K162" s="109" t="b">
        <v>1</v>
      </c>
      <c r="L162" s="109" t="s">
        <v>66</v>
      </c>
      <c r="M162" s="109" t="s">
        <v>496</v>
      </c>
      <c r="N162" s="109" t="s">
        <v>5133</v>
      </c>
      <c r="O162" s="109" t="s">
        <v>4790</v>
      </c>
      <c r="P162" s="109" t="b">
        <v>0</v>
      </c>
      <c r="Q162" s="109" t="b">
        <v>0</v>
      </c>
    </row>
    <row r="163" spans="1:17">
      <c r="A163" s="130" t="s">
        <v>1432</v>
      </c>
      <c r="B163" s="109"/>
      <c r="C163" s="109"/>
      <c r="D163" s="109">
        <v>0</v>
      </c>
      <c r="E163" s="109">
        <v>0</v>
      </c>
      <c r="F163" s="109">
        <v>0</v>
      </c>
      <c r="G163" s="109" t="s">
        <v>122</v>
      </c>
      <c r="H163" s="109"/>
      <c r="I163" s="109" t="b">
        <v>0</v>
      </c>
      <c r="J163" s="109" t="b">
        <v>0</v>
      </c>
      <c r="K163" s="109" t="b">
        <v>1</v>
      </c>
      <c r="L163" s="109" t="s">
        <v>66</v>
      </c>
      <c r="M163" s="109" t="s">
        <v>496</v>
      </c>
      <c r="N163" s="109" t="s">
        <v>5134</v>
      </c>
      <c r="O163" s="109" t="s">
        <v>4791</v>
      </c>
      <c r="P163" s="109" t="b">
        <v>0</v>
      </c>
      <c r="Q163" s="109" t="b">
        <v>0</v>
      </c>
    </row>
    <row r="164" spans="1:17">
      <c r="A164" s="130" t="s">
        <v>1433</v>
      </c>
      <c r="B164" s="109"/>
      <c r="C164" s="109"/>
      <c r="D164" s="109">
        <v>0</v>
      </c>
      <c r="E164" s="109">
        <v>0</v>
      </c>
      <c r="F164" s="109">
        <v>0</v>
      </c>
      <c r="G164" s="109" t="s">
        <v>122</v>
      </c>
      <c r="H164" s="109"/>
      <c r="I164" s="109" t="b">
        <v>0</v>
      </c>
      <c r="J164" s="109" t="b">
        <v>0</v>
      </c>
      <c r="K164" s="109" t="b">
        <v>1</v>
      </c>
      <c r="L164" s="109" t="s">
        <v>66</v>
      </c>
      <c r="M164" s="109" t="s">
        <v>496</v>
      </c>
      <c r="N164" s="109" t="s">
        <v>5135</v>
      </c>
      <c r="O164" s="109" t="s">
        <v>4792</v>
      </c>
      <c r="P164" s="109" t="b">
        <v>0</v>
      </c>
      <c r="Q164" s="109" t="b">
        <v>0</v>
      </c>
    </row>
    <row r="165" spans="1:17">
      <c r="A165" s="130" t="s">
        <v>1434</v>
      </c>
      <c r="B165" s="109"/>
      <c r="C165" s="109"/>
      <c r="D165" s="109">
        <v>0</v>
      </c>
      <c r="E165" s="109">
        <v>0</v>
      </c>
      <c r="F165" s="109">
        <v>0</v>
      </c>
      <c r="G165" s="109" t="s">
        <v>122</v>
      </c>
      <c r="H165" s="109"/>
      <c r="I165" s="109" t="b">
        <v>0</v>
      </c>
      <c r="J165" s="109" t="b">
        <v>0</v>
      </c>
      <c r="K165" s="109" t="b">
        <v>1</v>
      </c>
      <c r="L165" s="109" t="s">
        <v>66</v>
      </c>
      <c r="M165" s="109" t="s">
        <v>496</v>
      </c>
      <c r="N165" s="109" t="s">
        <v>5136</v>
      </c>
      <c r="O165" s="109" t="s">
        <v>4793</v>
      </c>
      <c r="P165" s="109" t="b">
        <v>0</v>
      </c>
      <c r="Q165" s="109" t="b">
        <v>0</v>
      </c>
    </row>
    <row r="166" spans="1:17">
      <c r="A166" s="126" t="s">
        <v>5548</v>
      </c>
      <c r="B166" s="113"/>
      <c r="C166" s="113"/>
      <c r="D166" s="113">
        <v>0</v>
      </c>
      <c r="E166" s="113">
        <v>0</v>
      </c>
      <c r="F166" s="113">
        <v>0</v>
      </c>
      <c r="G166" s="113" t="s">
        <v>122</v>
      </c>
      <c r="H166" s="113"/>
      <c r="I166" s="113" t="b">
        <v>0</v>
      </c>
      <c r="J166" s="113" t="b">
        <v>0</v>
      </c>
      <c r="K166" s="113" t="b">
        <v>1</v>
      </c>
      <c r="L166" s="113" t="s">
        <v>66</v>
      </c>
      <c r="M166" s="113" t="s">
        <v>107</v>
      </c>
      <c r="N166" s="113" t="s">
        <v>5511</v>
      </c>
      <c r="O166" s="113" t="s">
        <v>5974</v>
      </c>
      <c r="P166" s="113" t="b">
        <v>0</v>
      </c>
      <c r="Q166" s="113" t="b">
        <v>0</v>
      </c>
    </row>
    <row r="167" spans="1:17">
      <c r="A167" s="126" t="s">
        <v>1677</v>
      </c>
      <c r="B167" s="113"/>
      <c r="C167" s="113"/>
      <c r="D167" s="113">
        <v>0</v>
      </c>
      <c r="E167" s="113">
        <v>0</v>
      </c>
      <c r="F167" s="113">
        <v>0</v>
      </c>
      <c r="G167" s="113" t="s">
        <v>122</v>
      </c>
      <c r="H167" s="113"/>
      <c r="I167" s="113" t="b">
        <v>0</v>
      </c>
      <c r="J167" s="113" t="b">
        <v>0</v>
      </c>
      <c r="K167" s="113" t="b">
        <v>1</v>
      </c>
      <c r="L167" s="113" t="s">
        <v>66</v>
      </c>
      <c r="M167" s="113" t="s">
        <v>107</v>
      </c>
      <c r="N167" s="113" t="s">
        <v>5137</v>
      </c>
      <c r="O167" s="113" t="s">
        <v>4794</v>
      </c>
      <c r="P167" s="113" t="b">
        <v>0</v>
      </c>
      <c r="Q167" s="113" t="b">
        <v>0</v>
      </c>
    </row>
    <row r="168" spans="1:17">
      <c r="A168" s="126" t="s">
        <v>1435</v>
      </c>
      <c r="B168" s="113"/>
      <c r="C168" s="113"/>
      <c r="D168" s="113">
        <v>0</v>
      </c>
      <c r="E168" s="113">
        <v>0</v>
      </c>
      <c r="F168" s="113">
        <v>0</v>
      </c>
      <c r="G168" s="113" t="s">
        <v>122</v>
      </c>
      <c r="H168" s="113"/>
      <c r="I168" s="113" t="b">
        <v>0</v>
      </c>
      <c r="J168" s="113" t="b">
        <v>0</v>
      </c>
      <c r="K168" s="113" t="b">
        <v>1</v>
      </c>
      <c r="L168" s="113" t="s">
        <v>66</v>
      </c>
      <c r="M168" s="113" t="s">
        <v>107</v>
      </c>
      <c r="N168" s="113" t="s">
        <v>5138</v>
      </c>
      <c r="O168" s="113" t="s">
        <v>4795</v>
      </c>
      <c r="P168" s="113" t="b">
        <v>0</v>
      </c>
      <c r="Q168" s="113" t="b">
        <v>0</v>
      </c>
    </row>
    <row r="169" spans="1:17">
      <c r="A169" s="126" t="s">
        <v>1436</v>
      </c>
      <c r="B169" s="113"/>
      <c r="C169" s="113"/>
      <c r="D169" s="113">
        <v>0</v>
      </c>
      <c r="E169" s="113">
        <v>0</v>
      </c>
      <c r="F169" s="113">
        <v>0</v>
      </c>
      <c r="G169" s="113" t="s">
        <v>122</v>
      </c>
      <c r="H169" s="113"/>
      <c r="I169" s="113" t="b">
        <v>0</v>
      </c>
      <c r="J169" s="113" t="b">
        <v>0</v>
      </c>
      <c r="K169" s="113" t="b">
        <v>1</v>
      </c>
      <c r="L169" s="113" t="s">
        <v>66</v>
      </c>
      <c r="M169" s="113" t="s">
        <v>107</v>
      </c>
      <c r="N169" s="113" t="s">
        <v>5139</v>
      </c>
      <c r="O169" s="113" t="s">
        <v>4796</v>
      </c>
      <c r="P169" s="113" t="b">
        <v>0</v>
      </c>
      <c r="Q169" s="113" t="b">
        <v>0</v>
      </c>
    </row>
    <row r="170" spans="1:17">
      <c r="A170" s="126" t="s">
        <v>1437</v>
      </c>
      <c r="B170" s="113"/>
      <c r="C170" s="113"/>
      <c r="D170" s="113">
        <v>0</v>
      </c>
      <c r="E170" s="113">
        <v>0</v>
      </c>
      <c r="F170" s="113">
        <v>0</v>
      </c>
      <c r="G170" s="113" t="s">
        <v>122</v>
      </c>
      <c r="H170" s="113"/>
      <c r="I170" s="113" t="b">
        <v>0</v>
      </c>
      <c r="J170" s="113" t="b">
        <v>0</v>
      </c>
      <c r="K170" s="113" t="b">
        <v>1</v>
      </c>
      <c r="L170" s="113" t="s">
        <v>66</v>
      </c>
      <c r="M170" s="113" t="s">
        <v>107</v>
      </c>
      <c r="N170" s="113" t="s">
        <v>5140</v>
      </c>
      <c r="O170" s="113" t="s">
        <v>4797</v>
      </c>
      <c r="P170" s="113" t="b">
        <v>0</v>
      </c>
      <c r="Q170" s="113" t="b">
        <v>0</v>
      </c>
    </row>
    <row r="171" spans="1:17">
      <c r="A171" s="126" t="s">
        <v>1438</v>
      </c>
      <c r="B171" s="113"/>
      <c r="C171" s="113"/>
      <c r="D171" s="113">
        <v>0</v>
      </c>
      <c r="E171" s="113">
        <v>0</v>
      </c>
      <c r="F171" s="113">
        <v>0</v>
      </c>
      <c r="G171" s="113" t="s">
        <v>122</v>
      </c>
      <c r="H171" s="113"/>
      <c r="I171" s="113" t="b">
        <v>0</v>
      </c>
      <c r="J171" s="113" t="b">
        <v>0</v>
      </c>
      <c r="K171" s="113" t="b">
        <v>1</v>
      </c>
      <c r="L171" s="113" t="s">
        <v>66</v>
      </c>
      <c r="M171" s="113" t="s">
        <v>107</v>
      </c>
      <c r="N171" s="113" t="s">
        <v>5141</v>
      </c>
      <c r="O171" s="113" t="s">
        <v>4798</v>
      </c>
      <c r="P171" s="113" t="b">
        <v>0</v>
      </c>
      <c r="Q171" s="113" t="b">
        <v>0</v>
      </c>
    </row>
    <row r="172" spans="1:17">
      <c r="A172" s="130" t="s">
        <v>5549</v>
      </c>
      <c r="B172" s="109"/>
      <c r="C172" s="109"/>
      <c r="D172" s="109">
        <v>0</v>
      </c>
      <c r="E172" s="109">
        <v>0</v>
      </c>
      <c r="F172" s="109">
        <v>0</v>
      </c>
      <c r="G172" s="109" t="s">
        <v>122</v>
      </c>
      <c r="H172" s="109"/>
      <c r="I172" s="109" t="b">
        <v>0</v>
      </c>
      <c r="J172" s="109" t="b">
        <v>0</v>
      </c>
      <c r="K172" s="109" t="b">
        <v>1</v>
      </c>
      <c r="L172" s="109" t="s">
        <v>66</v>
      </c>
      <c r="M172" s="109" t="s">
        <v>103</v>
      </c>
      <c r="N172" s="109" t="s">
        <v>5975</v>
      </c>
      <c r="O172" s="109" t="s">
        <v>5976</v>
      </c>
      <c r="P172" s="109" t="b">
        <v>0</v>
      </c>
      <c r="Q172" s="109" t="b">
        <v>0</v>
      </c>
    </row>
    <row r="173" spans="1:17">
      <c r="A173" s="130" t="s">
        <v>1678</v>
      </c>
      <c r="B173" s="109"/>
      <c r="C173" s="109"/>
      <c r="D173" s="109">
        <v>0</v>
      </c>
      <c r="E173" s="109">
        <v>0</v>
      </c>
      <c r="F173" s="109">
        <v>0</v>
      </c>
      <c r="G173" s="109" t="s">
        <v>122</v>
      </c>
      <c r="H173" s="109"/>
      <c r="I173" s="109" t="b">
        <v>0</v>
      </c>
      <c r="J173" s="109" t="b">
        <v>0</v>
      </c>
      <c r="K173" s="109" t="b">
        <v>1</v>
      </c>
      <c r="L173" s="109" t="s">
        <v>66</v>
      </c>
      <c r="M173" s="109" t="s">
        <v>103</v>
      </c>
      <c r="N173" s="109" t="s">
        <v>5142</v>
      </c>
      <c r="O173" s="109" t="s">
        <v>4799</v>
      </c>
      <c r="P173" s="109" t="b">
        <v>0</v>
      </c>
      <c r="Q173" s="109" t="b">
        <v>0</v>
      </c>
    </row>
    <row r="174" spans="1:17">
      <c r="A174" s="130" t="s">
        <v>1439</v>
      </c>
      <c r="B174" s="109"/>
      <c r="C174" s="109"/>
      <c r="D174" s="109">
        <v>0</v>
      </c>
      <c r="E174" s="109">
        <v>0</v>
      </c>
      <c r="F174" s="109">
        <v>0</v>
      </c>
      <c r="G174" s="109" t="s">
        <v>122</v>
      </c>
      <c r="H174" s="109"/>
      <c r="I174" s="109" t="b">
        <v>0</v>
      </c>
      <c r="J174" s="109" t="b">
        <v>0</v>
      </c>
      <c r="K174" s="109" t="b">
        <v>1</v>
      </c>
      <c r="L174" s="109" t="s">
        <v>66</v>
      </c>
      <c r="M174" s="109" t="s">
        <v>103</v>
      </c>
      <c r="N174" s="109" t="s">
        <v>5143</v>
      </c>
      <c r="O174" s="109" t="s">
        <v>4800</v>
      </c>
      <c r="P174" s="109" t="b">
        <v>0</v>
      </c>
      <c r="Q174" s="109" t="b">
        <v>0</v>
      </c>
    </row>
    <row r="175" spans="1:17">
      <c r="A175" s="130" t="s">
        <v>1440</v>
      </c>
      <c r="B175" s="109"/>
      <c r="C175" s="109"/>
      <c r="D175" s="109">
        <v>0</v>
      </c>
      <c r="E175" s="109">
        <v>0</v>
      </c>
      <c r="F175" s="109">
        <v>0</v>
      </c>
      <c r="G175" s="109" t="s">
        <v>122</v>
      </c>
      <c r="H175" s="109"/>
      <c r="I175" s="109" t="b">
        <v>0</v>
      </c>
      <c r="J175" s="109" t="b">
        <v>0</v>
      </c>
      <c r="K175" s="109" t="b">
        <v>1</v>
      </c>
      <c r="L175" s="109" t="s">
        <v>66</v>
      </c>
      <c r="M175" s="109" t="s">
        <v>103</v>
      </c>
      <c r="N175" s="109" t="s">
        <v>5144</v>
      </c>
      <c r="O175" s="109" t="s">
        <v>4801</v>
      </c>
      <c r="P175" s="109" t="b">
        <v>0</v>
      </c>
      <c r="Q175" s="109" t="b">
        <v>0</v>
      </c>
    </row>
    <row r="176" spans="1:17">
      <c r="A176" s="130" t="s">
        <v>1441</v>
      </c>
      <c r="B176" s="109"/>
      <c r="C176" s="109"/>
      <c r="D176" s="109">
        <v>0</v>
      </c>
      <c r="E176" s="109">
        <v>0</v>
      </c>
      <c r="F176" s="109">
        <v>0</v>
      </c>
      <c r="G176" s="109" t="s">
        <v>122</v>
      </c>
      <c r="H176" s="109"/>
      <c r="I176" s="109" t="b">
        <v>0</v>
      </c>
      <c r="J176" s="109" t="b">
        <v>0</v>
      </c>
      <c r="K176" s="109" t="b">
        <v>1</v>
      </c>
      <c r="L176" s="109" t="s">
        <v>66</v>
      </c>
      <c r="M176" s="109" t="s">
        <v>103</v>
      </c>
      <c r="N176" s="109" t="s">
        <v>5145</v>
      </c>
      <c r="O176" s="109" t="s">
        <v>4802</v>
      </c>
      <c r="P176" s="109" t="b">
        <v>0</v>
      </c>
      <c r="Q176" s="109" t="b">
        <v>0</v>
      </c>
    </row>
    <row r="177" spans="1:17">
      <c r="A177" s="130" t="s">
        <v>1442</v>
      </c>
      <c r="B177" s="109"/>
      <c r="C177" s="109"/>
      <c r="D177" s="109">
        <v>0</v>
      </c>
      <c r="E177" s="109">
        <v>0</v>
      </c>
      <c r="F177" s="109">
        <v>0</v>
      </c>
      <c r="G177" s="109" t="s">
        <v>122</v>
      </c>
      <c r="H177" s="109"/>
      <c r="I177" s="109" t="b">
        <v>0</v>
      </c>
      <c r="J177" s="109" t="b">
        <v>0</v>
      </c>
      <c r="K177" s="109" t="b">
        <v>1</v>
      </c>
      <c r="L177" s="109" t="s">
        <v>66</v>
      </c>
      <c r="M177" s="109" t="s">
        <v>103</v>
      </c>
      <c r="N177" s="109" t="s">
        <v>5146</v>
      </c>
      <c r="O177" s="109" t="s">
        <v>4803</v>
      </c>
      <c r="P177" s="109" t="b">
        <v>0</v>
      </c>
      <c r="Q177" s="109" t="b">
        <v>0</v>
      </c>
    </row>
    <row r="178" spans="1:17">
      <c r="A178" s="126" t="s">
        <v>5550</v>
      </c>
      <c r="B178" s="113"/>
      <c r="C178" s="113"/>
      <c r="D178" s="113">
        <v>0</v>
      </c>
      <c r="E178" s="113">
        <v>0</v>
      </c>
      <c r="F178" s="113">
        <v>0</v>
      </c>
      <c r="G178" s="113" t="s">
        <v>122</v>
      </c>
      <c r="H178" s="113"/>
      <c r="I178" s="113" t="b">
        <v>0</v>
      </c>
      <c r="J178" s="113" t="b">
        <v>0</v>
      </c>
      <c r="K178" s="113" t="b">
        <v>1</v>
      </c>
      <c r="L178" s="113" t="s">
        <v>66</v>
      </c>
      <c r="M178" s="113" t="s">
        <v>361</v>
      </c>
      <c r="N178" s="113" t="s">
        <v>5977</v>
      </c>
      <c r="O178" s="113" t="s">
        <v>5978</v>
      </c>
      <c r="P178" s="113" t="b">
        <v>0</v>
      </c>
      <c r="Q178" s="113" t="b">
        <v>0</v>
      </c>
    </row>
    <row r="179" spans="1:17">
      <c r="A179" s="126" t="s">
        <v>1679</v>
      </c>
      <c r="B179" s="113"/>
      <c r="C179" s="113"/>
      <c r="D179" s="113">
        <v>0</v>
      </c>
      <c r="E179" s="113">
        <v>0</v>
      </c>
      <c r="F179" s="113">
        <v>0</v>
      </c>
      <c r="G179" s="113" t="s">
        <v>122</v>
      </c>
      <c r="H179" s="113"/>
      <c r="I179" s="113" t="b">
        <v>0</v>
      </c>
      <c r="J179" s="113" t="b">
        <v>0</v>
      </c>
      <c r="K179" s="113" t="b">
        <v>1</v>
      </c>
      <c r="L179" s="113" t="s">
        <v>66</v>
      </c>
      <c r="M179" s="113" t="s">
        <v>361</v>
      </c>
      <c r="N179" s="113" t="s">
        <v>5147</v>
      </c>
      <c r="O179" s="113" t="s">
        <v>4804</v>
      </c>
      <c r="P179" s="113" t="b">
        <v>0</v>
      </c>
      <c r="Q179" s="113" t="b">
        <v>0</v>
      </c>
    </row>
    <row r="180" spans="1:17">
      <c r="A180" s="126" t="s">
        <v>1443</v>
      </c>
      <c r="B180" s="113"/>
      <c r="C180" s="113"/>
      <c r="D180" s="113">
        <v>0</v>
      </c>
      <c r="E180" s="113">
        <v>0</v>
      </c>
      <c r="F180" s="113">
        <v>0</v>
      </c>
      <c r="G180" s="113" t="s">
        <v>122</v>
      </c>
      <c r="H180" s="113"/>
      <c r="I180" s="113" t="b">
        <v>0</v>
      </c>
      <c r="J180" s="113" t="b">
        <v>0</v>
      </c>
      <c r="K180" s="113" t="b">
        <v>1</v>
      </c>
      <c r="L180" s="113" t="s">
        <v>66</v>
      </c>
      <c r="M180" s="113" t="s">
        <v>361</v>
      </c>
      <c r="N180" s="113" t="s">
        <v>5148</v>
      </c>
      <c r="O180" s="113" t="s">
        <v>4805</v>
      </c>
      <c r="P180" s="113" t="b">
        <v>0</v>
      </c>
      <c r="Q180" s="113" t="b">
        <v>0</v>
      </c>
    </row>
    <row r="181" spans="1:17">
      <c r="A181" s="126" t="s">
        <v>1444</v>
      </c>
      <c r="B181" s="113"/>
      <c r="C181" s="113"/>
      <c r="D181" s="113">
        <v>0</v>
      </c>
      <c r="E181" s="113">
        <v>0</v>
      </c>
      <c r="F181" s="113">
        <v>0</v>
      </c>
      <c r="G181" s="113" t="s">
        <v>122</v>
      </c>
      <c r="H181" s="113"/>
      <c r="I181" s="113" t="b">
        <v>0</v>
      </c>
      <c r="J181" s="113" t="b">
        <v>0</v>
      </c>
      <c r="K181" s="113" t="b">
        <v>1</v>
      </c>
      <c r="L181" s="113" t="s">
        <v>66</v>
      </c>
      <c r="M181" s="113" t="s">
        <v>361</v>
      </c>
      <c r="N181" s="113" t="s">
        <v>5149</v>
      </c>
      <c r="O181" s="113" t="s">
        <v>4806</v>
      </c>
      <c r="P181" s="113" t="b">
        <v>0</v>
      </c>
      <c r="Q181" s="113" t="b">
        <v>0</v>
      </c>
    </row>
    <row r="182" spans="1:17">
      <c r="A182" s="126" t="s">
        <v>1445</v>
      </c>
      <c r="B182" s="113"/>
      <c r="C182" s="113"/>
      <c r="D182" s="113">
        <v>0</v>
      </c>
      <c r="E182" s="113">
        <v>0</v>
      </c>
      <c r="F182" s="113">
        <v>0</v>
      </c>
      <c r="G182" s="113" t="s">
        <v>122</v>
      </c>
      <c r="H182" s="113"/>
      <c r="I182" s="113" t="b">
        <v>0</v>
      </c>
      <c r="J182" s="113" t="b">
        <v>0</v>
      </c>
      <c r="K182" s="113" t="b">
        <v>1</v>
      </c>
      <c r="L182" s="113" t="s">
        <v>66</v>
      </c>
      <c r="M182" s="113" t="s">
        <v>361</v>
      </c>
      <c r="N182" s="113" t="s">
        <v>5150</v>
      </c>
      <c r="O182" s="113" t="s">
        <v>4807</v>
      </c>
      <c r="P182" s="113" t="b">
        <v>0</v>
      </c>
      <c r="Q182" s="113" t="b">
        <v>0</v>
      </c>
    </row>
    <row r="183" spans="1:17">
      <c r="A183" s="126" t="s">
        <v>1446</v>
      </c>
      <c r="B183" s="113"/>
      <c r="C183" s="113"/>
      <c r="D183" s="113">
        <v>0</v>
      </c>
      <c r="E183" s="113">
        <v>0</v>
      </c>
      <c r="F183" s="113">
        <v>0</v>
      </c>
      <c r="G183" s="113" t="s">
        <v>122</v>
      </c>
      <c r="H183" s="113"/>
      <c r="I183" s="113" t="b">
        <v>0</v>
      </c>
      <c r="J183" s="113" t="b">
        <v>0</v>
      </c>
      <c r="K183" s="113" t="b">
        <v>1</v>
      </c>
      <c r="L183" s="113" t="s">
        <v>66</v>
      </c>
      <c r="M183" s="113" t="s">
        <v>361</v>
      </c>
      <c r="N183" s="113" t="s">
        <v>5151</v>
      </c>
      <c r="O183" s="113" t="s">
        <v>4808</v>
      </c>
      <c r="P183" s="113" t="b">
        <v>0</v>
      </c>
      <c r="Q183" s="113" t="b">
        <v>0</v>
      </c>
    </row>
    <row r="184" spans="1:17">
      <c r="A184" s="130" t="s">
        <v>5551</v>
      </c>
      <c r="B184" s="109"/>
      <c r="C184" s="109"/>
      <c r="D184" s="109">
        <v>0</v>
      </c>
      <c r="E184" s="109">
        <v>0</v>
      </c>
      <c r="F184" s="109">
        <v>0</v>
      </c>
      <c r="G184" s="109" t="s">
        <v>122</v>
      </c>
      <c r="H184" s="109"/>
      <c r="I184" s="109" t="b">
        <v>0</v>
      </c>
      <c r="J184" s="109" t="b">
        <v>0</v>
      </c>
      <c r="K184" s="109" t="b">
        <v>1</v>
      </c>
      <c r="L184" s="109" t="s">
        <v>66</v>
      </c>
      <c r="M184" s="109" t="s">
        <v>375</v>
      </c>
      <c r="N184" s="109" t="s">
        <v>5979</v>
      </c>
      <c r="O184" s="109" t="s">
        <v>5512</v>
      </c>
      <c r="P184" s="109" t="b">
        <v>0</v>
      </c>
      <c r="Q184" s="109" t="b">
        <v>0</v>
      </c>
    </row>
    <row r="185" spans="1:17">
      <c r="A185" s="130" t="s">
        <v>5980</v>
      </c>
      <c r="B185" s="109"/>
      <c r="C185" s="109"/>
      <c r="D185" s="109">
        <v>0</v>
      </c>
      <c r="E185" s="109">
        <v>0</v>
      </c>
      <c r="F185" s="109">
        <v>0</v>
      </c>
      <c r="G185" s="109" t="s">
        <v>122</v>
      </c>
      <c r="H185" s="109"/>
      <c r="I185" s="109" t="b">
        <v>0</v>
      </c>
      <c r="J185" s="109" t="b">
        <v>0</v>
      </c>
      <c r="K185" s="109" t="b">
        <v>1</v>
      </c>
      <c r="L185" s="109" t="s">
        <v>66</v>
      </c>
      <c r="M185" s="109" t="s">
        <v>375</v>
      </c>
      <c r="N185" s="109" t="s">
        <v>5152</v>
      </c>
      <c r="O185" s="109" t="s">
        <v>4809</v>
      </c>
      <c r="P185" s="109" t="b">
        <v>0</v>
      </c>
      <c r="Q185" s="109" t="b">
        <v>0</v>
      </c>
    </row>
    <row r="186" spans="1:17">
      <c r="A186" s="130" t="s">
        <v>1447</v>
      </c>
      <c r="B186" s="109"/>
      <c r="C186" s="109"/>
      <c r="D186" s="109">
        <v>0</v>
      </c>
      <c r="E186" s="109">
        <v>0</v>
      </c>
      <c r="F186" s="109">
        <v>0</v>
      </c>
      <c r="G186" s="109" t="s">
        <v>122</v>
      </c>
      <c r="H186" s="109"/>
      <c r="I186" s="109" t="b">
        <v>0</v>
      </c>
      <c r="J186" s="109" t="b">
        <v>0</v>
      </c>
      <c r="K186" s="109" t="b">
        <v>1</v>
      </c>
      <c r="L186" s="109" t="s">
        <v>66</v>
      </c>
      <c r="M186" s="109" t="s">
        <v>375</v>
      </c>
      <c r="N186" s="109" t="s">
        <v>5153</v>
      </c>
      <c r="O186" s="109" t="s">
        <v>4810</v>
      </c>
      <c r="P186" s="109" t="b">
        <v>0</v>
      </c>
      <c r="Q186" s="109" t="b">
        <v>0</v>
      </c>
    </row>
    <row r="187" spans="1:17">
      <c r="A187" s="130" t="s">
        <v>1448</v>
      </c>
      <c r="B187" s="109"/>
      <c r="C187" s="109"/>
      <c r="D187" s="109">
        <v>0</v>
      </c>
      <c r="E187" s="109">
        <v>0</v>
      </c>
      <c r="F187" s="109">
        <v>0</v>
      </c>
      <c r="G187" s="109" t="s">
        <v>122</v>
      </c>
      <c r="H187" s="109"/>
      <c r="I187" s="109" t="b">
        <v>0</v>
      </c>
      <c r="J187" s="109" t="b">
        <v>0</v>
      </c>
      <c r="K187" s="109" t="b">
        <v>1</v>
      </c>
      <c r="L187" s="109" t="s">
        <v>66</v>
      </c>
      <c r="M187" s="109" t="s">
        <v>375</v>
      </c>
      <c r="N187" s="109" t="s">
        <v>5154</v>
      </c>
      <c r="O187" s="109" t="s">
        <v>4811</v>
      </c>
      <c r="P187" s="109" t="b">
        <v>0</v>
      </c>
      <c r="Q187" s="109" t="b">
        <v>0</v>
      </c>
    </row>
    <row r="188" spans="1:17">
      <c r="A188" s="130" t="s">
        <v>1449</v>
      </c>
      <c r="B188" s="109"/>
      <c r="C188" s="109"/>
      <c r="D188" s="109">
        <v>0</v>
      </c>
      <c r="E188" s="109">
        <v>0</v>
      </c>
      <c r="F188" s="109">
        <v>0</v>
      </c>
      <c r="G188" s="109" t="s">
        <v>122</v>
      </c>
      <c r="H188" s="109"/>
      <c r="I188" s="109" t="b">
        <v>0</v>
      </c>
      <c r="J188" s="109" t="b">
        <v>0</v>
      </c>
      <c r="K188" s="109" t="b">
        <v>1</v>
      </c>
      <c r="L188" s="109" t="s">
        <v>66</v>
      </c>
      <c r="M188" s="109" t="s">
        <v>375</v>
      </c>
      <c r="N188" s="109" t="s">
        <v>5155</v>
      </c>
      <c r="O188" s="109" t="s">
        <v>4812</v>
      </c>
      <c r="P188" s="109" t="b">
        <v>0</v>
      </c>
      <c r="Q188" s="109" t="b">
        <v>0</v>
      </c>
    </row>
    <row r="189" spans="1:17">
      <c r="A189" s="130" t="s">
        <v>1450</v>
      </c>
      <c r="B189" s="109"/>
      <c r="C189" s="109"/>
      <c r="D189" s="109">
        <v>0</v>
      </c>
      <c r="E189" s="109">
        <v>0</v>
      </c>
      <c r="F189" s="109">
        <v>0</v>
      </c>
      <c r="G189" s="109" t="s">
        <v>122</v>
      </c>
      <c r="H189" s="109"/>
      <c r="I189" s="109" t="b">
        <v>0</v>
      </c>
      <c r="J189" s="109" t="b">
        <v>0</v>
      </c>
      <c r="K189" s="109" t="b">
        <v>1</v>
      </c>
      <c r="L189" s="109" t="s">
        <v>66</v>
      </c>
      <c r="M189" s="109" t="s">
        <v>375</v>
      </c>
      <c r="N189" s="109" t="s">
        <v>5156</v>
      </c>
      <c r="O189" s="109" t="s">
        <v>4813</v>
      </c>
      <c r="P189" s="109" t="b">
        <v>0</v>
      </c>
      <c r="Q189" s="109" t="b">
        <v>0</v>
      </c>
    </row>
    <row r="190" spans="1:17">
      <c r="A190" s="126" t="s">
        <v>5552</v>
      </c>
      <c r="B190" s="113"/>
      <c r="C190" s="113"/>
      <c r="D190" s="113">
        <v>0</v>
      </c>
      <c r="E190" s="113">
        <v>0</v>
      </c>
      <c r="F190" s="113">
        <v>0</v>
      </c>
      <c r="G190" s="113" t="s">
        <v>122</v>
      </c>
      <c r="H190" s="113"/>
      <c r="I190" s="113" t="b">
        <v>0</v>
      </c>
      <c r="J190" s="113" t="b">
        <v>0</v>
      </c>
      <c r="K190" s="113" t="b">
        <v>1</v>
      </c>
      <c r="L190" s="113" t="s">
        <v>66</v>
      </c>
      <c r="M190" s="113" t="s">
        <v>5513</v>
      </c>
      <c r="N190" s="113" t="s">
        <v>5981</v>
      </c>
      <c r="O190" s="113" t="s">
        <v>5982</v>
      </c>
      <c r="P190" s="113" t="b">
        <v>0</v>
      </c>
      <c r="Q190" s="113" t="b">
        <v>0</v>
      </c>
    </row>
    <row r="191" spans="1:17">
      <c r="A191" s="126" t="s">
        <v>1680</v>
      </c>
      <c r="B191" s="113"/>
      <c r="C191" s="113"/>
      <c r="D191" s="113">
        <v>0</v>
      </c>
      <c r="E191" s="113">
        <v>0</v>
      </c>
      <c r="F191" s="113">
        <v>0</v>
      </c>
      <c r="G191" s="113" t="s">
        <v>122</v>
      </c>
      <c r="H191" s="113"/>
      <c r="I191" s="113" t="b">
        <v>0</v>
      </c>
      <c r="J191" s="113" t="b">
        <v>0</v>
      </c>
      <c r="K191" s="113" t="b">
        <v>1</v>
      </c>
      <c r="L191" s="113" t="s">
        <v>66</v>
      </c>
      <c r="M191" s="113" t="s">
        <v>5513</v>
      </c>
      <c r="N191" s="113" t="s">
        <v>5157</v>
      </c>
      <c r="O191" s="113" t="s">
        <v>4814</v>
      </c>
      <c r="P191" s="113" t="b">
        <v>0</v>
      </c>
      <c r="Q191" s="113" t="b">
        <v>0</v>
      </c>
    </row>
    <row r="192" spans="1:17">
      <c r="A192" s="126" t="s">
        <v>1451</v>
      </c>
      <c r="B192" s="113"/>
      <c r="C192" s="113"/>
      <c r="D192" s="113">
        <v>0</v>
      </c>
      <c r="E192" s="113">
        <v>0</v>
      </c>
      <c r="F192" s="113">
        <v>0</v>
      </c>
      <c r="G192" s="113" t="s">
        <v>122</v>
      </c>
      <c r="H192" s="113"/>
      <c r="I192" s="113" t="b">
        <v>0</v>
      </c>
      <c r="J192" s="113" t="b">
        <v>0</v>
      </c>
      <c r="K192" s="113" t="b">
        <v>1</v>
      </c>
      <c r="L192" s="113" t="s">
        <v>66</v>
      </c>
      <c r="M192" s="113" t="s">
        <v>5513</v>
      </c>
      <c r="N192" s="113" t="s">
        <v>5158</v>
      </c>
      <c r="O192" s="113" t="s">
        <v>4815</v>
      </c>
      <c r="P192" s="113" t="b">
        <v>0</v>
      </c>
      <c r="Q192" s="113" t="b">
        <v>0</v>
      </c>
    </row>
    <row r="193" spans="1:17">
      <c r="A193" s="126" t="s">
        <v>1452</v>
      </c>
      <c r="B193" s="113"/>
      <c r="C193" s="113"/>
      <c r="D193" s="113">
        <v>0</v>
      </c>
      <c r="E193" s="113">
        <v>0</v>
      </c>
      <c r="F193" s="113">
        <v>0</v>
      </c>
      <c r="G193" s="113" t="s">
        <v>122</v>
      </c>
      <c r="H193" s="113"/>
      <c r="I193" s="113" t="b">
        <v>0</v>
      </c>
      <c r="J193" s="113" t="b">
        <v>0</v>
      </c>
      <c r="K193" s="113" t="b">
        <v>1</v>
      </c>
      <c r="L193" s="113" t="s">
        <v>66</v>
      </c>
      <c r="M193" s="113" t="s">
        <v>5513</v>
      </c>
      <c r="N193" s="113" t="s">
        <v>5159</v>
      </c>
      <c r="O193" s="113" t="s">
        <v>4816</v>
      </c>
      <c r="P193" s="113" t="b">
        <v>0</v>
      </c>
      <c r="Q193" s="113" t="b">
        <v>0</v>
      </c>
    </row>
    <row r="194" spans="1:17">
      <c r="A194" s="126" t="s">
        <v>1453</v>
      </c>
      <c r="B194" s="113"/>
      <c r="C194" s="113"/>
      <c r="D194" s="113">
        <v>0</v>
      </c>
      <c r="E194" s="113">
        <v>0</v>
      </c>
      <c r="F194" s="113">
        <v>0</v>
      </c>
      <c r="G194" s="113" t="s">
        <v>122</v>
      </c>
      <c r="H194" s="113"/>
      <c r="I194" s="113" t="b">
        <v>0</v>
      </c>
      <c r="J194" s="113" t="b">
        <v>0</v>
      </c>
      <c r="K194" s="113" t="b">
        <v>1</v>
      </c>
      <c r="L194" s="113" t="s">
        <v>66</v>
      </c>
      <c r="M194" s="113" t="s">
        <v>5513</v>
      </c>
      <c r="N194" s="113" t="s">
        <v>5160</v>
      </c>
      <c r="O194" s="113" t="s">
        <v>4817</v>
      </c>
      <c r="P194" s="113" t="b">
        <v>0</v>
      </c>
      <c r="Q194" s="113" t="b">
        <v>0</v>
      </c>
    </row>
    <row r="195" spans="1:17">
      <c r="A195" s="126" t="s">
        <v>1454</v>
      </c>
      <c r="B195" s="113"/>
      <c r="C195" s="113"/>
      <c r="D195" s="113">
        <v>0</v>
      </c>
      <c r="E195" s="113">
        <v>0</v>
      </c>
      <c r="F195" s="113">
        <v>0</v>
      </c>
      <c r="G195" s="113" t="s">
        <v>122</v>
      </c>
      <c r="H195" s="113"/>
      <c r="I195" s="113" t="b">
        <v>0</v>
      </c>
      <c r="J195" s="113" t="b">
        <v>0</v>
      </c>
      <c r="K195" s="113" t="b">
        <v>1</v>
      </c>
      <c r="L195" s="113" t="s">
        <v>66</v>
      </c>
      <c r="M195" s="113" t="s">
        <v>5513</v>
      </c>
      <c r="N195" s="113" t="s">
        <v>5161</v>
      </c>
      <c r="O195" s="113" t="s">
        <v>4818</v>
      </c>
      <c r="P195" s="113" t="b">
        <v>0</v>
      </c>
      <c r="Q195" s="113" t="b">
        <v>0</v>
      </c>
    </row>
    <row r="196" spans="1:17">
      <c r="A196" s="130" t="s">
        <v>5553</v>
      </c>
      <c r="B196" s="109"/>
      <c r="C196" s="109"/>
      <c r="D196" s="109">
        <v>0</v>
      </c>
      <c r="E196" s="109">
        <v>0</v>
      </c>
      <c r="F196" s="109">
        <v>0</v>
      </c>
      <c r="G196" s="109" t="s">
        <v>122</v>
      </c>
      <c r="H196" s="109"/>
      <c r="I196" s="109" t="b">
        <v>0</v>
      </c>
      <c r="J196" s="109" t="b">
        <v>0</v>
      </c>
      <c r="K196" s="109" t="b">
        <v>1</v>
      </c>
      <c r="L196" s="109" t="s">
        <v>66</v>
      </c>
      <c r="M196" s="109" t="s">
        <v>5514</v>
      </c>
      <c r="N196" s="109" t="s">
        <v>5983</v>
      </c>
      <c r="O196" s="109" t="s">
        <v>5984</v>
      </c>
      <c r="P196" s="109" t="b">
        <v>0</v>
      </c>
      <c r="Q196" s="109" t="b">
        <v>0</v>
      </c>
    </row>
    <row r="197" spans="1:17">
      <c r="A197" s="130" t="s">
        <v>1681</v>
      </c>
      <c r="B197" s="109"/>
      <c r="C197" s="109"/>
      <c r="D197" s="109">
        <v>0</v>
      </c>
      <c r="E197" s="109">
        <v>0</v>
      </c>
      <c r="F197" s="109">
        <v>0</v>
      </c>
      <c r="G197" s="109" t="s">
        <v>122</v>
      </c>
      <c r="H197" s="109"/>
      <c r="I197" s="109" t="b">
        <v>0</v>
      </c>
      <c r="J197" s="109" t="b">
        <v>0</v>
      </c>
      <c r="K197" s="109" t="b">
        <v>1</v>
      </c>
      <c r="L197" s="109" t="s">
        <v>66</v>
      </c>
      <c r="M197" s="109" t="s">
        <v>5514</v>
      </c>
      <c r="N197" s="109" t="s">
        <v>5162</v>
      </c>
      <c r="O197" s="109" t="s">
        <v>4819</v>
      </c>
      <c r="P197" s="109" t="b">
        <v>0</v>
      </c>
      <c r="Q197" s="109" t="b">
        <v>0</v>
      </c>
    </row>
    <row r="198" spans="1:17">
      <c r="A198" s="130" t="s">
        <v>1455</v>
      </c>
      <c r="B198" s="109"/>
      <c r="C198" s="109"/>
      <c r="D198" s="109">
        <v>0</v>
      </c>
      <c r="E198" s="109">
        <v>0</v>
      </c>
      <c r="F198" s="109">
        <v>0</v>
      </c>
      <c r="G198" s="109" t="s">
        <v>122</v>
      </c>
      <c r="H198" s="109"/>
      <c r="I198" s="109" t="b">
        <v>0</v>
      </c>
      <c r="J198" s="109" t="b">
        <v>0</v>
      </c>
      <c r="K198" s="109" t="b">
        <v>1</v>
      </c>
      <c r="L198" s="109" t="s">
        <v>66</v>
      </c>
      <c r="M198" s="109" t="s">
        <v>5514</v>
      </c>
      <c r="N198" s="109" t="s">
        <v>5163</v>
      </c>
      <c r="O198" s="109" t="s">
        <v>4820</v>
      </c>
      <c r="P198" s="109" t="b">
        <v>0</v>
      </c>
      <c r="Q198" s="109" t="b">
        <v>0</v>
      </c>
    </row>
    <row r="199" spans="1:17">
      <c r="A199" s="130" t="s">
        <v>1456</v>
      </c>
      <c r="B199" s="109"/>
      <c r="C199" s="109"/>
      <c r="D199" s="109">
        <v>0</v>
      </c>
      <c r="E199" s="109">
        <v>0</v>
      </c>
      <c r="F199" s="109">
        <v>0</v>
      </c>
      <c r="G199" s="109" t="s">
        <v>122</v>
      </c>
      <c r="H199" s="109"/>
      <c r="I199" s="109" t="b">
        <v>0</v>
      </c>
      <c r="J199" s="109" t="b">
        <v>0</v>
      </c>
      <c r="K199" s="109" t="b">
        <v>1</v>
      </c>
      <c r="L199" s="109" t="s">
        <v>66</v>
      </c>
      <c r="M199" s="109" t="s">
        <v>5514</v>
      </c>
      <c r="N199" s="109" t="s">
        <v>5164</v>
      </c>
      <c r="O199" s="109" t="s">
        <v>4821</v>
      </c>
      <c r="P199" s="109" t="b">
        <v>0</v>
      </c>
      <c r="Q199" s="109" t="b">
        <v>0</v>
      </c>
    </row>
    <row r="200" spans="1:17">
      <c r="A200" s="130" t="s">
        <v>1457</v>
      </c>
      <c r="B200" s="109"/>
      <c r="C200" s="109"/>
      <c r="D200" s="109">
        <v>0</v>
      </c>
      <c r="E200" s="109">
        <v>0</v>
      </c>
      <c r="F200" s="109">
        <v>0</v>
      </c>
      <c r="G200" s="109" t="s">
        <v>122</v>
      </c>
      <c r="H200" s="109"/>
      <c r="I200" s="109" t="b">
        <v>0</v>
      </c>
      <c r="J200" s="109" t="b">
        <v>0</v>
      </c>
      <c r="K200" s="109" t="b">
        <v>1</v>
      </c>
      <c r="L200" s="109" t="s">
        <v>66</v>
      </c>
      <c r="M200" s="109" t="s">
        <v>5514</v>
      </c>
      <c r="N200" s="109" t="s">
        <v>5165</v>
      </c>
      <c r="O200" s="109" t="s">
        <v>4822</v>
      </c>
      <c r="P200" s="109" t="b">
        <v>0</v>
      </c>
      <c r="Q200" s="109" t="b">
        <v>0</v>
      </c>
    </row>
    <row r="201" spans="1:17">
      <c r="A201" s="130" t="s">
        <v>1458</v>
      </c>
      <c r="B201" s="109"/>
      <c r="C201" s="109"/>
      <c r="D201" s="109">
        <v>0</v>
      </c>
      <c r="E201" s="109">
        <v>0</v>
      </c>
      <c r="F201" s="109">
        <v>0</v>
      </c>
      <c r="G201" s="109" t="s">
        <v>122</v>
      </c>
      <c r="H201" s="109"/>
      <c r="I201" s="109" t="b">
        <v>0</v>
      </c>
      <c r="J201" s="109" t="b">
        <v>0</v>
      </c>
      <c r="K201" s="109" t="b">
        <v>1</v>
      </c>
      <c r="L201" s="109" t="s">
        <v>66</v>
      </c>
      <c r="M201" s="109" t="s">
        <v>5514</v>
      </c>
      <c r="N201" s="109" t="s">
        <v>5166</v>
      </c>
      <c r="O201" s="109" t="s">
        <v>4823</v>
      </c>
      <c r="P201" s="109" t="b">
        <v>0</v>
      </c>
      <c r="Q201" s="109" t="b">
        <v>0</v>
      </c>
    </row>
    <row r="202" spans="1:17">
      <c r="A202" s="126" t="s">
        <v>5554</v>
      </c>
      <c r="B202" s="113"/>
      <c r="C202" s="113"/>
      <c r="D202" s="113">
        <v>0</v>
      </c>
      <c r="E202" s="113">
        <v>0</v>
      </c>
      <c r="F202" s="113">
        <v>0</v>
      </c>
      <c r="G202" s="113" t="s">
        <v>122</v>
      </c>
      <c r="H202" s="113"/>
      <c r="I202" s="113" t="b">
        <v>0</v>
      </c>
      <c r="J202" s="113" t="b">
        <v>0</v>
      </c>
      <c r="K202" s="113" t="b">
        <v>1</v>
      </c>
      <c r="L202" s="113" t="s">
        <v>66</v>
      </c>
      <c r="M202" s="113" t="s">
        <v>5515</v>
      </c>
      <c r="N202" s="113" t="s">
        <v>5516</v>
      </c>
      <c r="O202" s="113" t="s">
        <v>5985</v>
      </c>
      <c r="P202" s="113" t="b">
        <v>0</v>
      </c>
      <c r="Q202" s="113" t="b">
        <v>0</v>
      </c>
    </row>
    <row r="203" spans="1:17">
      <c r="A203" s="126" t="s">
        <v>1682</v>
      </c>
      <c r="B203" s="113"/>
      <c r="C203" s="113"/>
      <c r="D203" s="113">
        <v>0</v>
      </c>
      <c r="E203" s="113">
        <v>0</v>
      </c>
      <c r="F203" s="113">
        <v>0</v>
      </c>
      <c r="G203" s="113" t="s">
        <v>122</v>
      </c>
      <c r="H203" s="113"/>
      <c r="I203" s="113" t="b">
        <v>0</v>
      </c>
      <c r="J203" s="113" t="b">
        <v>0</v>
      </c>
      <c r="K203" s="113" t="b">
        <v>1</v>
      </c>
      <c r="L203" s="113" t="s">
        <v>66</v>
      </c>
      <c r="M203" s="113" t="s">
        <v>5515</v>
      </c>
      <c r="N203" s="113" t="s">
        <v>5167</v>
      </c>
      <c r="O203" s="113" t="s">
        <v>4824</v>
      </c>
      <c r="P203" s="113" t="b">
        <v>0</v>
      </c>
      <c r="Q203" s="113" t="b">
        <v>0</v>
      </c>
    </row>
    <row r="204" spans="1:17">
      <c r="A204" s="126" t="s">
        <v>1459</v>
      </c>
      <c r="B204" s="113"/>
      <c r="C204" s="113"/>
      <c r="D204" s="113">
        <v>0</v>
      </c>
      <c r="E204" s="113">
        <v>0</v>
      </c>
      <c r="F204" s="113">
        <v>0</v>
      </c>
      <c r="G204" s="113" t="s">
        <v>122</v>
      </c>
      <c r="H204" s="113"/>
      <c r="I204" s="113" t="b">
        <v>0</v>
      </c>
      <c r="J204" s="113" t="b">
        <v>0</v>
      </c>
      <c r="K204" s="113" t="b">
        <v>1</v>
      </c>
      <c r="L204" s="113" t="s">
        <v>66</v>
      </c>
      <c r="M204" s="113" t="s">
        <v>5515</v>
      </c>
      <c r="N204" s="113" t="s">
        <v>5168</v>
      </c>
      <c r="O204" s="113" t="s">
        <v>4825</v>
      </c>
      <c r="P204" s="113" t="b">
        <v>0</v>
      </c>
      <c r="Q204" s="113" t="b">
        <v>0</v>
      </c>
    </row>
    <row r="205" spans="1:17">
      <c r="A205" s="126" t="s">
        <v>1460</v>
      </c>
      <c r="B205" s="113"/>
      <c r="C205" s="113"/>
      <c r="D205" s="113">
        <v>0</v>
      </c>
      <c r="E205" s="113">
        <v>0</v>
      </c>
      <c r="F205" s="113">
        <v>0</v>
      </c>
      <c r="G205" s="113" t="s">
        <v>122</v>
      </c>
      <c r="H205" s="113"/>
      <c r="I205" s="113" t="b">
        <v>0</v>
      </c>
      <c r="J205" s="113" t="b">
        <v>0</v>
      </c>
      <c r="K205" s="113" t="b">
        <v>1</v>
      </c>
      <c r="L205" s="113" t="s">
        <v>66</v>
      </c>
      <c r="M205" s="113" t="s">
        <v>5515</v>
      </c>
      <c r="N205" s="113" t="s">
        <v>5169</v>
      </c>
      <c r="O205" s="113" t="s">
        <v>4826</v>
      </c>
      <c r="P205" s="113" t="b">
        <v>0</v>
      </c>
      <c r="Q205" s="113" t="b">
        <v>0</v>
      </c>
    </row>
    <row r="206" spans="1:17">
      <c r="A206" s="126" t="s">
        <v>1461</v>
      </c>
      <c r="B206" s="113"/>
      <c r="C206" s="113"/>
      <c r="D206" s="113">
        <v>0</v>
      </c>
      <c r="E206" s="113">
        <v>0</v>
      </c>
      <c r="F206" s="113">
        <v>0</v>
      </c>
      <c r="G206" s="113" t="s">
        <v>122</v>
      </c>
      <c r="H206" s="113"/>
      <c r="I206" s="113" t="b">
        <v>0</v>
      </c>
      <c r="J206" s="113" t="b">
        <v>0</v>
      </c>
      <c r="K206" s="113" t="b">
        <v>1</v>
      </c>
      <c r="L206" s="113" t="s">
        <v>66</v>
      </c>
      <c r="M206" s="113" t="s">
        <v>5515</v>
      </c>
      <c r="N206" s="113" t="s">
        <v>5170</v>
      </c>
      <c r="O206" s="113" t="s">
        <v>4827</v>
      </c>
      <c r="P206" s="113" t="b">
        <v>0</v>
      </c>
      <c r="Q206" s="113" t="b">
        <v>0</v>
      </c>
    </row>
    <row r="207" spans="1:17">
      <c r="A207" s="126" t="s">
        <v>1462</v>
      </c>
      <c r="B207" s="113"/>
      <c r="C207" s="113"/>
      <c r="D207" s="113">
        <v>0</v>
      </c>
      <c r="E207" s="113">
        <v>0</v>
      </c>
      <c r="F207" s="113">
        <v>0</v>
      </c>
      <c r="G207" s="113" t="s">
        <v>122</v>
      </c>
      <c r="H207" s="113"/>
      <c r="I207" s="113" t="b">
        <v>0</v>
      </c>
      <c r="J207" s="113" t="b">
        <v>0</v>
      </c>
      <c r="K207" s="113" t="b">
        <v>1</v>
      </c>
      <c r="L207" s="113" t="s">
        <v>66</v>
      </c>
      <c r="M207" s="113" t="s">
        <v>5515</v>
      </c>
      <c r="N207" s="113" t="s">
        <v>5171</v>
      </c>
      <c r="O207" s="113" t="s">
        <v>4828</v>
      </c>
      <c r="P207" s="113" t="b">
        <v>0</v>
      </c>
      <c r="Q207" s="113" t="b">
        <v>0</v>
      </c>
    </row>
    <row r="208" spans="1:17">
      <c r="A208" s="130" t="s">
        <v>5555</v>
      </c>
      <c r="B208" s="109"/>
      <c r="C208" s="109"/>
      <c r="D208" s="109">
        <v>0</v>
      </c>
      <c r="E208" s="109">
        <v>0</v>
      </c>
      <c r="F208" s="109">
        <v>0</v>
      </c>
      <c r="G208" s="109" t="s">
        <v>122</v>
      </c>
      <c r="H208" s="109"/>
      <c r="I208" s="109" t="b">
        <v>0</v>
      </c>
      <c r="J208" s="109" t="b">
        <v>0</v>
      </c>
      <c r="K208" s="109" t="b">
        <v>1</v>
      </c>
      <c r="L208" s="109" t="s">
        <v>66</v>
      </c>
      <c r="M208" s="109" t="s">
        <v>5517</v>
      </c>
      <c r="N208" s="109" t="s">
        <v>5986</v>
      </c>
      <c r="O208" s="109" t="s">
        <v>5518</v>
      </c>
      <c r="P208" s="109" t="b">
        <v>0</v>
      </c>
      <c r="Q208" s="109" t="b">
        <v>0</v>
      </c>
    </row>
    <row r="209" spans="1:17">
      <c r="A209" s="130" t="s">
        <v>1683</v>
      </c>
      <c r="B209" s="109"/>
      <c r="C209" s="109"/>
      <c r="D209" s="109">
        <v>0</v>
      </c>
      <c r="E209" s="109">
        <v>0</v>
      </c>
      <c r="F209" s="109">
        <v>0</v>
      </c>
      <c r="G209" s="109" t="s">
        <v>122</v>
      </c>
      <c r="H209" s="109"/>
      <c r="I209" s="109" t="b">
        <v>0</v>
      </c>
      <c r="J209" s="109" t="b">
        <v>0</v>
      </c>
      <c r="K209" s="109" t="b">
        <v>1</v>
      </c>
      <c r="L209" s="109" t="s">
        <v>66</v>
      </c>
      <c r="M209" s="109" t="s">
        <v>5517</v>
      </c>
      <c r="N209" s="109" t="s">
        <v>5172</v>
      </c>
      <c r="O209" s="109" t="s">
        <v>4829</v>
      </c>
      <c r="P209" s="109" t="b">
        <v>0</v>
      </c>
      <c r="Q209" s="109" t="b">
        <v>0</v>
      </c>
    </row>
    <row r="210" spans="1:17">
      <c r="A210" s="130" t="s">
        <v>1463</v>
      </c>
      <c r="B210" s="109"/>
      <c r="C210" s="109"/>
      <c r="D210" s="109">
        <v>0</v>
      </c>
      <c r="E210" s="109">
        <v>0</v>
      </c>
      <c r="F210" s="109">
        <v>0</v>
      </c>
      <c r="G210" s="109" t="s">
        <v>122</v>
      </c>
      <c r="H210" s="109"/>
      <c r="I210" s="109" t="b">
        <v>0</v>
      </c>
      <c r="J210" s="109" t="b">
        <v>0</v>
      </c>
      <c r="K210" s="109" t="b">
        <v>1</v>
      </c>
      <c r="L210" s="109" t="s">
        <v>66</v>
      </c>
      <c r="M210" s="109" t="s">
        <v>5517</v>
      </c>
      <c r="N210" s="109" t="s">
        <v>5173</v>
      </c>
      <c r="O210" s="109" t="s">
        <v>4830</v>
      </c>
      <c r="P210" s="109" t="b">
        <v>0</v>
      </c>
      <c r="Q210" s="109" t="b">
        <v>0</v>
      </c>
    </row>
    <row r="211" spans="1:17">
      <c r="A211" s="130" t="s">
        <v>1464</v>
      </c>
      <c r="B211" s="109"/>
      <c r="C211" s="109"/>
      <c r="D211" s="109">
        <v>0</v>
      </c>
      <c r="E211" s="109">
        <v>0</v>
      </c>
      <c r="F211" s="109">
        <v>0</v>
      </c>
      <c r="G211" s="109" t="s">
        <v>122</v>
      </c>
      <c r="H211" s="109"/>
      <c r="I211" s="109" t="b">
        <v>0</v>
      </c>
      <c r="J211" s="109" t="b">
        <v>0</v>
      </c>
      <c r="K211" s="109" t="b">
        <v>1</v>
      </c>
      <c r="L211" s="109" t="s">
        <v>66</v>
      </c>
      <c r="M211" s="109" t="s">
        <v>5517</v>
      </c>
      <c r="N211" s="109" t="s">
        <v>5174</v>
      </c>
      <c r="O211" s="109" t="s">
        <v>4831</v>
      </c>
      <c r="P211" s="109" t="b">
        <v>0</v>
      </c>
      <c r="Q211" s="109" t="b">
        <v>0</v>
      </c>
    </row>
    <row r="212" spans="1:17">
      <c r="A212" s="130" t="s">
        <v>1465</v>
      </c>
      <c r="B212" s="109"/>
      <c r="C212" s="109"/>
      <c r="D212" s="109">
        <v>0</v>
      </c>
      <c r="E212" s="109">
        <v>0</v>
      </c>
      <c r="F212" s="109">
        <v>0</v>
      </c>
      <c r="G212" s="109" t="s">
        <v>122</v>
      </c>
      <c r="H212" s="109"/>
      <c r="I212" s="109" t="b">
        <v>0</v>
      </c>
      <c r="J212" s="109" t="b">
        <v>0</v>
      </c>
      <c r="K212" s="109" t="b">
        <v>1</v>
      </c>
      <c r="L212" s="109" t="s">
        <v>66</v>
      </c>
      <c r="M212" s="109" t="s">
        <v>5517</v>
      </c>
      <c r="N212" s="109" t="s">
        <v>5175</v>
      </c>
      <c r="O212" s="109" t="s">
        <v>4832</v>
      </c>
      <c r="P212" s="109" t="b">
        <v>0</v>
      </c>
      <c r="Q212" s="109" t="b">
        <v>0</v>
      </c>
    </row>
    <row r="213" spans="1:17">
      <c r="A213" s="130" t="s">
        <v>1466</v>
      </c>
      <c r="B213" s="109"/>
      <c r="C213" s="109"/>
      <c r="D213" s="109">
        <v>0</v>
      </c>
      <c r="E213" s="109">
        <v>0</v>
      </c>
      <c r="F213" s="109">
        <v>0</v>
      </c>
      <c r="G213" s="109" t="s">
        <v>122</v>
      </c>
      <c r="H213" s="109"/>
      <c r="I213" s="109" t="b">
        <v>0</v>
      </c>
      <c r="J213" s="109" t="b">
        <v>0</v>
      </c>
      <c r="K213" s="109" t="b">
        <v>1</v>
      </c>
      <c r="L213" s="109" t="s">
        <v>66</v>
      </c>
      <c r="M213" s="109" t="s">
        <v>5517</v>
      </c>
      <c r="N213" s="109" t="s">
        <v>5176</v>
      </c>
      <c r="O213" s="109" t="s">
        <v>4833</v>
      </c>
      <c r="P213" s="109" t="b">
        <v>0</v>
      </c>
      <c r="Q213" s="109" t="b">
        <v>0</v>
      </c>
    </row>
    <row r="214" spans="1:17">
      <c r="A214" s="126" t="s">
        <v>5987</v>
      </c>
      <c r="B214" s="113"/>
      <c r="C214" s="113"/>
      <c r="D214" s="113">
        <v>0</v>
      </c>
      <c r="E214" s="113">
        <v>0</v>
      </c>
      <c r="F214" s="113">
        <v>0</v>
      </c>
      <c r="G214" s="113" t="s">
        <v>122</v>
      </c>
      <c r="H214" s="113"/>
      <c r="I214" s="113" t="b">
        <v>0</v>
      </c>
      <c r="J214" s="113" t="b">
        <v>0</v>
      </c>
      <c r="K214" s="113" t="b">
        <v>1</v>
      </c>
      <c r="L214" s="113" t="s">
        <v>66</v>
      </c>
      <c r="M214" s="113" t="s">
        <v>5519</v>
      </c>
      <c r="N214" s="113" t="s">
        <v>5988</v>
      </c>
      <c r="O214" s="113" t="s">
        <v>5989</v>
      </c>
      <c r="P214" s="113" t="b">
        <v>0</v>
      </c>
      <c r="Q214" s="113" t="b">
        <v>0</v>
      </c>
    </row>
    <row r="215" spans="1:17">
      <c r="A215" s="126" t="s">
        <v>1684</v>
      </c>
      <c r="B215" s="113"/>
      <c r="C215" s="113"/>
      <c r="D215" s="113">
        <v>0</v>
      </c>
      <c r="E215" s="113">
        <v>0</v>
      </c>
      <c r="F215" s="113">
        <v>0</v>
      </c>
      <c r="G215" s="113" t="s">
        <v>122</v>
      </c>
      <c r="H215" s="113"/>
      <c r="I215" s="113" t="b">
        <v>0</v>
      </c>
      <c r="J215" s="113" t="b">
        <v>0</v>
      </c>
      <c r="K215" s="113" t="b">
        <v>1</v>
      </c>
      <c r="L215" s="113" t="s">
        <v>66</v>
      </c>
      <c r="M215" s="113" t="s">
        <v>5519</v>
      </c>
      <c r="N215" s="113" t="s">
        <v>5177</v>
      </c>
      <c r="O215" s="113" t="s">
        <v>4834</v>
      </c>
      <c r="P215" s="113" t="b">
        <v>0</v>
      </c>
      <c r="Q215" s="113" t="b">
        <v>0</v>
      </c>
    </row>
    <row r="216" spans="1:17">
      <c r="A216" s="126" t="s">
        <v>1467</v>
      </c>
      <c r="B216" s="113"/>
      <c r="C216" s="113"/>
      <c r="D216" s="113">
        <v>0</v>
      </c>
      <c r="E216" s="113">
        <v>0</v>
      </c>
      <c r="F216" s="113">
        <v>0</v>
      </c>
      <c r="G216" s="113" t="s">
        <v>122</v>
      </c>
      <c r="H216" s="113"/>
      <c r="I216" s="113" t="b">
        <v>0</v>
      </c>
      <c r="J216" s="113" t="b">
        <v>0</v>
      </c>
      <c r="K216" s="113" t="b">
        <v>1</v>
      </c>
      <c r="L216" s="113" t="s">
        <v>66</v>
      </c>
      <c r="M216" s="113" t="s">
        <v>5519</v>
      </c>
      <c r="N216" s="113" t="s">
        <v>5178</v>
      </c>
      <c r="O216" s="113" t="s">
        <v>4835</v>
      </c>
      <c r="P216" s="113" t="b">
        <v>0</v>
      </c>
      <c r="Q216" s="113" t="b">
        <v>0</v>
      </c>
    </row>
    <row r="217" spans="1:17">
      <c r="A217" s="126" t="s">
        <v>1468</v>
      </c>
      <c r="B217" s="113"/>
      <c r="C217" s="113"/>
      <c r="D217" s="113">
        <v>0</v>
      </c>
      <c r="E217" s="113">
        <v>0</v>
      </c>
      <c r="F217" s="113">
        <v>0</v>
      </c>
      <c r="G217" s="113" t="s">
        <v>122</v>
      </c>
      <c r="H217" s="113"/>
      <c r="I217" s="113" t="b">
        <v>0</v>
      </c>
      <c r="J217" s="113" t="b">
        <v>0</v>
      </c>
      <c r="K217" s="113" t="b">
        <v>1</v>
      </c>
      <c r="L217" s="113" t="s">
        <v>66</v>
      </c>
      <c r="M217" s="113" t="s">
        <v>5519</v>
      </c>
      <c r="N217" s="113" t="s">
        <v>5179</v>
      </c>
      <c r="O217" s="113" t="s">
        <v>4836</v>
      </c>
      <c r="P217" s="113" t="b">
        <v>0</v>
      </c>
      <c r="Q217" s="113" t="b">
        <v>0</v>
      </c>
    </row>
    <row r="218" spans="1:17">
      <c r="A218" s="126" t="s">
        <v>1469</v>
      </c>
      <c r="B218" s="113"/>
      <c r="C218" s="113"/>
      <c r="D218" s="113">
        <v>0</v>
      </c>
      <c r="E218" s="113">
        <v>0</v>
      </c>
      <c r="F218" s="113">
        <v>0</v>
      </c>
      <c r="G218" s="113" t="s">
        <v>122</v>
      </c>
      <c r="H218" s="113"/>
      <c r="I218" s="113" t="b">
        <v>0</v>
      </c>
      <c r="J218" s="113" t="b">
        <v>0</v>
      </c>
      <c r="K218" s="113" t="b">
        <v>1</v>
      </c>
      <c r="L218" s="113" t="s">
        <v>66</v>
      </c>
      <c r="M218" s="113" t="s">
        <v>5519</v>
      </c>
      <c r="N218" s="113" t="s">
        <v>5180</v>
      </c>
      <c r="O218" s="113" t="s">
        <v>4837</v>
      </c>
      <c r="P218" s="113" t="b">
        <v>0</v>
      </c>
      <c r="Q218" s="113" t="b">
        <v>0</v>
      </c>
    </row>
    <row r="219" spans="1:17">
      <c r="A219" s="126" t="s">
        <v>1470</v>
      </c>
      <c r="B219" s="113"/>
      <c r="C219" s="113"/>
      <c r="D219" s="113">
        <v>0</v>
      </c>
      <c r="E219" s="113">
        <v>0</v>
      </c>
      <c r="F219" s="113">
        <v>0</v>
      </c>
      <c r="G219" s="113" t="s">
        <v>122</v>
      </c>
      <c r="H219" s="113"/>
      <c r="I219" s="113" t="b">
        <v>0</v>
      </c>
      <c r="J219" s="113" t="b">
        <v>0</v>
      </c>
      <c r="K219" s="113" t="b">
        <v>1</v>
      </c>
      <c r="L219" s="113" t="s">
        <v>66</v>
      </c>
      <c r="M219" s="113" t="s">
        <v>5519</v>
      </c>
      <c r="N219" s="113" t="s">
        <v>5181</v>
      </c>
      <c r="O219" s="113" t="s">
        <v>4838</v>
      </c>
      <c r="P219" s="113" t="b">
        <v>0</v>
      </c>
      <c r="Q219" s="113" t="b">
        <v>0</v>
      </c>
    </row>
    <row r="220" spans="1:17">
      <c r="A220" s="130" t="s">
        <v>5557</v>
      </c>
      <c r="B220" s="109"/>
      <c r="C220" s="109"/>
      <c r="D220" s="109">
        <v>0</v>
      </c>
      <c r="E220" s="109">
        <v>0</v>
      </c>
      <c r="F220" s="109">
        <v>0</v>
      </c>
      <c r="G220" s="109" t="s">
        <v>122</v>
      </c>
      <c r="H220" s="109"/>
      <c r="I220" s="109" t="b">
        <v>0</v>
      </c>
      <c r="J220" s="109" t="b">
        <v>0</v>
      </c>
      <c r="K220" s="109" t="b">
        <v>1</v>
      </c>
      <c r="L220" s="109" t="s">
        <v>66</v>
      </c>
      <c r="M220" s="109" t="s">
        <v>56</v>
      </c>
      <c r="N220" s="109" t="s">
        <v>5990</v>
      </c>
      <c r="O220" s="109" t="s">
        <v>5991</v>
      </c>
      <c r="P220" s="109" t="b">
        <v>0</v>
      </c>
      <c r="Q220" s="109" t="b">
        <v>0</v>
      </c>
    </row>
    <row r="221" spans="1:17">
      <c r="A221" s="130" t="s">
        <v>1685</v>
      </c>
      <c r="B221" s="109"/>
      <c r="C221" s="109"/>
      <c r="D221" s="109">
        <v>0</v>
      </c>
      <c r="E221" s="109">
        <v>0</v>
      </c>
      <c r="F221" s="109">
        <v>0</v>
      </c>
      <c r="G221" s="109" t="s">
        <v>122</v>
      </c>
      <c r="H221" s="109"/>
      <c r="I221" s="109" t="b">
        <v>0</v>
      </c>
      <c r="J221" s="109" t="b">
        <v>0</v>
      </c>
      <c r="K221" s="109" t="b">
        <v>1</v>
      </c>
      <c r="L221" s="109" t="s">
        <v>66</v>
      </c>
      <c r="M221" s="109" t="s">
        <v>56</v>
      </c>
      <c r="N221" s="109" t="s">
        <v>5182</v>
      </c>
      <c r="O221" s="109" t="s">
        <v>4839</v>
      </c>
      <c r="P221" s="109" t="b">
        <v>0</v>
      </c>
      <c r="Q221" s="109" t="b">
        <v>0</v>
      </c>
    </row>
    <row r="222" spans="1:17">
      <c r="A222" s="130" t="s">
        <v>1471</v>
      </c>
      <c r="B222" s="109"/>
      <c r="C222" s="109"/>
      <c r="D222" s="109">
        <v>0</v>
      </c>
      <c r="E222" s="109">
        <v>0</v>
      </c>
      <c r="F222" s="109">
        <v>0</v>
      </c>
      <c r="G222" s="109" t="s">
        <v>122</v>
      </c>
      <c r="H222" s="109"/>
      <c r="I222" s="109" t="b">
        <v>0</v>
      </c>
      <c r="J222" s="109" t="b">
        <v>0</v>
      </c>
      <c r="K222" s="109" t="b">
        <v>1</v>
      </c>
      <c r="L222" s="109" t="s">
        <v>66</v>
      </c>
      <c r="M222" s="109" t="s">
        <v>56</v>
      </c>
      <c r="N222" s="109" t="s">
        <v>5183</v>
      </c>
      <c r="O222" s="109" t="s">
        <v>4840</v>
      </c>
      <c r="P222" s="109" t="b">
        <v>0</v>
      </c>
      <c r="Q222" s="109" t="b">
        <v>0</v>
      </c>
    </row>
    <row r="223" spans="1:17">
      <c r="A223" s="130" t="s">
        <v>1472</v>
      </c>
      <c r="B223" s="109"/>
      <c r="C223" s="109"/>
      <c r="D223" s="109">
        <v>0</v>
      </c>
      <c r="E223" s="109">
        <v>0</v>
      </c>
      <c r="F223" s="109">
        <v>0</v>
      </c>
      <c r="G223" s="109" t="s">
        <v>122</v>
      </c>
      <c r="H223" s="109"/>
      <c r="I223" s="109" t="b">
        <v>0</v>
      </c>
      <c r="J223" s="109" t="b">
        <v>0</v>
      </c>
      <c r="K223" s="109" t="b">
        <v>1</v>
      </c>
      <c r="L223" s="109" t="s">
        <v>66</v>
      </c>
      <c r="M223" s="109" t="s">
        <v>56</v>
      </c>
      <c r="N223" s="109" t="s">
        <v>5184</v>
      </c>
      <c r="O223" s="109" t="s">
        <v>4841</v>
      </c>
      <c r="P223" s="109" t="b">
        <v>0</v>
      </c>
      <c r="Q223" s="109" t="b">
        <v>0</v>
      </c>
    </row>
    <row r="224" spans="1:17">
      <c r="A224" s="130" t="s">
        <v>1473</v>
      </c>
      <c r="B224" s="109"/>
      <c r="C224" s="109"/>
      <c r="D224" s="109">
        <v>0</v>
      </c>
      <c r="E224" s="109">
        <v>0</v>
      </c>
      <c r="F224" s="109">
        <v>0</v>
      </c>
      <c r="G224" s="109" t="s">
        <v>122</v>
      </c>
      <c r="H224" s="109"/>
      <c r="I224" s="109" t="b">
        <v>0</v>
      </c>
      <c r="J224" s="109" t="b">
        <v>0</v>
      </c>
      <c r="K224" s="109" t="b">
        <v>1</v>
      </c>
      <c r="L224" s="109" t="s">
        <v>66</v>
      </c>
      <c r="M224" s="109" t="s">
        <v>56</v>
      </c>
      <c r="N224" s="109" t="s">
        <v>5185</v>
      </c>
      <c r="O224" s="109" t="s">
        <v>4842</v>
      </c>
      <c r="P224" s="109" t="b">
        <v>0</v>
      </c>
      <c r="Q224" s="109" t="b">
        <v>0</v>
      </c>
    </row>
    <row r="225" spans="1:17">
      <c r="A225" s="130" t="s">
        <v>1474</v>
      </c>
      <c r="B225" s="109"/>
      <c r="C225" s="109"/>
      <c r="D225" s="109">
        <v>0</v>
      </c>
      <c r="E225" s="109">
        <v>0</v>
      </c>
      <c r="F225" s="109">
        <v>0</v>
      </c>
      <c r="G225" s="109" t="s">
        <v>122</v>
      </c>
      <c r="H225" s="109"/>
      <c r="I225" s="109" t="b">
        <v>0</v>
      </c>
      <c r="J225" s="109" t="b">
        <v>0</v>
      </c>
      <c r="K225" s="109" t="b">
        <v>1</v>
      </c>
      <c r="L225" s="109" t="s">
        <v>66</v>
      </c>
      <c r="M225" s="109" t="s">
        <v>56</v>
      </c>
      <c r="N225" s="109" t="s">
        <v>5186</v>
      </c>
      <c r="O225" s="109" t="s">
        <v>4843</v>
      </c>
      <c r="P225" s="109" t="b">
        <v>0</v>
      </c>
      <c r="Q225" s="109" t="b">
        <v>0</v>
      </c>
    </row>
    <row r="226" spans="1:17">
      <c r="A226" s="126" t="s">
        <v>5558</v>
      </c>
      <c r="B226" s="113"/>
      <c r="C226" s="113"/>
      <c r="D226" s="113">
        <v>0</v>
      </c>
      <c r="E226" s="113">
        <v>0</v>
      </c>
      <c r="F226" s="113">
        <v>0</v>
      </c>
      <c r="G226" s="113" t="s">
        <v>122</v>
      </c>
      <c r="H226" s="113"/>
      <c r="I226" s="113" t="b">
        <v>0</v>
      </c>
      <c r="J226" s="113" t="b">
        <v>0</v>
      </c>
      <c r="K226" s="113" t="b">
        <v>1</v>
      </c>
      <c r="L226" s="113" t="s">
        <v>66</v>
      </c>
      <c r="M226" s="113" t="s">
        <v>56</v>
      </c>
      <c r="N226" s="113" t="s">
        <v>5992</v>
      </c>
      <c r="O226" s="113" t="s">
        <v>5993</v>
      </c>
      <c r="P226" s="113" t="b">
        <v>0</v>
      </c>
      <c r="Q226" s="113" t="b">
        <v>0</v>
      </c>
    </row>
    <row r="227" spans="1:17">
      <c r="A227" s="126" t="s">
        <v>1686</v>
      </c>
      <c r="B227" s="113"/>
      <c r="C227" s="113"/>
      <c r="D227" s="113">
        <v>0</v>
      </c>
      <c r="E227" s="113">
        <v>0</v>
      </c>
      <c r="F227" s="113">
        <v>0</v>
      </c>
      <c r="G227" s="113" t="s">
        <v>122</v>
      </c>
      <c r="H227" s="113"/>
      <c r="I227" s="113" t="b">
        <v>0</v>
      </c>
      <c r="J227" s="113" t="b">
        <v>0</v>
      </c>
      <c r="K227" s="113" t="b">
        <v>1</v>
      </c>
      <c r="L227" s="113" t="s">
        <v>66</v>
      </c>
      <c r="M227" s="113" t="s">
        <v>56</v>
      </c>
      <c r="N227" s="113" t="s">
        <v>5187</v>
      </c>
      <c r="O227" s="113" t="s">
        <v>4844</v>
      </c>
      <c r="P227" s="113" t="b">
        <v>0</v>
      </c>
      <c r="Q227" s="113" t="b">
        <v>0</v>
      </c>
    </row>
    <row r="228" spans="1:17">
      <c r="A228" s="126" t="s">
        <v>1475</v>
      </c>
      <c r="B228" s="113"/>
      <c r="C228" s="113"/>
      <c r="D228" s="113">
        <v>0</v>
      </c>
      <c r="E228" s="113">
        <v>0</v>
      </c>
      <c r="F228" s="113">
        <v>0</v>
      </c>
      <c r="G228" s="113" t="s">
        <v>122</v>
      </c>
      <c r="H228" s="113"/>
      <c r="I228" s="113" t="b">
        <v>0</v>
      </c>
      <c r="J228" s="113" t="b">
        <v>0</v>
      </c>
      <c r="K228" s="113" t="b">
        <v>1</v>
      </c>
      <c r="L228" s="113" t="s">
        <v>66</v>
      </c>
      <c r="M228" s="113" t="s">
        <v>56</v>
      </c>
      <c r="N228" s="113" t="s">
        <v>5188</v>
      </c>
      <c r="O228" s="113" t="s">
        <v>4845</v>
      </c>
      <c r="P228" s="113" t="b">
        <v>0</v>
      </c>
      <c r="Q228" s="113" t="b">
        <v>0</v>
      </c>
    </row>
    <row r="229" spans="1:17">
      <c r="A229" s="126" t="s">
        <v>1476</v>
      </c>
      <c r="B229" s="113"/>
      <c r="C229" s="113"/>
      <c r="D229" s="113">
        <v>0</v>
      </c>
      <c r="E229" s="113">
        <v>0</v>
      </c>
      <c r="F229" s="113">
        <v>0</v>
      </c>
      <c r="G229" s="113" t="s">
        <v>122</v>
      </c>
      <c r="H229" s="113"/>
      <c r="I229" s="113" t="b">
        <v>0</v>
      </c>
      <c r="J229" s="113" t="b">
        <v>0</v>
      </c>
      <c r="K229" s="113" t="b">
        <v>1</v>
      </c>
      <c r="L229" s="113" t="s">
        <v>66</v>
      </c>
      <c r="M229" s="113" t="s">
        <v>56</v>
      </c>
      <c r="N229" s="113" t="s">
        <v>5189</v>
      </c>
      <c r="O229" s="113" t="s">
        <v>4846</v>
      </c>
      <c r="P229" s="113" t="b">
        <v>0</v>
      </c>
      <c r="Q229" s="113" t="b">
        <v>0</v>
      </c>
    </row>
    <row r="230" spans="1:17">
      <c r="A230" s="126" t="s">
        <v>1477</v>
      </c>
      <c r="B230" s="113"/>
      <c r="C230" s="113"/>
      <c r="D230" s="113">
        <v>0</v>
      </c>
      <c r="E230" s="113">
        <v>0</v>
      </c>
      <c r="F230" s="113">
        <v>0</v>
      </c>
      <c r="G230" s="113" t="s">
        <v>122</v>
      </c>
      <c r="H230" s="113"/>
      <c r="I230" s="113" t="b">
        <v>0</v>
      </c>
      <c r="J230" s="113" t="b">
        <v>0</v>
      </c>
      <c r="K230" s="113" t="b">
        <v>1</v>
      </c>
      <c r="L230" s="113" t="s">
        <v>66</v>
      </c>
      <c r="M230" s="113" t="s">
        <v>56</v>
      </c>
      <c r="N230" s="113" t="s">
        <v>5190</v>
      </c>
      <c r="O230" s="113" t="s">
        <v>4847</v>
      </c>
      <c r="P230" s="113" t="b">
        <v>0</v>
      </c>
      <c r="Q230" s="113" t="b">
        <v>0</v>
      </c>
    </row>
    <row r="231" spans="1:17">
      <c r="A231" s="126" t="s">
        <v>1478</v>
      </c>
      <c r="B231" s="113"/>
      <c r="C231" s="113"/>
      <c r="D231" s="113">
        <v>0</v>
      </c>
      <c r="E231" s="113">
        <v>0</v>
      </c>
      <c r="F231" s="113">
        <v>0</v>
      </c>
      <c r="G231" s="113" t="s">
        <v>122</v>
      </c>
      <c r="H231" s="113"/>
      <c r="I231" s="113" t="b">
        <v>0</v>
      </c>
      <c r="J231" s="113" t="b">
        <v>0</v>
      </c>
      <c r="K231" s="113" t="b">
        <v>1</v>
      </c>
      <c r="L231" s="113" t="s">
        <v>66</v>
      </c>
      <c r="M231" s="113" t="s">
        <v>56</v>
      </c>
      <c r="N231" s="113" t="s">
        <v>5191</v>
      </c>
      <c r="O231" s="113" t="s">
        <v>4848</v>
      </c>
      <c r="P231" s="113" t="b">
        <v>0</v>
      </c>
      <c r="Q231" s="113" t="b">
        <v>0</v>
      </c>
    </row>
    <row r="232" spans="1:17">
      <c r="A232" s="130" t="s">
        <v>5559</v>
      </c>
      <c r="B232" s="109"/>
      <c r="C232" s="109"/>
      <c r="D232" s="109">
        <v>0</v>
      </c>
      <c r="E232" s="109">
        <v>0</v>
      </c>
      <c r="F232" s="109">
        <v>0</v>
      </c>
      <c r="G232" s="109" t="s">
        <v>122</v>
      </c>
      <c r="H232" s="109"/>
      <c r="I232" s="109" t="b">
        <v>0</v>
      </c>
      <c r="J232" s="109" t="b">
        <v>0</v>
      </c>
      <c r="K232" s="109" t="b">
        <v>1</v>
      </c>
      <c r="L232" s="109" t="s">
        <v>66</v>
      </c>
      <c r="M232" s="109" t="s">
        <v>56</v>
      </c>
      <c r="N232" s="109" t="s">
        <v>5994</v>
      </c>
      <c r="O232" s="109" t="s">
        <v>5995</v>
      </c>
      <c r="P232" s="109" t="b">
        <v>0</v>
      </c>
      <c r="Q232" s="109" t="b">
        <v>0</v>
      </c>
    </row>
    <row r="233" spans="1:17">
      <c r="A233" s="130" t="s">
        <v>1687</v>
      </c>
      <c r="B233" s="109"/>
      <c r="C233" s="109"/>
      <c r="D233" s="109">
        <v>0</v>
      </c>
      <c r="E233" s="109">
        <v>0</v>
      </c>
      <c r="F233" s="109">
        <v>0</v>
      </c>
      <c r="G233" s="109" t="s">
        <v>122</v>
      </c>
      <c r="H233" s="109"/>
      <c r="I233" s="109" t="b">
        <v>0</v>
      </c>
      <c r="J233" s="109" t="b">
        <v>0</v>
      </c>
      <c r="K233" s="109" t="b">
        <v>1</v>
      </c>
      <c r="L233" s="109" t="s">
        <v>66</v>
      </c>
      <c r="M233" s="109" t="s">
        <v>56</v>
      </c>
      <c r="N233" s="109" t="s">
        <v>5192</v>
      </c>
      <c r="O233" s="109" t="s">
        <v>4849</v>
      </c>
      <c r="P233" s="109" t="b">
        <v>0</v>
      </c>
      <c r="Q233" s="109" t="b">
        <v>0</v>
      </c>
    </row>
    <row r="234" spans="1:17">
      <c r="A234" s="130" t="s">
        <v>1479</v>
      </c>
      <c r="B234" s="109"/>
      <c r="C234" s="109"/>
      <c r="D234" s="109">
        <v>0</v>
      </c>
      <c r="E234" s="109">
        <v>0</v>
      </c>
      <c r="F234" s="109">
        <v>0</v>
      </c>
      <c r="G234" s="109" t="s">
        <v>122</v>
      </c>
      <c r="H234" s="109"/>
      <c r="I234" s="109" t="b">
        <v>0</v>
      </c>
      <c r="J234" s="109" t="b">
        <v>0</v>
      </c>
      <c r="K234" s="109" t="b">
        <v>1</v>
      </c>
      <c r="L234" s="109" t="s">
        <v>66</v>
      </c>
      <c r="M234" s="109" t="s">
        <v>56</v>
      </c>
      <c r="N234" s="109" t="s">
        <v>5193</v>
      </c>
      <c r="O234" s="109" t="s">
        <v>4850</v>
      </c>
      <c r="P234" s="109" t="b">
        <v>0</v>
      </c>
      <c r="Q234" s="109" t="b">
        <v>0</v>
      </c>
    </row>
    <row r="235" spans="1:17">
      <c r="A235" s="130" t="s">
        <v>1480</v>
      </c>
      <c r="B235" s="109"/>
      <c r="C235" s="109"/>
      <c r="D235" s="109">
        <v>0</v>
      </c>
      <c r="E235" s="109">
        <v>0</v>
      </c>
      <c r="F235" s="109">
        <v>0</v>
      </c>
      <c r="G235" s="109" t="s">
        <v>122</v>
      </c>
      <c r="H235" s="109"/>
      <c r="I235" s="109" t="b">
        <v>0</v>
      </c>
      <c r="J235" s="109" t="b">
        <v>0</v>
      </c>
      <c r="K235" s="109" t="b">
        <v>1</v>
      </c>
      <c r="L235" s="109" t="s">
        <v>66</v>
      </c>
      <c r="M235" s="109" t="s">
        <v>56</v>
      </c>
      <c r="N235" s="109" t="s">
        <v>5194</v>
      </c>
      <c r="O235" s="109" t="s">
        <v>4851</v>
      </c>
      <c r="P235" s="109" t="b">
        <v>0</v>
      </c>
      <c r="Q235" s="109" t="b">
        <v>0</v>
      </c>
    </row>
    <row r="236" spans="1:17">
      <c r="A236" s="130" t="s">
        <v>1481</v>
      </c>
      <c r="B236" s="109"/>
      <c r="C236" s="109"/>
      <c r="D236" s="109">
        <v>0</v>
      </c>
      <c r="E236" s="109">
        <v>0</v>
      </c>
      <c r="F236" s="109">
        <v>0</v>
      </c>
      <c r="G236" s="109" t="s">
        <v>122</v>
      </c>
      <c r="H236" s="109"/>
      <c r="I236" s="109" t="b">
        <v>0</v>
      </c>
      <c r="J236" s="109" t="b">
        <v>0</v>
      </c>
      <c r="K236" s="109" t="b">
        <v>1</v>
      </c>
      <c r="L236" s="109" t="s">
        <v>66</v>
      </c>
      <c r="M236" s="109" t="s">
        <v>56</v>
      </c>
      <c r="N236" s="109" t="s">
        <v>5195</v>
      </c>
      <c r="O236" s="109" t="s">
        <v>4852</v>
      </c>
      <c r="P236" s="109" t="b">
        <v>0</v>
      </c>
      <c r="Q236" s="109" t="b">
        <v>0</v>
      </c>
    </row>
    <row r="237" spans="1:17">
      <c r="A237" s="130" t="s">
        <v>1482</v>
      </c>
      <c r="B237" s="109"/>
      <c r="C237" s="109"/>
      <c r="D237" s="109">
        <v>0</v>
      </c>
      <c r="E237" s="109">
        <v>0</v>
      </c>
      <c r="F237" s="109">
        <v>0</v>
      </c>
      <c r="G237" s="109" t="s">
        <v>122</v>
      </c>
      <c r="H237" s="109"/>
      <c r="I237" s="109" t="b">
        <v>0</v>
      </c>
      <c r="J237" s="109" t="b">
        <v>0</v>
      </c>
      <c r="K237" s="109" t="b">
        <v>1</v>
      </c>
      <c r="L237" s="109" t="s">
        <v>66</v>
      </c>
      <c r="M237" s="109" t="s">
        <v>56</v>
      </c>
      <c r="N237" s="109" t="s">
        <v>5196</v>
      </c>
      <c r="O237" s="109" t="s">
        <v>4853</v>
      </c>
      <c r="P237" s="109" t="b">
        <v>0</v>
      </c>
      <c r="Q237" s="109" t="b">
        <v>0</v>
      </c>
    </row>
    <row r="238" spans="1:17">
      <c r="A238" s="126" t="s">
        <v>5560</v>
      </c>
      <c r="B238" s="113"/>
      <c r="C238" s="113"/>
      <c r="D238" s="113">
        <v>0</v>
      </c>
      <c r="E238" s="113">
        <v>0</v>
      </c>
      <c r="F238" s="113">
        <v>0</v>
      </c>
      <c r="G238" s="113" t="s">
        <v>122</v>
      </c>
      <c r="H238" s="113"/>
      <c r="I238" s="113" t="b">
        <v>0</v>
      </c>
      <c r="J238" s="113" t="b">
        <v>0</v>
      </c>
      <c r="K238" s="113" t="b">
        <v>1</v>
      </c>
      <c r="L238" s="113" t="s">
        <v>66</v>
      </c>
      <c r="M238" s="113" t="s">
        <v>56</v>
      </c>
      <c r="N238" s="113" t="s">
        <v>5520</v>
      </c>
      <c r="O238" s="113" t="s">
        <v>5996</v>
      </c>
      <c r="P238" s="113" t="b">
        <v>0</v>
      </c>
      <c r="Q238" s="113" t="b">
        <v>0</v>
      </c>
    </row>
    <row r="239" spans="1:17">
      <c r="A239" s="126" t="s">
        <v>1688</v>
      </c>
      <c r="B239" s="113"/>
      <c r="C239" s="113"/>
      <c r="D239" s="113">
        <v>0</v>
      </c>
      <c r="E239" s="113">
        <v>0</v>
      </c>
      <c r="F239" s="113">
        <v>0</v>
      </c>
      <c r="G239" s="113" t="s">
        <v>122</v>
      </c>
      <c r="H239" s="113"/>
      <c r="I239" s="113" t="b">
        <v>0</v>
      </c>
      <c r="J239" s="113" t="b">
        <v>0</v>
      </c>
      <c r="K239" s="113" t="b">
        <v>1</v>
      </c>
      <c r="L239" s="113" t="s">
        <v>66</v>
      </c>
      <c r="M239" s="113" t="s">
        <v>56</v>
      </c>
      <c r="N239" s="113" t="s">
        <v>5197</v>
      </c>
      <c r="O239" s="113" t="s">
        <v>4854</v>
      </c>
      <c r="P239" s="113" t="b">
        <v>0</v>
      </c>
      <c r="Q239" s="113" t="b">
        <v>0</v>
      </c>
    </row>
    <row r="240" spans="1:17">
      <c r="A240" s="126" t="s">
        <v>1483</v>
      </c>
      <c r="B240" s="113"/>
      <c r="C240" s="113"/>
      <c r="D240" s="113">
        <v>0</v>
      </c>
      <c r="E240" s="113">
        <v>0</v>
      </c>
      <c r="F240" s="113">
        <v>0</v>
      </c>
      <c r="G240" s="113" t="s">
        <v>122</v>
      </c>
      <c r="H240" s="113"/>
      <c r="I240" s="113" t="b">
        <v>0</v>
      </c>
      <c r="J240" s="113" t="b">
        <v>0</v>
      </c>
      <c r="K240" s="113" t="b">
        <v>1</v>
      </c>
      <c r="L240" s="113" t="s">
        <v>66</v>
      </c>
      <c r="M240" s="113" t="s">
        <v>56</v>
      </c>
      <c r="N240" s="113" t="s">
        <v>5198</v>
      </c>
      <c r="O240" s="113" t="s">
        <v>4855</v>
      </c>
      <c r="P240" s="113" t="b">
        <v>0</v>
      </c>
      <c r="Q240" s="113" t="b">
        <v>0</v>
      </c>
    </row>
    <row r="241" spans="1:17">
      <c r="A241" s="126" t="s">
        <v>1484</v>
      </c>
      <c r="B241" s="113"/>
      <c r="C241" s="113"/>
      <c r="D241" s="113">
        <v>0</v>
      </c>
      <c r="E241" s="113">
        <v>0</v>
      </c>
      <c r="F241" s="113">
        <v>0</v>
      </c>
      <c r="G241" s="113" t="s">
        <v>122</v>
      </c>
      <c r="H241" s="113"/>
      <c r="I241" s="113" t="b">
        <v>0</v>
      </c>
      <c r="J241" s="113" t="b">
        <v>0</v>
      </c>
      <c r="K241" s="113" t="b">
        <v>1</v>
      </c>
      <c r="L241" s="113" t="s">
        <v>66</v>
      </c>
      <c r="M241" s="113" t="s">
        <v>56</v>
      </c>
      <c r="N241" s="113" t="s">
        <v>5199</v>
      </c>
      <c r="O241" s="113" t="s">
        <v>4856</v>
      </c>
      <c r="P241" s="113" t="b">
        <v>0</v>
      </c>
      <c r="Q241" s="113" t="b">
        <v>0</v>
      </c>
    </row>
    <row r="242" spans="1:17">
      <c r="A242" s="126" t="s">
        <v>1485</v>
      </c>
      <c r="B242" s="113"/>
      <c r="C242" s="113"/>
      <c r="D242" s="113">
        <v>0</v>
      </c>
      <c r="E242" s="113">
        <v>0</v>
      </c>
      <c r="F242" s="113">
        <v>0</v>
      </c>
      <c r="G242" s="113" t="s">
        <v>122</v>
      </c>
      <c r="H242" s="113"/>
      <c r="I242" s="113" t="b">
        <v>0</v>
      </c>
      <c r="J242" s="113" t="b">
        <v>0</v>
      </c>
      <c r="K242" s="113" t="b">
        <v>1</v>
      </c>
      <c r="L242" s="113" t="s">
        <v>66</v>
      </c>
      <c r="M242" s="113" t="s">
        <v>56</v>
      </c>
      <c r="N242" s="113" t="s">
        <v>5200</v>
      </c>
      <c r="O242" s="113" t="s">
        <v>4857</v>
      </c>
      <c r="P242" s="113" t="b">
        <v>0</v>
      </c>
      <c r="Q242" s="113" t="b">
        <v>0</v>
      </c>
    </row>
    <row r="243" spans="1:17">
      <c r="A243" s="126" t="s">
        <v>1486</v>
      </c>
      <c r="B243" s="113"/>
      <c r="C243" s="113"/>
      <c r="D243" s="113">
        <v>0</v>
      </c>
      <c r="E243" s="113">
        <v>0</v>
      </c>
      <c r="F243" s="113">
        <v>0</v>
      </c>
      <c r="G243" s="113" t="s">
        <v>122</v>
      </c>
      <c r="H243" s="113"/>
      <c r="I243" s="113" t="b">
        <v>0</v>
      </c>
      <c r="J243" s="113" t="b">
        <v>0</v>
      </c>
      <c r="K243" s="113" t="b">
        <v>1</v>
      </c>
      <c r="L243" s="113" t="s">
        <v>66</v>
      </c>
      <c r="M243" s="113" t="s">
        <v>56</v>
      </c>
      <c r="N243" s="113" t="s">
        <v>5201</v>
      </c>
      <c r="O243" s="113" t="s">
        <v>4858</v>
      </c>
      <c r="P243" s="113" t="b">
        <v>0</v>
      </c>
      <c r="Q243" s="113" t="b">
        <v>0</v>
      </c>
    </row>
    <row r="244" spans="1:17">
      <c r="A244" s="130" t="s">
        <v>5561</v>
      </c>
      <c r="B244" s="109"/>
      <c r="C244" s="109"/>
      <c r="D244" s="109">
        <v>0</v>
      </c>
      <c r="E244" s="109">
        <v>0</v>
      </c>
      <c r="F244" s="109">
        <v>0</v>
      </c>
      <c r="G244" s="109" t="s">
        <v>122</v>
      </c>
      <c r="H244" s="109"/>
      <c r="I244" s="109" t="b">
        <v>0</v>
      </c>
      <c r="J244" s="109" t="b">
        <v>0</v>
      </c>
      <c r="K244" s="109" t="b">
        <v>1</v>
      </c>
      <c r="L244" s="109" t="s">
        <v>66</v>
      </c>
      <c r="M244" s="109" t="s">
        <v>56</v>
      </c>
      <c r="N244" s="109" t="s">
        <v>5997</v>
      </c>
      <c r="O244" s="109" t="s">
        <v>5998</v>
      </c>
      <c r="P244" s="109" t="b">
        <v>0</v>
      </c>
      <c r="Q244" s="109" t="b">
        <v>0</v>
      </c>
    </row>
    <row r="245" spans="1:17">
      <c r="A245" s="130" t="s">
        <v>1689</v>
      </c>
      <c r="B245" s="109"/>
      <c r="C245" s="109"/>
      <c r="D245" s="109">
        <v>0</v>
      </c>
      <c r="E245" s="109">
        <v>0</v>
      </c>
      <c r="F245" s="109">
        <v>0</v>
      </c>
      <c r="G245" s="109" t="s">
        <v>122</v>
      </c>
      <c r="H245" s="109"/>
      <c r="I245" s="109" t="b">
        <v>0</v>
      </c>
      <c r="J245" s="109" t="b">
        <v>0</v>
      </c>
      <c r="K245" s="109" t="b">
        <v>1</v>
      </c>
      <c r="L245" s="109" t="s">
        <v>66</v>
      </c>
      <c r="M245" s="109" t="s">
        <v>56</v>
      </c>
      <c r="N245" s="109" t="s">
        <v>5202</v>
      </c>
      <c r="O245" s="109" t="s">
        <v>4859</v>
      </c>
      <c r="P245" s="109" t="b">
        <v>0</v>
      </c>
      <c r="Q245" s="109" t="b">
        <v>0</v>
      </c>
    </row>
    <row r="246" spans="1:17">
      <c r="A246" s="130" t="s">
        <v>1487</v>
      </c>
      <c r="B246" s="109"/>
      <c r="C246" s="109"/>
      <c r="D246" s="109">
        <v>0</v>
      </c>
      <c r="E246" s="109">
        <v>0</v>
      </c>
      <c r="F246" s="109">
        <v>0</v>
      </c>
      <c r="G246" s="109" t="s">
        <v>122</v>
      </c>
      <c r="H246" s="109"/>
      <c r="I246" s="109" t="b">
        <v>0</v>
      </c>
      <c r="J246" s="109" t="b">
        <v>0</v>
      </c>
      <c r="K246" s="109" t="b">
        <v>1</v>
      </c>
      <c r="L246" s="109" t="s">
        <v>66</v>
      </c>
      <c r="M246" s="109" t="s">
        <v>56</v>
      </c>
      <c r="N246" s="109" t="s">
        <v>5203</v>
      </c>
      <c r="O246" s="109" t="s">
        <v>4860</v>
      </c>
      <c r="P246" s="109" t="b">
        <v>0</v>
      </c>
      <c r="Q246" s="109" t="b">
        <v>0</v>
      </c>
    </row>
    <row r="247" spans="1:17">
      <c r="A247" s="130" t="s">
        <v>1488</v>
      </c>
      <c r="B247" s="109"/>
      <c r="C247" s="109"/>
      <c r="D247" s="109">
        <v>0</v>
      </c>
      <c r="E247" s="109">
        <v>0</v>
      </c>
      <c r="F247" s="109">
        <v>0</v>
      </c>
      <c r="G247" s="109" t="s">
        <v>122</v>
      </c>
      <c r="H247" s="109"/>
      <c r="I247" s="109" t="b">
        <v>0</v>
      </c>
      <c r="J247" s="109" t="b">
        <v>0</v>
      </c>
      <c r="K247" s="109" t="b">
        <v>1</v>
      </c>
      <c r="L247" s="109" t="s">
        <v>66</v>
      </c>
      <c r="M247" s="109" t="s">
        <v>56</v>
      </c>
      <c r="N247" s="109" t="s">
        <v>5204</v>
      </c>
      <c r="O247" s="109" t="s">
        <v>4861</v>
      </c>
      <c r="P247" s="109" t="b">
        <v>0</v>
      </c>
      <c r="Q247" s="109" t="b">
        <v>0</v>
      </c>
    </row>
    <row r="248" spans="1:17">
      <c r="A248" s="130" t="s">
        <v>1489</v>
      </c>
      <c r="B248" s="109"/>
      <c r="C248" s="109"/>
      <c r="D248" s="109">
        <v>0</v>
      </c>
      <c r="E248" s="109">
        <v>0</v>
      </c>
      <c r="F248" s="109">
        <v>0</v>
      </c>
      <c r="G248" s="109" t="s">
        <v>122</v>
      </c>
      <c r="H248" s="109"/>
      <c r="I248" s="109" t="b">
        <v>0</v>
      </c>
      <c r="J248" s="109" t="b">
        <v>0</v>
      </c>
      <c r="K248" s="109" t="b">
        <v>1</v>
      </c>
      <c r="L248" s="109" t="s">
        <v>66</v>
      </c>
      <c r="M248" s="109" t="s">
        <v>56</v>
      </c>
      <c r="N248" s="109" t="s">
        <v>5205</v>
      </c>
      <c r="O248" s="109" t="s">
        <v>4862</v>
      </c>
      <c r="P248" s="109" t="b">
        <v>0</v>
      </c>
      <c r="Q248" s="109" t="b">
        <v>0</v>
      </c>
    </row>
    <row r="249" spans="1:17">
      <c r="A249" s="130" t="s">
        <v>1490</v>
      </c>
      <c r="B249" s="109"/>
      <c r="C249" s="109"/>
      <c r="D249" s="109">
        <v>0</v>
      </c>
      <c r="E249" s="109">
        <v>0</v>
      </c>
      <c r="F249" s="109">
        <v>0</v>
      </c>
      <c r="G249" s="109" t="s">
        <v>122</v>
      </c>
      <c r="H249" s="109"/>
      <c r="I249" s="109" t="b">
        <v>0</v>
      </c>
      <c r="J249" s="109" t="b">
        <v>0</v>
      </c>
      <c r="K249" s="109" t="b">
        <v>1</v>
      </c>
      <c r="L249" s="109" t="s">
        <v>66</v>
      </c>
      <c r="M249" s="109" t="s">
        <v>56</v>
      </c>
      <c r="N249" s="109" t="s">
        <v>5206</v>
      </c>
      <c r="O249" s="109" t="s">
        <v>4863</v>
      </c>
      <c r="P249" s="109" t="b">
        <v>0</v>
      </c>
      <c r="Q249" s="109" t="b">
        <v>0</v>
      </c>
    </row>
    <row r="250" spans="1:17">
      <c r="A250" s="126" t="s">
        <v>5562</v>
      </c>
      <c r="B250" s="113"/>
      <c r="C250" s="113"/>
      <c r="D250" s="113">
        <v>0</v>
      </c>
      <c r="E250" s="113">
        <v>0</v>
      </c>
      <c r="F250" s="113">
        <v>0</v>
      </c>
      <c r="G250" s="113" t="s">
        <v>122</v>
      </c>
      <c r="H250" s="113"/>
      <c r="I250" s="113" t="b">
        <v>0</v>
      </c>
      <c r="J250" s="113" t="b">
        <v>0</v>
      </c>
      <c r="K250" s="113" t="b">
        <v>1</v>
      </c>
      <c r="L250" s="113" t="s">
        <v>66</v>
      </c>
      <c r="M250" s="113" t="s">
        <v>67</v>
      </c>
      <c r="N250" s="113" t="s">
        <v>5999</v>
      </c>
      <c r="O250" s="113" t="s">
        <v>6000</v>
      </c>
      <c r="P250" s="113" t="b">
        <v>0</v>
      </c>
      <c r="Q250" s="113" t="b">
        <v>0</v>
      </c>
    </row>
    <row r="251" spans="1:17">
      <c r="A251" s="126" t="s">
        <v>1690</v>
      </c>
      <c r="B251" s="113"/>
      <c r="C251" s="113"/>
      <c r="D251" s="113">
        <v>0</v>
      </c>
      <c r="E251" s="113">
        <v>0</v>
      </c>
      <c r="F251" s="113">
        <v>0</v>
      </c>
      <c r="G251" s="113" t="s">
        <v>122</v>
      </c>
      <c r="H251" s="113"/>
      <c r="I251" s="113" t="b">
        <v>0</v>
      </c>
      <c r="J251" s="113" t="b">
        <v>0</v>
      </c>
      <c r="K251" s="113" t="b">
        <v>1</v>
      </c>
      <c r="L251" s="113" t="s">
        <v>66</v>
      </c>
      <c r="M251" s="113" t="s">
        <v>67</v>
      </c>
      <c r="N251" s="113" t="s">
        <v>5207</v>
      </c>
      <c r="O251" s="113" t="s">
        <v>4864</v>
      </c>
      <c r="P251" s="113" t="b">
        <v>0</v>
      </c>
      <c r="Q251" s="113" t="b">
        <v>0</v>
      </c>
    </row>
    <row r="252" spans="1:17">
      <c r="A252" s="126" t="s">
        <v>1491</v>
      </c>
      <c r="B252" s="113"/>
      <c r="C252" s="113"/>
      <c r="D252" s="113">
        <v>0</v>
      </c>
      <c r="E252" s="113">
        <v>0</v>
      </c>
      <c r="F252" s="113">
        <v>0</v>
      </c>
      <c r="G252" s="113" t="s">
        <v>122</v>
      </c>
      <c r="H252" s="113"/>
      <c r="I252" s="113" t="b">
        <v>0</v>
      </c>
      <c r="J252" s="113" t="b">
        <v>0</v>
      </c>
      <c r="K252" s="113" t="b">
        <v>1</v>
      </c>
      <c r="L252" s="113" t="s">
        <v>66</v>
      </c>
      <c r="M252" s="113" t="s">
        <v>67</v>
      </c>
      <c r="N252" s="113" t="s">
        <v>5208</v>
      </c>
      <c r="O252" s="113" t="s">
        <v>4865</v>
      </c>
      <c r="P252" s="113" t="b">
        <v>0</v>
      </c>
      <c r="Q252" s="113" t="b">
        <v>0</v>
      </c>
    </row>
    <row r="253" spans="1:17">
      <c r="A253" s="126" t="s">
        <v>1492</v>
      </c>
      <c r="B253" s="113"/>
      <c r="C253" s="113"/>
      <c r="D253" s="113">
        <v>0</v>
      </c>
      <c r="E253" s="113">
        <v>0</v>
      </c>
      <c r="F253" s="113">
        <v>0</v>
      </c>
      <c r="G253" s="113" t="s">
        <v>122</v>
      </c>
      <c r="H253" s="113"/>
      <c r="I253" s="113" t="b">
        <v>0</v>
      </c>
      <c r="J253" s="113" t="b">
        <v>0</v>
      </c>
      <c r="K253" s="113" t="b">
        <v>1</v>
      </c>
      <c r="L253" s="113" t="s">
        <v>66</v>
      </c>
      <c r="M253" s="113" t="s">
        <v>67</v>
      </c>
      <c r="N253" s="113" t="s">
        <v>5209</v>
      </c>
      <c r="O253" s="113" t="s">
        <v>4866</v>
      </c>
      <c r="P253" s="113" t="b">
        <v>0</v>
      </c>
      <c r="Q253" s="113" t="b">
        <v>0</v>
      </c>
    </row>
    <row r="254" spans="1:17">
      <c r="A254" s="126" t="s">
        <v>1493</v>
      </c>
      <c r="B254" s="113"/>
      <c r="C254" s="113"/>
      <c r="D254" s="113">
        <v>0</v>
      </c>
      <c r="E254" s="113">
        <v>0</v>
      </c>
      <c r="F254" s="113">
        <v>0</v>
      </c>
      <c r="G254" s="113" t="s">
        <v>122</v>
      </c>
      <c r="H254" s="113"/>
      <c r="I254" s="113" t="b">
        <v>0</v>
      </c>
      <c r="J254" s="113" t="b">
        <v>0</v>
      </c>
      <c r="K254" s="113" t="b">
        <v>1</v>
      </c>
      <c r="L254" s="113" t="s">
        <v>66</v>
      </c>
      <c r="M254" s="113" t="s">
        <v>67</v>
      </c>
      <c r="N254" s="113" t="s">
        <v>5210</v>
      </c>
      <c r="O254" s="113" t="s">
        <v>4867</v>
      </c>
      <c r="P254" s="113" t="b">
        <v>0</v>
      </c>
      <c r="Q254" s="113" t="b">
        <v>0</v>
      </c>
    </row>
    <row r="255" spans="1:17">
      <c r="A255" s="126" t="s">
        <v>1494</v>
      </c>
      <c r="B255" s="113"/>
      <c r="C255" s="113"/>
      <c r="D255" s="113">
        <v>0</v>
      </c>
      <c r="E255" s="113">
        <v>0</v>
      </c>
      <c r="F255" s="113">
        <v>0</v>
      </c>
      <c r="G255" s="113" t="s">
        <v>122</v>
      </c>
      <c r="H255" s="113"/>
      <c r="I255" s="113" t="b">
        <v>0</v>
      </c>
      <c r="J255" s="113" t="b">
        <v>0</v>
      </c>
      <c r="K255" s="113" t="b">
        <v>1</v>
      </c>
      <c r="L255" s="113" t="s">
        <v>66</v>
      </c>
      <c r="M255" s="113" t="s">
        <v>67</v>
      </c>
      <c r="N255" s="113" t="s">
        <v>5211</v>
      </c>
      <c r="O255" s="113" t="s">
        <v>4868</v>
      </c>
      <c r="P255" s="113" t="b">
        <v>0</v>
      </c>
      <c r="Q255" s="113" t="b">
        <v>0</v>
      </c>
    </row>
    <row r="256" spans="1:17">
      <c r="A256" s="130" t="s">
        <v>5563</v>
      </c>
      <c r="B256" s="109"/>
      <c r="C256" s="109"/>
      <c r="D256" s="109">
        <v>0</v>
      </c>
      <c r="E256" s="109">
        <v>0</v>
      </c>
      <c r="F256" s="109">
        <v>0</v>
      </c>
      <c r="G256" s="109" t="s">
        <v>122</v>
      </c>
      <c r="H256" s="109"/>
      <c r="I256" s="109" t="b">
        <v>0</v>
      </c>
      <c r="J256" s="109" t="b">
        <v>0</v>
      </c>
      <c r="K256" s="109" t="b">
        <v>1</v>
      </c>
      <c r="L256" s="109" t="s">
        <v>66</v>
      </c>
      <c r="M256" s="109" t="s">
        <v>5521</v>
      </c>
      <c r="N256" s="109" t="s">
        <v>6001</v>
      </c>
      <c r="O256" s="109" t="s">
        <v>6002</v>
      </c>
      <c r="P256" s="109" t="b">
        <v>0</v>
      </c>
      <c r="Q256" s="109" t="b">
        <v>0</v>
      </c>
    </row>
    <row r="257" spans="1:17">
      <c r="A257" s="130" t="s">
        <v>1691</v>
      </c>
      <c r="B257" s="109"/>
      <c r="C257" s="109"/>
      <c r="D257" s="109">
        <v>0</v>
      </c>
      <c r="E257" s="109">
        <v>0</v>
      </c>
      <c r="F257" s="109">
        <v>0</v>
      </c>
      <c r="G257" s="109" t="s">
        <v>122</v>
      </c>
      <c r="H257" s="109"/>
      <c r="I257" s="109" t="b">
        <v>0</v>
      </c>
      <c r="J257" s="109" t="b">
        <v>0</v>
      </c>
      <c r="K257" s="109" t="b">
        <v>1</v>
      </c>
      <c r="L257" s="109" t="s">
        <v>66</v>
      </c>
      <c r="M257" s="109" t="s">
        <v>5521</v>
      </c>
      <c r="N257" s="109" t="s">
        <v>5212</v>
      </c>
      <c r="O257" s="109" t="s">
        <v>4869</v>
      </c>
      <c r="P257" s="109" t="b">
        <v>0</v>
      </c>
      <c r="Q257" s="109" t="b">
        <v>0</v>
      </c>
    </row>
    <row r="258" spans="1:17">
      <c r="A258" s="130" t="s">
        <v>1495</v>
      </c>
      <c r="B258" s="109"/>
      <c r="C258" s="109"/>
      <c r="D258" s="109">
        <v>0</v>
      </c>
      <c r="E258" s="109">
        <v>0</v>
      </c>
      <c r="F258" s="109">
        <v>0</v>
      </c>
      <c r="G258" s="109" t="s">
        <v>122</v>
      </c>
      <c r="H258" s="109"/>
      <c r="I258" s="109" t="b">
        <v>0</v>
      </c>
      <c r="J258" s="109" t="b">
        <v>0</v>
      </c>
      <c r="K258" s="109" t="b">
        <v>1</v>
      </c>
      <c r="L258" s="109" t="s">
        <v>66</v>
      </c>
      <c r="M258" s="109" t="s">
        <v>5521</v>
      </c>
      <c r="N258" s="109" t="s">
        <v>5213</v>
      </c>
      <c r="O258" s="109" t="s">
        <v>4870</v>
      </c>
      <c r="P258" s="109" t="b">
        <v>0</v>
      </c>
      <c r="Q258" s="109" t="b">
        <v>0</v>
      </c>
    </row>
    <row r="259" spans="1:17">
      <c r="A259" s="130" t="s">
        <v>1496</v>
      </c>
      <c r="B259" s="109"/>
      <c r="C259" s="109"/>
      <c r="D259" s="109">
        <v>0</v>
      </c>
      <c r="E259" s="109">
        <v>0</v>
      </c>
      <c r="F259" s="109">
        <v>0</v>
      </c>
      <c r="G259" s="109" t="s">
        <v>122</v>
      </c>
      <c r="H259" s="109"/>
      <c r="I259" s="109" t="b">
        <v>0</v>
      </c>
      <c r="J259" s="109" t="b">
        <v>0</v>
      </c>
      <c r="K259" s="109" t="b">
        <v>1</v>
      </c>
      <c r="L259" s="109" t="s">
        <v>66</v>
      </c>
      <c r="M259" s="109" t="s">
        <v>5521</v>
      </c>
      <c r="N259" s="109" t="s">
        <v>5214</v>
      </c>
      <c r="O259" s="109" t="s">
        <v>4871</v>
      </c>
      <c r="P259" s="109" t="b">
        <v>0</v>
      </c>
      <c r="Q259" s="109" t="b">
        <v>0</v>
      </c>
    </row>
    <row r="260" spans="1:17">
      <c r="A260" s="130" t="s">
        <v>1497</v>
      </c>
      <c r="B260" s="109"/>
      <c r="C260" s="109"/>
      <c r="D260" s="109">
        <v>0</v>
      </c>
      <c r="E260" s="109">
        <v>0</v>
      </c>
      <c r="F260" s="109">
        <v>0</v>
      </c>
      <c r="G260" s="109" t="s">
        <v>122</v>
      </c>
      <c r="H260" s="109"/>
      <c r="I260" s="109" t="b">
        <v>0</v>
      </c>
      <c r="J260" s="109" t="b">
        <v>0</v>
      </c>
      <c r="K260" s="109" t="b">
        <v>1</v>
      </c>
      <c r="L260" s="109" t="s">
        <v>66</v>
      </c>
      <c r="M260" s="109" t="s">
        <v>5521</v>
      </c>
      <c r="N260" s="109" t="s">
        <v>5215</v>
      </c>
      <c r="O260" s="109" t="s">
        <v>4872</v>
      </c>
      <c r="P260" s="109" t="b">
        <v>0</v>
      </c>
      <c r="Q260" s="109" t="b">
        <v>0</v>
      </c>
    </row>
    <row r="261" spans="1:17">
      <c r="A261" s="130" t="s">
        <v>1498</v>
      </c>
      <c r="B261" s="109"/>
      <c r="C261" s="109"/>
      <c r="D261" s="109">
        <v>0</v>
      </c>
      <c r="E261" s="109">
        <v>0</v>
      </c>
      <c r="F261" s="109">
        <v>0</v>
      </c>
      <c r="G261" s="109" t="s">
        <v>122</v>
      </c>
      <c r="H261" s="109"/>
      <c r="I261" s="109" t="b">
        <v>0</v>
      </c>
      <c r="J261" s="109" t="b">
        <v>0</v>
      </c>
      <c r="K261" s="109" t="b">
        <v>1</v>
      </c>
      <c r="L261" s="109" t="s">
        <v>66</v>
      </c>
      <c r="M261" s="109" t="s">
        <v>5521</v>
      </c>
      <c r="N261" s="109" t="s">
        <v>5216</v>
      </c>
      <c r="O261" s="109" t="s">
        <v>4873</v>
      </c>
      <c r="P261" s="109" t="b">
        <v>0</v>
      </c>
      <c r="Q261" s="109" t="b">
        <v>0</v>
      </c>
    </row>
    <row r="262" spans="1:17">
      <c r="A262" s="126" t="s">
        <v>5564</v>
      </c>
      <c r="B262" s="113"/>
      <c r="C262" s="113"/>
      <c r="D262" s="113">
        <v>0</v>
      </c>
      <c r="E262" s="113">
        <v>0</v>
      </c>
      <c r="F262" s="113">
        <v>0</v>
      </c>
      <c r="G262" s="113" t="s">
        <v>122</v>
      </c>
      <c r="H262" s="113"/>
      <c r="I262" s="113" t="b">
        <v>0</v>
      </c>
      <c r="J262" s="113" t="b">
        <v>0</v>
      </c>
      <c r="K262" s="113" t="b">
        <v>1</v>
      </c>
      <c r="L262" s="113" t="s">
        <v>66</v>
      </c>
      <c r="M262" s="113" t="s">
        <v>5519</v>
      </c>
      <c r="N262" s="113" t="s">
        <v>6003</v>
      </c>
      <c r="O262" s="113" t="s">
        <v>6004</v>
      </c>
      <c r="P262" s="113" t="b">
        <v>0</v>
      </c>
      <c r="Q262" s="113" t="b">
        <v>0</v>
      </c>
    </row>
    <row r="263" spans="1:17">
      <c r="A263" s="126" t="s">
        <v>1692</v>
      </c>
      <c r="B263" s="113"/>
      <c r="C263" s="113"/>
      <c r="D263" s="113">
        <v>0</v>
      </c>
      <c r="E263" s="113">
        <v>0</v>
      </c>
      <c r="F263" s="113">
        <v>0</v>
      </c>
      <c r="G263" s="113" t="s">
        <v>122</v>
      </c>
      <c r="H263" s="113"/>
      <c r="I263" s="113" t="b">
        <v>0</v>
      </c>
      <c r="J263" s="113" t="b">
        <v>0</v>
      </c>
      <c r="K263" s="113" t="b">
        <v>1</v>
      </c>
      <c r="L263" s="113" t="s">
        <v>66</v>
      </c>
      <c r="M263" s="113" t="s">
        <v>5519</v>
      </c>
      <c r="N263" s="113" t="s">
        <v>5217</v>
      </c>
      <c r="O263" s="113" t="s">
        <v>4874</v>
      </c>
      <c r="P263" s="113" t="b">
        <v>0</v>
      </c>
      <c r="Q263" s="113" t="b">
        <v>0</v>
      </c>
    </row>
    <row r="264" spans="1:17">
      <c r="A264" s="126" t="s">
        <v>1499</v>
      </c>
      <c r="B264" s="113"/>
      <c r="C264" s="113"/>
      <c r="D264" s="113">
        <v>0</v>
      </c>
      <c r="E264" s="113">
        <v>0</v>
      </c>
      <c r="F264" s="113">
        <v>0</v>
      </c>
      <c r="G264" s="113" t="s">
        <v>122</v>
      </c>
      <c r="H264" s="113"/>
      <c r="I264" s="113" t="b">
        <v>0</v>
      </c>
      <c r="J264" s="113" t="b">
        <v>0</v>
      </c>
      <c r="K264" s="113" t="b">
        <v>1</v>
      </c>
      <c r="L264" s="113" t="s">
        <v>66</v>
      </c>
      <c r="M264" s="113" t="s">
        <v>5519</v>
      </c>
      <c r="N264" s="113" t="s">
        <v>5218</v>
      </c>
      <c r="O264" s="113" t="s">
        <v>4875</v>
      </c>
      <c r="P264" s="113" t="b">
        <v>0</v>
      </c>
      <c r="Q264" s="113" t="b">
        <v>0</v>
      </c>
    </row>
    <row r="265" spans="1:17">
      <c r="A265" s="126" t="s">
        <v>1500</v>
      </c>
      <c r="B265" s="113"/>
      <c r="C265" s="113"/>
      <c r="D265" s="113">
        <v>0</v>
      </c>
      <c r="E265" s="113">
        <v>0</v>
      </c>
      <c r="F265" s="113">
        <v>0</v>
      </c>
      <c r="G265" s="113" t="s">
        <v>122</v>
      </c>
      <c r="H265" s="113"/>
      <c r="I265" s="113" t="b">
        <v>0</v>
      </c>
      <c r="J265" s="113" t="b">
        <v>0</v>
      </c>
      <c r="K265" s="113" t="b">
        <v>1</v>
      </c>
      <c r="L265" s="113" t="s">
        <v>66</v>
      </c>
      <c r="M265" s="113" t="s">
        <v>5519</v>
      </c>
      <c r="N265" s="113" t="s">
        <v>5219</v>
      </c>
      <c r="O265" s="113" t="s">
        <v>4876</v>
      </c>
      <c r="P265" s="113" t="b">
        <v>0</v>
      </c>
      <c r="Q265" s="113" t="b">
        <v>0</v>
      </c>
    </row>
    <row r="266" spans="1:17">
      <c r="A266" s="126" t="s">
        <v>1501</v>
      </c>
      <c r="B266" s="113"/>
      <c r="C266" s="113"/>
      <c r="D266" s="113">
        <v>0</v>
      </c>
      <c r="E266" s="113">
        <v>0</v>
      </c>
      <c r="F266" s="113">
        <v>0</v>
      </c>
      <c r="G266" s="113" t="s">
        <v>122</v>
      </c>
      <c r="H266" s="113"/>
      <c r="I266" s="113" t="b">
        <v>0</v>
      </c>
      <c r="J266" s="113" t="b">
        <v>0</v>
      </c>
      <c r="K266" s="113" t="b">
        <v>1</v>
      </c>
      <c r="L266" s="113" t="s">
        <v>66</v>
      </c>
      <c r="M266" s="113" t="s">
        <v>5519</v>
      </c>
      <c r="N266" s="113" t="s">
        <v>5220</v>
      </c>
      <c r="O266" s="113" t="s">
        <v>4877</v>
      </c>
      <c r="P266" s="113" t="b">
        <v>0</v>
      </c>
      <c r="Q266" s="113" t="b">
        <v>0</v>
      </c>
    </row>
    <row r="267" spans="1:17">
      <c r="A267" s="126" t="s">
        <v>1502</v>
      </c>
      <c r="B267" s="113"/>
      <c r="C267" s="113"/>
      <c r="D267" s="113">
        <v>0</v>
      </c>
      <c r="E267" s="113">
        <v>0</v>
      </c>
      <c r="F267" s="113">
        <v>0</v>
      </c>
      <c r="G267" s="113" t="s">
        <v>122</v>
      </c>
      <c r="H267" s="113"/>
      <c r="I267" s="113" t="b">
        <v>0</v>
      </c>
      <c r="J267" s="113" t="b">
        <v>0</v>
      </c>
      <c r="K267" s="113" t="b">
        <v>1</v>
      </c>
      <c r="L267" s="113" t="s">
        <v>66</v>
      </c>
      <c r="M267" s="113" t="s">
        <v>5519</v>
      </c>
      <c r="N267" s="113" t="s">
        <v>5221</v>
      </c>
      <c r="O267" s="113" t="s">
        <v>4878</v>
      </c>
      <c r="P267" s="113" t="b">
        <v>0</v>
      </c>
      <c r="Q267" s="113" t="b">
        <v>0</v>
      </c>
    </row>
    <row r="268" spans="1:17">
      <c r="A268" s="130" t="s">
        <v>5565</v>
      </c>
      <c r="B268" s="109"/>
      <c r="C268" s="109"/>
      <c r="D268" s="109">
        <v>0</v>
      </c>
      <c r="E268" s="109">
        <v>0</v>
      </c>
      <c r="F268" s="109">
        <v>0</v>
      </c>
      <c r="G268" s="109" t="s">
        <v>122</v>
      </c>
      <c r="H268" s="109"/>
      <c r="I268" s="109" t="b">
        <v>0</v>
      </c>
      <c r="J268" s="109" t="b">
        <v>0</v>
      </c>
      <c r="K268" s="109" t="b">
        <v>1</v>
      </c>
      <c r="L268" s="109" t="s">
        <v>66</v>
      </c>
      <c r="M268" s="109" t="s">
        <v>5522</v>
      </c>
      <c r="N268" s="109" t="s">
        <v>6005</v>
      </c>
      <c r="O268" s="109" t="s">
        <v>6006</v>
      </c>
      <c r="P268" s="109" t="b">
        <v>0</v>
      </c>
      <c r="Q268" s="109" t="b">
        <v>0</v>
      </c>
    </row>
    <row r="269" spans="1:17">
      <c r="A269" s="130" t="s">
        <v>1693</v>
      </c>
      <c r="B269" s="109"/>
      <c r="C269" s="109"/>
      <c r="D269" s="109">
        <v>0</v>
      </c>
      <c r="E269" s="109">
        <v>0</v>
      </c>
      <c r="F269" s="109">
        <v>0</v>
      </c>
      <c r="G269" s="109" t="s">
        <v>122</v>
      </c>
      <c r="H269" s="109"/>
      <c r="I269" s="109" t="b">
        <v>0</v>
      </c>
      <c r="J269" s="109" t="b">
        <v>0</v>
      </c>
      <c r="K269" s="109" t="b">
        <v>1</v>
      </c>
      <c r="L269" s="109" t="s">
        <v>66</v>
      </c>
      <c r="M269" s="109" t="s">
        <v>5522</v>
      </c>
      <c r="N269" s="109" t="s">
        <v>5222</v>
      </c>
      <c r="O269" s="109" t="s">
        <v>4879</v>
      </c>
      <c r="P269" s="109" t="b">
        <v>0</v>
      </c>
      <c r="Q269" s="109" t="b">
        <v>0</v>
      </c>
    </row>
    <row r="270" spans="1:17">
      <c r="A270" s="130" t="s">
        <v>1503</v>
      </c>
      <c r="B270" s="109"/>
      <c r="C270" s="109"/>
      <c r="D270" s="109">
        <v>0</v>
      </c>
      <c r="E270" s="109">
        <v>0</v>
      </c>
      <c r="F270" s="109">
        <v>0</v>
      </c>
      <c r="G270" s="109" t="s">
        <v>122</v>
      </c>
      <c r="H270" s="109"/>
      <c r="I270" s="109" t="b">
        <v>0</v>
      </c>
      <c r="J270" s="109" t="b">
        <v>0</v>
      </c>
      <c r="K270" s="109" t="b">
        <v>1</v>
      </c>
      <c r="L270" s="109" t="s">
        <v>66</v>
      </c>
      <c r="M270" s="109" t="s">
        <v>5522</v>
      </c>
      <c r="N270" s="109" t="s">
        <v>5223</v>
      </c>
      <c r="O270" s="109" t="s">
        <v>4880</v>
      </c>
      <c r="P270" s="109" t="b">
        <v>0</v>
      </c>
      <c r="Q270" s="109" t="b">
        <v>0</v>
      </c>
    </row>
    <row r="271" spans="1:17">
      <c r="A271" s="130" t="s">
        <v>1504</v>
      </c>
      <c r="B271" s="109"/>
      <c r="C271" s="109"/>
      <c r="D271" s="109">
        <v>0</v>
      </c>
      <c r="E271" s="109">
        <v>0</v>
      </c>
      <c r="F271" s="109">
        <v>0</v>
      </c>
      <c r="G271" s="109" t="s">
        <v>122</v>
      </c>
      <c r="H271" s="109"/>
      <c r="I271" s="109" t="b">
        <v>0</v>
      </c>
      <c r="J271" s="109" t="b">
        <v>0</v>
      </c>
      <c r="K271" s="109" t="b">
        <v>1</v>
      </c>
      <c r="L271" s="109" t="s">
        <v>66</v>
      </c>
      <c r="M271" s="109" t="s">
        <v>5522</v>
      </c>
      <c r="N271" s="109" t="s">
        <v>5224</v>
      </c>
      <c r="O271" s="109" t="s">
        <v>4881</v>
      </c>
      <c r="P271" s="109" t="b">
        <v>0</v>
      </c>
      <c r="Q271" s="109" t="b">
        <v>0</v>
      </c>
    </row>
    <row r="272" spans="1:17">
      <c r="A272" s="130" t="s">
        <v>1505</v>
      </c>
      <c r="B272" s="109"/>
      <c r="C272" s="109"/>
      <c r="D272" s="109">
        <v>0</v>
      </c>
      <c r="E272" s="109">
        <v>0</v>
      </c>
      <c r="F272" s="109">
        <v>0</v>
      </c>
      <c r="G272" s="109" t="s">
        <v>122</v>
      </c>
      <c r="H272" s="109"/>
      <c r="I272" s="109" t="b">
        <v>0</v>
      </c>
      <c r="J272" s="109" t="b">
        <v>0</v>
      </c>
      <c r="K272" s="109" t="b">
        <v>1</v>
      </c>
      <c r="L272" s="109" t="s">
        <v>66</v>
      </c>
      <c r="M272" s="109" t="s">
        <v>5522</v>
      </c>
      <c r="N272" s="109" t="s">
        <v>5225</v>
      </c>
      <c r="O272" s="109" t="s">
        <v>4882</v>
      </c>
      <c r="P272" s="109" t="b">
        <v>0</v>
      </c>
      <c r="Q272" s="109" t="b">
        <v>0</v>
      </c>
    </row>
    <row r="273" spans="1:17">
      <c r="A273" s="130" t="s">
        <v>1506</v>
      </c>
      <c r="B273" s="109"/>
      <c r="C273" s="109"/>
      <c r="D273" s="109">
        <v>0</v>
      </c>
      <c r="E273" s="109">
        <v>0</v>
      </c>
      <c r="F273" s="109">
        <v>0</v>
      </c>
      <c r="G273" s="109" t="s">
        <v>122</v>
      </c>
      <c r="H273" s="109"/>
      <c r="I273" s="109" t="b">
        <v>0</v>
      </c>
      <c r="J273" s="109" t="b">
        <v>0</v>
      </c>
      <c r="K273" s="109" t="b">
        <v>1</v>
      </c>
      <c r="L273" s="109" t="s">
        <v>66</v>
      </c>
      <c r="M273" s="109" t="s">
        <v>5522</v>
      </c>
      <c r="N273" s="109" t="s">
        <v>5226</v>
      </c>
      <c r="O273" s="109" t="s">
        <v>4883</v>
      </c>
      <c r="P273" s="109" t="b">
        <v>0</v>
      </c>
      <c r="Q273" s="109" t="b">
        <v>0</v>
      </c>
    </row>
    <row r="274" spans="1:17">
      <c r="A274" s="126" t="s">
        <v>5566</v>
      </c>
      <c r="B274" s="113"/>
      <c r="C274" s="113"/>
      <c r="D274" s="113">
        <v>0</v>
      </c>
      <c r="E274" s="113">
        <v>0</v>
      </c>
      <c r="F274" s="113">
        <v>0</v>
      </c>
      <c r="G274" s="113" t="s">
        <v>122</v>
      </c>
      <c r="H274" s="113"/>
      <c r="I274" s="113" t="b">
        <v>0</v>
      </c>
      <c r="J274" s="113" t="b">
        <v>0</v>
      </c>
      <c r="K274" s="113" t="b">
        <v>1</v>
      </c>
      <c r="L274" s="113" t="s">
        <v>66</v>
      </c>
      <c r="M274" s="113" t="s">
        <v>5523</v>
      </c>
      <c r="N274" s="113" t="s">
        <v>6007</v>
      </c>
      <c r="O274" s="113" t="s">
        <v>6008</v>
      </c>
      <c r="P274" s="113" t="b">
        <v>0</v>
      </c>
      <c r="Q274" s="113" t="b">
        <v>0</v>
      </c>
    </row>
    <row r="275" spans="1:17">
      <c r="A275" s="126" t="s">
        <v>1694</v>
      </c>
      <c r="B275" s="113"/>
      <c r="C275" s="113"/>
      <c r="D275" s="113">
        <v>0</v>
      </c>
      <c r="E275" s="113">
        <v>0</v>
      </c>
      <c r="F275" s="113">
        <v>0</v>
      </c>
      <c r="G275" s="113" t="s">
        <v>122</v>
      </c>
      <c r="H275" s="113"/>
      <c r="I275" s="113" t="b">
        <v>0</v>
      </c>
      <c r="J275" s="113" t="b">
        <v>0</v>
      </c>
      <c r="K275" s="113" t="b">
        <v>1</v>
      </c>
      <c r="L275" s="113" t="s">
        <v>66</v>
      </c>
      <c r="M275" s="113" t="s">
        <v>5523</v>
      </c>
      <c r="N275" s="113" t="s">
        <v>5227</v>
      </c>
      <c r="O275" s="113" t="s">
        <v>4884</v>
      </c>
      <c r="P275" s="113" t="b">
        <v>0</v>
      </c>
      <c r="Q275" s="113" t="b">
        <v>0</v>
      </c>
    </row>
    <row r="276" spans="1:17">
      <c r="A276" s="126" t="s">
        <v>1507</v>
      </c>
      <c r="B276" s="113"/>
      <c r="C276" s="113"/>
      <c r="D276" s="113">
        <v>0</v>
      </c>
      <c r="E276" s="113">
        <v>0</v>
      </c>
      <c r="F276" s="113">
        <v>0</v>
      </c>
      <c r="G276" s="113" t="s">
        <v>122</v>
      </c>
      <c r="H276" s="113"/>
      <c r="I276" s="113" t="b">
        <v>0</v>
      </c>
      <c r="J276" s="113" t="b">
        <v>0</v>
      </c>
      <c r="K276" s="113" t="b">
        <v>1</v>
      </c>
      <c r="L276" s="113" t="s">
        <v>66</v>
      </c>
      <c r="M276" s="113" t="s">
        <v>5523</v>
      </c>
      <c r="N276" s="113" t="s">
        <v>5228</v>
      </c>
      <c r="O276" s="113" t="s">
        <v>4885</v>
      </c>
      <c r="P276" s="113" t="b">
        <v>0</v>
      </c>
      <c r="Q276" s="113" t="b">
        <v>0</v>
      </c>
    </row>
    <row r="277" spans="1:17">
      <c r="A277" s="126" t="s">
        <v>1508</v>
      </c>
      <c r="B277" s="113"/>
      <c r="C277" s="113"/>
      <c r="D277" s="113">
        <v>0</v>
      </c>
      <c r="E277" s="113">
        <v>0</v>
      </c>
      <c r="F277" s="113">
        <v>0</v>
      </c>
      <c r="G277" s="113" t="s">
        <v>122</v>
      </c>
      <c r="H277" s="113"/>
      <c r="I277" s="113" t="b">
        <v>0</v>
      </c>
      <c r="J277" s="113" t="b">
        <v>0</v>
      </c>
      <c r="K277" s="113" t="b">
        <v>1</v>
      </c>
      <c r="L277" s="113" t="s">
        <v>66</v>
      </c>
      <c r="M277" s="113" t="s">
        <v>5523</v>
      </c>
      <c r="N277" s="113" t="s">
        <v>5229</v>
      </c>
      <c r="O277" s="113" t="s">
        <v>4886</v>
      </c>
      <c r="P277" s="113" t="b">
        <v>0</v>
      </c>
      <c r="Q277" s="113" t="b">
        <v>0</v>
      </c>
    </row>
    <row r="278" spans="1:17">
      <c r="A278" s="126" t="s">
        <v>1509</v>
      </c>
      <c r="B278" s="113"/>
      <c r="C278" s="113"/>
      <c r="D278" s="113">
        <v>0</v>
      </c>
      <c r="E278" s="113">
        <v>0</v>
      </c>
      <c r="F278" s="113">
        <v>0</v>
      </c>
      <c r="G278" s="113" t="s">
        <v>122</v>
      </c>
      <c r="H278" s="113"/>
      <c r="I278" s="113" t="b">
        <v>0</v>
      </c>
      <c r="J278" s="113" t="b">
        <v>0</v>
      </c>
      <c r="K278" s="113" t="b">
        <v>1</v>
      </c>
      <c r="L278" s="113" t="s">
        <v>66</v>
      </c>
      <c r="M278" s="113" t="s">
        <v>5523</v>
      </c>
      <c r="N278" s="113" t="s">
        <v>5230</v>
      </c>
      <c r="O278" s="113" t="s">
        <v>4887</v>
      </c>
      <c r="P278" s="113" t="b">
        <v>0</v>
      </c>
      <c r="Q278" s="113" t="b">
        <v>0</v>
      </c>
    </row>
    <row r="279" spans="1:17">
      <c r="A279" s="126" t="s">
        <v>1510</v>
      </c>
      <c r="B279" s="113"/>
      <c r="C279" s="113"/>
      <c r="D279" s="113">
        <v>0</v>
      </c>
      <c r="E279" s="113">
        <v>0</v>
      </c>
      <c r="F279" s="113">
        <v>0</v>
      </c>
      <c r="G279" s="113" t="s">
        <v>122</v>
      </c>
      <c r="H279" s="113"/>
      <c r="I279" s="113" t="b">
        <v>0</v>
      </c>
      <c r="J279" s="113" t="b">
        <v>0</v>
      </c>
      <c r="K279" s="113" t="b">
        <v>1</v>
      </c>
      <c r="L279" s="113" t="s">
        <v>66</v>
      </c>
      <c r="M279" s="113" t="s">
        <v>5523</v>
      </c>
      <c r="N279" s="113" t="s">
        <v>5231</v>
      </c>
      <c r="O279" s="113" t="s">
        <v>4888</v>
      </c>
      <c r="P279" s="113" t="b">
        <v>0</v>
      </c>
      <c r="Q279" s="113" t="b">
        <v>0</v>
      </c>
    </row>
    <row r="280" spans="1:17">
      <c r="A280" s="130" t="s">
        <v>5567</v>
      </c>
      <c r="B280" s="109"/>
      <c r="C280" s="109"/>
      <c r="D280" s="109">
        <v>0</v>
      </c>
      <c r="E280" s="109">
        <v>0</v>
      </c>
      <c r="F280" s="109">
        <v>0</v>
      </c>
      <c r="G280" s="109" t="s">
        <v>122</v>
      </c>
      <c r="H280" s="109"/>
      <c r="I280" s="109" t="b">
        <v>0</v>
      </c>
      <c r="J280" s="109" t="b">
        <v>0</v>
      </c>
      <c r="K280" s="109" t="b">
        <v>1</v>
      </c>
      <c r="L280" s="109" t="s">
        <v>66</v>
      </c>
      <c r="M280" s="109" t="s">
        <v>5524</v>
      </c>
      <c r="N280" s="109" t="s">
        <v>6009</v>
      </c>
      <c r="O280" s="109" t="s">
        <v>6010</v>
      </c>
      <c r="P280" s="109" t="b">
        <v>0</v>
      </c>
      <c r="Q280" s="109" t="b">
        <v>0</v>
      </c>
    </row>
    <row r="281" spans="1:17">
      <c r="A281" s="130" t="s">
        <v>1695</v>
      </c>
      <c r="B281" s="109"/>
      <c r="C281" s="109"/>
      <c r="D281" s="109">
        <v>0</v>
      </c>
      <c r="E281" s="109">
        <v>0</v>
      </c>
      <c r="F281" s="109">
        <v>0</v>
      </c>
      <c r="G281" s="109" t="s">
        <v>122</v>
      </c>
      <c r="H281" s="109"/>
      <c r="I281" s="109" t="b">
        <v>0</v>
      </c>
      <c r="J281" s="109" t="b">
        <v>0</v>
      </c>
      <c r="K281" s="109" t="b">
        <v>1</v>
      </c>
      <c r="L281" s="109" t="s">
        <v>66</v>
      </c>
      <c r="M281" s="109" t="s">
        <v>5524</v>
      </c>
      <c r="N281" s="109" t="s">
        <v>5232</v>
      </c>
      <c r="O281" s="109" t="s">
        <v>4889</v>
      </c>
      <c r="P281" s="109" t="b">
        <v>0</v>
      </c>
      <c r="Q281" s="109" t="b">
        <v>0</v>
      </c>
    </row>
    <row r="282" spans="1:17">
      <c r="A282" s="130" t="s">
        <v>1511</v>
      </c>
      <c r="B282" s="109"/>
      <c r="C282" s="109"/>
      <c r="D282" s="109">
        <v>0</v>
      </c>
      <c r="E282" s="109">
        <v>0</v>
      </c>
      <c r="F282" s="109">
        <v>0</v>
      </c>
      <c r="G282" s="109" t="s">
        <v>122</v>
      </c>
      <c r="H282" s="109"/>
      <c r="I282" s="109" t="b">
        <v>0</v>
      </c>
      <c r="J282" s="109" t="b">
        <v>0</v>
      </c>
      <c r="K282" s="109" t="b">
        <v>1</v>
      </c>
      <c r="L282" s="109" t="s">
        <v>66</v>
      </c>
      <c r="M282" s="109" t="s">
        <v>5524</v>
      </c>
      <c r="N282" s="109" t="s">
        <v>5233</v>
      </c>
      <c r="O282" s="109" t="s">
        <v>4890</v>
      </c>
      <c r="P282" s="109" t="b">
        <v>0</v>
      </c>
      <c r="Q282" s="109" t="b">
        <v>0</v>
      </c>
    </row>
    <row r="283" spans="1:17">
      <c r="A283" s="130" t="s">
        <v>1512</v>
      </c>
      <c r="B283" s="109"/>
      <c r="C283" s="109"/>
      <c r="D283" s="109">
        <v>0</v>
      </c>
      <c r="E283" s="109">
        <v>0</v>
      </c>
      <c r="F283" s="109">
        <v>0</v>
      </c>
      <c r="G283" s="109" t="s">
        <v>122</v>
      </c>
      <c r="H283" s="109"/>
      <c r="I283" s="109" t="b">
        <v>0</v>
      </c>
      <c r="J283" s="109" t="b">
        <v>0</v>
      </c>
      <c r="K283" s="109" t="b">
        <v>1</v>
      </c>
      <c r="L283" s="109" t="s">
        <v>66</v>
      </c>
      <c r="M283" s="109" t="s">
        <v>5524</v>
      </c>
      <c r="N283" s="109" t="s">
        <v>5234</v>
      </c>
      <c r="O283" s="109" t="s">
        <v>4891</v>
      </c>
      <c r="P283" s="109" t="b">
        <v>0</v>
      </c>
      <c r="Q283" s="109" t="b">
        <v>0</v>
      </c>
    </row>
    <row r="284" spans="1:17">
      <c r="A284" s="130" t="s">
        <v>1513</v>
      </c>
      <c r="B284" s="109"/>
      <c r="C284" s="109"/>
      <c r="D284" s="109">
        <v>0</v>
      </c>
      <c r="E284" s="109">
        <v>0</v>
      </c>
      <c r="F284" s="109">
        <v>0</v>
      </c>
      <c r="G284" s="109" t="s">
        <v>122</v>
      </c>
      <c r="H284" s="109"/>
      <c r="I284" s="109" t="b">
        <v>0</v>
      </c>
      <c r="J284" s="109" t="b">
        <v>0</v>
      </c>
      <c r="K284" s="109" t="b">
        <v>1</v>
      </c>
      <c r="L284" s="109" t="s">
        <v>66</v>
      </c>
      <c r="M284" s="109" t="s">
        <v>5524</v>
      </c>
      <c r="N284" s="109" t="s">
        <v>5235</v>
      </c>
      <c r="O284" s="109" t="s">
        <v>4892</v>
      </c>
      <c r="P284" s="109" t="b">
        <v>0</v>
      </c>
      <c r="Q284" s="109" t="b">
        <v>0</v>
      </c>
    </row>
    <row r="285" spans="1:17">
      <c r="A285" s="130" t="s">
        <v>1514</v>
      </c>
      <c r="B285" s="109"/>
      <c r="C285" s="109"/>
      <c r="D285" s="109">
        <v>0</v>
      </c>
      <c r="E285" s="109">
        <v>0</v>
      </c>
      <c r="F285" s="109">
        <v>0</v>
      </c>
      <c r="G285" s="109" t="s">
        <v>122</v>
      </c>
      <c r="H285" s="109"/>
      <c r="I285" s="109" t="b">
        <v>0</v>
      </c>
      <c r="J285" s="109" t="b">
        <v>0</v>
      </c>
      <c r="K285" s="109" t="b">
        <v>1</v>
      </c>
      <c r="L285" s="109" t="s">
        <v>66</v>
      </c>
      <c r="M285" s="109" t="s">
        <v>5524</v>
      </c>
      <c r="N285" s="109" t="s">
        <v>5236</v>
      </c>
      <c r="O285" s="109" t="s">
        <v>4893</v>
      </c>
      <c r="P285" s="109" t="b">
        <v>0</v>
      </c>
      <c r="Q285" s="109" t="b">
        <v>0</v>
      </c>
    </row>
    <row r="286" spans="1:17">
      <c r="A286" s="126" t="s">
        <v>5568</v>
      </c>
      <c r="B286" s="113"/>
      <c r="C286" s="113"/>
      <c r="D286" s="113">
        <v>0</v>
      </c>
      <c r="E286" s="113">
        <v>0</v>
      </c>
      <c r="F286" s="113">
        <v>0</v>
      </c>
      <c r="G286" s="113" t="s">
        <v>122</v>
      </c>
      <c r="H286" s="113"/>
      <c r="I286" s="113" t="b">
        <v>0</v>
      </c>
      <c r="J286" s="113" t="b">
        <v>0</v>
      </c>
      <c r="K286" s="113" t="b">
        <v>1</v>
      </c>
      <c r="L286" s="113" t="s">
        <v>66</v>
      </c>
      <c r="M286" s="113" t="s">
        <v>172</v>
      </c>
      <c r="N286" s="113" t="s">
        <v>5525</v>
      </c>
      <c r="O286" s="113" t="s">
        <v>5526</v>
      </c>
      <c r="P286" s="113" t="b">
        <v>0</v>
      </c>
      <c r="Q286" s="113" t="b">
        <v>0</v>
      </c>
    </row>
    <row r="287" spans="1:17">
      <c r="A287" s="126" t="s">
        <v>6011</v>
      </c>
      <c r="B287" s="113"/>
      <c r="C287" s="113"/>
      <c r="D287" s="113">
        <v>0</v>
      </c>
      <c r="E287" s="113">
        <v>0</v>
      </c>
      <c r="F287" s="113">
        <v>0</v>
      </c>
      <c r="G287" s="113" t="s">
        <v>122</v>
      </c>
      <c r="H287" s="113"/>
      <c r="I287" s="113" t="b">
        <v>0</v>
      </c>
      <c r="J287" s="113" t="b">
        <v>0</v>
      </c>
      <c r="K287" s="113" t="b">
        <v>1</v>
      </c>
      <c r="L287" s="113" t="s">
        <v>66</v>
      </c>
      <c r="M287" s="113" t="s">
        <v>172</v>
      </c>
      <c r="N287" s="113" t="s">
        <v>5237</v>
      </c>
      <c r="O287" s="113" t="s">
        <v>4894</v>
      </c>
      <c r="P287" s="113" t="b">
        <v>0</v>
      </c>
      <c r="Q287" s="113" t="b">
        <v>0</v>
      </c>
    </row>
    <row r="288" spans="1:17">
      <c r="A288" s="126" t="s">
        <v>3258</v>
      </c>
      <c r="B288" s="113"/>
      <c r="C288" s="113"/>
      <c r="D288" s="113">
        <v>0</v>
      </c>
      <c r="E288" s="113">
        <v>0</v>
      </c>
      <c r="F288" s="113">
        <v>0</v>
      </c>
      <c r="G288" s="113" t="s">
        <v>122</v>
      </c>
      <c r="H288" s="113"/>
      <c r="I288" s="113" t="b">
        <v>0</v>
      </c>
      <c r="J288" s="113" t="b">
        <v>0</v>
      </c>
      <c r="K288" s="113" t="b">
        <v>1</v>
      </c>
      <c r="L288" s="113" t="s">
        <v>66</v>
      </c>
      <c r="M288" s="113" t="s">
        <v>172</v>
      </c>
      <c r="N288" s="113" t="s">
        <v>5238</v>
      </c>
      <c r="O288" s="113" t="s">
        <v>4895</v>
      </c>
      <c r="P288" s="113" t="b">
        <v>0</v>
      </c>
      <c r="Q288" s="113" t="b">
        <v>0</v>
      </c>
    </row>
    <row r="289" spans="1:17">
      <c r="A289" s="126" t="s">
        <v>6012</v>
      </c>
      <c r="B289" s="113"/>
      <c r="C289" s="113"/>
      <c r="D289" s="113">
        <v>0</v>
      </c>
      <c r="E289" s="113">
        <v>0</v>
      </c>
      <c r="F289" s="113">
        <v>0</v>
      </c>
      <c r="G289" s="113" t="s">
        <v>122</v>
      </c>
      <c r="H289" s="113"/>
      <c r="I289" s="113" t="b">
        <v>0</v>
      </c>
      <c r="J289" s="113" t="b">
        <v>0</v>
      </c>
      <c r="K289" s="113" t="b">
        <v>1</v>
      </c>
      <c r="L289" s="113" t="s">
        <v>66</v>
      </c>
      <c r="M289" s="113" t="s">
        <v>172</v>
      </c>
      <c r="N289" s="113" t="s">
        <v>5239</v>
      </c>
      <c r="O289" s="113" t="s">
        <v>4896</v>
      </c>
      <c r="P289" s="113" t="b">
        <v>0</v>
      </c>
      <c r="Q289" s="113" t="b">
        <v>0</v>
      </c>
    </row>
    <row r="290" spans="1:17">
      <c r="A290" s="126" t="s">
        <v>3260</v>
      </c>
      <c r="B290" s="113"/>
      <c r="C290" s="113"/>
      <c r="D290" s="113">
        <v>0</v>
      </c>
      <c r="E290" s="113">
        <v>0</v>
      </c>
      <c r="F290" s="113">
        <v>0</v>
      </c>
      <c r="G290" s="113" t="s">
        <v>122</v>
      </c>
      <c r="H290" s="113"/>
      <c r="I290" s="113" t="b">
        <v>0</v>
      </c>
      <c r="J290" s="113" t="b">
        <v>0</v>
      </c>
      <c r="K290" s="113" t="b">
        <v>1</v>
      </c>
      <c r="L290" s="113" t="s">
        <v>66</v>
      </c>
      <c r="M290" s="113" t="s">
        <v>172</v>
      </c>
      <c r="N290" s="113" t="s">
        <v>5240</v>
      </c>
      <c r="O290" s="113" t="s">
        <v>4897</v>
      </c>
      <c r="P290" s="113" t="b">
        <v>0</v>
      </c>
      <c r="Q290" s="113" t="b">
        <v>0</v>
      </c>
    </row>
    <row r="291" spans="1:17">
      <c r="A291" s="126" t="s">
        <v>3261</v>
      </c>
      <c r="B291" s="113"/>
      <c r="C291" s="113"/>
      <c r="D291" s="113">
        <v>0</v>
      </c>
      <c r="E291" s="113">
        <v>0</v>
      </c>
      <c r="F291" s="113">
        <v>0</v>
      </c>
      <c r="G291" s="113" t="s">
        <v>122</v>
      </c>
      <c r="H291" s="113"/>
      <c r="I291" s="113" t="b">
        <v>0</v>
      </c>
      <c r="J291" s="113" t="b">
        <v>0</v>
      </c>
      <c r="K291" s="113" t="b">
        <v>1</v>
      </c>
      <c r="L291" s="113" t="s">
        <v>66</v>
      </c>
      <c r="M291" s="113" t="s">
        <v>172</v>
      </c>
      <c r="N291" s="113" t="s">
        <v>5241</v>
      </c>
      <c r="O291" s="113" t="s">
        <v>4898</v>
      </c>
      <c r="P291" s="113" t="b">
        <v>0</v>
      </c>
      <c r="Q291" s="113" t="b">
        <v>0</v>
      </c>
    </row>
    <row r="292" spans="1:17">
      <c r="A292" s="130" t="s">
        <v>5569</v>
      </c>
      <c r="B292" s="109"/>
      <c r="C292" s="109"/>
      <c r="D292" s="109">
        <v>0</v>
      </c>
      <c r="E292" s="109">
        <v>0</v>
      </c>
      <c r="F292" s="109">
        <v>0</v>
      </c>
      <c r="G292" s="109" t="s">
        <v>122</v>
      </c>
      <c r="H292" s="109"/>
      <c r="I292" s="109" t="b">
        <v>0</v>
      </c>
      <c r="J292" s="109" t="b">
        <v>0</v>
      </c>
      <c r="K292" s="109" t="b">
        <v>1</v>
      </c>
      <c r="L292" s="109" t="s">
        <v>66</v>
      </c>
      <c r="M292" s="109" t="s">
        <v>375</v>
      </c>
      <c r="N292" s="109" t="s">
        <v>6013</v>
      </c>
      <c r="O292" s="109" t="s">
        <v>6014</v>
      </c>
      <c r="P292" s="109" t="b">
        <v>0</v>
      </c>
      <c r="Q292" s="109" t="b">
        <v>0</v>
      </c>
    </row>
    <row r="293" spans="1:17">
      <c r="A293" s="130" t="s">
        <v>6015</v>
      </c>
      <c r="B293" s="109"/>
      <c r="C293" s="109"/>
      <c r="D293" s="109">
        <v>0</v>
      </c>
      <c r="E293" s="109">
        <v>0</v>
      </c>
      <c r="F293" s="109">
        <v>0</v>
      </c>
      <c r="G293" s="109" t="s">
        <v>122</v>
      </c>
      <c r="H293" s="109"/>
      <c r="I293" s="109" t="b">
        <v>0</v>
      </c>
      <c r="J293" s="109" t="b">
        <v>0</v>
      </c>
      <c r="K293" s="109" t="b">
        <v>1</v>
      </c>
      <c r="L293" s="109" t="s">
        <v>66</v>
      </c>
      <c r="M293" s="109" t="s">
        <v>375</v>
      </c>
      <c r="N293" s="109" t="s">
        <v>5242</v>
      </c>
      <c r="O293" s="109" t="s">
        <v>4899</v>
      </c>
      <c r="P293" s="109" t="b">
        <v>0</v>
      </c>
      <c r="Q293" s="109" t="b">
        <v>0</v>
      </c>
    </row>
    <row r="294" spans="1:17">
      <c r="A294" s="130" t="s">
        <v>3325</v>
      </c>
      <c r="B294" s="109"/>
      <c r="C294" s="109"/>
      <c r="D294" s="109">
        <v>0</v>
      </c>
      <c r="E294" s="109">
        <v>0</v>
      </c>
      <c r="F294" s="109">
        <v>0</v>
      </c>
      <c r="G294" s="109" t="s">
        <v>122</v>
      </c>
      <c r="H294" s="109"/>
      <c r="I294" s="109" t="b">
        <v>0</v>
      </c>
      <c r="J294" s="109" t="b">
        <v>0</v>
      </c>
      <c r="K294" s="109" t="b">
        <v>1</v>
      </c>
      <c r="L294" s="109" t="s">
        <v>66</v>
      </c>
      <c r="M294" s="109" t="s">
        <v>375</v>
      </c>
      <c r="N294" s="109" t="s">
        <v>5243</v>
      </c>
      <c r="O294" s="109" t="s">
        <v>4900</v>
      </c>
      <c r="P294" s="109" t="b">
        <v>0</v>
      </c>
      <c r="Q294" s="109" t="b">
        <v>0</v>
      </c>
    </row>
    <row r="295" spans="1:17">
      <c r="A295" s="130" t="s">
        <v>3326</v>
      </c>
      <c r="B295" s="109"/>
      <c r="C295" s="109"/>
      <c r="D295" s="109">
        <v>0</v>
      </c>
      <c r="E295" s="109">
        <v>0</v>
      </c>
      <c r="F295" s="109">
        <v>0</v>
      </c>
      <c r="G295" s="109" t="s">
        <v>122</v>
      </c>
      <c r="H295" s="109"/>
      <c r="I295" s="109" t="b">
        <v>0</v>
      </c>
      <c r="J295" s="109" t="b">
        <v>0</v>
      </c>
      <c r="K295" s="109" t="b">
        <v>1</v>
      </c>
      <c r="L295" s="109" t="s">
        <v>66</v>
      </c>
      <c r="M295" s="109" t="s">
        <v>375</v>
      </c>
      <c r="N295" s="109" t="s">
        <v>5244</v>
      </c>
      <c r="O295" s="109" t="s">
        <v>4901</v>
      </c>
      <c r="P295" s="109" t="b">
        <v>0</v>
      </c>
      <c r="Q295" s="109" t="b">
        <v>0</v>
      </c>
    </row>
    <row r="296" spans="1:17">
      <c r="A296" s="130" t="s">
        <v>3327</v>
      </c>
      <c r="B296" s="109"/>
      <c r="C296" s="109"/>
      <c r="D296" s="109">
        <v>0</v>
      </c>
      <c r="E296" s="109">
        <v>0</v>
      </c>
      <c r="F296" s="109">
        <v>0</v>
      </c>
      <c r="G296" s="109" t="s">
        <v>122</v>
      </c>
      <c r="H296" s="109"/>
      <c r="I296" s="109" t="b">
        <v>0</v>
      </c>
      <c r="J296" s="109" t="b">
        <v>0</v>
      </c>
      <c r="K296" s="109" t="b">
        <v>1</v>
      </c>
      <c r="L296" s="109" t="s">
        <v>66</v>
      </c>
      <c r="M296" s="109" t="s">
        <v>375</v>
      </c>
      <c r="N296" s="109" t="s">
        <v>5245</v>
      </c>
      <c r="O296" s="109" t="s">
        <v>4902</v>
      </c>
      <c r="P296" s="109" t="b">
        <v>0</v>
      </c>
      <c r="Q296" s="109" t="b">
        <v>0</v>
      </c>
    </row>
    <row r="297" spans="1:17">
      <c r="A297" s="130" t="s">
        <v>3328</v>
      </c>
      <c r="B297" s="109"/>
      <c r="C297" s="109"/>
      <c r="D297" s="109">
        <v>0</v>
      </c>
      <c r="E297" s="109">
        <v>0</v>
      </c>
      <c r="F297" s="109">
        <v>0</v>
      </c>
      <c r="G297" s="109" t="s">
        <v>122</v>
      </c>
      <c r="H297" s="109"/>
      <c r="I297" s="109" t="b">
        <v>0</v>
      </c>
      <c r="J297" s="109" t="b">
        <v>0</v>
      </c>
      <c r="K297" s="109" t="b">
        <v>1</v>
      </c>
      <c r="L297" s="109" t="s">
        <v>66</v>
      </c>
      <c r="M297" s="109" t="s">
        <v>375</v>
      </c>
      <c r="N297" s="109" t="s">
        <v>5246</v>
      </c>
      <c r="O297" s="109" t="s">
        <v>4903</v>
      </c>
      <c r="P297" s="109" t="b">
        <v>0</v>
      </c>
      <c r="Q297" s="109" t="b">
        <v>0</v>
      </c>
    </row>
    <row r="298" spans="1:17">
      <c r="A298" s="130" t="s">
        <v>4013</v>
      </c>
      <c r="B298" s="109"/>
      <c r="C298" s="109"/>
      <c r="D298" s="109">
        <v>0</v>
      </c>
      <c r="E298" s="109">
        <v>0</v>
      </c>
      <c r="F298" s="109">
        <v>0</v>
      </c>
      <c r="G298" s="109" t="s">
        <v>122</v>
      </c>
      <c r="H298" s="109"/>
      <c r="I298" s="109" t="b">
        <v>0</v>
      </c>
      <c r="J298" s="109" t="b">
        <v>0</v>
      </c>
      <c r="K298" s="109" t="b">
        <v>1</v>
      </c>
      <c r="L298" s="109" t="s">
        <v>66</v>
      </c>
      <c r="M298" s="109" t="s">
        <v>375</v>
      </c>
      <c r="N298" s="109" t="s">
        <v>5247</v>
      </c>
      <c r="O298" s="109" t="s">
        <v>4904</v>
      </c>
      <c r="P298" s="109" t="b">
        <v>0</v>
      </c>
      <c r="Q298" s="109" t="b">
        <v>0</v>
      </c>
    </row>
    <row r="299" spans="1:17">
      <c r="A299" s="130" t="s">
        <v>4014</v>
      </c>
      <c r="B299" s="109"/>
      <c r="C299" s="109"/>
      <c r="D299" s="109">
        <v>0</v>
      </c>
      <c r="E299" s="109">
        <v>0</v>
      </c>
      <c r="F299" s="109">
        <v>0</v>
      </c>
      <c r="G299" s="109" t="s">
        <v>122</v>
      </c>
      <c r="H299" s="109"/>
      <c r="I299" s="109" t="b">
        <v>0</v>
      </c>
      <c r="J299" s="109" t="b">
        <v>0</v>
      </c>
      <c r="K299" s="109" t="b">
        <v>1</v>
      </c>
      <c r="L299" s="109" t="s">
        <v>66</v>
      </c>
      <c r="M299" s="109" t="s">
        <v>375</v>
      </c>
      <c r="N299" s="109" t="s">
        <v>5248</v>
      </c>
      <c r="O299" s="109" t="s">
        <v>4905</v>
      </c>
      <c r="P299" s="109" t="b">
        <v>0</v>
      </c>
      <c r="Q299" s="109" t="b">
        <v>0</v>
      </c>
    </row>
    <row r="300" spans="1:17">
      <c r="A300" s="130" t="s">
        <v>4015</v>
      </c>
      <c r="B300" s="109"/>
      <c r="C300" s="109"/>
      <c r="D300" s="109">
        <v>0</v>
      </c>
      <c r="E300" s="109">
        <v>0</v>
      </c>
      <c r="F300" s="109">
        <v>0</v>
      </c>
      <c r="G300" s="109" t="s">
        <v>122</v>
      </c>
      <c r="H300" s="109"/>
      <c r="I300" s="109" t="b">
        <v>0</v>
      </c>
      <c r="J300" s="109" t="b">
        <v>0</v>
      </c>
      <c r="K300" s="109" t="b">
        <v>1</v>
      </c>
      <c r="L300" s="109" t="s">
        <v>66</v>
      </c>
      <c r="M300" s="109" t="s">
        <v>375</v>
      </c>
      <c r="N300" s="109" t="s">
        <v>5249</v>
      </c>
      <c r="O300" s="109" t="s">
        <v>4906</v>
      </c>
      <c r="P300" s="109" t="b">
        <v>0</v>
      </c>
      <c r="Q300" s="109" t="b">
        <v>0</v>
      </c>
    </row>
    <row r="301" spans="1:17">
      <c r="A301" s="130" t="s">
        <v>4016</v>
      </c>
      <c r="B301" s="109"/>
      <c r="C301" s="109"/>
      <c r="D301" s="109">
        <v>0</v>
      </c>
      <c r="E301" s="109">
        <v>0</v>
      </c>
      <c r="F301" s="109">
        <v>0</v>
      </c>
      <c r="G301" s="109" t="s">
        <v>122</v>
      </c>
      <c r="H301" s="109"/>
      <c r="I301" s="109" t="b">
        <v>0</v>
      </c>
      <c r="J301" s="109" t="b">
        <v>0</v>
      </c>
      <c r="K301" s="109" t="b">
        <v>1</v>
      </c>
      <c r="L301" s="109" t="s">
        <v>66</v>
      </c>
      <c r="M301" s="109" t="s">
        <v>375</v>
      </c>
      <c r="N301" s="109" t="s">
        <v>5250</v>
      </c>
      <c r="O301" s="109" t="s">
        <v>4907</v>
      </c>
      <c r="P301" s="109" t="b">
        <v>0</v>
      </c>
      <c r="Q301" s="109" t="b">
        <v>0</v>
      </c>
    </row>
    <row r="302" spans="1:17">
      <c r="A302" s="130" t="s">
        <v>4017</v>
      </c>
      <c r="B302" s="109"/>
      <c r="C302" s="109"/>
      <c r="D302" s="109">
        <v>0</v>
      </c>
      <c r="E302" s="109">
        <v>0</v>
      </c>
      <c r="F302" s="109">
        <v>0</v>
      </c>
      <c r="G302" s="109" t="s">
        <v>122</v>
      </c>
      <c r="H302" s="109"/>
      <c r="I302" s="109" t="b">
        <v>0</v>
      </c>
      <c r="J302" s="109" t="b">
        <v>0</v>
      </c>
      <c r="K302" s="109" t="b">
        <v>1</v>
      </c>
      <c r="L302" s="109" t="s">
        <v>66</v>
      </c>
      <c r="M302" s="109" t="s">
        <v>375</v>
      </c>
      <c r="N302" s="109" t="s">
        <v>5251</v>
      </c>
      <c r="O302" s="109" t="s">
        <v>4908</v>
      </c>
      <c r="P302" s="109" t="b">
        <v>0</v>
      </c>
      <c r="Q302" s="109" t="b">
        <v>0</v>
      </c>
    </row>
    <row r="303" spans="1:17">
      <c r="A303" s="126" t="s">
        <v>5570</v>
      </c>
      <c r="B303" s="113"/>
      <c r="C303" s="113"/>
      <c r="D303" s="113">
        <v>0</v>
      </c>
      <c r="E303" s="113">
        <v>0</v>
      </c>
      <c r="F303" s="113">
        <v>0</v>
      </c>
      <c r="G303" s="113" t="s">
        <v>122</v>
      </c>
      <c r="H303" s="113"/>
      <c r="I303" s="113" t="b">
        <v>0</v>
      </c>
      <c r="J303" s="113" t="b">
        <v>0</v>
      </c>
      <c r="K303" s="113" t="b">
        <v>1</v>
      </c>
      <c r="L303" s="113" t="s">
        <v>66</v>
      </c>
      <c r="M303" s="113" t="s">
        <v>86</v>
      </c>
      <c r="N303" s="113" t="s">
        <v>6016</v>
      </c>
      <c r="O303" s="113" t="s">
        <v>6017</v>
      </c>
      <c r="P303" s="113" t="b">
        <v>0</v>
      </c>
      <c r="Q303" s="113" t="b">
        <v>0</v>
      </c>
    </row>
    <row r="304" spans="1:17">
      <c r="A304" s="126" t="s">
        <v>6018</v>
      </c>
      <c r="B304" s="113"/>
      <c r="C304" s="113"/>
      <c r="D304" s="113">
        <v>0</v>
      </c>
      <c r="E304" s="113">
        <v>0</v>
      </c>
      <c r="F304" s="113">
        <v>0</v>
      </c>
      <c r="G304" s="113" t="s">
        <v>122</v>
      </c>
      <c r="H304" s="113"/>
      <c r="I304" s="113" t="b">
        <v>0</v>
      </c>
      <c r="J304" s="113" t="b">
        <v>0</v>
      </c>
      <c r="K304" s="113" t="b">
        <v>1</v>
      </c>
      <c r="L304" s="113" t="s">
        <v>66</v>
      </c>
      <c r="M304" s="113" t="s">
        <v>86</v>
      </c>
      <c r="N304" s="113" t="s">
        <v>5252</v>
      </c>
      <c r="O304" s="113" t="s">
        <v>4909</v>
      </c>
      <c r="P304" s="113" t="b">
        <v>0</v>
      </c>
      <c r="Q304" s="113" t="b">
        <v>0</v>
      </c>
    </row>
    <row r="305" spans="1:17">
      <c r="A305" s="126" t="s">
        <v>4487</v>
      </c>
      <c r="B305" s="113"/>
      <c r="C305" s="113"/>
      <c r="D305" s="113">
        <v>0</v>
      </c>
      <c r="E305" s="113">
        <v>0</v>
      </c>
      <c r="F305" s="113">
        <v>0</v>
      </c>
      <c r="G305" s="113" t="s">
        <v>122</v>
      </c>
      <c r="H305" s="113"/>
      <c r="I305" s="113" t="b">
        <v>0</v>
      </c>
      <c r="J305" s="113" t="b">
        <v>0</v>
      </c>
      <c r="K305" s="113" t="b">
        <v>1</v>
      </c>
      <c r="L305" s="113" t="s">
        <v>66</v>
      </c>
      <c r="M305" s="113" t="s">
        <v>86</v>
      </c>
      <c r="N305" s="113" t="s">
        <v>5253</v>
      </c>
      <c r="O305" s="113" t="s">
        <v>4910</v>
      </c>
      <c r="P305" s="113" t="b">
        <v>0</v>
      </c>
      <c r="Q305" s="113" t="b">
        <v>0</v>
      </c>
    </row>
    <row r="306" spans="1:17">
      <c r="A306" s="126" t="s">
        <v>4488</v>
      </c>
      <c r="B306" s="113"/>
      <c r="C306" s="113"/>
      <c r="D306" s="113">
        <v>0</v>
      </c>
      <c r="E306" s="113">
        <v>0</v>
      </c>
      <c r="F306" s="113">
        <v>0</v>
      </c>
      <c r="G306" s="113" t="s">
        <v>122</v>
      </c>
      <c r="H306" s="113"/>
      <c r="I306" s="113" t="b">
        <v>0</v>
      </c>
      <c r="J306" s="113" t="b">
        <v>0</v>
      </c>
      <c r="K306" s="113" t="b">
        <v>1</v>
      </c>
      <c r="L306" s="113" t="s">
        <v>66</v>
      </c>
      <c r="M306" s="113" t="s">
        <v>86</v>
      </c>
      <c r="N306" s="113" t="s">
        <v>5254</v>
      </c>
      <c r="O306" s="113" t="s">
        <v>4911</v>
      </c>
      <c r="P306" s="113" t="b">
        <v>0</v>
      </c>
      <c r="Q306" s="113" t="b">
        <v>0</v>
      </c>
    </row>
    <row r="307" spans="1:17">
      <c r="A307" s="126" t="s">
        <v>4489</v>
      </c>
      <c r="B307" s="113"/>
      <c r="C307" s="113"/>
      <c r="D307" s="113">
        <v>0</v>
      </c>
      <c r="E307" s="113">
        <v>0</v>
      </c>
      <c r="F307" s="113">
        <v>0</v>
      </c>
      <c r="G307" s="113" t="s">
        <v>122</v>
      </c>
      <c r="H307" s="113"/>
      <c r="I307" s="113" t="b">
        <v>0</v>
      </c>
      <c r="J307" s="113" t="b">
        <v>0</v>
      </c>
      <c r="K307" s="113" t="b">
        <v>1</v>
      </c>
      <c r="L307" s="113" t="s">
        <v>66</v>
      </c>
      <c r="M307" s="113" t="s">
        <v>86</v>
      </c>
      <c r="N307" s="113" t="s">
        <v>5255</v>
      </c>
      <c r="O307" s="113" t="s">
        <v>4912</v>
      </c>
      <c r="P307" s="113" t="b">
        <v>0</v>
      </c>
      <c r="Q307" s="113" t="b">
        <v>0</v>
      </c>
    </row>
    <row r="308" spans="1:17">
      <c r="A308" s="126" t="s">
        <v>6019</v>
      </c>
      <c r="B308" s="113"/>
      <c r="C308" s="113"/>
      <c r="D308" s="113">
        <v>0</v>
      </c>
      <c r="E308" s="113">
        <v>0</v>
      </c>
      <c r="F308" s="113">
        <v>0</v>
      </c>
      <c r="G308" s="113" t="s">
        <v>122</v>
      </c>
      <c r="H308" s="113"/>
      <c r="I308" s="113" t="b">
        <v>0</v>
      </c>
      <c r="J308" s="113" t="b">
        <v>0</v>
      </c>
      <c r="K308" s="113" t="b">
        <v>1</v>
      </c>
      <c r="L308" s="113" t="s">
        <v>66</v>
      </c>
      <c r="M308" s="113" t="s">
        <v>86</v>
      </c>
      <c r="N308" s="113" t="s">
        <v>5256</v>
      </c>
      <c r="O308" s="113" t="s">
        <v>4913</v>
      </c>
      <c r="P308" s="113" t="b">
        <v>0</v>
      </c>
      <c r="Q308" s="113" t="b">
        <v>0</v>
      </c>
    </row>
    <row r="309" spans="1:17">
      <c r="A309" s="130" t="s">
        <v>5571</v>
      </c>
      <c r="B309" s="109"/>
      <c r="C309" s="109"/>
      <c r="D309" s="109">
        <v>0</v>
      </c>
      <c r="E309" s="109">
        <v>0</v>
      </c>
      <c r="F309" s="109">
        <v>0</v>
      </c>
      <c r="G309" s="109" t="s">
        <v>122</v>
      </c>
      <c r="H309" s="109"/>
      <c r="I309" s="109" t="b">
        <v>0</v>
      </c>
      <c r="J309" s="109" t="b">
        <v>0</v>
      </c>
      <c r="K309" s="109" t="b">
        <v>1</v>
      </c>
      <c r="L309" s="109" t="s">
        <v>66</v>
      </c>
      <c r="M309" s="109" t="s">
        <v>5527</v>
      </c>
      <c r="N309" s="109" t="s">
        <v>6020</v>
      </c>
      <c r="O309" s="109" t="s">
        <v>6021</v>
      </c>
      <c r="P309" s="109" t="b">
        <v>0</v>
      </c>
      <c r="Q309" s="109" t="b">
        <v>0</v>
      </c>
    </row>
    <row r="310" spans="1:17">
      <c r="A310" s="130" t="s">
        <v>4501</v>
      </c>
      <c r="B310" s="109"/>
      <c r="C310" s="109"/>
      <c r="D310" s="109">
        <v>0</v>
      </c>
      <c r="E310" s="109">
        <v>0</v>
      </c>
      <c r="F310" s="109">
        <v>0</v>
      </c>
      <c r="G310" s="109" t="s">
        <v>122</v>
      </c>
      <c r="H310" s="109"/>
      <c r="I310" s="109" t="b">
        <v>0</v>
      </c>
      <c r="J310" s="109" t="b">
        <v>0</v>
      </c>
      <c r="K310" s="109" t="b">
        <v>1</v>
      </c>
      <c r="L310" s="109" t="s">
        <v>66</v>
      </c>
      <c r="M310" s="109" t="s">
        <v>5527</v>
      </c>
      <c r="N310" s="109" t="s">
        <v>5257</v>
      </c>
      <c r="O310" s="109" t="s">
        <v>4914</v>
      </c>
      <c r="P310" s="109" t="b">
        <v>0</v>
      </c>
      <c r="Q310" s="109" t="b">
        <v>0</v>
      </c>
    </row>
    <row r="311" spans="1:17">
      <c r="A311" s="130" t="s">
        <v>4502</v>
      </c>
      <c r="B311" s="109"/>
      <c r="C311" s="109"/>
      <c r="D311" s="109">
        <v>0</v>
      </c>
      <c r="E311" s="109">
        <v>0</v>
      </c>
      <c r="F311" s="109">
        <v>0</v>
      </c>
      <c r="G311" s="109" t="s">
        <v>122</v>
      </c>
      <c r="H311" s="109"/>
      <c r="I311" s="109" t="b">
        <v>0</v>
      </c>
      <c r="J311" s="109" t="b">
        <v>0</v>
      </c>
      <c r="K311" s="109" t="b">
        <v>1</v>
      </c>
      <c r="L311" s="109" t="s">
        <v>66</v>
      </c>
      <c r="M311" s="109" t="s">
        <v>5527</v>
      </c>
      <c r="N311" s="109" t="s">
        <v>5258</v>
      </c>
      <c r="O311" s="109" t="s">
        <v>4915</v>
      </c>
      <c r="P311" s="109" t="b">
        <v>0</v>
      </c>
      <c r="Q311" s="109" t="b">
        <v>0</v>
      </c>
    </row>
    <row r="312" spans="1:17">
      <c r="A312" s="130" t="s">
        <v>4503</v>
      </c>
      <c r="B312" s="109"/>
      <c r="C312" s="109"/>
      <c r="D312" s="109">
        <v>0</v>
      </c>
      <c r="E312" s="109">
        <v>0</v>
      </c>
      <c r="F312" s="109">
        <v>0</v>
      </c>
      <c r="G312" s="109" t="s">
        <v>122</v>
      </c>
      <c r="H312" s="109"/>
      <c r="I312" s="109" t="b">
        <v>0</v>
      </c>
      <c r="J312" s="109" t="b">
        <v>0</v>
      </c>
      <c r="K312" s="109" t="b">
        <v>1</v>
      </c>
      <c r="L312" s="109" t="s">
        <v>66</v>
      </c>
      <c r="M312" s="109" t="s">
        <v>5527</v>
      </c>
      <c r="N312" s="109" t="s">
        <v>5259</v>
      </c>
      <c r="O312" s="109" t="s">
        <v>4916</v>
      </c>
      <c r="P312" s="109" t="b">
        <v>0</v>
      </c>
      <c r="Q312" s="109" t="b">
        <v>0</v>
      </c>
    </row>
    <row r="313" spans="1:17">
      <c r="A313" s="130" t="s">
        <v>4504</v>
      </c>
      <c r="B313" s="109"/>
      <c r="C313" s="109"/>
      <c r="D313" s="109">
        <v>0</v>
      </c>
      <c r="E313" s="109">
        <v>0</v>
      </c>
      <c r="F313" s="109">
        <v>0</v>
      </c>
      <c r="G313" s="109" t="s">
        <v>122</v>
      </c>
      <c r="H313" s="109"/>
      <c r="I313" s="109" t="b">
        <v>0</v>
      </c>
      <c r="J313" s="109" t="b">
        <v>0</v>
      </c>
      <c r="K313" s="109" t="b">
        <v>1</v>
      </c>
      <c r="L313" s="109" t="s">
        <v>66</v>
      </c>
      <c r="M313" s="109" t="s">
        <v>5527</v>
      </c>
      <c r="N313" s="109" t="s">
        <v>5260</v>
      </c>
      <c r="O313" s="109" t="s">
        <v>4917</v>
      </c>
      <c r="P313" s="109" t="b">
        <v>0</v>
      </c>
      <c r="Q313" s="109" t="b">
        <v>0</v>
      </c>
    </row>
    <row r="314" spans="1:17">
      <c r="A314" s="130" t="s">
        <v>4505</v>
      </c>
      <c r="B314" s="109"/>
      <c r="C314" s="109"/>
      <c r="D314" s="109">
        <v>0</v>
      </c>
      <c r="E314" s="109">
        <v>0</v>
      </c>
      <c r="F314" s="109">
        <v>0</v>
      </c>
      <c r="G314" s="109" t="s">
        <v>122</v>
      </c>
      <c r="H314" s="109"/>
      <c r="I314" s="109" t="b">
        <v>0</v>
      </c>
      <c r="J314" s="109" t="b">
        <v>0</v>
      </c>
      <c r="K314" s="109" t="b">
        <v>1</v>
      </c>
      <c r="L314" s="109" t="s">
        <v>66</v>
      </c>
      <c r="M314" s="109" t="s">
        <v>5527</v>
      </c>
      <c r="N314" s="109" t="s">
        <v>5261</v>
      </c>
      <c r="O314" s="109" t="s">
        <v>4918</v>
      </c>
      <c r="P314" s="109" t="b">
        <v>0</v>
      </c>
      <c r="Q314" s="109" t="b">
        <v>0</v>
      </c>
    </row>
    <row r="315" spans="1:17">
      <c r="A315" s="126" t="s">
        <v>5572</v>
      </c>
      <c r="B315" s="113"/>
      <c r="C315" s="113"/>
      <c r="D315" s="113">
        <v>0</v>
      </c>
      <c r="E315" s="113">
        <v>0</v>
      </c>
      <c r="F315" s="113">
        <v>0</v>
      </c>
      <c r="G315" s="113" t="s">
        <v>122</v>
      </c>
      <c r="H315" s="113"/>
      <c r="I315" s="113" t="b">
        <v>0</v>
      </c>
      <c r="J315" s="113" t="b">
        <v>0</v>
      </c>
      <c r="K315" s="113" t="b">
        <v>1</v>
      </c>
      <c r="L315" s="113" t="s">
        <v>66</v>
      </c>
      <c r="M315" s="113" t="s">
        <v>5527</v>
      </c>
      <c r="N315" s="113" t="s">
        <v>6022</v>
      </c>
      <c r="O315" s="113" t="s">
        <v>6023</v>
      </c>
      <c r="P315" s="113" t="b">
        <v>0</v>
      </c>
      <c r="Q315" s="113" t="b">
        <v>0</v>
      </c>
    </row>
    <row r="316" spans="1:17">
      <c r="A316" s="126" t="s">
        <v>6024</v>
      </c>
      <c r="B316" s="113"/>
      <c r="C316" s="113"/>
      <c r="D316" s="113">
        <v>0</v>
      </c>
      <c r="E316" s="113">
        <v>0</v>
      </c>
      <c r="F316" s="113">
        <v>0</v>
      </c>
      <c r="G316" s="113" t="s">
        <v>122</v>
      </c>
      <c r="H316" s="113"/>
      <c r="I316" s="113" t="b">
        <v>0</v>
      </c>
      <c r="J316" s="113" t="b">
        <v>0</v>
      </c>
      <c r="K316" s="113" t="b">
        <v>1</v>
      </c>
      <c r="L316" s="113" t="s">
        <v>66</v>
      </c>
      <c r="M316" s="113" t="s">
        <v>5527</v>
      </c>
      <c r="N316" s="113" t="s">
        <v>5262</v>
      </c>
      <c r="O316" s="113" t="s">
        <v>4919</v>
      </c>
      <c r="P316" s="113" t="b">
        <v>0</v>
      </c>
      <c r="Q316" s="113" t="b">
        <v>0</v>
      </c>
    </row>
    <row r="317" spans="1:17">
      <c r="A317" s="126" t="s">
        <v>4495</v>
      </c>
      <c r="B317" s="113"/>
      <c r="C317" s="113"/>
      <c r="D317" s="113">
        <v>0</v>
      </c>
      <c r="E317" s="113">
        <v>0</v>
      </c>
      <c r="F317" s="113">
        <v>0</v>
      </c>
      <c r="G317" s="113" t="s">
        <v>122</v>
      </c>
      <c r="H317" s="113"/>
      <c r="I317" s="113" t="b">
        <v>0</v>
      </c>
      <c r="J317" s="113" t="b">
        <v>0</v>
      </c>
      <c r="K317" s="113" t="b">
        <v>1</v>
      </c>
      <c r="L317" s="113" t="s">
        <v>66</v>
      </c>
      <c r="M317" s="113" t="s">
        <v>5527</v>
      </c>
      <c r="N317" s="113" t="s">
        <v>5263</v>
      </c>
      <c r="O317" s="113" t="s">
        <v>4920</v>
      </c>
      <c r="P317" s="113" t="b">
        <v>0</v>
      </c>
      <c r="Q317" s="113" t="b">
        <v>0</v>
      </c>
    </row>
    <row r="318" spans="1:17">
      <c r="A318" s="126" t="s">
        <v>4496</v>
      </c>
      <c r="B318" s="113"/>
      <c r="C318" s="113"/>
      <c r="D318" s="113">
        <v>0</v>
      </c>
      <c r="E318" s="113">
        <v>0</v>
      </c>
      <c r="F318" s="113">
        <v>0</v>
      </c>
      <c r="G318" s="113" t="s">
        <v>122</v>
      </c>
      <c r="H318" s="113"/>
      <c r="I318" s="113" t="b">
        <v>0</v>
      </c>
      <c r="J318" s="113" t="b">
        <v>0</v>
      </c>
      <c r="K318" s="113" t="b">
        <v>1</v>
      </c>
      <c r="L318" s="113" t="s">
        <v>66</v>
      </c>
      <c r="M318" s="113" t="s">
        <v>5527</v>
      </c>
      <c r="N318" s="113" t="s">
        <v>5264</v>
      </c>
      <c r="O318" s="113" t="s">
        <v>4921</v>
      </c>
      <c r="P318" s="113" t="b">
        <v>0</v>
      </c>
      <c r="Q318" s="113" t="b">
        <v>0</v>
      </c>
    </row>
    <row r="319" spans="1:17">
      <c r="A319" s="126" t="s">
        <v>4497</v>
      </c>
      <c r="B319" s="113"/>
      <c r="C319" s="113"/>
      <c r="D319" s="113">
        <v>0</v>
      </c>
      <c r="E319" s="113">
        <v>0</v>
      </c>
      <c r="F319" s="113">
        <v>0</v>
      </c>
      <c r="G319" s="113" t="s">
        <v>122</v>
      </c>
      <c r="H319" s="113"/>
      <c r="I319" s="113" t="b">
        <v>0</v>
      </c>
      <c r="J319" s="113" t="b">
        <v>0</v>
      </c>
      <c r="K319" s="113" t="b">
        <v>1</v>
      </c>
      <c r="L319" s="113" t="s">
        <v>66</v>
      </c>
      <c r="M319" s="113" t="s">
        <v>5527</v>
      </c>
      <c r="N319" s="113" t="s">
        <v>5265</v>
      </c>
      <c r="O319" s="113" t="s">
        <v>4922</v>
      </c>
      <c r="P319" s="113" t="b">
        <v>0</v>
      </c>
      <c r="Q319" s="113" t="b">
        <v>0</v>
      </c>
    </row>
    <row r="320" spans="1:17">
      <c r="A320" s="126" t="s">
        <v>4498</v>
      </c>
      <c r="B320" s="113"/>
      <c r="C320" s="113"/>
      <c r="D320" s="113">
        <v>0</v>
      </c>
      <c r="E320" s="113">
        <v>0</v>
      </c>
      <c r="F320" s="113">
        <v>0</v>
      </c>
      <c r="G320" s="113" t="s">
        <v>122</v>
      </c>
      <c r="H320" s="113"/>
      <c r="I320" s="113" t="b">
        <v>0</v>
      </c>
      <c r="J320" s="113" t="b">
        <v>0</v>
      </c>
      <c r="K320" s="113" t="b">
        <v>1</v>
      </c>
      <c r="L320" s="113" t="s">
        <v>66</v>
      </c>
      <c r="M320" s="113" t="s">
        <v>5527</v>
      </c>
      <c r="N320" s="113" t="s">
        <v>5266</v>
      </c>
      <c r="O320" s="113" t="s">
        <v>4923</v>
      </c>
      <c r="P320" s="113" t="b">
        <v>0</v>
      </c>
      <c r="Q320" s="113" t="b">
        <v>0</v>
      </c>
    </row>
    <row r="321" spans="1:17" s="176" customFormat="1">
      <c r="A321" s="174" t="s">
        <v>6159</v>
      </c>
      <c r="B321" s="175"/>
      <c r="C321" s="175"/>
      <c r="D321" s="175">
        <v>0</v>
      </c>
      <c r="E321" s="175">
        <v>0</v>
      </c>
      <c r="F321" s="175">
        <v>0</v>
      </c>
      <c r="G321" s="175" t="s">
        <v>122</v>
      </c>
      <c r="H321" s="175"/>
      <c r="I321" s="175" t="b">
        <v>0</v>
      </c>
      <c r="J321" s="175" t="b">
        <v>0</v>
      </c>
      <c r="K321" s="175" t="b">
        <v>1</v>
      </c>
      <c r="L321" s="175" t="s">
        <v>66</v>
      </c>
      <c r="M321" s="175" t="s">
        <v>86</v>
      </c>
      <c r="N321" s="175" t="s">
        <v>6160</v>
      </c>
      <c r="O321" s="175" t="s">
        <v>6161</v>
      </c>
      <c r="P321" s="175" t="b">
        <v>0</v>
      </c>
      <c r="Q321" s="175" t="b">
        <v>0</v>
      </c>
    </row>
    <row r="322" spans="1:17">
      <c r="A322" s="126"/>
    </row>
    <row r="323" spans="1:17">
      <c r="A323" s="130" t="s">
        <v>5573</v>
      </c>
      <c r="B323" s="109"/>
      <c r="C323" s="109"/>
      <c r="D323" s="109">
        <v>0</v>
      </c>
      <c r="E323" s="109">
        <v>0</v>
      </c>
      <c r="F323" s="109">
        <v>0</v>
      </c>
      <c r="G323" s="109" t="s">
        <v>122</v>
      </c>
      <c r="H323" s="109"/>
      <c r="I323" s="109" t="b">
        <v>0</v>
      </c>
      <c r="J323" s="109" t="b">
        <v>0</v>
      </c>
      <c r="K323" s="109" t="b">
        <v>0</v>
      </c>
      <c r="L323" s="109" t="s">
        <v>175</v>
      </c>
      <c r="M323" s="109" t="s">
        <v>375</v>
      </c>
      <c r="N323" s="109" t="s">
        <v>6025</v>
      </c>
      <c r="O323" s="109" t="s">
        <v>6026</v>
      </c>
      <c r="P323" s="109" t="b">
        <v>0</v>
      </c>
      <c r="Q323" s="109" t="b">
        <v>0</v>
      </c>
    </row>
    <row r="324" spans="1:17">
      <c r="A324" s="130" t="s">
        <v>1696</v>
      </c>
      <c r="B324" s="109"/>
      <c r="C324" s="109"/>
      <c r="D324" s="109">
        <v>0</v>
      </c>
      <c r="E324" s="109">
        <v>0</v>
      </c>
      <c r="F324" s="109">
        <v>0</v>
      </c>
      <c r="G324" s="109" t="s">
        <v>122</v>
      </c>
      <c r="H324" s="109"/>
      <c r="I324" s="109" t="b">
        <v>0</v>
      </c>
      <c r="J324" s="109" t="b">
        <v>0</v>
      </c>
      <c r="K324" s="109" t="b">
        <v>0</v>
      </c>
      <c r="L324" s="51" t="s">
        <v>5475</v>
      </c>
      <c r="M324" s="109" t="s">
        <v>375</v>
      </c>
      <c r="N324" s="109" t="s">
        <v>5267</v>
      </c>
      <c r="O324" s="109" t="s">
        <v>4924</v>
      </c>
      <c r="P324" s="109" t="b">
        <v>0</v>
      </c>
      <c r="Q324" s="109" t="b">
        <v>0</v>
      </c>
    </row>
    <row r="325" spans="1:17">
      <c r="A325" s="130" t="s">
        <v>1515</v>
      </c>
      <c r="B325" s="109"/>
      <c r="C325" s="109"/>
      <c r="D325" s="109">
        <v>0</v>
      </c>
      <c r="E325" s="109">
        <v>0</v>
      </c>
      <c r="F325" s="109">
        <v>0</v>
      </c>
      <c r="G325" s="109" t="s">
        <v>122</v>
      </c>
      <c r="H325" s="109"/>
      <c r="I325" s="109" t="b">
        <v>0</v>
      </c>
      <c r="J325" s="109" t="b">
        <v>0</v>
      </c>
      <c r="K325" s="109" t="b">
        <v>0</v>
      </c>
      <c r="L325" s="51" t="s">
        <v>5475</v>
      </c>
      <c r="M325" s="109" t="s">
        <v>375</v>
      </c>
      <c r="N325" s="109" t="s">
        <v>5268</v>
      </c>
      <c r="O325" s="109" t="s">
        <v>4925</v>
      </c>
      <c r="P325" s="109" t="b">
        <v>0</v>
      </c>
      <c r="Q325" s="109" t="b">
        <v>0</v>
      </c>
    </row>
    <row r="326" spans="1:17">
      <c r="A326" s="130" t="s">
        <v>1516</v>
      </c>
      <c r="B326" s="109"/>
      <c r="C326" s="109"/>
      <c r="D326" s="109">
        <v>0</v>
      </c>
      <c r="E326" s="109">
        <v>0</v>
      </c>
      <c r="F326" s="109">
        <v>0</v>
      </c>
      <c r="G326" s="109" t="s">
        <v>122</v>
      </c>
      <c r="H326" s="109"/>
      <c r="I326" s="109" t="b">
        <v>0</v>
      </c>
      <c r="J326" s="109" t="b">
        <v>0</v>
      </c>
      <c r="K326" s="109" t="b">
        <v>0</v>
      </c>
      <c r="L326" s="51" t="s">
        <v>5475</v>
      </c>
      <c r="M326" s="109" t="s">
        <v>375</v>
      </c>
      <c r="N326" s="109" t="s">
        <v>5269</v>
      </c>
      <c r="O326" s="109" t="s">
        <v>4926</v>
      </c>
      <c r="P326" s="109" t="b">
        <v>0</v>
      </c>
      <c r="Q326" s="109" t="b">
        <v>0</v>
      </c>
    </row>
    <row r="327" spans="1:17">
      <c r="A327" s="130" t="s">
        <v>1517</v>
      </c>
      <c r="B327" s="109"/>
      <c r="C327" s="109"/>
      <c r="D327" s="109">
        <v>0</v>
      </c>
      <c r="E327" s="109">
        <v>0</v>
      </c>
      <c r="F327" s="109">
        <v>0</v>
      </c>
      <c r="G327" s="109" t="s">
        <v>122</v>
      </c>
      <c r="H327" s="109"/>
      <c r="I327" s="109" t="b">
        <v>0</v>
      </c>
      <c r="J327" s="109" t="b">
        <v>0</v>
      </c>
      <c r="K327" s="109" t="b">
        <v>0</v>
      </c>
      <c r="L327" s="51" t="s">
        <v>5475</v>
      </c>
      <c r="M327" s="109" t="s">
        <v>375</v>
      </c>
      <c r="N327" s="109" t="s">
        <v>5270</v>
      </c>
      <c r="O327" s="109" t="s">
        <v>4927</v>
      </c>
      <c r="P327" s="109" t="b">
        <v>0</v>
      </c>
      <c r="Q327" s="109" t="b">
        <v>0</v>
      </c>
    </row>
    <row r="328" spans="1:17">
      <c r="A328" s="130" t="s">
        <v>1518</v>
      </c>
      <c r="B328" s="109"/>
      <c r="C328" s="109"/>
      <c r="D328" s="109">
        <v>0</v>
      </c>
      <c r="E328" s="109">
        <v>0</v>
      </c>
      <c r="F328" s="109">
        <v>0</v>
      </c>
      <c r="G328" s="109" t="s">
        <v>122</v>
      </c>
      <c r="H328" s="109"/>
      <c r="I328" s="109" t="b">
        <v>0</v>
      </c>
      <c r="J328" s="109" t="b">
        <v>0</v>
      </c>
      <c r="K328" s="109" t="b">
        <v>0</v>
      </c>
      <c r="L328" s="51" t="s">
        <v>5475</v>
      </c>
      <c r="M328" s="109" t="s">
        <v>375</v>
      </c>
      <c r="N328" s="109" t="s">
        <v>5271</v>
      </c>
      <c r="O328" s="109" t="s">
        <v>4928</v>
      </c>
      <c r="P328" s="109" t="b">
        <v>0</v>
      </c>
      <c r="Q328" s="109" t="b">
        <v>0</v>
      </c>
    </row>
    <row r="329" spans="1:17">
      <c r="A329" s="126" t="s">
        <v>6027</v>
      </c>
      <c r="B329" s="113"/>
      <c r="C329" s="113"/>
      <c r="D329" s="113">
        <v>0</v>
      </c>
      <c r="E329" s="113">
        <v>0</v>
      </c>
      <c r="F329" s="113">
        <v>0</v>
      </c>
      <c r="G329" s="113" t="s">
        <v>122</v>
      </c>
      <c r="H329" s="113"/>
      <c r="I329" s="113" t="b">
        <v>0</v>
      </c>
      <c r="J329" s="113" t="b">
        <v>0</v>
      </c>
      <c r="K329" s="113" t="b">
        <v>0</v>
      </c>
      <c r="L329" s="113" t="s">
        <v>175</v>
      </c>
      <c r="M329" s="113" t="s">
        <v>316</v>
      </c>
      <c r="N329" s="113" t="s">
        <v>5528</v>
      </c>
      <c r="O329" s="113" t="s">
        <v>6028</v>
      </c>
      <c r="P329" s="113" t="b">
        <v>0</v>
      </c>
      <c r="Q329" s="113" t="b">
        <v>0</v>
      </c>
    </row>
    <row r="330" spans="1:17">
      <c r="A330" s="126" t="s">
        <v>2571</v>
      </c>
      <c r="B330" s="113"/>
      <c r="C330" s="113"/>
      <c r="D330" s="113">
        <v>0</v>
      </c>
      <c r="E330" s="113">
        <v>0</v>
      </c>
      <c r="F330" s="113">
        <v>0</v>
      </c>
      <c r="G330" s="113" t="s">
        <v>122</v>
      </c>
      <c r="H330" s="113"/>
      <c r="I330" s="113" t="b">
        <v>0</v>
      </c>
      <c r="J330" s="113" t="b">
        <v>0</v>
      </c>
      <c r="K330" s="113" t="b">
        <v>0</v>
      </c>
      <c r="L330" s="53" t="s">
        <v>6029</v>
      </c>
      <c r="M330" s="113" t="s">
        <v>316</v>
      </c>
      <c r="N330" s="113" t="s">
        <v>5272</v>
      </c>
      <c r="O330" s="113" t="s">
        <v>4929</v>
      </c>
      <c r="P330" s="113" t="b">
        <v>0</v>
      </c>
      <c r="Q330" s="113" t="b">
        <v>0</v>
      </c>
    </row>
    <row r="331" spans="1:17">
      <c r="A331" s="126" t="s">
        <v>1519</v>
      </c>
      <c r="B331" s="113"/>
      <c r="C331" s="113"/>
      <c r="D331" s="113">
        <v>0</v>
      </c>
      <c r="E331" s="113">
        <v>0</v>
      </c>
      <c r="F331" s="113">
        <v>0</v>
      </c>
      <c r="G331" s="113" t="s">
        <v>122</v>
      </c>
      <c r="H331" s="113"/>
      <c r="I331" s="113" t="b">
        <v>0</v>
      </c>
      <c r="J331" s="113" t="b">
        <v>0</v>
      </c>
      <c r="K331" s="113" t="b">
        <v>0</v>
      </c>
      <c r="L331" s="53" t="s">
        <v>6029</v>
      </c>
      <c r="M331" s="113" t="s">
        <v>316</v>
      </c>
      <c r="N331" s="113" t="s">
        <v>5273</v>
      </c>
      <c r="O331" s="113" t="s">
        <v>4930</v>
      </c>
      <c r="P331" s="113" t="b">
        <v>0</v>
      </c>
      <c r="Q331" s="113" t="b">
        <v>0</v>
      </c>
    </row>
    <row r="332" spans="1:17">
      <c r="A332" s="126" t="s">
        <v>1520</v>
      </c>
      <c r="B332" s="113"/>
      <c r="C332" s="113"/>
      <c r="D332" s="113">
        <v>0</v>
      </c>
      <c r="E332" s="113">
        <v>0</v>
      </c>
      <c r="F332" s="113">
        <v>0</v>
      </c>
      <c r="G332" s="113" t="s">
        <v>122</v>
      </c>
      <c r="H332" s="113"/>
      <c r="I332" s="113" t="b">
        <v>0</v>
      </c>
      <c r="J332" s="113" t="b">
        <v>0</v>
      </c>
      <c r="K332" s="113" t="b">
        <v>0</v>
      </c>
      <c r="L332" s="53" t="s">
        <v>6029</v>
      </c>
      <c r="M332" s="113" t="s">
        <v>316</v>
      </c>
      <c r="N332" s="113" t="s">
        <v>5274</v>
      </c>
      <c r="O332" s="113" t="s">
        <v>4931</v>
      </c>
      <c r="P332" s="113" t="b">
        <v>0</v>
      </c>
      <c r="Q332" s="113" t="b">
        <v>0</v>
      </c>
    </row>
    <row r="333" spans="1:17">
      <c r="A333" s="126" t="s">
        <v>1521</v>
      </c>
      <c r="B333" s="113"/>
      <c r="C333" s="113"/>
      <c r="D333" s="113">
        <v>0</v>
      </c>
      <c r="E333" s="113">
        <v>0</v>
      </c>
      <c r="F333" s="113">
        <v>0</v>
      </c>
      <c r="G333" s="113" t="s">
        <v>122</v>
      </c>
      <c r="H333" s="113"/>
      <c r="I333" s="113" t="b">
        <v>0</v>
      </c>
      <c r="J333" s="113" t="b">
        <v>0</v>
      </c>
      <c r="K333" s="113" t="b">
        <v>0</v>
      </c>
      <c r="L333" s="53" t="s">
        <v>6029</v>
      </c>
      <c r="M333" s="113" t="s">
        <v>316</v>
      </c>
      <c r="N333" s="113" t="s">
        <v>5275</v>
      </c>
      <c r="O333" s="113" t="s">
        <v>4932</v>
      </c>
      <c r="P333" s="113" t="b">
        <v>0</v>
      </c>
      <c r="Q333" s="113" t="b">
        <v>0</v>
      </c>
    </row>
    <row r="334" spans="1:17">
      <c r="A334" s="126" t="s">
        <v>6030</v>
      </c>
      <c r="B334" s="113"/>
      <c r="C334" s="113"/>
      <c r="D334" s="113">
        <v>0</v>
      </c>
      <c r="E334" s="113">
        <v>0</v>
      </c>
      <c r="F334" s="113">
        <v>0</v>
      </c>
      <c r="G334" s="113" t="s">
        <v>122</v>
      </c>
      <c r="H334" s="113"/>
      <c r="I334" s="113" t="b">
        <v>0</v>
      </c>
      <c r="J334" s="113" t="b">
        <v>0</v>
      </c>
      <c r="K334" s="113" t="b">
        <v>0</v>
      </c>
      <c r="L334" s="53" t="s">
        <v>6031</v>
      </c>
      <c r="M334" s="113" t="s">
        <v>316</v>
      </c>
      <c r="N334" s="113" t="s">
        <v>5276</v>
      </c>
      <c r="O334" s="113" t="s">
        <v>4933</v>
      </c>
      <c r="P334" s="113" t="b">
        <v>0</v>
      </c>
      <c r="Q334" s="113" t="b">
        <v>0</v>
      </c>
    </row>
    <row r="335" spans="1:17">
      <c r="A335" s="130" t="s">
        <v>5575</v>
      </c>
      <c r="B335" s="109"/>
      <c r="C335" s="109"/>
      <c r="D335" s="109">
        <v>0</v>
      </c>
      <c r="E335" s="109">
        <v>0</v>
      </c>
      <c r="F335" s="109">
        <v>0</v>
      </c>
      <c r="G335" s="109" t="s">
        <v>122</v>
      </c>
      <c r="H335" s="109"/>
      <c r="I335" s="109" t="b">
        <v>0</v>
      </c>
      <c r="J335" s="109" t="b">
        <v>0</v>
      </c>
      <c r="K335" s="109" t="b">
        <v>0</v>
      </c>
      <c r="L335" s="109" t="s">
        <v>175</v>
      </c>
      <c r="M335" s="109" t="s">
        <v>77</v>
      </c>
      <c r="N335" s="109" t="s">
        <v>6032</v>
      </c>
      <c r="O335" s="109" t="s">
        <v>6033</v>
      </c>
      <c r="P335" s="109" t="b">
        <v>0</v>
      </c>
      <c r="Q335" s="109" t="b">
        <v>0</v>
      </c>
    </row>
    <row r="336" spans="1:17">
      <c r="A336" s="130" t="s">
        <v>1697</v>
      </c>
      <c r="B336" s="109"/>
      <c r="C336" s="109"/>
      <c r="D336" s="109">
        <v>0</v>
      </c>
      <c r="E336" s="109">
        <v>0</v>
      </c>
      <c r="F336" s="109">
        <v>0</v>
      </c>
      <c r="G336" s="109" t="s">
        <v>122</v>
      </c>
      <c r="H336" s="109"/>
      <c r="I336" s="109" t="b">
        <v>0</v>
      </c>
      <c r="J336" s="109" t="b">
        <v>0</v>
      </c>
      <c r="K336" s="109" t="b">
        <v>0</v>
      </c>
      <c r="L336" s="109" t="s">
        <v>175</v>
      </c>
      <c r="M336" s="109" t="s">
        <v>77</v>
      </c>
      <c r="N336" s="109" t="s">
        <v>5277</v>
      </c>
      <c r="O336" s="109" t="s">
        <v>4934</v>
      </c>
      <c r="P336" s="109" t="b">
        <v>0</v>
      </c>
      <c r="Q336" s="109" t="b">
        <v>0</v>
      </c>
    </row>
    <row r="337" spans="1:17">
      <c r="A337" s="130" t="s">
        <v>1523</v>
      </c>
      <c r="B337" s="109"/>
      <c r="C337" s="109"/>
      <c r="D337" s="109">
        <v>0</v>
      </c>
      <c r="E337" s="109">
        <v>0</v>
      </c>
      <c r="F337" s="109">
        <v>0</v>
      </c>
      <c r="G337" s="109" t="s">
        <v>122</v>
      </c>
      <c r="H337" s="109"/>
      <c r="I337" s="109" t="b">
        <v>0</v>
      </c>
      <c r="J337" s="109" t="b">
        <v>0</v>
      </c>
      <c r="K337" s="109" t="b">
        <v>0</v>
      </c>
      <c r="L337" s="109" t="s">
        <v>175</v>
      </c>
      <c r="M337" s="109" t="s">
        <v>77</v>
      </c>
      <c r="N337" s="109" t="s">
        <v>5278</v>
      </c>
      <c r="O337" s="109" t="s">
        <v>4935</v>
      </c>
      <c r="P337" s="109" t="b">
        <v>0</v>
      </c>
      <c r="Q337" s="109" t="b">
        <v>0</v>
      </c>
    </row>
    <row r="338" spans="1:17">
      <c r="A338" s="130" t="s">
        <v>1524</v>
      </c>
      <c r="B338" s="109"/>
      <c r="C338" s="109"/>
      <c r="D338" s="109">
        <v>0</v>
      </c>
      <c r="E338" s="109">
        <v>0</v>
      </c>
      <c r="F338" s="109">
        <v>0</v>
      </c>
      <c r="G338" s="109" t="s">
        <v>122</v>
      </c>
      <c r="H338" s="109"/>
      <c r="I338" s="109" t="b">
        <v>0</v>
      </c>
      <c r="J338" s="109" t="b">
        <v>0</v>
      </c>
      <c r="K338" s="109" t="b">
        <v>0</v>
      </c>
      <c r="L338" s="109" t="s">
        <v>175</v>
      </c>
      <c r="M338" s="109" t="s">
        <v>77</v>
      </c>
      <c r="N338" s="109" t="s">
        <v>5279</v>
      </c>
      <c r="O338" s="109" t="s">
        <v>4936</v>
      </c>
      <c r="P338" s="109" t="b">
        <v>0</v>
      </c>
      <c r="Q338" s="109" t="b">
        <v>0</v>
      </c>
    </row>
    <row r="339" spans="1:17">
      <c r="A339" s="130" t="s">
        <v>1525</v>
      </c>
      <c r="B339" s="109"/>
      <c r="C339" s="109"/>
      <c r="D339" s="109">
        <v>0</v>
      </c>
      <c r="E339" s="109">
        <v>0</v>
      </c>
      <c r="F339" s="109">
        <v>0</v>
      </c>
      <c r="G339" s="109" t="s">
        <v>122</v>
      </c>
      <c r="H339" s="109"/>
      <c r="I339" s="109" t="b">
        <v>0</v>
      </c>
      <c r="J339" s="109" t="b">
        <v>0</v>
      </c>
      <c r="K339" s="109" t="b">
        <v>0</v>
      </c>
      <c r="L339" s="109" t="s">
        <v>175</v>
      </c>
      <c r="M339" s="109" t="s">
        <v>77</v>
      </c>
      <c r="N339" s="109" t="s">
        <v>5280</v>
      </c>
      <c r="O339" s="109" t="s">
        <v>4937</v>
      </c>
      <c r="P339" s="109" t="b">
        <v>0</v>
      </c>
      <c r="Q339" s="109" t="b">
        <v>0</v>
      </c>
    </row>
    <row r="340" spans="1:17">
      <c r="A340" s="130" t="s">
        <v>1526</v>
      </c>
      <c r="B340" s="109"/>
      <c r="C340" s="109"/>
      <c r="D340" s="109">
        <v>0</v>
      </c>
      <c r="E340" s="109">
        <v>0</v>
      </c>
      <c r="F340" s="109">
        <v>0</v>
      </c>
      <c r="G340" s="109" t="s">
        <v>122</v>
      </c>
      <c r="H340" s="109"/>
      <c r="I340" s="109" t="b">
        <v>0</v>
      </c>
      <c r="J340" s="109" t="b">
        <v>0</v>
      </c>
      <c r="K340" s="109" t="b">
        <v>0</v>
      </c>
      <c r="L340" s="109" t="s">
        <v>175</v>
      </c>
      <c r="M340" s="109" t="s">
        <v>77</v>
      </c>
      <c r="N340" s="109" t="s">
        <v>5281</v>
      </c>
      <c r="O340" s="109" t="s">
        <v>4938</v>
      </c>
      <c r="P340" s="109" t="b">
        <v>0</v>
      </c>
      <c r="Q340" s="109" t="b">
        <v>0</v>
      </c>
    </row>
    <row r="341" spans="1:17">
      <c r="A341" s="126" t="s">
        <v>5576</v>
      </c>
      <c r="B341" s="113"/>
      <c r="C341" s="113"/>
      <c r="D341" s="113">
        <v>0</v>
      </c>
      <c r="E341" s="113">
        <v>0</v>
      </c>
      <c r="F341" s="113">
        <v>0</v>
      </c>
      <c r="G341" s="113" t="s">
        <v>122</v>
      </c>
      <c r="H341" s="113"/>
      <c r="I341" s="113" t="b">
        <v>0</v>
      </c>
      <c r="J341" s="113" t="b">
        <v>0</v>
      </c>
      <c r="K341" s="113" t="b">
        <v>0</v>
      </c>
      <c r="L341" s="113" t="s">
        <v>175</v>
      </c>
      <c r="M341" s="113" t="s">
        <v>5510</v>
      </c>
      <c r="N341" s="113" t="s">
        <v>6034</v>
      </c>
      <c r="O341" s="113" t="s">
        <v>5529</v>
      </c>
      <c r="P341" s="113" t="b">
        <v>0</v>
      </c>
      <c r="Q341" s="113" t="b">
        <v>0</v>
      </c>
    </row>
    <row r="342" spans="1:17">
      <c r="A342" s="126" t="s">
        <v>1698</v>
      </c>
      <c r="B342" s="113"/>
      <c r="C342" s="113"/>
      <c r="D342" s="113">
        <v>0</v>
      </c>
      <c r="E342" s="113">
        <v>0</v>
      </c>
      <c r="F342" s="113">
        <v>0</v>
      </c>
      <c r="G342" s="113" t="s">
        <v>122</v>
      </c>
      <c r="H342" s="113"/>
      <c r="I342" s="113" t="b">
        <v>0</v>
      </c>
      <c r="J342" s="113" t="b">
        <v>0</v>
      </c>
      <c r="K342" s="113" t="b">
        <v>0</v>
      </c>
      <c r="L342" s="113" t="s">
        <v>175</v>
      </c>
      <c r="M342" s="113" t="s">
        <v>5510</v>
      </c>
      <c r="N342" s="113" t="s">
        <v>5282</v>
      </c>
      <c r="O342" s="113" t="s">
        <v>4939</v>
      </c>
      <c r="P342" s="113" t="b">
        <v>0</v>
      </c>
      <c r="Q342" s="113" t="b">
        <v>0</v>
      </c>
    </row>
    <row r="343" spans="1:17">
      <c r="A343" s="126" t="s">
        <v>1527</v>
      </c>
      <c r="B343" s="113"/>
      <c r="C343" s="113"/>
      <c r="D343" s="113">
        <v>0</v>
      </c>
      <c r="E343" s="113">
        <v>0</v>
      </c>
      <c r="F343" s="113">
        <v>0</v>
      </c>
      <c r="G343" s="113" t="s">
        <v>122</v>
      </c>
      <c r="H343" s="113"/>
      <c r="I343" s="113" t="b">
        <v>0</v>
      </c>
      <c r="J343" s="113" t="b">
        <v>0</v>
      </c>
      <c r="K343" s="113" t="b">
        <v>0</v>
      </c>
      <c r="L343" s="113" t="s">
        <v>175</v>
      </c>
      <c r="M343" s="113" t="s">
        <v>5510</v>
      </c>
      <c r="N343" s="113" t="s">
        <v>5283</v>
      </c>
      <c r="O343" s="113" t="s">
        <v>4940</v>
      </c>
      <c r="P343" s="113" t="b">
        <v>0</v>
      </c>
      <c r="Q343" s="113" t="b">
        <v>0</v>
      </c>
    </row>
    <row r="344" spans="1:17">
      <c r="A344" s="126" t="s">
        <v>1528</v>
      </c>
      <c r="B344" s="113"/>
      <c r="C344" s="113"/>
      <c r="D344" s="113">
        <v>0</v>
      </c>
      <c r="E344" s="113">
        <v>0</v>
      </c>
      <c r="F344" s="113">
        <v>0</v>
      </c>
      <c r="G344" s="113" t="s">
        <v>122</v>
      </c>
      <c r="H344" s="113"/>
      <c r="I344" s="113" t="b">
        <v>0</v>
      </c>
      <c r="J344" s="113" t="b">
        <v>0</v>
      </c>
      <c r="K344" s="113" t="b">
        <v>0</v>
      </c>
      <c r="L344" s="113" t="s">
        <v>175</v>
      </c>
      <c r="M344" s="113" t="s">
        <v>5510</v>
      </c>
      <c r="N344" s="113" t="s">
        <v>5284</v>
      </c>
      <c r="O344" s="113" t="s">
        <v>4941</v>
      </c>
      <c r="P344" s="113" t="b">
        <v>0</v>
      </c>
      <c r="Q344" s="113" t="b">
        <v>0</v>
      </c>
    </row>
    <row r="345" spans="1:17">
      <c r="A345" s="126" t="s">
        <v>1529</v>
      </c>
      <c r="B345" s="113"/>
      <c r="C345" s="113"/>
      <c r="D345" s="113">
        <v>0</v>
      </c>
      <c r="E345" s="113">
        <v>0</v>
      </c>
      <c r="F345" s="113">
        <v>0</v>
      </c>
      <c r="G345" s="113" t="s">
        <v>122</v>
      </c>
      <c r="H345" s="113"/>
      <c r="I345" s="113" t="b">
        <v>0</v>
      </c>
      <c r="J345" s="113" t="b">
        <v>0</v>
      </c>
      <c r="K345" s="113" t="b">
        <v>0</v>
      </c>
      <c r="L345" s="113" t="s">
        <v>175</v>
      </c>
      <c r="M345" s="113" t="s">
        <v>5510</v>
      </c>
      <c r="N345" s="113" t="s">
        <v>5285</v>
      </c>
      <c r="O345" s="113" t="s">
        <v>4942</v>
      </c>
      <c r="P345" s="113" t="b">
        <v>0</v>
      </c>
      <c r="Q345" s="113" t="b">
        <v>0</v>
      </c>
    </row>
    <row r="346" spans="1:17">
      <c r="A346" s="126" t="s">
        <v>1530</v>
      </c>
      <c r="B346" s="113"/>
      <c r="C346" s="113"/>
      <c r="D346" s="113">
        <v>0</v>
      </c>
      <c r="E346" s="113">
        <v>0</v>
      </c>
      <c r="F346" s="113">
        <v>0</v>
      </c>
      <c r="G346" s="113" t="s">
        <v>122</v>
      </c>
      <c r="H346" s="113"/>
      <c r="I346" s="113" t="b">
        <v>0</v>
      </c>
      <c r="J346" s="113" t="b">
        <v>0</v>
      </c>
      <c r="K346" s="113" t="b">
        <v>0</v>
      </c>
      <c r="L346" s="113" t="s">
        <v>175</v>
      </c>
      <c r="M346" s="113" t="s">
        <v>5510</v>
      </c>
      <c r="N346" s="113" t="s">
        <v>5286</v>
      </c>
      <c r="O346" s="113" t="s">
        <v>4943</v>
      </c>
      <c r="P346" s="113" t="b">
        <v>0</v>
      </c>
      <c r="Q346" s="113" t="b">
        <v>0</v>
      </c>
    </row>
    <row r="347" spans="1:17">
      <c r="A347" s="130" t="s">
        <v>5577</v>
      </c>
      <c r="B347" s="109"/>
      <c r="C347" s="109"/>
      <c r="D347" s="109">
        <v>0</v>
      </c>
      <c r="E347" s="109">
        <v>0</v>
      </c>
      <c r="F347" s="109">
        <v>0</v>
      </c>
      <c r="G347" s="109" t="s">
        <v>122</v>
      </c>
      <c r="H347" s="109"/>
      <c r="I347" s="109" t="b">
        <v>0</v>
      </c>
      <c r="J347" s="109" t="b">
        <v>0</v>
      </c>
      <c r="K347" s="109" t="b">
        <v>0</v>
      </c>
      <c r="L347" s="109" t="s">
        <v>175</v>
      </c>
      <c r="M347" s="109" t="s">
        <v>496</v>
      </c>
      <c r="N347" s="109" t="s">
        <v>6035</v>
      </c>
      <c r="O347" s="109" t="s">
        <v>6036</v>
      </c>
      <c r="P347" s="109" t="b">
        <v>0</v>
      </c>
      <c r="Q347" s="109" t="b">
        <v>0</v>
      </c>
    </row>
    <row r="348" spans="1:17">
      <c r="A348" s="130" t="s">
        <v>6037</v>
      </c>
      <c r="B348" s="109"/>
      <c r="C348" s="109"/>
      <c r="D348" s="109">
        <v>0</v>
      </c>
      <c r="E348" s="109">
        <v>0</v>
      </c>
      <c r="F348" s="109">
        <v>0</v>
      </c>
      <c r="G348" s="109" t="s">
        <v>122</v>
      </c>
      <c r="H348" s="109"/>
      <c r="I348" s="109" t="b">
        <v>0</v>
      </c>
      <c r="J348" s="109" t="b">
        <v>0</v>
      </c>
      <c r="K348" s="109" t="b">
        <v>0</v>
      </c>
      <c r="L348" s="109" t="s">
        <v>175</v>
      </c>
      <c r="M348" s="109" t="s">
        <v>496</v>
      </c>
      <c r="N348" s="109" t="s">
        <v>5287</v>
      </c>
      <c r="O348" s="109" t="s">
        <v>4944</v>
      </c>
      <c r="P348" s="109" t="b">
        <v>0</v>
      </c>
      <c r="Q348" s="109" t="b">
        <v>0</v>
      </c>
    </row>
    <row r="349" spans="1:17">
      <c r="A349" s="130" t="s">
        <v>1531</v>
      </c>
      <c r="B349" s="109"/>
      <c r="C349" s="109"/>
      <c r="D349" s="109">
        <v>0</v>
      </c>
      <c r="E349" s="109">
        <v>0</v>
      </c>
      <c r="F349" s="109">
        <v>0</v>
      </c>
      <c r="G349" s="109" t="s">
        <v>122</v>
      </c>
      <c r="H349" s="109"/>
      <c r="I349" s="109" t="b">
        <v>0</v>
      </c>
      <c r="J349" s="109" t="b">
        <v>0</v>
      </c>
      <c r="K349" s="109" t="b">
        <v>0</v>
      </c>
      <c r="L349" s="109" t="s">
        <v>175</v>
      </c>
      <c r="M349" s="109" t="s">
        <v>496</v>
      </c>
      <c r="N349" s="109" t="s">
        <v>5288</v>
      </c>
      <c r="O349" s="109" t="s">
        <v>4945</v>
      </c>
      <c r="P349" s="109" t="b">
        <v>0</v>
      </c>
      <c r="Q349" s="109" t="b">
        <v>0</v>
      </c>
    </row>
    <row r="350" spans="1:17">
      <c r="A350" s="130" t="s">
        <v>1532</v>
      </c>
      <c r="B350" s="109"/>
      <c r="C350" s="109"/>
      <c r="D350" s="109">
        <v>0</v>
      </c>
      <c r="E350" s="109">
        <v>0</v>
      </c>
      <c r="F350" s="109">
        <v>0</v>
      </c>
      <c r="G350" s="109" t="s">
        <v>122</v>
      </c>
      <c r="H350" s="109"/>
      <c r="I350" s="109" t="b">
        <v>0</v>
      </c>
      <c r="J350" s="109" t="b">
        <v>0</v>
      </c>
      <c r="K350" s="109" t="b">
        <v>0</v>
      </c>
      <c r="L350" s="109" t="s">
        <v>175</v>
      </c>
      <c r="M350" s="109" t="s">
        <v>496</v>
      </c>
      <c r="N350" s="109" t="s">
        <v>5289</v>
      </c>
      <c r="O350" s="109" t="s">
        <v>4946</v>
      </c>
      <c r="P350" s="109" t="b">
        <v>0</v>
      </c>
      <c r="Q350" s="109" t="b">
        <v>0</v>
      </c>
    </row>
    <row r="351" spans="1:17">
      <c r="A351" s="130" t="s">
        <v>1533</v>
      </c>
      <c r="B351" s="109"/>
      <c r="C351" s="109"/>
      <c r="D351" s="109">
        <v>0</v>
      </c>
      <c r="E351" s="109">
        <v>0</v>
      </c>
      <c r="F351" s="109">
        <v>0</v>
      </c>
      <c r="G351" s="109" t="s">
        <v>122</v>
      </c>
      <c r="H351" s="109"/>
      <c r="I351" s="109" t="b">
        <v>0</v>
      </c>
      <c r="J351" s="109" t="b">
        <v>0</v>
      </c>
      <c r="K351" s="109" t="b">
        <v>0</v>
      </c>
      <c r="L351" s="109" t="s">
        <v>175</v>
      </c>
      <c r="M351" s="109" t="s">
        <v>496</v>
      </c>
      <c r="N351" s="109" t="s">
        <v>5290</v>
      </c>
      <c r="O351" s="109" t="s">
        <v>4947</v>
      </c>
      <c r="P351" s="109" t="b">
        <v>0</v>
      </c>
      <c r="Q351" s="109" t="b">
        <v>0</v>
      </c>
    </row>
    <row r="352" spans="1:17">
      <c r="A352" s="130" t="s">
        <v>1534</v>
      </c>
      <c r="B352" s="109"/>
      <c r="C352" s="109"/>
      <c r="D352" s="109">
        <v>0</v>
      </c>
      <c r="E352" s="109">
        <v>0</v>
      </c>
      <c r="F352" s="109">
        <v>0</v>
      </c>
      <c r="G352" s="109" t="s">
        <v>122</v>
      </c>
      <c r="H352" s="109"/>
      <c r="I352" s="109" t="b">
        <v>0</v>
      </c>
      <c r="J352" s="109" t="b">
        <v>0</v>
      </c>
      <c r="K352" s="109" t="b">
        <v>0</v>
      </c>
      <c r="L352" s="109" t="s">
        <v>175</v>
      </c>
      <c r="M352" s="109" t="s">
        <v>496</v>
      </c>
      <c r="N352" s="109" t="s">
        <v>5291</v>
      </c>
      <c r="O352" s="109" t="s">
        <v>4948</v>
      </c>
      <c r="P352" s="109" t="b">
        <v>0</v>
      </c>
      <c r="Q352" s="109" t="b">
        <v>0</v>
      </c>
    </row>
    <row r="353" spans="1:17">
      <c r="A353" s="126" t="s">
        <v>5578</v>
      </c>
      <c r="B353" s="113"/>
      <c r="C353" s="113"/>
      <c r="D353" s="113">
        <v>0</v>
      </c>
      <c r="E353" s="113">
        <v>0</v>
      </c>
      <c r="F353" s="113">
        <v>0</v>
      </c>
      <c r="G353" s="113" t="s">
        <v>122</v>
      </c>
      <c r="H353" s="113"/>
      <c r="I353" s="113" t="b">
        <v>0</v>
      </c>
      <c r="J353" s="113" t="b">
        <v>0</v>
      </c>
      <c r="K353" s="113" t="b">
        <v>0</v>
      </c>
      <c r="L353" s="113" t="s">
        <v>175</v>
      </c>
      <c r="M353" s="113" t="s">
        <v>107</v>
      </c>
      <c r="N353" s="113" t="s">
        <v>6038</v>
      </c>
      <c r="O353" s="113" t="s">
        <v>6039</v>
      </c>
      <c r="P353" s="113" t="b">
        <v>0</v>
      </c>
      <c r="Q353" s="113" t="b">
        <v>0</v>
      </c>
    </row>
    <row r="354" spans="1:17">
      <c r="A354" s="126" t="s">
        <v>6040</v>
      </c>
      <c r="B354" s="113"/>
      <c r="C354" s="113"/>
      <c r="D354" s="113">
        <v>0</v>
      </c>
      <c r="E354" s="113">
        <v>0</v>
      </c>
      <c r="F354" s="113">
        <v>0</v>
      </c>
      <c r="G354" s="113" t="s">
        <v>122</v>
      </c>
      <c r="H354" s="113"/>
      <c r="I354" s="113" t="b">
        <v>0</v>
      </c>
      <c r="J354" s="113" t="b">
        <v>0</v>
      </c>
      <c r="K354" s="113" t="b">
        <v>0</v>
      </c>
      <c r="L354" s="113" t="s">
        <v>175</v>
      </c>
      <c r="M354" s="113" t="s">
        <v>107</v>
      </c>
      <c r="N354" s="113" t="s">
        <v>5292</v>
      </c>
      <c r="O354" s="113" t="s">
        <v>4949</v>
      </c>
      <c r="P354" s="113" t="b">
        <v>0</v>
      </c>
      <c r="Q354" s="113" t="b">
        <v>0</v>
      </c>
    </row>
    <row r="355" spans="1:17">
      <c r="A355" s="126" t="s">
        <v>1535</v>
      </c>
      <c r="B355" s="113"/>
      <c r="C355" s="113"/>
      <c r="D355" s="113">
        <v>0</v>
      </c>
      <c r="E355" s="113">
        <v>0</v>
      </c>
      <c r="F355" s="113">
        <v>0</v>
      </c>
      <c r="G355" s="113" t="s">
        <v>122</v>
      </c>
      <c r="H355" s="113"/>
      <c r="I355" s="113" t="b">
        <v>0</v>
      </c>
      <c r="J355" s="113" t="b">
        <v>0</v>
      </c>
      <c r="K355" s="113" t="b">
        <v>0</v>
      </c>
      <c r="L355" s="113" t="s">
        <v>175</v>
      </c>
      <c r="M355" s="113" t="s">
        <v>107</v>
      </c>
      <c r="N355" s="113" t="s">
        <v>5293</v>
      </c>
      <c r="O355" s="113" t="s">
        <v>4950</v>
      </c>
      <c r="P355" s="113" t="b">
        <v>0</v>
      </c>
      <c r="Q355" s="113" t="b">
        <v>0</v>
      </c>
    </row>
    <row r="356" spans="1:17">
      <c r="A356" s="126" t="s">
        <v>1536</v>
      </c>
      <c r="B356" s="113"/>
      <c r="C356" s="113"/>
      <c r="D356" s="113">
        <v>0</v>
      </c>
      <c r="E356" s="113">
        <v>0</v>
      </c>
      <c r="F356" s="113">
        <v>0</v>
      </c>
      <c r="G356" s="113" t="s">
        <v>122</v>
      </c>
      <c r="H356" s="113"/>
      <c r="I356" s="113" t="b">
        <v>0</v>
      </c>
      <c r="J356" s="113" t="b">
        <v>0</v>
      </c>
      <c r="K356" s="113" t="b">
        <v>0</v>
      </c>
      <c r="L356" s="113" t="s">
        <v>175</v>
      </c>
      <c r="M356" s="113" t="s">
        <v>107</v>
      </c>
      <c r="N356" s="113" t="s">
        <v>5294</v>
      </c>
      <c r="O356" s="113" t="s">
        <v>4951</v>
      </c>
      <c r="P356" s="113" t="b">
        <v>0</v>
      </c>
      <c r="Q356" s="113" t="b">
        <v>0</v>
      </c>
    </row>
    <row r="357" spans="1:17">
      <c r="A357" s="126" t="s">
        <v>1537</v>
      </c>
      <c r="B357" s="113"/>
      <c r="C357" s="113"/>
      <c r="D357" s="113">
        <v>0</v>
      </c>
      <c r="E357" s="113">
        <v>0</v>
      </c>
      <c r="F357" s="113">
        <v>0</v>
      </c>
      <c r="G357" s="113" t="s">
        <v>122</v>
      </c>
      <c r="H357" s="113"/>
      <c r="I357" s="113" t="b">
        <v>0</v>
      </c>
      <c r="J357" s="113" t="b">
        <v>0</v>
      </c>
      <c r="K357" s="113" t="b">
        <v>0</v>
      </c>
      <c r="L357" s="113" t="s">
        <v>175</v>
      </c>
      <c r="M357" s="113" t="s">
        <v>107</v>
      </c>
      <c r="N357" s="113" t="s">
        <v>5295</v>
      </c>
      <c r="O357" s="113" t="s">
        <v>4952</v>
      </c>
      <c r="P357" s="113" t="b">
        <v>0</v>
      </c>
      <c r="Q357" s="113" t="b">
        <v>0</v>
      </c>
    </row>
    <row r="358" spans="1:17">
      <c r="A358" s="126" t="s">
        <v>1538</v>
      </c>
      <c r="B358" s="113"/>
      <c r="C358" s="113"/>
      <c r="D358" s="113">
        <v>0</v>
      </c>
      <c r="E358" s="113">
        <v>0</v>
      </c>
      <c r="F358" s="113">
        <v>0</v>
      </c>
      <c r="G358" s="113" t="s">
        <v>122</v>
      </c>
      <c r="H358" s="113"/>
      <c r="I358" s="113" t="b">
        <v>0</v>
      </c>
      <c r="J358" s="113" t="b">
        <v>0</v>
      </c>
      <c r="K358" s="113" t="b">
        <v>0</v>
      </c>
      <c r="L358" s="113" t="s">
        <v>175</v>
      </c>
      <c r="M358" s="113" t="s">
        <v>107</v>
      </c>
      <c r="N358" s="113" t="s">
        <v>5296</v>
      </c>
      <c r="O358" s="113" t="s">
        <v>4953</v>
      </c>
      <c r="P358" s="113" t="b">
        <v>0</v>
      </c>
      <c r="Q358" s="113" t="b">
        <v>0</v>
      </c>
    </row>
    <row r="359" spans="1:17">
      <c r="A359" s="130" t="s">
        <v>5579</v>
      </c>
      <c r="B359" s="109"/>
      <c r="C359" s="109"/>
      <c r="D359" s="109">
        <v>0</v>
      </c>
      <c r="E359" s="109">
        <v>0</v>
      </c>
      <c r="F359" s="109">
        <v>0</v>
      </c>
      <c r="G359" s="109" t="s">
        <v>122</v>
      </c>
      <c r="H359" s="109"/>
      <c r="I359" s="109" t="b">
        <v>0</v>
      </c>
      <c r="J359" s="109" t="b">
        <v>0</v>
      </c>
      <c r="K359" s="109" t="b">
        <v>0</v>
      </c>
      <c r="L359" s="109" t="s">
        <v>175</v>
      </c>
      <c r="M359" s="109" t="s">
        <v>103</v>
      </c>
      <c r="N359" s="109" t="s">
        <v>6193</v>
      </c>
      <c r="O359" s="109" t="s">
        <v>6041</v>
      </c>
      <c r="P359" s="109" t="b">
        <v>0</v>
      </c>
      <c r="Q359" s="109" t="b">
        <v>0</v>
      </c>
    </row>
    <row r="360" spans="1:17">
      <c r="A360" s="130" t="s">
        <v>1699</v>
      </c>
      <c r="B360" s="109"/>
      <c r="C360" s="109"/>
      <c r="D360" s="109">
        <v>0</v>
      </c>
      <c r="E360" s="109">
        <v>0</v>
      </c>
      <c r="F360" s="109">
        <v>0</v>
      </c>
      <c r="G360" s="109" t="s">
        <v>122</v>
      </c>
      <c r="H360" s="109"/>
      <c r="I360" s="109" t="b">
        <v>0</v>
      </c>
      <c r="J360" s="109" t="b">
        <v>0</v>
      </c>
      <c r="K360" s="109" t="b">
        <v>0</v>
      </c>
      <c r="L360" s="109" t="s">
        <v>175</v>
      </c>
      <c r="M360" s="109" t="s">
        <v>103</v>
      </c>
      <c r="N360" s="109" t="s">
        <v>5297</v>
      </c>
      <c r="O360" s="109" t="s">
        <v>5530</v>
      </c>
      <c r="P360" s="109" t="b">
        <v>0</v>
      </c>
      <c r="Q360" s="109" t="b">
        <v>0</v>
      </c>
    </row>
    <row r="361" spans="1:17">
      <c r="A361" s="130" t="s">
        <v>1539</v>
      </c>
      <c r="B361" s="109"/>
      <c r="C361" s="109"/>
      <c r="D361" s="109">
        <v>0</v>
      </c>
      <c r="E361" s="109">
        <v>0</v>
      </c>
      <c r="F361" s="109">
        <v>0</v>
      </c>
      <c r="G361" s="109" t="s">
        <v>122</v>
      </c>
      <c r="H361" s="109"/>
      <c r="I361" s="109" t="b">
        <v>0</v>
      </c>
      <c r="J361" s="109" t="b">
        <v>0</v>
      </c>
      <c r="K361" s="109" t="b">
        <v>0</v>
      </c>
      <c r="L361" s="109" t="s">
        <v>175</v>
      </c>
      <c r="M361" s="109" t="s">
        <v>103</v>
      </c>
      <c r="N361" s="109" t="s">
        <v>5298</v>
      </c>
      <c r="O361" s="109" t="s">
        <v>4954</v>
      </c>
      <c r="P361" s="109" t="b">
        <v>0</v>
      </c>
      <c r="Q361" s="109" t="b">
        <v>0</v>
      </c>
    </row>
    <row r="362" spans="1:17">
      <c r="A362" s="130" t="s">
        <v>1540</v>
      </c>
      <c r="B362" s="109"/>
      <c r="C362" s="109"/>
      <c r="D362" s="109">
        <v>0</v>
      </c>
      <c r="E362" s="109">
        <v>0</v>
      </c>
      <c r="F362" s="109">
        <v>0</v>
      </c>
      <c r="G362" s="109" t="s">
        <v>122</v>
      </c>
      <c r="H362" s="109"/>
      <c r="I362" s="109" t="b">
        <v>0</v>
      </c>
      <c r="J362" s="109" t="b">
        <v>0</v>
      </c>
      <c r="K362" s="109" t="b">
        <v>0</v>
      </c>
      <c r="L362" s="109" t="s">
        <v>175</v>
      </c>
      <c r="M362" s="109" t="s">
        <v>103</v>
      </c>
      <c r="N362" s="109" t="s">
        <v>5299</v>
      </c>
      <c r="O362" s="109" t="s">
        <v>4955</v>
      </c>
      <c r="P362" s="109" t="b">
        <v>0</v>
      </c>
      <c r="Q362" s="109" t="b">
        <v>0</v>
      </c>
    </row>
    <row r="363" spans="1:17">
      <c r="A363" s="130" t="s">
        <v>1541</v>
      </c>
      <c r="B363" s="109"/>
      <c r="C363" s="109"/>
      <c r="D363" s="109">
        <v>0</v>
      </c>
      <c r="E363" s="109">
        <v>0</v>
      </c>
      <c r="F363" s="109">
        <v>0</v>
      </c>
      <c r="G363" s="109" t="s">
        <v>122</v>
      </c>
      <c r="H363" s="109"/>
      <c r="I363" s="109" t="b">
        <v>0</v>
      </c>
      <c r="J363" s="109" t="b">
        <v>0</v>
      </c>
      <c r="K363" s="109" t="b">
        <v>0</v>
      </c>
      <c r="L363" s="109" t="s">
        <v>175</v>
      </c>
      <c r="M363" s="109" t="s">
        <v>103</v>
      </c>
      <c r="N363" s="109" t="s">
        <v>5300</v>
      </c>
      <c r="O363" s="109" t="s">
        <v>4956</v>
      </c>
      <c r="P363" s="109" t="b">
        <v>0</v>
      </c>
      <c r="Q363" s="109" t="b">
        <v>0</v>
      </c>
    </row>
    <row r="364" spans="1:17">
      <c r="A364" s="130" t="s">
        <v>1542</v>
      </c>
      <c r="B364" s="109"/>
      <c r="C364" s="109"/>
      <c r="D364" s="109">
        <v>0</v>
      </c>
      <c r="E364" s="109">
        <v>0</v>
      </c>
      <c r="F364" s="109">
        <v>0</v>
      </c>
      <c r="G364" s="109" t="s">
        <v>122</v>
      </c>
      <c r="H364" s="109"/>
      <c r="I364" s="109" t="b">
        <v>0</v>
      </c>
      <c r="J364" s="109" t="b">
        <v>0</v>
      </c>
      <c r="K364" s="109" t="b">
        <v>0</v>
      </c>
      <c r="L364" s="109" t="s">
        <v>175</v>
      </c>
      <c r="M364" s="109" t="s">
        <v>103</v>
      </c>
      <c r="N364" s="109" t="s">
        <v>5301</v>
      </c>
      <c r="O364" s="109" t="s">
        <v>4957</v>
      </c>
      <c r="P364" s="109" t="b">
        <v>0</v>
      </c>
      <c r="Q364" s="109" t="b">
        <v>0</v>
      </c>
    </row>
    <row r="365" spans="1:17">
      <c r="A365" s="126" t="s">
        <v>5580</v>
      </c>
      <c r="B365" s="113"/>
      <c r="C365" s="113"/>
      <c r="D365" s="113">
        <v>0</v>
      </c>
      <c r="E365" s="113">
        <v>0</v>
      </c>
      <c r="F365" s="113">
        <v>0</v>
      </c>
      <c r="G365" s="113" t="s">
        <v>122</v>
      </c>
      <c r="H365" s="113"/>
      <c r="I365" s="113" t="b">
        <v>0</v>
      </c>
      <c r="J365" s="113" t="b">
        <v>0</v>
      </c>
      <c r="K365" s="113" t="b">
        <v>0</v>
      </c>
      <c r="L365" s="113" t="s">
        <v>175</v>
      </c>
      <c r="M365" s="113" t="s">
        <v>47</v>
      </c>
      <c r="N365" s="113" t="s">
        <v>6042</v>
      </c>
      <c r="O365" s="113" t="s">
        <v>6043</v>
      </c>
      <c r="P365" s="113" t="b">
        <v>0</v>
      </c>
      <c r="Q365" s="113" t="b">
        <v>0</v>
      </c>
    </row>
    <row r="366" spans="1:17">
      <c r="A366" s="126" t="s">
        <v>1700</v>
      </c>
      <c r="B366" s="113"/>
      <c r="C366" s="113"/>
      <c r="D366" s="113">
        <v>0</v>
      </c>
      <c r="E366" s="113">
        <v>0</v>
      </c>
      <c r="F366" s="113">
        <v>0</v>
      </c>
      <c r="G366" s="113" t="s">
        <v>122</v>
      </c>
      <c r="H366" s="113"/>
      <c r="I366" s="113" t="b">
        <v>0</v>
      </c>
      <c r="J366" s="113" t="b">
        <v>0</v>
      </c>
      <c r="K366" s="113" t="b">
        <v>0</v>
      </c>
      <c r="L366" s="113" t="s">
        <v>175</v>
      </c>
      <c r="M366" s="113" t="s">
        <v>47</v>
      </c>
      <c r="N366" s="113" t="s">
        <v>5302</v>
      </c>
      <c r="O366" s="113" t="s">
        <v>4958</v>
      </c>
      <c r="P366" s="113" t="b">
        <v>0</v>
      </c>
      <c r="Q366" s="113" t="b">
        <v>0</v>
      </c>
    </row>
    <row r="367" spans="1:17">
      <c r="A367" s="126" t="s">
        <v>1543</v>
      </c>
      <c r="B367" s="113"/>
      <c r="C367" s="113"/>
      <c r="D367" s="113">
        <v>0</v>
      </c>
      <c r="E367" s="113">
        <v>0</v>
      </c>
      <c r="F367" s="113">
        <v>0</v>
      </c>
      <c r="G367" s="113" t="s">
        <v>122</v>
      </c>
      <c r="H367" s="113"/>
      <c r="I367" s="113" t="b">
        <v>0</v>
      </c>
      <c r="J367" s="113" t="b">
        <v>0</v>
      </c>
      <c r="K367" s="113" t="b">
        <v>0</v>
      </c>
      <c r="L367" s="113" t="s">
        <v>175</v>
      </c>
      <c r="M367" s="113" t="s">
        <v>47</v>
      </c>
      <c r="N367" s="113" t="s">
        <v>5303</v>
      </c>
      <c r="O367" s="113" t="s">
        <v>4959</v>
      </c>
      <c r="P367" s="113" t="b">
        <v>0</v>
      </c>
      <c r="Q367" s="113" t="b">
        <v>0</v>
      </c>
    </row>
    <row r="368" spans="1:17">
      <c r="A368" s="126" t="s">
        <v>1544</v>
      </c>
      <c r="B368" s="113"/>
      <c r="C368" s="113"/>
      <c r="D368" s="113">
        <v>0</v>
      </c>
      <c r="E368" s="113">
        <v>0</v>
      </c>
      <c r="F368" s="113">
        <v>0</v>
      </c>
      <c r="G368" s="113" t="s">
        <v>122</v>
      </c>
      <c r="H368" s="113"/>
      <c r="I368" s="113" t="b">
        <v>0</v>
      </c>
      <c r="J368" s="113" t="b">
        <v>0</v>
      </c>
      <c r="K368" s="113" t="b">
        <v>0</v>
      </c>
      <c r="L368" s="113" t="s">
        <v>175</v>
      </c>
      <c r="M368" s="113" t="s">
        <v>47</v>
      </c>
      <c r="N368" s="113" t="s">
        <v>5304</v>
      </c>
      <c r="O368" s="113" t="s">
        <v>4960</v>
      </c>
      <c r="P368" s="113" t="b">
        <v>0</v>
      </c>
      <c r="Q368" s="113" t="b">
        <v>0</v>
      </c>
    </row>
    <row r="369" spans="1:17">
      <c r="A369" s="126" t="s">
        <v>1545</v>
      </c>
      <c r="B369" s="113"/>
      <c r="C369" s="113"/>
      <c r="D369" s="113">
        <v>0</v>
      </c>
      <c r="E369" s="113">
        <v>0</v>
      </c>
      <c r="F369" s="113">
        <v>0</v>
      </c>
      <c r="G369" s="113" t="s">
        <v>122</v>
      </c>
      <c r="H369" s="113"/>
      <c r="I369" s="113" t="b">
        <v>0</v>
      </c>
      <c r="J369" s="113" t="b">
        <v>0</v>
      </c>
      <c r="K369" s="113" t="b">
        <v>0</v>
      </c>
      <c r="L369" s="113" t="s">
        <v>175</v>
      </c>
      <c r="M369" s="113" t="s">
        <v>47</v>
      </c>
      <c r="N369" s="113" t="s">
        <v>5305</v>
      </c>
      <c r="O369" s="113" t="s">
        <v>4961</v>
      </c>
      <c r="P369" s="113" t="b">
        <v>0</v>
      </c>
      <c r="Q369" s="113" t="b">
        <v>0</v>
      </c>
    </row>
    <row r="370" spans="1:17">
      <c r="A370" s="126" t="s">
        <v>1546</v>
      </c>
      <c r="B370" s="113"/>
      <c r="C370" s="113"/>
      <c r="D370" s="113">
        <v>0</v>
      </c>
      <c r="E370" s="113">
        <v>0</v>
      </c>
      <c r="F370" s="113">
        <v>0</v>
      </c>
      <c r="G370" s="113" t="s">
        <v>122</v>
      </c>
      <c r="H370" s="113"/>
      <c r="I370" s="113" t="b">
        <v>0</v>
      </c>
      <c r="J370" s="113" t="b">
        <v>0</v>
      </c>
      <c r="K370" s="113" t="b">
        <v>0</v>
      </c>
      <c r="L370" s="113" t="s">
        <v>175</v>
      </c>
      <c r="M370" s="113" t="s">
        <v>47</v>
      </c>
      <c r="N370" s="113" t="s">
        <v>5306</v>
      </c>
      <c r="O370" s="113" t="s">
        <v>4962</v>
      </c>
      <c r="P370" s="113" t="b">
        <v>0</v>
      </c>
      <c r="Q370" s="113" t="b">
        <v>0</v>
      </c>
    </row>
    <row r="371" spans="1:17">
      <c r="A371" s="130" t="s">
        <v>5581</v>
      </c>
      <c r="B371" s="109"/>
      <c r="C371" s="109"/>
      <c r="D371" s="109">
        <v>0</v>
      </c>
      <c r="E371" s="109">
        <v>0</v>
      </c>
      <c r="F371" s="109">
        <v>0</v>
      </c>
      <c r="G371" s="109" t="s">
        <v>122</v>
      </c>
      <c r="H371" s="109"/>
      <c r="I371" s="109" t="b">
        <v>0</v>
      </c>
      <c r="J371" s="109" t="b">
        <v>0</v>
      </c>
      <c r="K371" s="109" t="b">
        <v>0</v>
      </c>
      <c r="L371" s="109" t="s">
        <v>175</v>
      </c>
      <c r="M371" s="109" t="s">
        <v>361</v>
      </c>
      <c r="N371" s="109" t="s">
        <v>6044</v>
      </c>
      <c r="O371" s="109" t="s">
        <v>5531</v>
      </c>
      <c r="P371" s="109" t="b">
        <v>0</v>
      </c>
      <c r="Q371" s="109" t="b">
        <v>0</v>
      </c>
    </row>
    <row r="372" spans="1:17">
      <c r="A372" s="130" t="s">
        <v>1701</v>
      </c>
      <c r="B372" s="109"/>
      <c r="C372" s="109"/>
      <c r="D372" s="109">
        <v>0</v>
      </c>
      <c r="E372" s="109">
        <v>0</v>
      </c>
      <c r="F372" s="109">
        <v>0</v>
      </c>
      <c r="G372" s="109" t="s">
        <v>122</v>
      </c>
      <c r="H372" s="109"/>
      <c r="I372" s="109" t="b">
        <v>0</v>
      </c>
      <c r="J372" s="109" t="b">
        <v>0</v>
      </c>
      <c r="K372" s="109" t="b">
        <v>0</v>
      </c>
      <c r="L372" s="109" t="s">
        <v>175</v>
      </c>
      <c r="M372" s="109" t="s">
        <v>361</v>
      </c>
      <c r="N372" s="109" t="s">
        <v>5307</v>
      </c>
      <c r="O372" s="109" t="s">
        <v>4963</v>
      </c>
      <c r="P372" s="109" t="b">
        <v>0</v>
      </c>
      <c r="Q372" s="109" t="b">
        <v>0</v>
      </c>
    </row>
    <row r="373" spans="1:17">
      <c r="A373" s="130" t="s">
        <v>1547</v>
      </c>
      <c r="B373" s="109"/>
      <c r="C373" s="109"/>
      <c r="D373" s="109">
        <v>0</v>
      </c>
      <c r="E373" s="109">
        <v>0</v>
      </c>
      <c r="F373" s="109">
        <v>0</v>
      </c>
      <c r="G373" s="109" t="s">
        <v>122</v>
      </c>
      <c r="H373" s="109"/>
      <c r="I373" s="109" t="b">
        <v>0</v>
      </c>
      <c r="J373" s="109" t="b">
        <v>0</v>
      </c>
      <c r="K373" s="109" t="b">
        <v>0</v>
      </c>
      <c r="L373" s="109" t="s">
        <v>175</v>
      </c>
      <c r="M373" s="109" t="s">
        <v>361</v>
      </c>
      <c r="N373" s="109" t="s">
        <v>5308</v>
      </c>
      <c r="O373" s="109" t="s">
        <v>4964</v>
      </c>
      <c r="P373" s="109" t="b">
        <v>0</v>
      </c>
      <c r="Q373" s="109" t="b">
        <v>0</v>
      </c>
    </row>
    <row r="374" spans="1:17">
      <c r="A374" s="130" t="s">
        <v>1548</v>
      </c>
      <c r="B374" s="109"/>
      <c r="C374" s="109"/>
      <c r="D374" s="109">
        <v>0</v>
      </c>
      <c r="E374" s="109">
        <v>0</v>
      </c>
      <c r="F374" s="109">
        <v>0</v>
      </c>
      <c r="G374" s="109" t="s">
        <v>122</v>
      </c>
      <c r="H374" s="109"/>
      <c r="I374" s="109" t="b">
        <v>0</v>
      </c>
      <c r="J374" s="109" t="b">
        <v>0</v>
      </c>
      <c r="K374" s="109" t="b">
        <v>0</v>
      </c>
      <c r="L374" s="109" t="s">
        <v>175</v>
      </c>
      <c r="M374" s="109" t="s">
        <v>361</v>
      </c>
      <c r="N374" s="109" t="s">
        <v>5309</v>
      </c>
      <c r="O374" s="109" t="s">
        <v>4965</v>
      </c>
      <c r="P374" s="109" t="b">
        <v>0</v>
      </c>
      <c r="Q374" s="109" t="b">
        <v>0</v>
      </c>
    </row>
    <row r="375" spans="1:17">
      <c r="A375" s="130" t="s">
        <v>1549</v>
      </c>
      <c r="B375" s="109"/>
      <c r="C375" s="109"/>
      <c r="D375" s="109">
        <v>0</v>
      </c>
      <c r="E375" s="109">
        <v>0</v>
      </c>
      <c r="F375" s="109">
        <v>0</v>
      </c>
      <c r="G375" s="109" t="s">
        <v>122</v>
      </c>
      <c r="H375" s="109"/>
      <c r="I375" s="109" t="b">
        <v>0</v>
      </c>
      <c r="J375" s="109" t="b">
        <v>0</v>
      </c>
      <c r="K375" s="109" t="b">
        <v>0</v>
      </c>
      <c r="L375" s="109" t="s">
        <v>175</v>
      </c>
      <c r="M375" s="109" t="s">
        <v>361</v>
      </c>
      <c r="N375" s="109" t="s">
        <v>5310</v>
      </c>
      <c r="O375" s="109" t="s">
        <v>4966</v>
      </c>
      <c r="P375" s="109" t="b">
        <v>0</v>
      </c>
      <c r="Q375" s="109" t="b">
        <v>0</v>
      </c>
    </row>
    <row r="376" spans="1:17">
      <c r="A376" s="130" t="s">
        <v>1550</v>
      </c>
      <c r="B376" s="109"/>
      <c r="C376" s="109"/>
      <c r="D376" s="109">
        <v>0</v>
      </c>
      <c r="E376" s="109">
        <v>0</v>
      </c>
      <c r="F376" s="109">
        <v>0</v>
      </c>
      <c r="G376" s="109" t="s">
        <v>122</v>
      </c>
      <c r="H376" s="109"/>
      <c r="I376" s="109" t="b">
        <v>0</v>
      </c>
      <c r="J376" s="109" t="b">
        <v>0</v>
      </c>
      <c r="K376" s="109" t="b">
        <v>0</v>
      </c>
      <c r="L376" s="109" t="s">
        <v>175</v>
      </c>
      <c r="M376" s="109" t="s">
        <v>361</v>
      </c>
      <c r="N376" s="109" t="s">
        <v>5311</v>
      </c>
      <c r="O376" s="109" t="s">
        <v>4967</v>
      </c>
      <c r="P376" s="109" t="b">
        <v>0</v>
      </c>
      <c r="Q376" s="109" t="b">
        <v>0</v>
      </c>
    </row>
    <row r="377" spans="1:17">
      <c r="A377" s="126" t="s">
        <v>5582</v>
      </c>
      <c r="B377" s="113"/>
      <c r="C377" s="113"/>
      <c r="D377" s="113">
        <v>0</v>
      </c>
      <c r="E377" s="113">
        <v>0</v>
      </c>
      <c r="F377" s="113">
        <v>0</v>
      </c>
      <c r="G377" s="113" t="s">
        <v>122</v>
      </c>
      <c r="H377" s="113"/>
      <c r="I377" s="113" t="b">
        <v>0</v>
      </c>
      <c r="J377" s="113" t="b">
        <v>0</v>
      </c>
      <c r="K377" s="113" t="b">
        <v>0</v>
      </c>
      <c r="L377" s="113" t="s">
        <v>175</v>
      </c>
      <c r="M377" s="113" t="s">
        <v>5513</v>
      </c>
      <c r="N377" s="113" t="s">
        <v>6045</v>
      </c>
      <c r="O377" s="113" t="s">
        <v>6046</v>
      </c>
      <c r="P377" s="113" t="b">
        <v>0</v>
      </c>
      <c r="Q377" s="113" t="b">
        <v>0</v>
      </c>
    </row>
    <row r="378" spans="1:17">
      <c r="A378" s="126" t="s">
        <v>1702</v>
      </c>
      <c r="B378" s="113"/>
      <c r="C378" s="113"/>
      <c r="D378" s="113">
        <v>0</v>
      </c>
      <c r="E378" s="113">
        <v>0</v>
      </c>
      <c r="F378" s="113">
        <v>0</v>
      </c>
      <c r="G378" s="113" t="s">
        <v>122</v>
      </c>
      <c r="H378" s="113"/>
      <c r="I378" s="113" t="b">
        <v>0</v>
      </c>
      <c r="J378" s="113" t="b">
        <v>0</v>
      </c>
      <c r="K378" s="113" t="b">
        <v>0</v>
      </c>
      <c r="L378" s="113" t="s">
        <v>175</v>
      </c>
      <c r="M378" s="113" t="s">
        <v>5513</v>
      </c>
      <c r="N378" s="113" t="s">
        <v>5312</v>
      </c>
      <c r="O378" s="113" t="s">
        <v>4968</v>
      </c>
      <c r="P378" s="113" t="b">
        <v>0</v>
      </c>
      <c r="Q378" s="113" t="b">
        <v>0</v>
      </c>
    </row>
    <row r="379" spans="1:17">
      <c r="A379" s="126" t="s">
        <v>1551</v>
      </c>
      <c r="B379" s="113"/>
      <c r="C379" s="113"/>
      <c r="D379" s="113">
        <v>0</v>
      </c>
      <c r="E379" s="113">
        <v>0</v>
      </c>
      <c r="F379" s="113">
        <v>0</v>
      </c>
      <c r="G379" s="113" t="s">
        <v>122</v>
      </c>
      <c r="H379" s="113"/>
      <c r="I379" s="113" t="b">
        <v>0</v>
      </c>
      <c r="J379" s="113" t="b">
        <v>0</v>
      </c>
      <c r="K379" s="113" t="b">
        <v>0</v>
      </c>
      <c r="L379" s="113" t="s">
        <v>175</v>
      </c>
      <c r="M379" s="113" t="s">
        <v>5513</v>
      </c>
      <c r="N379" s="113" t="s">
        <v>5313</v>
      </c>
      <c r="O379" s="113" t="s">
        <v>4969</v>
      </c>
      <c r="P379" s="113" t="b">
        <v>0</v>
      </c>
      <c r="Q379" s="113" t="b">
        <v>0</v>
      </c>
    </row>
    <row r="380" spans="1:17">
      <c r="A380" s="126" t="s">
        <v>1552</v>
      </c>
      <c r="B380" s="113"/>
      <c r="C380" s="113"/>
      <c r="D380" s="113">
        <v>0</v>
      </c>
      <c r="E380" s="113">
        <v>0</v>
      </c>
      <c r="F380" s="113">
        <v>0</v>
      </c>
      <c r="G380" s="113" t="s">
        <v>122</v>
      </c>
      <c r="H380" s="113"/>
      <c r="I380" s="113" t="b">
        <v>0</v>
      </c>
      <c r="J380" s="113" t="b">
        <v>0</v>
      </c>
      <c r="K380" s="113" t="b">
        <v>0</v>
      </c>
      <c r="L380" s="113" t="s">
        <v>175</v>
      </c>
      <c r="M380" s="113" t="s">
        <v>5513</v>
      </c>
      <c r="N380" s="113" t="s">
        <v>5314</v>
      </c>
      <c r="O380" s="113" t="s">
        <v>4970</v>
      </c>
      <c r="P380" s="113" t="b">
        <v>0</v>
      </c>
      <c r="Q380" s="113" t="b">
        <v>0</v>
      </c>
    </row>
    <row r="381" spans="1:17">
      <c r="A381" s="126" t="s">
        <v>1553</v>
      </c>
      <c r="B381" s="113"/>
      <c r="C381" s="113"/>
      <c r="D381" s="113">
        <v>0</v>
      </c>
      <c r="E381" s="113">
        <v>0</v>
      </c>
      <c r="F381" s="113">
        <v>0</v>
      </c>
      <c r="G381" s="113" t="s">
        <v>122</v>
      </c>
      <c r="H381" s="113"/>
      <c r="I381" s="113" t="b">
        <v>0</v>
      </c>
      <c r="J381" s="113" t="b">
        <v>0</v>
      </c>
      <c r="K381" s="113" t="b">
        <v>0</v>
      </c>
      <c r="L381" s="113" t="s">
        <v>175</v>
      </c>
      <c r="M381" s="113" t="s">
        <v>5513</v>
      </c>
      <c r="N381" s="113" t="s">
        <v>5315</v>
      </c>
      <c r="O381" s="113" t="s">
        <v>4971</v>
      </c>
      <c r="P381" s="113" t="b">
        <v>0</v>
      </c>
      <c r="Q381" s="113" t="b">
        <v>0</v>
      </c>
    </row>
    <row r="382" spans="1:17">
      <c r="A382" s="126" t="s">
        <v>1554</v>
      </c>
      <c r="B382" s="113"/>
      <c r="C382" s="113"/>
      <c r="D382" s="113">
        <v>0</v>
      </c>
      <c r="E382" s="113">
        <v>0</v>
      </c>
      <c r="F382" s="113">
        <v>0</v>
      </c>
      <c r="G382" s="113" t="s">
        <v>122</v>
      </c>
      <c r="H382" s="113"/>
      <c r="I382" s="113" t="b">
        <v>0</v>
      </c>
      <c r="J382" s="113" t="b">
        <v>0</v>
      </c>
      <c r="K382" s="113" t="b">
        <v>0</v>
      </c>
      <c r="L382" s="113" t="s">
        <v>175</v>
      </c>
      <c r="M382" s="113" t="s">
        <v>5513</v>
      </c>
      <c r="N382" s="113" t="s">
        <v>5316</v>
      </c>
      <c r="O382" s="113" t="s">
        <v>4972</v>
      </c>
      <c r="P382" s="113" t="b">
        <v>0</v>
      </c>
      <c r="Q382" s="113" t="b">
        <v>0</v>
      </c>
    </row>
    <row r="383" spans="1:17">
      <c r="A383" s="130" t="s">
        <v>5583</v>
      </c>
      <c r="B383" s="109"/>
      <c r="C383" s="109"/>
      <c r="D383" s="109">
        <v>0</v>
      </c>
      <c r="E383" s="109">
        <v>0</v>
      </c>
      <c r="F383" s="109">
        <v>0</v>
      </c>
      <c r="G383" s="109" t="s">
        <v>122</v>
      </c>
      <c r="H383" s="109"/>
      <c r="I383" s="109" t="b">
        <v>0</v>
      </c>
      <c r="J383" s="109" t="b">
        <v>0</v>
      </c>
      <c r="K383" s="109" t="b">
        <v>0</v>
      </c>
      <c r="L383" s="109" t="s">
        <v>175</v>
      </c>
      <c r="M383" s="109" t="s">
        <v>5514</v>
      </c>
      <c r="N383" s="109" t="s">
        <v>6047</v>
      </c>
      <c r="O383" s="109" t="s">
        <v>5532</v>
      </c>
      <c r="P383" s="109" t="b">
        <v>0</v>
      </c>
      <c r="Q383" s="109" t="b">
        <v>0</v>
      </c>
    </row>
    <row r="384" spans="1:17">
      <c r="A384" s="130" t="s">
        <v>1703</v>
      </c>
      <c r="B384" s="109"/>
      <c r="C384" s="109"/>
      <c r="D384" s="109">
        <v>0</v>
      </c>
      <c r="E384" s="109">
        <v>0</v>
      </c>
      <c r="F384" s="109">
        <v>0</v>
      </c>
      <c r="G384" s="109" t="s">
        <v>122</v>
      </c>
      <c r="H384" s="109"/>
      <c r="I384" s="109" t="b">
        <v>0</v>
      </c>
      <c r="J384" s="109" t="b">
        <v>0</v>
      </c>
      <c r="K384" s="109" t="b">
        <v>0</v>
      </c>
      <c r="L384" s="109" t="s">
        <v>175</v>
      </c>
      <c r="M384" s="109" t="s">
        <v>5514</v>
      </c>
      <c r="N384" s="109" t="s">
        <v>5317</v>
      </c>
      <c r="O384" s="109" t="s">
        <v>4973</v>
      </c>
      <c r="P384" s="109" t="b">
        <v>0</v>
      </c>
      <c r="Q384" s="109" t="b">
        <v>0</v>
      </c>
    </row>
    <row r="385" spans="1:17">
      <c r="A385" s="130" t="s">
        <v>1555</v>
      </c>
      <c r="B385" s="109"/>
      <c r="C385" s="109"/>
      <c r="D385" s="109">
        <v>0</v>
      </c>
      <c r="E385" s="109">
        <v>0</v>
      </c>
      <c r="F385" s="109">
        <v>0</v>
      </c>
      <c r="G385" s="109" t="s">
        <v>122</v>
      </c>
      <c r="H385" s="109"/>
      <c r="I385" s="109" t="b">
        <v>0</v>
      </c>
      <c r="J385" s="109" t="b">
        <v>0</v>
      </c>
      <c r="K385" s="109" t="b">
        <v>0</v>
      </c>
      <c r="L385" s="109" t="s">
        <v>175</v>
      </c>
      <c r="M385" s="109" t="s">
        <v>5514</v>
      </c>
      <c r="N385" s="109" t="s">
        <v>5318</v>
      </c>
      <c r="O385" s="109" t="s">
        <v>4974</v>
      </c>
      <c r="P385" s="109" t="b">
        <v>0</v>
      </c>
      <c r="Q385" s="109" t="b">
        <v>0</v>
      </c>
    </row>
    <row r="386" spans="1:17">
      <c r="A386" s="130" t="s">
        <v>1556</v>
      </c>
      <c r="B386" s="109"/>
      <c r="C386" s="109"/>
      <c r="D386" s="109">
        <v>0</v>
      </c>
      <c r="E386" s="109">
        <v>0</v>
      </c>
      <c r="F386" s="109">
        <v>0</v>
      </c>
      <c r="G386" s="109" t="s">
        <v>122</v>
      </c>
      <c r="H386" s="109"/>
      <c r="I386" s="109" t="b">
        <v>0</v>
      </c>
      <c r="J386" s="109" t="b">
        <v>0</v>
      </c>
      <c r="K386" s="109" t="b">
        <v>0</v>
      </c>
      <c r="L386" s="109" t="s">
        <v>175</v>
      </c>
      <c r="M386" s="109" t="s">
        <v>5514</v>
      </c>
      <c r="N386" s="109" t="s">
        <v>5319</v>
      </c>
      <c r="O386" s="109" t="s">
        <v>4975</v>
      </c>
      <c r="P386" s="109" t="b">
        <v>0</v>
      </c>
      <c r="Q386" s="109" t="b">
        <v>0</v>
      </c>
    </row>
    <row r="387" spans="1:17">
      <c r="A387" s="130" t="s">
        <v>1557</v>
      </c>
      <c r="B387" s="109"/>
      <c r="C387" s="109"/>
      <c r="D387" s="109">
        <v>0</v>
      </c>
      <c r="E387" s="109">
        <v>0</v>
      </c>
      <c r="F387" s="109">
        <v>0</v>
      </c>
      <c r="G387" s="109" t="s">
        <v>122</v>
      </c>
      <c r="H387" s="109"/>
      <c r="I387" s="109" t="b">
        <v>0</v>
      </c>
      <c r="J387" s="109" t="b">
        <v>0</v>
      </c>
      <c r="K387" s="109" t="b">
        <v>0</v>
      </c>
      <c r="L387" s="109" t="s">
        <v>175</v>
      </c>
      <c r="M387" s="109" t="s">
        <v>5514</v>
      </c>
      <c r="N387" s="109" t="s">
        <v>5320</v>
      </c>
      <c r="O387" s="109" t="s">
        <v>4976</v>
      </c>
      <c r="P387" s="109" t="b">
        <v>0</v>
      </c>
      <c r="Q387" s="109" t="b">
        <v>0</v>
      </c>
    </row>
    <row r="388" spans="1:17">
      <c r="A388" s="130" t="s">
        <v>1558</v>
      </c>
      <c r="B388" s="109"/>
      <c r="C388" s="109"/>
      <c r="D388" s="109">
        <v>0</v>
      </c>
      <c r="E388" s="109">
        <v>0</v>
      </c>
      <c r="F388" s="109">
        <v>0</v>
      </c>
      <c r="G388" s="109" t="s">
        <v>122</v>
      </c>
      <c r="H388" s="109"/>
      <c r="I388" s="109" t="b">
        <v>0</v>
      </c>
      <c r="J388" s="109" t="b">
        <v>0</v>
      </c>
      <c r="K388" s="109" t="b">
        <v>0</v>
      </c>
      <c r="L388" s="109" t="s">
        <v>175</v>
      </c>
      <c r="M388" s="109" t="s">
        <v>5514</v>
      </c>
      <c r="N388" s="109" t="s">
        <v>5321</v>
      </c>
      <c r="O388" s="109" t="s">
        <v>4977</v>
      </c>
      <c r="P388" s="109" t="b">
        <v>0</v>
      </c>
      <c r="Q388" s="109" t="b">
        <v>0</v>
      </c>
    </row>
    <row r="389" spans="1:17">
      <c r="A389" s="126" t="s">
        <v>5584</v>
      </c>
      <c r="B389" s="113"/>
      <c r="C389" s="113"/>
      <c r="D389" s="113">
        <v>0</v>
      </c>
      <c r="E389" s="113">
        <v>0</v>
      </c>
      <c r="F389" s="113">
        <v>0</v>
      </c>
      <c r="G389" s="113" t="s">
        <v>122</v>
      </c>
      <c r="H389" s="113"/>
      <c r="I389" s="113" t="b">
        <v>0</v>
      </c>
      <c r="J389" s="113" t="b">
        <v>0</v>
      </c>
      <c r="K389" s="113" t="b">
        <v>0</v>
      </c>
      <c r="L389" s="113" t="s">
        <v>175</v>
      </c>
      <c r="M389" s="113" t="s">
        <v>5515</v>
      </c>
      <c r="N389" s="113" t="s">
        <v>6048</v>
      </c>
      <c r="O389" s="113" t="s">
        <v>6049</v>
      </c>
      <c r="P389" s="113" t="b">
        <v>0</v>
      </c>
      <c r="Q389" s="113" t="b">
        <v>0</v>
      </c>
    </row>
    <row r="390" spans="1:17">
      <c r="A390" s="126" t="s">
        <v>1704</v>
      </c>
      <c r="B390" s="113"/>
      <c r="C390" s="113"/>
      <c r="D390" s="113">
        <v>0</v>
      </c>
      <c r="E390" s="113">
        <v>0</v>
      </c>
      <c r="F390" s="113">
        <v>0</v>
      </c>
      <c r="G390" s="113" t="s">
        <v>122</v>
      </c>
      <c r="H390" s="113"/>
      <c r="I390" s="113" t="b">
        <v>0</v>
      </c>
      <c r="J390" s="113" t="b">
        <v>0</v>
      </c>
      <c r="K390" s="113" t="b">
        <v>0</v>
      </c>
      <c r="L390" s="113" t="s">
        <v>175</v>
      </c>
      <c r="M390" s="113" t="s">
        <v>5515</v>
      </c>
      <c r="N390" s="113" t="s">
        <v>5322</v>
      </c>
      <c r="O390" s="113" t="s">
        <v>4978</v>
      </c>
      <c r="P390" s="113" t="b">
        <v>0</v>
      </c>
      <c r="Q390" s="113" t="b">
        <v>0</v>
      </c>
    </row>
    <row r="391" spans="1:17">
      <c r="A391" s="126" t="s">
        <v>1559</v>
      </c>
      <c r="B391" s="113"/>
      <c r="C391" s="113"/>
      <c r="D391" s="113">
        <v>0</v>
      </c>
      <c r="E391" s="113">
        <v>0</v>
      </c>
      <c r="F391" s="113">
        <v>0</v>
      </c>
      <c r="G391" s="113" t="s">
        <v>122</v>
      </c>
      <c r="H391" s="113"/>
      <c r="I391" s="113" t="b">
        <v>0</v>
      </c>
      <c r="J391" s="113" t="b">
        <v>0</v>
      </c>
      <c r="K391" s="113" t="b">
        <v>0</v>
      </c>
      <c r="L391" s="113" t="s">
        <v>175</v>
      </c>
      <c r="M391" s="113" t="s">
        <v>5515</v>
      </c>
      <c r="N391" s="113" t="s">
        <v>5323</v>
      </c>
      <c r="O391" s="113" t="s">
        <v>4979</v>
      </c>
      <c r="P391" s="113" t="b">
        <v>0</v>
      </c>
      <c r="Q391" s="113" t="b">
        <v>0</v>
      </c>
    </row>
    <row r="392" spans="1:17">
      <c r="A392" s="126" t="s">
        <v>1560</v>
      </c>
      <c r="B392" s="113"/>
      <c r="C392" s="113"/>
      <c r="D392" s="113">
        <v>0</v>
      </c>
      <c r="E392" s="113">
        <v>0</v>
      </c>
      <c r="F392" s="113">
        <v>0</v>
      </c>
      <c r="G392" s="113" t="s">
        <v>122</v>
      </c>
      <c r="H392" s="113"/>
      <c r="I392" s="113" t="b">
        <v>0</v>
      </c>
      <c r="J392" s="113" t="b">
        <v>0</v>
      </c>
      <c r="K392" s="113" t="b">
        <v>0</v>
      </c>
      <c r="L392" s="113" t="s">
        <v>175</v>
      </c>
      <c r="M392" s="113" t="s">
        <v>5515</v>
      </c>
      <c r="N392" s="113" t="s">
        <v>5324</v>
      </c>
      <c r="O392" s="113" t="s">
        <v>4980</v>
      </c>
      <c r="P392" s="113" t="b">
        <v>0</v>
      </c>
      <c r="Q392" s="113" t="b">
        <v>0</v>
      </c>
    </row>
    <row r="393" spans="1:17">
      <c r="A393" s="126" t="s">
        <v>1561</v>
      </c>
      <c r="B393" s="113"/>
      <c r="C393" s="113"/>
      <c r="D393" s="113">
        <v>0</v>
      </c>
      <c r="E393" s="113">
        <v>0</v>
      </c>
      <c r="F393" s="113">
        <v>0</v>
      </c>
      <c r="G393" s="113" t="s">
        <v>122</v>
      </c>
      <c r="H393" s="113"/>
      <c r="I393" s="113" t="b">
        <v>0</v>
      </c>
      <c r="J393" s="113" t="b">
        <v>0</v>
      </c>
      <c r="K393" s="113" t="b">
        <v>0</v>
      </c>
      <c r="L393" s="113" t="s">
        <v>175</v>
      </c>
      <c r="M393" s="113" t="s">
        <v>5515</v>
      </c>
      <c r="N393" s="113" t="s">
        <v>5325</v>
      </c>
      <c r="O393" s="113" t="s">
        <v>4981</v>
      </c>
      <c r="P393" s="113" t="b">
        <v>0</v>
      </c>
      <c r="Q393" s="113" t="b">
        <v>0</v>
      </c>
    </row>
    <row r="394" spans="1:17">
      <c r="A394" s="126" t="s">
        <v>1562</v>
      </c>
      <c r="B394" s="113"/>
      <c r="C394" s="113"/>
      <c r="D394" s="113">
        <v>0</v>
      </c>
      <c r="E394" s="113">
        <v>0</v>
      </c>
      <c r="F394" s="113">
        <v>0</v>
      </c>
      <c r="G394" s="113" t="s">
        <v>122</v>
      </c>
      <c r="H394" s="113"/>
      <c r="I394" s="113" t="b">
        <v>0</v>
      </c>
      <c r="J394" s="113" t="b">
        <v>0</v>
      </c>
      <c r="K394" s="113" t="b">
        <v>0</v>
      </c>
      <c r="L394" s="113" t="s">
        <v>175</v>
      </c>
      <c r="M394" s="113" t="s">
        <v>5515</v>
      </c>
      <c r="N394" s="113" t="s">
        <v>5326</v>
      </c>
      <c r="O394" s="113" t="s">
        <v>4982</v>
      </c>
      <c r="P394" s="113" t="b">
        <v>0</v>
      </c>
      <c r="Q394" s="113" t="b">
        <v>0</v>
      </c>
    </row>
    <row r="395" spans="1:17">
      <c r="A395" s="130" t="s">
        <v>5585</v>
      </c>
      <c r="B395" s="109"/>
      <c r="C395" s="109"/>
      <c r="D395" s="109">
        <v>0</v>
      </c>
      <c r="E395" s="109">
        <v>0</v>
      </c>
      <c r="F395" s="109">
        <v>0</v>
      </c>
      <c r="G395" s="109" t="s">
        <v>122</v>
      </c>
      <c r="H395" s="109"/>
      <c r="I395" s="109" t="b">
        <v>0</v>
      </c>
      <c r="J395" s="109" t="b">
        <v>0</v>
      </c>
      <c r="K395" s="109" t="b">
        <v>0</v>
      </c>
      <c r="L395" s="109" t="s">
        <v>175</v>
      </c>
      <c r="M395" s="109" t="s">
        <v>5517</v>
      </c>
      <c r="N395" s="109" t="s">
        <v>6050</v>
      </c>
      <c r="O395" s="109" t="s">
        <v>6051</v>
      </c>
      <c r="P395" s="109" t="b">
        <v>0</v>
      </c>
      <c r="Q395" s="109" t="b">
        <v>0</v>
      </c>
    </row>
    <row r="396" spans="1:17">
      <c r="A396" s="130" t="s">
        <v>1705</v>
      </c>
      <c r="B396" s="109"/>
      <c r="C396" s="109"/>
      <c r="D396" s="109">
        <v>0</v>
      </c>
      <c r="E396" s="109">
        <v>0</v>
      </c>
      <c r="F396" s="109">
        <v>0</v>
      </c>
      <c r="G396" s="109" t="s">
        <v>122</v>
      </c>
      <c r="H396" s="109"/>
      <c r="I396" s="109" t="b">
        <v>0</v>
      </c>
      <c r="J396" s="109" t="b">
        <v>0</v>
      </c>
      <c r="K396" s="109" t="b">
        <v>0</v>
      </c>
      <c r="L396" s="109" t="s">
        <v>175</v>
      </c>
      <c r="M396" s="109" t="s">
        <v>5517</v>
      </c>
      <c r="N396" s="109" t="s">
        <v>5327</v>
      </c>
      <c r="O396" s="109" t="s">
        <v>4983</v>
      </c>
      <c r="P396" s="109" t="b">
        <v>0</v>
      </c>
      <c r="Q396" s="109" t="b">
        <v>0</v>
      </c>
    </row>
    <row r="397" spans="1:17">
      <c r="A397" s="130" t="s">
        <v>1563</v>
      </c>
      <c r="B397" s="109"/>
      <c r="C397" s="109"/>
      <c r="D397" s="109">
        <v>0</v>
      </c>
      <c r="E397" s="109">
        <v>0</v>
      </c>
      <c r="F397" s="109">
        <v>0</v>
      </c>
      <c r="G397" s="109" t="s">
        <v>122</v>
      </c>
      <c r="H397" s="109"/>
      <c r="I397" s="109" t="b">
        <v>0</v>
      </c>
      <c r="J397" s="109" t="b">
        <v>0</v>
      </c>
      <c r="K397" s="109" t="b">
        <v>0</v>
      </c>
      <c r="L397" s="109" t="s">
        <v>175</v>
      </c>
      <c r="M397" s="109" t="s">
        <v>5517</v>
      </c>
      <c r="N397" s="109" t="s">
        <v>5328</v>
      </c>
      <c r="O397" s="109" t="s">
        <v>4984</v>
      </c>
      <c r="P397" s="109" t="b">
        <v>0</v>
      </c>
      <c r="Q397" s="109" t="b">
        <v>0</v>
      </c>
    </row>
    <row r="398" spans="1:17">
      <c r="A398" s="130" t="s">
        <v>1564</v>
      </c>
      <c r="B398" s="109"/>
      <c r="C398" s="109"/>
      <c r="D398" s="109">
        <v>0</v>
      </c>
      <c r="E398" s="109">
        <v>0</v>
      </c>
      <c r="F398" s="109">
        <v>0</v>
      </c>
      <c r="G398" s="109" t="s">
        <v>122</v>
      </c>
      <c r="H398" s="109"/>
      <c r="I398" s="109" t="b">
        <v>0</v>
      </c>
      <c r="J398" s="109" t="b">
        <v>0</v>
      </c>
      <c r="K398" s="109" t="b">
        <v>0</v>
      </c>
      <c r="L398" s="109" t="s">
        <v>175</v>
      </c>
      <c r="M398" s="109" t="s">
        <v>5517</v>
      </c>
      <c r="N398" s="109" t="s">
        <v>5329</v>
      </c>
      <c r="O398" s="109" t="s">
        <v>4985</v>
      </c>
      <c r="P398" s="109" t="b">
        <v>0</v>
      </c>
      <c r="Q398" s="109" t="b">
        <v>0</v>
      </c>
    </row>
    <row r="399" spans="1:17">
      <c r="A399" s="130" t="s">
        <v>1565</v>
      </c>
      <c r="B399" s="109"/>
      <c r="C399" s="109"/>
      <c r="D399" s="109">
        <v>0</v>
      </c>
      <c r="E399" s="109">
        <v>0</v>
      </c>
      <c r="F399" s="109">
        <v>0</v>
      </c>
      <c r="G399" s="109" t="s">
        <v>122</v>
      </c>
      <c r="H399" s="109"/>
      <c r="I399" s="109" t="b">
        <v>0</v>
      </c>
      <c r="J399" s="109" t="b">
        <v>0</v>
      </c>
      <c r="K399" s="109" t="b">
        <v>0</v>
      </c>
      <c r="L399" s="109" t="s">
        <v>175</v>
      </c>
      <c r="M399" s="109" t="s">
        <v>5517</v>
      </c>
      <c r="N399" s="109" t="s">
        <v>5330</v>
      </c>
      <c r="O399" s="109" t="s">
        <v>4986</v>
      </c>
      <c r="P399" s="109" t="b">
        <v>0</v>
      </c>
      <c r="Q399" s="109" t="b">
        <v>0</v>
      </c>
    </row>
    <row r="400" spans="1:17">
      <c r="A400" s="130" t="s">
        <v>1566</v>
      </c>
      <c r="B400" s="109"/>
      <c r="C400" s="109"/>
      <c r="D400" s="109">
        <v>0</v>
      </c>
      <c r="E400" s="109">
        <v>0</v>
      </c>
      <c r="F400" s="109">
        <v>0</v>
      </c>
      <c r="G400" s="109" t="s">
        <v>122</v>
      </c>
      <c r="H400" s="109"/>
      <c r="I400" s="109" t="b">
        <v>0</v>
      </c>
      <c r="J400" s="109" t="b">
        <v>0</v>
      </c>
      <c r="K400" s="109" t="b">
        <v>0</v>
      </c>
      <c r="L400" s="109" t="s">
        <v>175</v>
      </c>
      <c r="M400" s="109" t="s">
        <v>5517</v>
      </c>
      <c r="N400" s="109" t="s">
        <v>5331</v>
      </c>
      <c r="O400" s="109" t="s">
        <v>6052</v>
      </c>
      <c r="P400" s="109" t="b">
        <v>0</v>
      </c>
      <c r="Q400" s="109" t="b">
        <v>0</v>
      </c>
    </row>
    <row r="401" spans="1:17">
      <c r="A401" s="126" t="s">
        <v>5586</v>
      </c>
      <c r="B401" s="113"/>
      <c r="C401" s="113"/>
      <c r="D401" s="113">
        <v>0</v>
      </c>
      <c r="E401" s="113">
        <v>0</v>
      </c>
      <c r="F401" s="113">
        <v>0</v>
      </c>
      <c r="G401" s="113" t="s">
        <v>122</v>
      </c>
      <c r="H401" s="113"/>
      <c r="I401" s="113" t="b">
        <v>0</v>
      </c>
      <c r="J401" s="113" t="b">
        <v>0</v>
      </c>
      <c r="K401" s="113" t="b">
        <v>0</v>
      </c>
      <c r="L401" s="113" t="s">
        <v>175</v>
      </c>
      <c r="M401" s="113" t="s">
        <v>56</v>
      </c>
      <c r="N401" s="113" t="s">
        <v>5533</v>
      </c>
      <c r="O401" s="113" t="s">
        <v>6053</v>
      </c>
      <c r="P401" s="113" t="b">
        <v>0</v>
      </c>
      <c r="Q401" s="113" t="b">
        <v>0</v>
      </c>
    </row>
    <row r="402" spans="1:17">
      <c r="A402" s="126" t="s">
        <v>1706</v>
      </c>
      <c r="B402" s="113"/>
      <c r="C402" s="113"/>
      <c r="D402" s="113">
        <v>0</v>
      </c>
      <c r="E402" s="113">
        <v>0</v>
      </c>
      <c r="F402" s="113">
        <v>0</v>
      </c>
      <c r="G402" s="113" t="s">
        <v>122</v>
      </c>
      <c r="H402" s="113"/>
      <c r="I402" s="113" t="b">
        <v>0</v>
      </c>
      <c r="J402" s="113" t="b">
        <v>0</v>
      </c>
      <c r="K402" s="113" t="b">
        <v>0</v>
      </c>
      <c r="L402" s="113" t="s">
        <v>175</v>
      </c>
      <c r="M402" s="113" t="s">
        <v>56</v>
      </c>
      <c r="N402" s="113" t="s">
        <v>5332</v>
      </c>
      <c r="O402" s="113" t="s">
        <v>4987</v>
      </c>
      <c r="P402" s="113" t="b">
        <v>0</v>
      </c>
      <c r="Q402" s="113" t="b">
        <v>0</v>
      </c>
    </row>
    <row r="403" spans="1:17">
      <c r="A403" s="126" t="s">
        <v>1567</v>
      </c>
      <c r="B403" s="113"/>
      <c r="C403" s="113"/>
      <c r="D403" s="113">
        <v>0</v>
      </c>
      <c r="E403" s="113">
        <v>0</v>
      </c>
      <c r="F403" s="113">
        <v>0</v>
      </c>
      <c r="G403" s="113" t="s">
        <v>122</v>
      </c>
      <c r="H403" s="113"/>
      <c r="I403" s="113" t="b">
        <v>0</v>
      </c>
      <c r="J403" s="113" t="b">
        <v>0</v>
      </c>
      <c r="K403" s="113" t="b">
        <v>0</v>
      </c>
      <c r="L403" s="113" t="s">
        <v>175</v>
      </c>
      <c r="M403" s="113" t="s">
        <v>56</v>
      </c>
      <c r="N403" s="113" t="s">
        <v>5333</v>
      </c>
      <c r="O403" s="113" t="s">
        <v>4988</v>
      </c>
      <c r="P403" s="113" t="b">
        <v>0</v>
      </c>
      <c r="Q403" s="113" t="b">
        <v>0</v>
      </c>
    </row>
    <row r="404" spans="1:17">
      <c r="A404" s="126" t="s">
        <v>1568</v>
      </c>
      <c r="B404" s="113"/>
      <c r="C404" s="113"/>
      <c r="D404" s="113">
        <v>0</v>
      </c>
      <c r="E404" s="113">
        <v>0</v>
      </c>
      <c r="F404" s="113">
        <v>0</v>
      </c>
      <c r="G404" s="113" t="s">
        <v>122</v>
      </c>
      <c r="H404" s="113"/>
      <c r="I404" s="113" t="b">
        <v>0</v>
      </c>
      <c r="J404" s="113" t="b">
        <v>0</v>
      </c>
      <c r="K404" s="113" t="b">
        <v>0</v>
      </c>
      <c r="L404" s="113" t="s">
        <v>175</v>
      </c>
      <c r="M404" s="113" t="s">
        <v>56</v>
      </c>
      <c r="N404" s="113" t="s">
        <v>5334</v>
      </c>
      <c r="O404" s="113" t="s">
        <v>4989</v>
      </c>
      <c r="P404" s="113" t="b">
        <v>0</v>
      </c>
      <c r="Q404" s="113" t="b">
        <v>0</v>
      </c>
    </row>
    <row r="405" spans="1:17">
      <c r="A405" s="126" t="s">
        <v>1569</v>
      </c>
      <c r="B405" s="113"/>
      <c r="C405" s="113"/>
      <c r="D405" s="113">
        <v>0</v>
      </c>
      <c r="E405" s="113">
        <v>0</v>
      </c>
      <c r="F405" s="113">
        <v>0</v>
      </c>
      <c r="G405" s="113" t="s">
        <v>122</v>
      </c>
      <c r="H405" s="113"/>
      <c r="I405" s="113" t="b">
        <v>0</v>
      </c>
      <c r="J405" s="113" t="b">
        <v>0</v>
      </c>
      <c r="K405" s="113" t="b">
        <v>0</v>
      </c>
      <c r="L405" s="113" t="s">
        <v>175</v>
      </c>
      <c r="M405" s="113" t="s">
        <v>56</v>
      </c>
      <c r="N405" s="113" t="s">
        <v>5335</v>
      </c>
      <c r="O405" s="113" t="s">
        <v>4990</v>
      </c>
      <c r="P405" s="113" t="b">
        <v>0</v>
      </c>
      <c r="Q405" s="113" t="b">
        <v>0</v>
      </c>
    </row>
    <row r="406" spans="1:17">
      <c r="A406" s="126" t="s">
        <v>1570</v>
      </c>
      <c r="B406" s="113"/>
      <c r="C406" s="113"/>
      <c r="D406" s="113">
        <v>0</v>
      </c>
      <c r="E406" s="113">
        <v>0</v>
      </c>
      <c r="F406" s="113">
        <v>0</v>
      </c>
      <c r="G406" s="113" t="s">
        <v>122</v>
      </c>
      <c r="H406" s="113"/>
      <c r="I406" s="113" t="b">
        <v>0</v>
      </c>
      <c r="J406" s="113" t="b">
        <v>0</v>
      </c>
      <c r="K406" s="113" t="b">
        <v>0</v>
      </c>
      <c r="L406" s="113" t="s">
        <v>175</v>
      </c>
      <c r="M406" s="113" t="s">
        <v>56</v>
      </c>
      <c r="N406" s="113" t="s">
        <v>5336</v>
      </c>
      <c r="O406" s="113" t="s">
        <v>4991</v>
      </c>
      <c r="P406" s="113" t="b">
        <v>0</v>
      </c>
      <c r="Q406" s="113" t="b">
        <v>0</v>
      </c>
    </row>
    <row r="407" spans="1:17">
      <c r="A407" s="130" t="s">
        <v>5587</v>
      </c>
      <c r="B407" s="109"/>
      <c r="C407" s="109"/>
      <c r="D407" s="109">
        <v>0</v>
      </c>
      <c r="E407" s="109">
        <v>0</v>
      </c>
      <c r="F407" s="109">
        <v>0</v>
      </c>
      <c r="G407" s="109" t="s">
        <v>122</v>
      </c>
      <c r="H407" s="109"/>
      <c r="I407" s="109" t="b">
        <v>0</v>
      </c>
      <c r="J407" s="109" t="b">
        <v>0</v>
      </c>
      <c r="K407" s="109" t="b">
        <v>0</v>
      </c>
      <c r="L407" s="109" t="s">
        <v>175</v>
      </c>
      <c r="M407" s="109" t="s">
        <v>56</v>
      </c>
      <c r="N407" s="109" t="s">
        <v>5534</v>
      </c>
      <c r="O407" s="109" t="s">
        <v>5535</v>
      </c>
      <c r="P407" s="109" t="b">
        <v>0</v>
      </c>
      <c r="Q407" s="109" t="b">
        <v>0</v>
      </c>
    </row>
    <row r="408" spans="1:17">
      <c r="A408" s="130" t="s">
        <v>6054</v>
      </c>
      <c r="B408" s="109"/>
      <c r="C408" s="109"/>
      <c r="D408" s="109">
        <v>0</v>
      </c>
      <c r="E408" s="109">
        <v>0</v>
      </c>
      <c r="F408" s="109">
        <v>0</v>
      </c>
      <c r="G408" s="109" t="s">
        <v>122</v>
      </c>
      <c r="H408" s="109"/>
      <c r="I408" s="109" t="b">
        <v>0</v>
      </c>
      <c r="J408" s="109" t="b">
        <v>0</v>
      </c>
      <c r="K408" s="109" t="b">
        <v>0</v>
      </c>
      <c r="L408" s="109" t="s">
        <v>175</v>
      </c>
      <c r="M408" s="109" t="s">
        <v>56</v>
      </c>
      <c r="N408" s="109" t="s">
        <v>5337</v>
      </c>
      <c r="O408" s="109" t="s">
        <v>4992</v>
      </c>
      <c r="P408" s="109" t="b">
        <v>0</v>
      </c>
      <c r="Q408" s="109" t="b">
        <v>0</v>
      </c>
    </row>
    <row r="409" spans="1:17">
      <c r="A409" s="130" t="s">
        <v>1571</v>
      </c>
      <c r="B409" s="109"/>
      <c r="C409" s="109"/>
      <c r="D409" s="109">
        <v>0</v>
      </c>
      <c r="E409" s="109">
        <v>0</v>
      </c>
      <c r="F409" s="109">
        <v>0</v>
      </c>
      <c r="G409" s="109" t="s">
        <v>122</v>
      </c>
      <c r="H409" s="109"/>
      <c r="I409" s="109" t="b">
        <v>0</v>
      </c>
      <c r="J409" s="109" t="b">
        <v>0</v>
      </c>
      <c r="K409" s="109" t="b">
        <v>0</v>
      </c>
      <c r="L409" s="109" t="s">
        <v>175</v>
      </c>
      <c r="M409" s="109" t="s">
        <v>56</v>
      </c>
      <c r="N409" s="109" t="s">
        <v>5338</v>
      </c>
      <c r="O409" s="109" t="s">
        <v>4993</v>
      </c>
      <c r="P409" s="109" t="b">
        <v>0</v>
      </c>
      <c r="Q409" s="109" t="b">
        <v>0</v>
      </c>
    </row>
    <row r="410" spans="1:17">
      <c r="A410" s="130" t="s">
        <v>1572</v>
      </c>
      <c r="B410" s="109"/>
      <c r="C410" s="109"/>
      <c r="D410" s="109">
        <v>0</v>
      </c>
      <c r="E410" s="109">
        <v>0</v>
      </c>
      <c r="F410" s="109">
        <v>0</v>
      </c>
      <c r="G410" s="109" t="s">
        <v>122</v>
      </c>
      <c r="H410" s="109"/>
      <c r="I410" s="109" t="b">
        <v>0</v>
      </c>
      <c r="J410" s="109" t="b">
        <v>0</v>
      </c>
      <c r="K410" s="109" t="b">
        <v>0</v>
      </c>
      <c r="L410" s="109" t="s">
        <v>175</v>
      </c>
      <c r="M410" s="109" t="s">
        <v>56</v>
      </c>
      <c r="N410" s="109" t="s">
        <v>5339</v>
      </c>
      <c r="O410" s="109" t="s">
        <v>4994</v>
      </c>
      <c r="P410" s="109" t="b">
        <v>0</v>
      </c>
      <c r="Q410" s="109" t="b">
        <v>0</v>
      </c>
    </row>
    <row r="411" spans="1:17">
      <c r="A411" s="130" t="s">
        <v>1573</v>
      </c>
      <c r="B411" s="109"/>
      <c r="C411" s="109"/>
      <c r="D411" s="109">
        <v>0</v>
      </c>
      <c r="E411" s="109">
        <v>0</v>
      </c>
      <c r="F411" s="109">
        <v>0</v>
      </c>
      <c r="G411" s="109" t="s">
        <v>122</v>
      </c>
      <c r="H411" s="109"/>
      <c r="I411" s="109" t="b">
        <v>0</v>
      </c>
      <c r="J411" s="109" t="b">
        <v>0</v>
      </c>
      <c r="K411" s="109" t="b">
        <v>0</v>
      </c>
      <c r="L411" s="109" t="s">
        <v>175</v>
      </c>
      <c r="M411" s="109" t="s">
        <v>56</v>
      </c>
      <c r="N411" s="109" t="s">
        <v>5340</v>
      </c>
      <c r="O411" s="109" t="s">
        <v>4995</v>
      </c>
      <c r="P411" s="109" t="b">
        <v>0</v>
      </c>
      <c r="Q411" s="109" t="b">
        <v>0</v>
      </c>
    </row>
    <row r="412" spans="1:17">
      <c r="A412" s="130" t="s">
        <v>1574</v>
      </c>
      <c r="B412" s="109"/>
      <c r="C412" s="109"/>
      <c r="D412" s="109">
        <v>0</v>
      </c>
      <c r="E412" s="109">
        <v>0</v>
      </c>
      <c r="F412" s="109">
        <v>0</v>
      </c>
      <c r="G412" s="109" t="s">
        <v>122</v>
      </c>
      <c r="H412" s="109"/>
      <c r="I412" s="109" t="b">
        <v>0</v>
      </c>
      <c r="J412" s="109" t="b">
        <v>0</v>
      </c>
      <c r="K412" s="109" t="b">
        <v>0</v>
      </c>
      <c r="L412" s="109" t="s">
        <v>175</v>
      </c>
      <c r="M412" s="109" t="s">
        <v>56</v>
      </c>
      <c r="N412" s="109" t="s">
        <v>5341</v>
      </c>
      <c r="O412" s="109" t="s">
        <v>4996</v>
      </c>
      <c r="P412" s="109" t="b">
        <v>0</v>
      </c>
      <c r="Q412" s="109" t="b">
        <v>0</v>
      </c>
    </row>
    <row r="413" spans="1:17">
      <c r="A413" s="126" t="s">
        <v>5588</v>
      </c>
      <c r="B413" s="113"/>
      <c r="C413" s="113"/>
      <c r="D413" s="113">
        <v>0</v>
      </c>
      <c r="E413" s="113">
        <v>0</v>
      </c>
      <c r="F413" s="113">
        <v>0</v>
      </c>
      <c r="G413" s="113" t="s">
        <v>122</v>
      </c>
      <c r="H413" s="113"/>
      <c r="I413" s="113" t="b">
        <v>0</v>
      </c>
      <c r="J413" s="113" t="b">
        <v>0</v>
      </c>
      <c r="K413" s="113" t="b">
        <v>0</v>
      </c>
      <c r="L413" s="113" t="s">
        <v>175</v>
      </c>
      <c r="M413" s="113" t="s">
        <v>56</v>
      </c>
      <c r="N413" s="113" t="s">
        <v>6055</v>
      </c>
      <c r="O413" s="113" t="s">
        <v>6056</v>
      </c>
      <c r="P413" s="113" t="b">
        <v>0</v>
      </c>
      <c r="Q413" s="113" t="b">
        <v>0</v>
      </c>
    </row>
    <row r="414" spans="1:17">
      <c r="A414" s="126" t="s">
        <v>6057</v>
      </c>
      <c r="B414" s="113"/>
      <c r="C414" s="113"/>
      <c r="D414" s="113">
        <v>0</v>
      </c>
      <c r="E414" s="113">
        <v>0</v>
      </c>
      <c r="F414" s="113">
        <v>0</v>
      </c>
      <c r="G414" s="113" t="s">
        <v>122</v>
      </c>
      <c r="H414" s="113"/>
      <c r="I414" s="113" t="b">
        <v>0</v>
      </c>
      <c r="J414" s="113" t="b">
        <v>0</v>
      </c>
      <c r="K414" s="113" t="b">
        <v>0</v>
      </c>
      <c r="L414" s="113" t="s">
        <v>175</v>
      </c>
      <c r="M414" s="113" t="s">
        <v>56</v>
      </c>
      <c r="N414" s="113" t="s">
        <v>5342</v>
      </c>
      <c r="O414" s="113" t="s">
        <v>4997</v>
      </c>
      <c r="P414" s="113" t="b">
        <v>0</v>
      </c>
      <c r="Q414" s="113" t="b">
        <v>0</v>
      </c>
    </row>
    <row r="415" spans="1:17">
      <c r="A415" s="126" t="s">
        <v>4350</v>
      </c>
      <c r="B415" s="113"/>
      <c r="C415" s="113"/>
      <c r="D415" s="113">
        <v>0</v>
      </c>
      <c r="E415" s="113">
        <v>0</v>
      </c>
      <c r="F415" s="113">
        <v>0</v>
      </c>
      <c r="G415" s="113" t="s">
        <v>122</v>
      </c>
      <c r="H415" s="113"/>
      <c r="I415" s="113" t="b">
        <v>0</v>
      </c>
      <c r="J415" s="113" t="b">
        <v>0</v>
      </c>
      <c r="K415" s="113" t="b">
        <v>0</v>
      </c>
      <c r="L415" s="113" t="s">
        <v>175</v>
      </c>
      <c r="M415" s="113" t="s">
        <v>56</v>
      </c>
      <c r="N415" s="113" t="s">
        <v>5343</v>
      </c>
      <c r="O415" s="113" t="s">
        <v>4998</v>
      </c>
      <c r="P415" s="113" t="b">
        <v>0</v>
      </c>
      <c r="Q415" s="113" t="b">
        <v>0</v>
      </c>
    </row>
    <row r="416" spans="1:17">
      <c r="A416" s="126" t="s">
        <v>4351</v>
      </c>
      <c r="B416" s="113"/>
      <c r="C416" s="113"/>
      <c r="D416" s="113">
        <v>0</v>
      </c>
      <c r="E416" s="113">
        <v>0</v>
      </c>
      <c r="F416" s="113">
        <v>0</v>
      </c>
      <c r="G416" s="113" t="s">
        <v>122</v>
      </c>
      <c r="H416" s="113"/>
      <c r="I416" s="113" t="b">
        <v>0</v>
      </c>
      <c r="J416" s="113" t="b">
        <v>0</v>
      </c>
      <c r="K416" s="113" t="b">
        <v>0</v>
      </c>
      <c r="L416" s="113" t="s">
        <v>175</v>
      </c>
      <c r="M416" s="113" t="s">
        <v>56</v>
      </c>
      <c r="N416" s="113" t="s">
        <v>5344</v>
      </c>
      <c r="O416" s="113" t="s">
        <v>4999</v>
      </c>
      <c r="P416" s="113" t="b">
        <v>0</v>
      </c>
      <c r="Q416" s="113" t="b">
        <v>0</v>
      </c>
    </row>
    <row r="417" spans="1:17">
      <c r="A417" s="126" t="s">
        <v>4352</v>
      </c>
      <c r="B417" s="113"/>
      <c r="C417" s="113"/>
      <c r="D417" s="113">
        <v>0</v>
      </c>
      <c r="E417" s="113">
        <v>0</v>
      </c>
      <c r="F417" s="113">
        <v>0</v>
      </c>
      <c r="G417" s="113" t="s">
        <v>122</v>
      </c>
      <c r="H417" s="113"/>
      <c r="I417" s="113" t="b">
        <v>0</v>
      </c>
      <c r="J417" s="113" t="b">
        <v>0</v>
      </c>
      <c r="K417" s="113" t="b">
        <v>0</v>
      </c>
      <c r="L417" s="113" t="s">
        <v>175</v>
      </c>
      <c r="M417" s="113" t="s">
        <v>56</v>
      </c>
      <c r="N417" s="113" t="s">
        <v>5345</v>
      </c>
      <c r="O417" s="113" t="s">
        <v>5000</v>
      </c>
      <c r="P417" s="113" t="b">
        <v>0</v>
      </c>
      <c r="Q417" s="113" t="b">
        <v>0</v>
      </c>
    </row>
    <row r="418" spans="1:17">
      <c r="A418" s="126" t="s">
        <v>4353</v>
      </c>
      <c r="B418" s="113"/>
      <c r="C418" s="113"/>
      <c r="D418" s="113">
        <v>0</v>
      </c>
      <c r="E418" s="113">
        <v>0</v>
      </c>
      <c r="F418" s="113">
        <v>0</v>
      </c>
      <c r="G418" s="113" t="s">
        <v>122</v>
      </c>
      <c r="H418" s="113"/>
      <c r="I418" s="113" t="b">
        <v>0</v>
      </c>
      <c r="J418" s="113" t="b">
        <v>0</v>
      </c>
      <c r="K418" s="113" t="b">
        <v>0</v>
      </c>
      <c r="L418" s="113" t="s">
        <v>175</v>
      </c>
      <c r="M418" s="113" t="s">
        <v>56</v>
      </c>
      <c r="N418" s="113" t="s">
        <v>5346</v>
      </c>
      <c r="O418" s="113" t="s">
        <v>5001</v>
      </c>
      <c r="P418" s="113" t="b">
        <v>0</v>
      </c>
      <c r="Q418" s="113" t="b">
        <v>0</v>
      </c>
    </row>
    <row r="419" spans="1:17">
      <c r="A419" s="130" t="s">
        <v>5589</v>
      </c>
      <c r="B419" s="109"/>
      <c r="C419" s="109"/>
      <c r="D419" s="109">
        <v>0</v>
      </c>
      <c r="E419" s="109">
        <v>0</v>
      </c>
      <c r="F419" s="109">
        <v>0</v>
      </c>
      <c r="G419" s="109" t="s">
        <v>122</v>
      </c>
      <c r="H419" s="109"/>
      <c r="I419" s="109" t="b">
        <v>0</v>
      </c>
      <c r="J419" s="109" t="b">
        <v>0</v>
      </c>
      <c r="K419" s="109" t="b">
        <v>0</v>
      </c>
      <c r="L419" s="109" t="s">
        <v>175</v>
      </c>
      <c r="M419" s="109" t="s">
        <v>56</v>
      </c>
      <c r="N419" s="109" t="s">
        <v>5536</v>
      </c>
      <c r="O419" s="109" t="s">
        <v>6058</v>
      </c>
      <c r="P419" s="109" t="b">
        <v>0</v>
      </c>
      <c r="Q419" s="109" t="b">
        <v>0</v>
      </c>
    </row>
    <row r="420" spans="1:17">
      <c r="A420" s="130" t="s">
        <v>6059</v>
      </c>
      <c r="B420" s="109"/>
      <c r="C420" s="109"/>
      <c r="D420" s="109">
        <v>0</v>
      </c>
      <c r="E420" s="109">
        <v>0</v>
      </c>
      <c r="F420" s="109">
        <v>0</v>
      </c>
      <c r="G420" s="109" t="s">
        <v>122</v>
      </c>
      <c r="H420" s="109"/>
      <c r="I420" s="109" t="b">
        <v>0</v>
      </c>
      <c r="J420" s="109" t="b">
        <v>0</v>
      </c>
      <c r="K420" s="109" t="b">
        <v>0</v>
      </c>
      <c r="L420" s="109" t="s">
        <v>175</v>
      </c>
      <c r="M420" s="109" t="s">
        <v>56</v>
      </c>
      <c r="N420" s="109" t="s">
        <v>5347</v>
      </c>
      <c r="O420" s="109" t="s">
        <v>5002</v>
      </c>
      <c r="P420" s="109" t="b">
        <v>0</v>
      </c>
      <c r="Q420" s="109" t="b">
        <v>0</v>
      </c>
    </row>
    <row r="421" spans="1:17">
      <c r="A421" s="130" t="s">
        <v>4356</v>
      </c>
      <c r="B421" s="109"/>
      <c r="C421" s="109"/>
      <c r="D421" s="109">
        <v>0</v>
      </c>
      <c r="E421" s="109">
        <v>0</v>
      </c>
      <c r="F421" s="109">
        <v>0</v>
      </c>
      <c r="G421" s="109" t="s">
        <v>122</v>
      </c>
      <c r="H421" s="109"/>
      <c r="I421" s="109" t="b">
        <v>0</v>
      </c>
      <c r="J421" s="109" t="b">
        <v>0</v>
      </c>
      <c r="K421" s="109" t="b">
        <v>0</v>
      </c>
      <c r="L421" s="109" t="s">
        <v>175</v>
      </c>
      <c r="M421" s="109" t="s">
        <v>56</v>
      </c>
      <c r="N421" s="109" t="s">
        <v>5348</v>
      </c>
      <c r="O421" s="109" t="s">
        <v>5003</v>
      </c>
      <c r="P421" s="109" t="b">
        <v>0</v>
      </c>
      <c r="Q421" s="109" t="b">
        <v>0</v>
      </c>
    </row>
    <row r="422" spans="1:17">
      <c r="A422" s="130" t="s">
        <v>4357</v>
      </c>
      <c r="B422" s="109"/>
      <c r="C422" s="109"/>
      <c r="D422" s="109">
        <v>0</v>
      </c>
      <c r="E422" s="109">
        <v>0</v>
      </c>
      <c r="F422" s="109">
        <v>0</v>
      </c>
      <c r="G422" s="109" t="s">
        <v>122</v>
      </c>
      <c r="H422" s="109"/>
      <c r="I422" s="109" t="b">
        <v>0</v>
      </c>
      <c r="J422" s="109" t="b">
        <v>0</v>
      </c>
      <c r="K422" s="109" t="b">
        <v>0</v>
      </c>
      <c r="L422" s="109" t="s">
        <v>175</v>
      </c>
      <c r="M422" s="109" t="s">
        <v>56</v>
      </c>
      <c r="N422" s="109" t="s">
        <v>5349</v>
      </c>
      <c r="O422" s="109" t="s">
        <v>5004</v>
      </c>
      <c r="P422" s="109" t="b">
        <v>0</v>
      </c>
      <c r="Q422" s="109" t="b">
        <v>0</v>
      </c>
    </row>
    <row r="423" spans="1:17">
      <c r="A423" s="130" t="s">
        <v>4358</v>
      </c>
      <c r="B423" s="109"/>
      <c r="C423" s="109"/>
      <c r="D423" s="109">
        <v>0</v>
      </c>
      <c r="E423" s="109">
        <v>0</v>
      </c>
      <c r="F423" s="109">
        <v>0</v>
      </c>
      <c r="G423" s="109" t="s">
        <v>122</v>
      </c>
      <c r="H423" s="109"/>
      <c r="I423" s="109" t="b">
        <v>0</v>
      </c>
      <c r="J423" s="109" t="b">
        <v>0</v>
      </c>
      <c r="K423" s="109" t="b">
        <v>0</v>
      </c>
      <c r="L423" s="109" t="s">
        <v>175</v>
      </c>
      <c r="M423" s="109" t="s">
        <v>56</v>
      </c>
      <c r="N423" s="109" t="s">
        <v>5350</v>
      </c>
      <c r="O423" s="109" t="s">
        <v>5005</v>
      </c>
      <c r="P423" s="109" t="b">
        <v>0</v>
      </c>
      <c r="Q423" s="109" t="b">
        <v>0</v>
      </c>
    </row>
    <row r="424" spans="1:17">
      <c r="A424" s="130" t="s">
        <v>4359</v>
      </c>
      <c r="B424" s="109"/>
      <c r="C424" s="109"/>
      <c r="D424" s="109">
        <v>0</v>
      </c>
      <c r="E424" s="109">
        <v>0</v>
      </c>
      <c r="F424" s="109">
        <v>0</v>
      </c>
      <c r="G424" s="109" t="s">
        <v>122</v>
      </c>
      <c r="H424" s="109"/>
      <c r="I424" s="109" t="b">
        <v>0</v>
      </c>
      <c r="J424" s="109" t="b">
        <v>0</v>
      </c>
      <c r="K424" s="109" t="b">
        <v>0</v>
      </c>
      <c r="L424" s="109" t="s">
        <v>175</v>
      </c>
      <c r="M424" s="109" t="s">
        <v>56</v>
      </c>
      <c r="N424" s="109" t="s">
        <v>5351</v>
      </c>
      <c r="O424" s="109" t="s">
        <v>5006</v>
      </c>
      <c r="P424" s="109" t="b">
        <v>0</v>
      </c>
      <c r="Q424" s="109" t="b">
        <v>0</v>
      </c>
    </row>
    <row r="425" spans="1:17">
      <c r="A425" s="126" t="s">
        <v>5590</v>
      </c>
      <c r="B425" s="113"/>
      <c r="C425" s="113"/>
      <c r="D425" s="113">
        <v>0</v>
      </c>
      <c r="E425" s="113">
        <v>0</v>
      </c>
      <c r="F425" s="113">
        <v>0</v>
      </c>
      <c r="G425" s="113" t="s">
        <v>122</v>
      </c>
      <c r="H425" s="113"/>
      <c r="I425" s="113" t="b">
        <v>0</v>
      </c>
      <c r="J425" s="113" t="b">
        <v>0</v>
      </c>
      <c r="K425" s="113" t="b">
        <v>0</v>
      </c>
      <c r="L425" s="113" t="s">
        <v>175</v>
      </c>
      <c r="M425" s="113" t="s">
        <v>56</v>
      </c>
      <c r="N425" s="113" t="s">
        <v>6060</v>
      </c>
      <c r="O425" s="113" t="s">
        <v>6061</v>
      </c>
      <c r="P425" s="113" t="b">
        <v>0</v>
      </c>
      <c r="Q425" s="113" t="b">
        <v>0</v>
      </c>
    </row>
    <row r="426" spans="1:17">
      <c r="A426" s="126" t="s">
        <v>1707</v>
      </c>
      <c r="B426" s="113"/>
      <c r="C426" s="113"/>
      <c r="D426" s="113">
        <v>0</v>
      </c>
      <c r="E426" s="113">
        <v>0</v>
      </c>
      <c r="F426" s="113">
        <v>0</v>
      </c>
      <c r="G426" s="113" t="s">
        <v>122</v>
      </c>
      <c r="H426" s="113"/>
      <c r="I426" s="113" t="b">
        <v>0</v>
      </c>
      <c r="J426" s="113" t="b">
        <v>0</v>
      </c>
      <c r="K426" s="113" t="b">
        <v>0</v>
      </c>
      <c r="L426" s="113" t="s">
        <v>175</v>
      </c>
      <c r="M426" s="113" t="s">
        <v>56</v>
      </c>
      <c r="N426" s="113" t="s">
        <v>5352</v>
      </c>
      <c r="O426" s="113" t="s">
        <v>5007</v>
      </c>
      <c r="P426" s="113" t="b">
        <v>0</v>
      </c>
      <c r="Q426" s="113" t="b">
        <v>0</v>
      </c>
    </row>
    <row r="427" spans="1:17">
      <c r="A427" s="126" t="s">
        <v>1575</v>
      </c>
      <c r="B427" s="113"/>
      <c r="C427" s="113"/>
      <c r="D427" s="113">
        <v>0</v>
      </c>
      <c r="E427" s="113">
        <v>0</v>
      </c>
      <c r="F427" s="113">
        <v>0</v>
      </c>
      <c r="G427" s="113" t="s">
        <v>122</v>
      </c>
      <c r="H427" s="113"/>
      <c r="I427" s="113" t="b">
        <v>0</v>
      </c>
      <c r="J427" s="113" t="b">
        <v>0</v>
      </c>
      <c r="K427" s="113" t="b">
        <v>0</v>
      </c>
      <c r="L427" s="113" t="s">
        <v>175</v>
      </c>
      <c r="M427" s="113" t="s">
        <v>56</v>
      </c>
      <c r="N427" s="113" t="s">
        <v>5353</v>
      </c>
      <c r="O427" s="113" t="s">
        <v>5008</v>
      </c>
      <c r="P427" s="113" t="b">
        <v>0</v>
      </c>
      <c r="Q427" s="113" t="b">
        <v>0</v>
      </c>
    </row>
    <row r="428" spans="1:17">
      <c r="A428" s="126" t="s">
        <v>1576</v>
      </c>
      <c r="B428" s="113"/>
      <c r="C428" s="113"/>
      <c r="D428" s="113">
        <v>0</v>
      </c>
      <c r="E428" s="113">
        <v>0</v>
      </c>
      <c r="F428" s="113">
        <v>0</v>
      </c>
      <c r="G428" s="113" t="s">
        <v>122</v>
      </c>
      <c r="H428" s="113"/>
      <c r="I428" s="113" t="b">
        <v>0</v>
      </c>
      <c r="J428" s="113" t="b">
        <v>0</v>
      </c>
      <c r="K428" s="113" t="b">
        <v>0</v>
      </c>
      <c r="L428" s="113" t="s">
        <v>175</v>
      </c>
      <c r="M428" s="113" t="s">
        <v>56</v>
      </c>
      <c r="N428" s="113" t="s">
        <v>5354</v>
      </c>
      <c r="O428" s="113" t="s">
        <v>5009</v>
      </c>
      <c r="P428" s="113" t="b">
        <v>0</v>
      </c>
      <c r="Q428" s="113" t="b">
        <v>0</v>
      </c>
    </row>
    <row r="429" spans="1:17">
      <c r="A429" s="126" t="s">
        <v>1577</v>
      </c>
      <c r="B429" s="113"/>
      <c r="C429" s="113"/>
      <c r="D429" s="113">
        <v>0</v>
      </c>
      <c r="E429" s="113">
        <v>0</v>
      </c>
      <c r="F429" s="113">
        <v>0</v>
      </c>
      <c r="G429" s="113" t="s">
        <v>122</v>
      </c>
      <c r="H429" s="113"/>
      <c r="I429" s="113" t="b">
        <v>0</v>
      </c>
      <c r="J429" s="113" t="b">
        <v>0</v>
      </c>
      <c r="K429" s="113" t="b">
        <v>0</v>
      </c>
      <c r="L429" s="113" t="s">
        <v>175</v>
      </c>
      <c r="M429" s="113" t="s">
        <v>56</v>
      </c>
      <c r="N429" s="113" t="s">
        <v>5355</v>
      </c>
      <c r="O429" s="113" t="s">
        <v>5010</v>
      </c>
      <c r="P429" s="113" t="b">
        <v>0</v>
      </c>
      <c r="Q429" s="113" t="b">
        <v>0</v>
      </c>
    </row>
    <row r="430" spans="1:17">
      <c r="A430" s="126" t="s">
        <v>1578</v>
      </c>
      <c r="B430" s="113"/>
      <c r="C430" s="113"/>
      <c r="D430" s="113">
        <v>0</v>
      </c>
      <c r="E430" s="113">
        <v>0</v>
      </c>
      <c r="F430" s="113">
        <v>0</v>
      </c>
      <c r="G430" s="113" t="s">
        <v>122</v>
      </c>
      <c r="H430" s="113"/>
      <c r="I430" s="113" t="b">
        <v>0</v>
      </c>
      <c r="J430" s="113" t="b">
        <v>0</v>
      </c>
      <c r="K430" s="113" t="b">
        <v>0</v>
      </c>
      <c r="L430" s="113" t="s">
        <v>175</v>
      </c>
      <c r="M430" s="113" t="s">
        <v>56</v>
      </c>
      <c r="N430" s="113" t="s">
        <v>5356</v>
      </c>
      <c r="O430" s="113" t="s">
        <v>5011</v>
      </c>
      <c r="P430" s="113" t="b">
        <v>0</v>
      </c>
      <c r="Q430" s="113" t="b">
        <v>0</v>
      </c>
    </row>
    <row r="431" spans="1:17">
      <c r="A431" s="130" t="s">
        <v>5591</v>
      </c>
      <c r="B431" s="109"/>
      <c r="C431" s="109"/>
      <c r="D431" s="109">
        <v>0</v>
      </c>
      <c r="E431" s="109">
        <v>0</v>
      </c>
      <c r="F431" s="109">
        <v>0</v>
      </c>
      <c r="G431" s="109" t="s">
        <v>122</v>
      </c>
      <c r="H431" s="109"/>
      <c r="I431" s="109" t="b">
        <v>0</v>
      </c>
      <c r="J431" s="109" t="b">
        <v>0</v>
      </c>
      <c r="K431" s="109" t="b">
        <v>0</v>
      </c>
      <c r="L431" s="109" t="s">
        <v>175</v>
      </c>
      <c r="M431" s="109" t="s">
        <v>56</v>
      </c>
      <c r="N431" s="109" t="s">
        <v>5537</v>
      </c>
      <c r="O431" s="109" t="s">
        <v>6062</v>
      </c>
      <c r="P431" s="109" t="b">
        <v>0</v>
      </c>
      <c r="Q431" s="109" t="b">
        <v>0</v>
      </c>
    </row>
    <row r="432" spans="1:17">
      <c r="A432" s="130" t="s">
        <v>6063</v>
      </c>
      <c r="B432" s="109"/>
      <c r="C432" s="109"/>
      <c r="D432" s="109">
        <v>0</v>
      </c>
      <c r="E432" s="109">
        <v>0</v>
      </c>
      <c r="F432" s="109">
        <v>0</v>
      </c>
      <c r="G432" s="109" t="s">
        <v>122</v>
      </c>
      <c r="H432" s="109"/>
      <c r="I432" s="109" t="b">
        <v>0</v>
      </c>
      <c r="J432" s="109" t="b">
        <v>0</v>
      </c>
      <c r="K432" s="109" t="b">
        <v>0</v>
      </c>
      <c r="L432" s="109" t="s">
        <v>175</v>
      </c>
      <c r="M432" s="109" t="s">
        <v>56</v>
      </c>
      <c r="N432" s="109" t="s">
        <v>5357</v>
      </c>
      <c r="O432" s="109" t="s">
        <v>5012</v>
      </c>
      <c r="P432" s="109" t="b">
        <v>0</v>
      </c>
      <c r="Q432" s="109" t="b">
        <v>0</v>
      </c>
    </row>
    <row r="433" spans="1:17">
      <c r="A433" s="130" t="s">
        <v>1579</v>
      </c>
      <c r="B433" s="109"/>
      <c r="C433" s="109"/>
      <c r="D433" s="109">
        <v>0</v>
      </c>
      <c r="E433" s="109">
        <v>0</v>
      </c>
      <c r="F433" s="109">
        <v>0</v>
      </c>
      <c r="G433" s="109" t="s">
        <v>122</v>
      </c>
      <c r="H433" s="109"/>
      <c r="I433" s="109" t="b">
        <v>0</v>
      </c>
      <c r="J433" s="109" t="b">
        <v>0</v>
      </c>
      <c r="K433" s="109" t="b">
        <v>0</v>
      </c>
      <c r="L433" s="109" t="s">
        <v>175</v>
      </c>
      <c r="M433" s="109" t="s">
        <v>56</v>
      </c>
      <c r="N433" s="109" t="s">
        <v>5358</v>
      </c>
      <c r="O433" s="109" t="s">
        <v>5013</v>
      </c>
      <c r="P433" s="109" t="b">
        <v>0</v>
      </c>
      <c r="Q433" s="109" t="b">
        <v>0</v>
      </c>
    </row>
    <row r="434" spans="1:17">
      <c r="A434" s="130" t="s">
        <v>1580</v>
      </c>
      <c r="B434" s="109"/>
      <c r="C434" s="109"/>
      <c r="D434" s="109">
        <v>0</v>
      </c>
      <c r="E434" s="109">
        <v>0</v>
      </c>
      <c r="F434" s="109">
        <v>0</v>
      </c>
      <c r="G434" s="109" t="s">
        <v>122</v>
      </c>
      <c r="H434" s="109"/>
      <c r="I434" s="109" t="b">
        <v>0</v>
      </c>
      <c r="J434" s="109" t="b">
        <v>0</v>
      </c>
      <c r="K434" s="109" t="b">
        <v>0</v>
      </c>
      <c r="L434" s="109" t="s">
        <v>175</v>
      </c>
      <c r="M434" s="109" t="s">
        <v>56</v>
      </c>
      <c r="N434" s="109" t="s">
        <v>5359</v>
      </c>
      <c r="O434" s="109" t="s">
        <v>5014</v>
      </c>
      <c r="P434" s="109" t="b">
        <v>0</v>
      </c>
      <c r="Q434" s="109" t="b">
        <v>0</v>
      </c>
    </row>
    <row r="435" spans="1:17">
      <c r="A435" s="130" t="s">
        <v>1581</v>
      </c>
      <c r="B435" s="109"/>
      <c r="C435" s="109"/>
      <c r="D435" s="109">
        <v>0</v>
      </c>
      <c r="E435" s="109">
        <v>0</v>
      </c>
      <c r="F435" s="109">
        <v>0</v>
      </c>
      <c r="G435" s="109" t="s">
        <v>122</v>
      </c>
      <c r="H435" s="109"/>
      <c r="I435" s="109" t="b">
        <v>0</v>
      </c>
      <c r="J435" s="109" t="b">
        <v>0</v>
      </c>
      <c r="K435" s="109" t="b">
        <v>0</v>
      </c>
      <c r="L435" s="109" t="s">
        <v>175</v>
      </c>
      <c r="M435" s="109" t="s">
        <v>56</v>
      </c>
      <c r="N435" s="109" t="s">
        <v>5360</v>
      </c>
      <c r="O435" s="109" t="s">
        <v>5015</v>
      </c>
      <c r="P435" s="109" t="b">
        <v>0</v>
      </c>
      <c r="Q435" s="109" t="b">
        <v>0</v>
      </c>
    </row>
    <row r="436" spans="1:17">
      <c r="A436" s="130" t="s">
        <v>1582</v>
      </c>
      <c r="B436" s="109"/>
      <c r="C436" s="109"/>
      <c r="D436" s="109">
        <v>0</v>
      </c>
      <c r="E436" s="109">
        <v>0</v>
      </c>
      <c r="F436" s="109">
        <v>0</v>
      </c>
      <c r="G436" s="109" t="s">
        <v>122</v>
      </c>
      <c r="H436" s="109"/>
      <c r="I436" s="109" t="b">
        <v>0</v>
      </c>
      <c r="J436" s="109" t="b">
        <v>0</v>
      </c>
      <c r="K436" s="109" t="b">
        <v>0</v>
      </c>
      <c r="L436" s="109" t="s">
        <v>175</v>
      </c>
      <c r="M436" s="109" t="s">
        <v>56</v>
      </c>
      <c r="N436" s="109" t="s">
        <v>5361</v>
      </c>
      <c r="O436" s="109" t="s">
        <v>5016</v>
      </c>
      <c r="P436" s="109" t="b">
        <v>0</v>
      </c>
      <c r="Q436" s="109" t="b">
        <v>0</v>
      </c>
    </row>
    <row r="437" spans="1:17">
      <c r="A437" s="126" t="s">
        <v>5592</v>
      </c>
      <c r="B437" s="113"/>
      <c r="C437" s="113"/>
      <c r="D437" s="113">
        <v>0</v>
      </c>
      <c r="E437" s="113">
        <v>0</v>
      </c>
      <c r="F437" s="113">
        <v>0</v>
      </c>
      <c r="G437" s="113" t="s">
        <v>122</v>
      </c>
      <c r="H437" s="113"/>
      <c r="I437" s="113" t="b">
        <v>0</v>
      </c>
      <c r="J437" s="113" t="b">
        <v>0</v>
      </c>
      <c r="K437" s="113" t="b">
        <v>0</v>
      </c>
      <c r="L437" s="113" t="s">
        <v>175</v>
      </c>
      <c r="M437" s="113" t="s">
        <v>56</v>
      </c>
      <c r="N437" s="113" t="s">
        <v>6064</v>
      </c>
      <c r="O437" s="113" t="s">
        <v>5538</v>
      </c>
      <c r="P437" s="113" t="b">
        <v>0</v>
      </c>
      <c r="Q437" s="113" t="b">
        <v>0</v>
      </c>
    </row>
    <row r="438" spans="1:17">
      <c r="A438" s="126" t="s">
        <v>1709</v>
      </c>
      <c r="B438" s="113"/>
      <c r="C438" s="113"/>
      <c r="D438" s="113">
        <v>0</v>
      </c>
      <c r="E438" s="113">
        <v>0</v>
      </c>
      <c r="F438" s="113">
        <v>0</v>
      </c>
      <c r="G438" s="113" t="s">
        <v>122</v>
      </c>
      <c r="H438" s="113"/>
      <c r="I438" s="113" t="b">
        <v>0</v>
      </c>
      <c r="J438" s="113" t="b">
        <v>0</v>
      </c>
      <c r="K438" s="113" t="b">
        <v>0</v>
      </c>
      <c r="L438" s="113" t="s">
        <v>175</v>
      </c>
      <c r="M438" s="113" t="s">
        <v>56</v>
      </c>
      <c r="N438" s="113" t="s">
        <v>5362</v>
      </c>
      <c r="O438" s="113" t="s">
        <v>5017</v>
      </c>
      <c r="P438" s="113" t="b">
        <v>0</v>
      </c>
      <c r="Q438" s="113" t="b">
        <v>0</v>
      </c>
    </row>
    <row r="439" spans="1:17">
      <c r="A439" s="126" t="s">
        <v>1583</v>
      </c>
      <c r="B439" s="113"/>
      <c r="C439" s="113"/>
      <c r="D439" s="113">
        <v>0</v>
      </c>
      <c r="E439" s="113">
        <v>0</v>
      </c>
      <c r="F439" s="113">
        <v>0</v>
      </c>
      <c r="G439" s="113" t="s">
        <v>122</v>
      </c>
      <c r="H439" s="113"/>
      <c r="I439" s="113" t="b">
        <v>0</v>
      </c>
      <c r="J439" s="113" t="b">
        <v>0</v>
      </c>
      <c r="K439" s="113" t="b">
        <v>0</v>
      </c>
      <c r="L439" s="113" t="s">
        <v>175</v>
      </c>
      <c r="M439" s="113" t="s">
        <v>56</v>
      </c>
      <c r="N439" s="113" t="s">
        <v>5363</v>
      </c>
      <c r="O439" s="113" t="s">
        <v>5018</v>
      </c>
      <c r="P439" s="113" t="b">
        <v>0</v>
      </c>
      <c r="Q439" s="113" t="b">
        <v>0</v>
      </c>
    </row>
    <row r="440" spans="1:17">
      <c r="A440" s="126" t="s">
        <v>6065</v>
      </c>
      <c r="B440" s="113"/>
      <c r="C440" s="113"/>
      <c r="D440" s="113">
        <v>0</v>
      </c>
      <c r="E440" s="113">
        <v>0</v>
      </c>
      <c r="F440" s="113">
        <v>0</v>
      </c>
      <c r="G440" s="113" t="s">
        <v>122</v>
      </c>
      <c r="H440" s="113"/>
      <c r="I440" s="113" t="b">
        <v>0</v>
      </c>
      <c r="J440" s="113" t="b">
        <v>0</v>
      </c>
      <c r="K440" s="113" t="b">
        <v>0</v>
      </c>
      <c r="L440" s="113" t="s">
        <v>175</v>
      </c>
      <c r="M440" s="113" t="s">
        <v>56</v>
      </c>
      <c r="N440" s="113" t="s">
        <v>5364</v>
      </c>
      <c r="O440" s="113" t="s">
        <v>5019</v>
      </c>
      <c r="P440" s="113" t="b">
        <v>0</v>
      </c>
      <c r="Q440" s="113" t="b">
        <v>0</v>
      </c>
    </row>
    <row r="441" spans="1:17">
      <c r="A441" s="126" t="s">
        <v>1585</v>
      </c>
      <c r="B441" s="113"/>
      <c r="C441" s="113"/>
      <c r="D441" s="113">
        <v>0</v>
      </c>
      <c r="E441" s="113">
        <v>0</v>
      </c>
      <c r="F441" s="113">
        <v>0</v>
      </c>
      <c r="G441" s="113" t="s">
        <v>122</v>
      </c>
      <c r="H441" s="113"/>
      <c r="I441" s="113" t="b">
        <v>0</v>
      </c>
      <c r="J441" s="113" t="b">
        <v>0</v>
      </c>
      <c r="K441" s="113" t="b">
        <v>0</v>
      </c>
      <c r="L441" s="113" t="s">
        <v>175</v>
      </c>
      <c r="M441" s="113" t="s">
        <v>56</v>
      </c>
      <c r="N441" s="113" t="s">
        <v>5365</v>
      </c>
      <c r="O441" s="113" t="s">
        <v>5020</v>
      </c>
      <c r="P441" s="113" t="b">
        <v>0</v>
      </c>
      <c r="Q441" s="113" t="b">
        <v>0</v>
      </c>
    </row>
    <row r="442" spans="1:17">
      <c r="A442" s="126" t="s">
        <v>1586</v>
      </c>
      <c r="B442" s="113"/>
      <c r="C442" s="113"/>
      <c r="D442" s="113">
        <v>0</v>
      </c>
      <c r="E442" s="113">
        <v>0</v>
      </c>
      <c r="F442" s="113">
        <v>0</v>
      </c>
      <c r="G442" s="113" t="s">
        <v>122</v>
      </c>
      <c r="H442" s="113"/>
      <c r="I442" s="113" t="b">
        <v>0</v>
      </c>
      <c r="J442" s="113" t="b">
        <v>0</v>
      </c>
      <c r="K442" s="113" t="b">
        <v>0</v>
      </c>
      <c r="L442" s="113" t="s">
        <v>175</v>
      </c>
      <c r="M442" s="113" t="s">
        <v>56</v>
      </c>
      <c r="N442" s="113" t="s">
        <v>5366</v>
      </c>
      <c r="O442" s="113" t="s">
        <v>5021</v>
      </c>
      <c r="P442" s="113" t="b">
        <v>0</v>
      </c>
      <c r="Q442" s="113" t="b">
        <v>0</v>
      </c>
    </row>
    <row r="443" spans="1:17">
      <c r="A443" s="130" t="s">
        <v>5593</v>
      </c>
      <c r="B443" s="109"/>
      <c r="C443" s="109"/>
      <c r="D443" s="109">
        <v>0</v>
      </c>
      <c r="E443" s="109">
        <v>0</v>
      </c>
      <c r="F443" s="109">
        <v>0</v>
      </c>
      <c r="G443" s="109" t="s">
        <v>122</v>
      </c>
      <c r="H443" s="109"/>
      <c r="I443" s="109" t="b">
        <v>0</v>
      </c>
      <c r="J443" s="109" t="b">
        <v>0</v>
      </c>
      <c r="K443" s="109" t="b">
        <v>0</v>
      </c>
      <c r="L443" s="109" t="s">
        <v>175</v>
      </c>
      <c r="M443" s="109" t="s">
        <v>56</v>
      </c>
      <c r="N443" s="109" t="s">
        <v>5539</v>
      </c>
      <c r="O443" s="109" t="s">
        <v>6066</v>
      </c>
      <c r="P443" s="109" t="b">
        <v>0</v>
      </c>
      <c r="Q443" s="109" t="b">
        <v>0</v>
      </c>
    </row>
    <row r="444" spans="1:17">
      <c r="A444" s="130" t="s">
        <v>1710</v>
      </c>
      <c r="B444" s="109"/>
      <c r="C444" s="109"/>
      <c r="D444" s="109">
        <v>0</v>
      </c>
      <c r="E444" s="109">
        <v>0</v>
      </c>
      <c r="F444" s="109">
        <v>0</v>
      </c>
      <c r="G444" s="109" t="s">
        <v>122</v>
      </c>
      <c r="H444" s="109"/>
      <c r="I444" s="109" t="b">
        <v>0</v>
      </c>
      <c r="J444" s="109" t="b">
        <v>0</v>
      </c>
      <c r="K444" s="109" t="b">
        <v>0</v>
      </c>
      <c r="L444" s="109" t="s">
        <v>175</v>
      </c>
      <c r="M444" s="109" t="s">
        <v>56</v>
      </c>
      <c r="N444" s="109" t="s">
        <v>5367</v>
      </c>
      <c r="O444" s="109" t="s">
        <v>5022</v>
      </c>
      <c r="P444" s="109" t="b">
        <v>0</v>
      </c>
      <c r="Q444" s="109" t="b">
        <v>0</v>
      </c>
    </row>
    <row r="445" spans="1:17">
      <c r="A445" s="130" t="s">
        <v>1587</v>
      </c>
      <c r="B445" s="109"/>
      <c r="C445" s="109"/>
      <c r="D445" s="109">
        <v>0</v>
      </c>
      <c r="E445" s="109">
        <v>0</v>
      </c>
      <c r="F445" s="109">
        <v>0</v>
      </c>
      <c r="G445" s="109" t="s">
        <v>122</v>
      </c>
      <c r="H445" s="109"/>
      <c r="I445" s="109" t="b">
        <v>0</v>
      </c>
      <c r="J445" s="109" t="b">
        <v>0</v>
      </c>
      <c r="K445" s="109" t="b">
        <v>0</v>
      </c>
      <c r="L445" s="109" t="s">
        <v>175</v>
      </c>
      <c r="M445" s="109" t="s">
        <v>56</v>
      </c>
      <c r="N445" s="109" t="s">
        <v>5368</v>
      </c>
      <c r="O445" s="109" t="s">
        <v>5023</v>
      </c>
      <c r="P445" s="109" t="b">
        <v>0</v>
      </c>
      <c r="Q445" s="109" t="b">
        <v>0</v>
      </c>
    </row>
    <row r="446" spans="1:17">
      <c r="A446" s="130" t="s">
        <v>1588</v>
      </c>
      <c r="B446" s="109"/>
      <c r="C446" s="109"/>
      <c r="D446" s="109">
        <v>0</v>
      </c>
      <c r="E446" s="109">
        <v>0</v>
      </c>
      <c r="F446" s="109">
        <v>0</v>
      </c>
      <c r="G446" s="109" t="s">
        <v>122</v>
      </c>
      <c r="H446" s="109"/>
      <c r="I446" s="109" t="b">
        <v>0</v>
      </c>
      <c r="J446" s="109" t="b">
        <v>0</v>
      </c>
      <c r="K446" s="109" t="b">
        <v>0</v>
      </c>
      <c r="L446" s="109" t="s">
        <v>175</v>
      </c>
      <c r="M446" s="109" t="s">
        <v>56</v>
      </c>
      <c r="N446" s="109" t="s">
        <v>5369</v>
      </c>
      <c r="O446" s="109" t="s">
        <v>5024</v>
      </c>
      <c r="P446" s="109" t="b">
        <v>0</v>
      </c>
      <c r="Q446" s="109" t="b">
        <v>0</v>
      </c>
    </row>
    <row r="447" spans="1:17">
      <c r="A447" s="130" t="s">
        <v>1589</v>
      </c>
      <c r="B447" s="109"/>
      <c r="C447" s="109"/>
      <c r="D447" s="109">
        <v>0</v>
      </c>
      <c r="E447" s="109">
        <v>0</v>
      </c>
      <c r="F447" s="109">
        <v>0</v>
      </c>
      <c r="G447" s="109" t="s">
        <v>122</v>
      </c>
      <c r="H447" s="109"/>
      <c r="I447" s="109" t="b">
        <v>0</v>
      </c>
      <c r="J447" s="109" t="b">
        <v>0</v>
      </c>
      <c r="K447" s="109" t="b">
        <v>0</v>
      </c>
      <c r="L447" s="109" t="s">
        <v>175</v>
      </c>
      <c r="M447" s="109" t="s">
        <v>56</v>
      </c>
      <c r="N447" s="109" t="s">
        <v>5370</v>
      </c>
      <c r="O447" s="109" t="s">
        <v>5025</v>
      </c>
      <c r="P447" s="109" t="b">
        <v>0</v>
      </c>
      <c r="Q447" s="109" t="b">
        <v>0</v>
      </c>
    </row>
    <row r="448" spans="1:17">
      <c r="A448" s="130" t="s">
        <v>1590</v>
      </c>
      <c r="B448" s="109"/>
      <c r="C448" s="109"/>
      <c r="D448" s="109">
        <v>0</v>
      </c>
      <c r="E448" s="109">
        <v>0</v>
      </c>
      <c r="F448" s="109">
        <v>0</v>
      </c>
      <c r="G448" s="109" t="s">
        <v>122</v>
      </c>
      <c r="H448" s="109"/>
      <c r="I448" s="109" t="b">
        <v>0</v>
      </c>
      <c r="J448" s="109" t="b">
        <v>0</v>
      </c>
      <c r="K448" s="109" t="b">
        <v>0</v>
      </c>
      <c r="L448" s="109" t="s">
        <v>175</v>
      </c>
      <c r="M448" s="109" t="s">
        <v>56</v>
      </c>
      <c r="N448" s="109" t="s">
        <v>5371</v>
      </c>
      <c r="O448" s="109" t="s">
        <v>5026</v>
      </c>
      <c r="P448" s="109" t="b">
        <v>0</v>
      </c>
      <c r="Q448" s="109" t="b">
        <v>0</v>
      </c>
    </row>
    <row r="449" spans="1:17">
      <c r="A449" s="130" t="s">
        <v>4519</v>
      </c>
      <c r="B449" s="109"/>
      <c r="C449" s="109"/>
      <c r="D449" s="109">
        <v>0</v>
      </c>
      <c r="E449" s="109">
        <v>0</v>
      </c>
      <c r="F449" s="109">
        <v>0</v>
      </c>
      <c r="G449" s="109" t="s">
        <v>122</v>
      </c>
      <c r="H449" s="109"/>
      <c r="I449" s="109" t="b">
        <v>0</v>
      </c>
      <c r="J449" s="109" t="b">
        <v>0</v>
      </c>
      <c r="K449" s="109" t="b">
        <v>0</v>
      </c>
      <c r="L449" s="109" t="s">
        <v>175</v>
      </c>
      <c r="M449" s="109" t="s">
        <v>56</v>
      </c>
      <c r="N449" s="109" t="s">
        <v>5372</v>
      </c>
      <c r="O449" s="109" t="s">
        <v>5027</v>
      </c>
      <c r="P449" s="109" t="b">
        <v>0</v>
      </c>
      <c r="Q449" s="109" t="b">
        <v>0</v>
      </c>
    </row>
    <row r="450" spans="1:17">
      <c r="A450" s="130" t="s">
        <v>4520</v>
      </c>
      <c r="B450" s="109"/>
      <c r="C450" s="109"/>
      <c r="D450" s="109">
        <v>0</v>
      </c>
      <c r="E450" s="109">
        <v>0</v>
      </c>
      <c r="F450" s="109">
        <v>0</v>
      </c>
      <c r="G450" s="109" t="s">
        <v>122</v>
      </c>
      <c r="H450" s="109"/>
      <c r="I450" s="109" t="b">
        <v>0</v>
      </c>
      <c r="J450" s="109" t="b">
        <v>0</v>
      </c>
      <c r="K450" s="109" t="b">
        <v>0</v>
      </c>
      <c r="L450" s="109" t="s">
        <v>175</v>
      </c>
      <c r="M450" s="109" t="s">
        <v>56</v>
      </c>
      <c r="N450" s="109" t="s">
        <v>5373</v>
      </c>
      <c r="O450" s="109" t="s">
        <v>5028</v>
      </c>
      <c r="P450" s="109" t="b">
        <v>0</v>
      </c>
      <c r="Q450" s="109" t="b">
        <v>0</v>
      </c>
    </row>
    <row r="451" spans="1:17">
      <c r="A451" s="130" t="s">
        <v>4521</v>
      </c>
      <c r="B451" s="109"/>
      <c r="C451" s="109"/>
      <c r="D451" s="109">
        <v>0</v>
      </c>
      <c r="E451" s="109">
        <v>0</v>
      </c>
      <c r="F451" s="109">
        <v>0</v>
      </c>
      <c r="G451" s="109" t="s">
        <v>122</v>
      </c>
      <c r="H451" s="109"/>
      <c r="I451" s="109" t="b">
        <v>0</v>
      </c>
      <c r="J451" s="109" t="b">
        <v>0</v>
      </c>
      <c r="K451" s="109" t="b">
        <v>0</v>
      </c>
      <c r="L451" s="109" t="s">
        <v>175</v>
      </c>
      <c r="M451" s="109" t="s">
        <v>56</v>
      </c>
      <c r="N451" s="109" t="s">
        <v>5374</v>
      </c>
      <c r="O451" s="109" t="s">
        <v>5029</v>
      </c>
      <c r="P451" s="109" t="b">
        <v>0</v>
      </c>
      <c r="Q451" s="109" t="b">
        <v>0</v>
      </c>
    </row>
    <row r="452" spans="1:17">
      <c r="A452" s="130" t="s">
        <v>4522</v>
      </c>
      <c r="B452" s="109"/>
      <c r="C452" s="109"/>
      <c r="D452" s="109">
        <v>0</v>
      </c>
      <c r="E452" s="109">
        <v>0</v>
      </c>
      <c r="F452" s="109">
        <v>0</v>
      </c>
      <c r="G452" s="109" t="s">
        <v>122</v>
      </c>
      <c r="H452" s="109"/>
      <c r="I452" s="109" t="b">
        <v>0</v>
      </c>
      <c r="J452" s="109" t="b">
        <v>0</v>
      </c>
      <c r="K452" s="109" t="b">
        <v>0</v>
      </c>
      <c r="L452" s="109" t="s">
        <v>175</v>
      </c>
      <c r="M452" s="109" t="s">
        <v>56</v>
      </c>
      <c r="N452" s="109" t="s">
        <v>5375</v>
      </c>
      <c r="O452" s="109" t="s">
        <v>5030</v>
      </c>
      <c r="P452" s="109" t="b">
        <v>0</v>
      </c>
      <c r="Q452" s="109" t="b">
        <v>0</v>
      </c>
    </row>
    <row r="453" spans="1:17">
      <c r="A453" s="130" t="s">
        <v>4523</v>
      </c>
      <c r="B453" s="109"/>
      <c r="C453" s="109"/>
      <c r="D453" s="109">
        <v>0</v>
      </c>
      <c r="E453" s="109">
        <v>0</v>
      </c>
      <c r="F453" s="109">
        <v>0</v>
      </c>
      <c r="G453" s="109" t="s">
        <v>122</v>
      </c>
      <c r="H453" s="109"/>
      <c r="I453" s="109" t="b">
        <v>0</v>
      </c>
      <c r="J453" s="109" t="b">
        <v>0</v>
      </c>
      <c r="K453" s="109" t="b">
        <v>0</v>
      </c>
      <c r="L453" s="109" t="s">
        <v>175</v>
      </c>
      <c r="M453" s="109" t="s">
        <v>56</v>
      </c>
      <c r="N453" s="109" t="s">
        <v>5376</v>
      </c>
      <c r="O453" s="109" t="s">
        <v>5031</v>
      </c>
      <c r="P453" s="109" t="b">
        <v>0</v>
      </c>
      <c r="Q453" s="109" t="b">
        <v>0</v>
      </c>
    </row>
    <row r="454" spans="1:17">
      <c r="A454" s="126" t="s">
        <v>5594</v>
      </c>
      <c r="B454" s="113"/>
      <c r="C454" s="113"/>
      <c r="D454" s="113">
        <v>0</v>
      </c>
      <c r="E454" s="113">
        <v>0</v>
      </c>
      <c r="F454" s="113">
        <v>0</v>
      </c>
      <c r="G454" s="113" t="s">
        <v>122</v>
      </c>
      <c r="H454" s="113"/>
      <c r="I454" s="113" t="b">
        <v>0</v>
      </c>
      <c r="J454" s="113" t="b">
        <v>0</v>
      </c>
      <c r="K454" s="113" t="b">
        <v>0</v>
      </c>
      <c r="L454" s="113" t="s">
        <v>175</v>
      </c>
      <c r="M454" s="113" t="s">
        <v>5521</v>
      </c>
      <c r="N454" s="113" t="s">
        <v>6067</v>
      </c>
      <c r="O454" s="113" t="s">
        <v>6068</v>
      </c>
      <c r="P454" s="113" t="b">
        <v>0</v>
      </c>
      <c r="Q454" s="113" t="b">
        <v>0</v>
      </c>
    </row>
    <row r="455" spans="1:17">
      <c r="A455" s="126" t="s">
        <v>1711</v>
      </c>
      <c r="B455" s="113"/>
      <c r="C455" s="113"/>
      <c r="D455" s="113">
        <v>0</v>
      </c>
      <c r="E455" s="113">
        <v>0</v>
      </c>
      <c r="F455" s="113">
        <v>0</v>
      </c>
      <c r="G455" s="113" t="s">
        <v>122</v>
      </c>
      <c r="H455" s="113"/>
      <c r="I455" s="113" t="b">
        <v>0</v>
      </c>
      <c r="J455" s="113" t="b">
        <v>0</v>
      </c>
      <c r="K455" s="113" t="b">
        <v>0</v>
      </c>
      <c r="L455" s="113" t="s">
        <v>175</v>
      </c>
      <c r="M455" s="113" t="s">
        <v>5521</v>
      </c>
      <c r="N455" s="113" t="s">
        <v>5377</v>
      </c>
      <c r="O455" s="113" t="s">
        <v>5032</v>
      </c>
      <c r="P455" s="113" t="b">
        <v>0</v>
      </c>
      <c r="Q455" s="113" t="b">
        <v>0</v>
      </c>
    </row>
    <row r="456" spans="1:17">
      <c r="A456" s="126" t="s">
        <v>1591</v>
      </c>
      <c r="B456" s="113"/>
      <c r="C456" s="113"/>
      <c r="D456" s="113">
        <v>0</v>
      </c>
      <c r="E456" s="113">
        <v>0</v>
      </c>
      <c r="F456" s="113">
        <v>0</v>
      </c>
      <c r="G456" s="113" t="s">
        <v>122</v>
      </c>
      <c r="H456" s="113"/>
      <c r="I456" s="113" t="b">
        <v>0</v>
      </c>
      <c r="J456" s="113" t="b">
        <v>0</v>
      </c>
      <c r="K456" s="113" t="b">
        <v>0</v>
      </c>
      <c r="L456" s="113" t="s">
        <v>175</v>
      </c>
      <c r="M456" s="113" t="s">
        <v>5521</v>
      </c>
      <c r="N456" s="113" t="s">
        <v>5378</v>
      </c>
      <c r="O456" s="113" t="s">
        <v>5033</v>
      </c>
      <c r="P456" s="113" t="b">
        <v>0</v>
      </c>
      <c r="Q456" s="113" t="b">
        <v>0</v>
      </c>
    </row>
    <row r="457" spans="1:17">
      <c r="A457" s="126" t="s">
        <v>1592</v>
      </c>
      <c r="B457" s="113"/>
      <c r="C457" s="113"/>
      <c r="D457" s="113">
        <v>0</v>
      </c>
      <c r="E457" s="113">
        <v>0</v>
      </c>
      <c r="F457" s="113">
        <v>0</v>
      </c>
      <c r="G457" s="113" t="s">
        <v>122</v>
      </c>
      <c r="H457" s="113"/>
      <c r="I457" s="113" t="b">
        <v>0</v>
      </c>
      <c r="J457" s="113" t="b">
        <v>0</v>
      </c>
      <c r="K457" s="113" t="b">
        <v>0</v>
      </c>
      <c r="L457" s="113" t="s">
        <v>175</v>
      </c>
      <c r="M457" s="113" t="s">
        <v>5521</v>
      </c>
      <c r="N457" s="113" t="s">
        <v>5379</v>
      </c>
      <c r="O457" s="113" t="s">
        <v>5034</v>
      </c>
      <c r="P457" s="113" t="b">
        <v>0</v>
      </c>
      <c r="Q457" s="113" t="b">
        <v>0</v>
      </c>
    </row>
    <row r="458" spans="1:17">
      <c r="A458" s="126" t="s">
        <v>1593</v>
      </c>
      <c r="B458" s="113"/>
      <c r="C458" s="113"/>
      <c r="D458" s="113">
        <v>0</v>
      </c>
      <c r="E458" s="113">
        <v>0</v>
      </c>
      <c r="F458" s="113">
        <v>0</v>
      </c>
      <c r="G458" s="113" t="s">
        <v>122</v>
      </c>
      <c r="H458" s="113"/>
      <c r="I458" s="113" t="b">
        <v>0</v>
      </c>
      <c r="J458" s="113" t="b">
        <v>0</v>
      </c>
      <c r="K458" s="113" t="b">
        <v>0</v>
      </c>
      <c r="L458" s="113" t="s">
        <v>175</v>
      </c>
      <c r="M458" s="113" t="s">
        <v>5521</v>
      </c>
      <c r="N458" s="113" t="s">
        <v>5380</v>
      </c>
      <c r="O458" s="113" t="s">
        <v>5035</v>
      </c>
      <c r="P458" s="113" t="b">
        <v>0</v>
      </c>
      <c r="Q458" s="113" t="b">
        <v>0</v>
      </c>
    </row>
    <row r="459" spans="1:17">
      <c r="A459" s="126" t="s">
        <v>1594</v>
      </c>
      <c r="B459" s="113"/>
      <c r="C459" s="113"/>
      <c r="D459" s="113">
        <v>0</v>
      </c>
      <c r="E459" s="113">
        <v>0</v>
      </c>
      <c r="F459" s="113">
        <v>0</v>
      </c>
      <c r="G459" s="113" t="s">
        <v>122</v>
      </c>
      <c r="H459" s="113"/>
      <c r="I459" s="113" t="b">
        <v>0</v>
      </c>
      <c r="J459" s="113" t="b">
        <v>0</v>
      </c>
      <c r="K459" s="113" t="b">
        <v>0</v>
      </c>
      <c r="L459" s="113" t="s">
        <v>175</v>
      </c>
      <c r="M459" s="113" t="s">
        <v>5521</v>
      </c>
      <c r="N459" s="113" t="s">
        <v>5381</v>
      </c>
      <c r="O459" s="113" t="s">
        <v>5036</v>
      </c>
      <c r="P459" s="113" t="b">
        <v>0</v>
      </c>
      <c r="Q459" s="113" t="b">
        <v>0</v>
      </c>
    </row>
    <row r="460" spans="1:17">
      <c r="A460" s="130" t="s">
        <v>5595</v>
      </c>
      <c r="B460" s="109"/>
      <c r="C460" s="109"/>
      <c r="D460" s="109">
        <v>0</v>
      </c>
      <c r="E460" s="109">
        <v>0</v>
      </c>
      <c r="F460" s="109">
        <v>0</v>
      </c>
      <c r="G460" s="109" t="s">
        <v>122</v>
      </c>
      <c r="H460" s="109"/>
      <c r="I460" s="109" t="b">
        <v>0</v>
      </c>
      <c r="J460" s="109" t="b">
        <v>0</v>
      </c>
      <c r="K460" s="109" t="b">
        <v>0</v>
      </c>
      <c r="L460" s="109" t="s">
        <v>175</v>
      </c>
      <c r="M460" s="109" t="s">
        <v>5521</v>
      </c>
      <c r="N460" s="109" t="s">
        <v>6069</v>
      </c>
      <c r="O460" s="109" t="s">
        <v>6070</v>
      </c>
      <c r="P460" s="109" t="b">
        <v>0</v>
      </c>
      <c r="Q460" s="109" t="b">
        <v>0</v>
      </c>
    </row>
    <row r="461" spans="1:17">
      <c r="A461" s="130" t="s">
        <v>1712</v>
      </c>
      <c r="B461" s="109"/>
      <c r="C461" s="109"/>
      <c r="D461" s="109">
        <v>0</v>
      </c>
      <c r="E461" s="109">
        <v>0</v>
      </c>
      <c r="F461" s="109">
        <v>0</v>
      </c>
      <c r="G461" s="109" t="s">
        <v>122</v>
      </c>
      <c r="H461" s="109"/>
      <c r="I461" s="109" t="b">
        <v>0</v>
      </c>
      <c r="J461" s="109" t="b">
        <v>0</v>
      </c>
      <c r="K461" s="109" t="b">
        <v>0</v>
      </c>
      <c r="L461" s="109" t="s">
        <v>175</v>
      </c>
      <c r="M461" s="109" t="s">
        <v>5521</v>
      </c>
      <c r="N461" s="109" t="s">
        <v>5382</v>
      </c>
      <c r="O461" s="109" t="s">
        <v>5037</v>
      </c>
      <c r="P461" s="109" t="b">
        <v>0</v>
      </c>
      <c r="Q461" s="109" t="b">
        <v>0</v>
      </c>
    </row>
    <row r="462" spans="1:17">
      <c r="A462" s="130" t="s">
        <v>1595</v>
      </c>
      <c r="B462" s="109"/>
      <c r="C462" s="109"/>
      <c r="D462" s="109">
        <v>0</v>
      </c>
      <c r="E462" s="109">
        <v>0</v>
      </c>
      <c r="F462" s="109">
        <v>0</v>
      </c>
      <c r="G462" s="109" t="s">
        <v>122</v>
      </c>
      <c r="H462" s="109"/>
      <c r="I462" s="109" t="b">
        <v>0</v>
      </c>
      <c r="J462" s="109" t="b">
        <v>0</v>
      </c>
      <c r="K462" s="109" t="b">
        <v>0</v>
      </c>
      <c r="L462" s="109" t="s">
        <v>175</v>
      </c>
      <c r="M462" s="109" t="s">
        <v>5521</v>
      </c>
      <c r="N462" s="109" t="s">
        <v>5383</v>
      </c>
      <c r="O462" s="109" t="s">
        <v>5038</v>
      </c>
      <c r="P462" s="109" t="b">
        <v>0</v>
      </c>
      <c r="Q462" s="109" t="b">
        <v>0</v>
      </c>
    </row>
    <row r="463" spans="1:17">
      <c r="A463" s="130" t="s">
        <v>1596</v>
      </c>
      <c r="B463" s="109"/>
      <c r="C463" s="109"/>
      <c r="D463" s="109">
        <v>0</v>
      </c>
      <c r="E463" s="109">
        <v>0</v>
      </c>
      <c r="F463" s="109">
        <v>0</v>
      </c>
      <c r="G463" s="109" t="s">
        <v>122</v>
      </c>
      <c r="H463" s="109"/>
      <c r="I463" s="109" t="b">
        <v>0</v>
      </c>
      <c r="J463" s="109" t="b">
        <v>0</v>
      </c>
      <c r="K463" s="109" t="b">
        <v>0</v>
      </c>
      <c r="L463" s="109" t="s">
        <v>175</v>
      </c>
      <c r="M463" s="109" t="s">
        <v>5521</v>
      </c>
      <c r="N463" s="109" t="s">
        <v>5384</v>
      </c>
      <c r="O463" s="109" t="s">
        <v>5039</v>
      </c>
      <c r="P463" s="109" t="b">
        <v>0</v>
      </c>
      <c r="Q463" s="109" t="b">
        <v>0</v>
      </c>
    </row>
    <row r="464" spans="1:17">
      <c r="A464" s="130" t="s">
        <v>1597</v>
      </c>
      <c r="B464" s="109"/>
      <c r="C464" s="109"/>
      <c r="D464" s="109">
        <v>0</v>
      </c>
      <c r="E464" s="109">
        <v>0</v>
      </c>
      <c r="F464" s="109">
        <v>0</v>
      </c>
      <c r="G464" s="109" t="s">
        <v>122</v>
      </c>
      <c r="H464" s="109"/>
      <c r="I464" s="109" t="b">
        <v>0</v>
      </c>
      <c r="J464" s="109" t="b">
        <v>0</v>
      </c>
      <c r="K464" s="109" t="b">
        <v>0</v>
      </c>
      <c r="L464" s="109" t="s">
        <v>175</v>
      </c>
      <c r="M464" s="109" t="s">
        <v>5521</v>
      </c>
      <c r="N464" s="109" t="s">
        <v>5385</v>
      </c>
      <c r="O464" s="109" t="s">
        <v>5040</v>
      </c>
      <c r="P464" s="109" t="b">
        <v>0</v>
      </c>
      <c r="Q464" s="109" t="b">
        <v>0</v>
      </c>
    </row>
    <row r="465" spans="1:17">
      <c r="A465" s="130" t="s">
        <v>1598</v>
      </c>
      <c r="B465" s="109"/>
      <c r="C465" s="109"/>
      <c r="D465" s="109">
        <v>0</v>
      </c>
      <c r="E465" s="109">
        <v>0</v>
      </c>
      <c r="F465" s="109">
        <v>0</v>
      </c>
      <c r="G465" s="109" t="s">
        <v>122</v>
      </c>
      <c r="H465" s="109"/>
      <c r="I465" s="109" t="b">
        <v>0</v>
      </c>
      <c r="J465" s="109" t="b">
        <v>0</v>
      </c>
      <c r="K465" s="109" t="b">
        <v>0</v>
      </c>
      <c r="L465" s="109" t="s">
        <v>175</v>
      </c>
      <c r="M465" s="109" t="s">
        <v>5521</v>
      </c>
      <c r="N465" s="109" t="s">
        <v>5386</v>
      </c>
      <c r="O465" s="109" t="s">
        <v>6071</v>
      </c>
      <c r="P465" s="109" t="b">
        <v>0</v>
      </c>
      <c r="Q465" s="109" t="b">
        <v>0</v>
      </c>
    </row>
    <row r="466" spans="1:17">
      <c r="A466" s="126" t="s">
        <v>5596</v>
      </c>
      <c r="B466" s="113"/>
      <c r="C466" s="113"/>
      <c r="D466" s="113">
        <v>0</v>
      </c>
      <c r="E466" s="113">
        <v>0</v>
      </c>
      <c r="F466" s="113">
        <v>0</v>
      </c>
      <c r="G466" s="113" t="s">
        <v>122</v>
      </c>
      <c r="H466" s="113"/>
      <c r="I466" s="113" t="b">
        <v>0</v>
      </c>
      <c r="J466" s="113" t="b">
        <v>0</v>
      </c>
      <c r="K466" s="113" t="b">
        <v>0</v>
      </c>
      <c r="L466" s="113" t="s">
        <v>175</v>
      </c>
      <c r="M466" s="113" t="s">
        <v>77</v>
      </c>
      <c r="N466" s="113" t="s">
        <v>6072</v>
      </c>
      <c r="O466" s="113" t="s">
        <v>6073</v>
      </c>
      <c r="P466" s="113" t="b">
        <v>0</v>
      </c>
      <c r="Q466" s="113" t="b">
        <v>0</v>
      </c>
    </row>
    <row r="467" spans="1:17">
      <c r="A467" s="126" t="s">
        <v>1713</v>
      </c>
      <c r="B467" s="113"/>
      <c r="C467" s="113"/>
      <c r="D467" s="113">
        <v>0</v>
      </c>
      <c r="E467" s="113">
        <v>0</v>
      </c>
      <c r="F467" s="113">
        <v>0</v>
      </c>
      <c r="G467" s="113" t="s">
        <v>122</v>
      </c>
      <c r="H467" s="113"/>
      <c r="I467" s="113" t="b">
        <v>0</v>
      </c>
      <c r="J467" s="113" t="b">
        <v>0</v>
      </c>
      <c r="K467" s="113" t="b">
        <v>0</v>
      </c>
      <c r="L467" s="113" t="s">
        <v>175</v>
      </c>
      <c r="M467" s="113" t="s">
        <v>77</v>
      </c>
      <c r="N467" s="113" t="s">
        <v>5387</v>
      </c>
      <c r="O467" s="113" t="s">
        <v>5041</v>
      </c>
      <c r="P467" s="113" t="b">
        <v>0</v>
      </c>
      <c r="Q467" s="113" t="b">
        <v>0</v>
      </c>
    </row>
    <row r="468" spans="1:17">
      <c r="A468" s="126" t="s">
        <v>1599</v>
      </c>
      <c r="B468" s="113"/>
      <c r="C468" s="113"/>
      <c r="D468" s="113">
        <v>0</v>
      </c>
      <c r="E468" s="113">
        <v>0</v>
      </c>
      <c r="F468" s="113">
        <v>0</v>
      </c>
      <c r="G468" s="113" t="s">
        <v>122</v>
      </c>
      <c r="H468" s="113"/>
      <c r="I468" s="113" t="b">
        <v>0</v>
      </c>
      <c r="J468" s="113" t="b">
        <v>0</v>
      </c>
      <c r="K468" s="113" t="b">
        <v>0</v>
      </c>
      <c r="L468" s="113" t="s">
        <v>175</v>
      </c>
      <c r="M468" s="113" t="s">
        <v>77</v>
      </c>
      <c r="N468" s="113" t="s">
        <v>5388</v>
      </c>
      <c r="O468" s="113" t="s">
        <v>5042</v>
      </c>
      <c r="P468" s="113" t="b">
        <v>0</v>
      </c>
      <c r="Q468" s="113" t="b">
        <v>0</v>
      </c>
    </row>
    <row r="469" spans="1:17">
      <c r="A469" s="126" t="s">
        <v>1600</v>
      </c>
      <c r="B469" s="113"/>
      <c r="C469" s="113"/>
      <c r="D469" s="113">
        <v>0</v>
      </c>
      <c r="E469" s="113">
        <v>0</v>
      </c>
      <c r="F469" s="113">
        <v>0</v>
      </c>
      <c r="G469" s="113" t="s">
        <v>122</v>
      </c>
      <c r="H469" s="113"/>
      <c r="I469" s="113" t="b">
        <v>0</v>
      </c>
      <c r="J469" s="113" t="b">
        <v>0</v>
      </c>
      <c r="K469" s="113" t="b">
        <v>0</v>
      </c>
      <c r="L469" s="113" t="s">
        <v>175</v>
      </c>
      <c r="M469" s="113" t="s">
        <v>77</v>
      </c>
      <c r="N469" s="113" t="s">
        <v>5389</v>
      </c>
      <c r="O469" s="113" t="s">
        <v>5043</v>
      </c>
      <c r="P469" s="113" t="b">
        <v>0</v>
      </c>
      <c r="Q469" s="113" t="b">
        <v>0</v>
      </c>
    </row>
    <row r="470" spans="1:17">
      <c r="A470" s="126" t="s">
        <v>1601</v>
      </c>
      <c r="B470" s="113"/>
      <c r="C470" s="113"/>
      <c r="D470" s="113">
        <v>0</v>
      </c>
      <c r="E470" s="113">
        <v>0</v>
      </c>
      <c r="F470" s="113">
        <v>0</v>
      </c>
      <c r="G470" s="113" t="s">
        <v>122</v>
      </c>
      <c r="H470" s="113"/>
      <c r="I470" s="113" t="b">
        <v>0</v>
      </c>
      <c r="J470" s="113" t="b">
        <v>0</v>
      </c>
      <c r="K470" s="113" t="b">
        <v>0</v>
      </c>
      <c r="L470" s="113" t="s">
        <v>175</v>
      </c>
      <c r="M470" s="113" t="s">
        <v>77</v>
      </c>
      <c r="N470" s="113" t="s">
        <v>5390</v>
      </c>
      <c r="O470" s="113" t="s">
        <v>5044</v>
      </c>
      <c r="P470" s="113" t="b">
        <v>0</v>
      </c>
      <c r="Q470" s="113" t="b">
        <v>0</v>
      </c>
    </row>
    <row r="471" spans="1:17">
      <c r="A471" s="126" t="s">
        <v>1602</v>
      </c>
      <c r="B471" s="113"/>
      <c r="C471" s="113"/>
      <c r="D471" s="113">
        <v>0</v>
      </c>
      <c r="E471" s="113">
        <v>0</v>
      </c>
      <c r="F471" s="113">
        <v>0</v>
      </c>
      <c r="G471" s="113" t="s">
        <v>122</v>
      </c>
      <c r="H471" s="113"/>
      <c r="I471" s="113" t="b">
        <v>0</v>
      </c>
      <c r="J471" s="113" t="b">
        <v>0</v>
      </c>
      <c r="K471" s="113" t="b">
        <v>0</v>
      </c>
      <c r="L471" s="113" t="s">
        <v>175</v>
      </c>
      <c r="M471" s="113" t="s">
        <v>77</v>
      </c>
      <c r="N471" s="113" t="s">
        <v>5391</v>
      </c>
      <c r="O471" s="113" t="s">
        <v>5045</v>
      </c>
      <c r="P471" s="113" t="b">
        <v>0</v>
      </c>
      <c r="Q471" s="113" t="b">
        <v>0</v>
      </c>
    </row>
    <row r="472" spans="1:17">
      <c r="A472" s="126" t="s">
        <v>2665</v>
      </c>
      <c r="B472" s="113"/>
      <c r="C472" s="113"/>
      <c r="D472" s="113">
        <v>0</v>
      </c>
      <c r="E472" s="113">
        <v>0</v>
      </c>
      <c r="F472" s="113">
        <v>0</v>
      </c>
      <c r="G472" s="113" t="s">
        <v>122</v>
      </c>
      <c r="H472" s="113"/>
      <c r="I472" s="113" t="b">
        <v>0</v>
      </c>
      <c r="J472" s="113" t="b">
        <v>0</v>
      </c>
      <c r="K472" s="113" t="b">
        <v>0</v>
      </c>
      <c r="L472" s="113" t="s">
        <v>175</v>
      </c>
      <c r="M472" s="113" t="s">
        <v>77</v>
      </c>
      <c r="N472" s="113" t="s">
        <v>5392</v>
      </c>
      <c r="O472" s="113" t="s">
        <v>5046</v>
      </c>
      <c r="P472" s="113" t="b">
        <v>0</v>
      </c>
      <c r="Q472" s="113" t="b">
        <v>0</v>
      </c>
    </row>
    <row r="473" spans="1:17">
      <c r="A473" s="126" t="s">
        <v>2666</v>
      </c>
      <c r="B473" s="113"/>
      <c r="C473" s="113"/>
      <c r="D473" s="113">
        <v>0</v>
      </c>
      <c r="E473" s="113">
        <v>0</v>
      </c>
      <c r="F473" s="113">
        <v>0</v>
      </c>
      <c r="G473" s="113" t="s">
        <v>122</v>
      </c>
      <c r="H473" s="113"/>
      <c r="I473" s="113" t="b">
        <v>0</v>
      </c>
      <c r="J473" s="113" t="b">
        <v>0</v>
      </c>
      <c r="K473" s="113" t="b">
        <v>0</v>
      </c>
      <c r="L473" s="113" t="s">
        <v>175</v>
      </c>
      <c r="M473" s="113" t="s">
        <v>77</v>
      </c>
      <c r="N473" s="113" t="s">
        <v>5393</v>
      </c>
      <c r="O473" s="113" t="s">
        <v>5047</v>
      </c>
      <c r="P473" s="113" t="b">
        <v>0</v>
      </c>
      <c r="Q473" s="113" t="b">
        <v>0</v>
      </c>
    </row>
    <row r="474" spans="1:17">
      <c r="A474" s="126" t="s">
        <v>2667</v>
      </c>
      <c r="B474" s="113"/>
      <c r="C474" s="113"/>
      <c r="D474" s="113">
        <v>0</v>
      </c>
      <c r="E474" s="113">
        <v>0</v>
      </c>
      <c r="F474" s="113">
        <v>0</v>
      </c>
      <c r="G474" s="113" t="s">
        <v>122</v>
      </c>
      <c r="H474" s="113"/>
      <c r="I474" s="113" t="b">
        <v>0</v>
      </c>
      <c r="J474" s="113" t="b">
        <v>0</v>
      </c>
      <c r="K474" s="113" t="b">
        <v>0</v>
      </c>
      <c r="L474" s="113" t="s">
        <v>175</v>
      </c>
      <c r="M474" s="113" t="s">
        <v>77</v>
      </c>
      <c r="N474" s="113" t="s">
        <v>5394</v>
      </c>
      <c r="O474" s="113" t="s">
        <v>5048</v>
      </c>
      <c r="P474" s="113" t="b">
        <v>0</v>
      </c>
      <c r="Q474" s="113" t="b">
        <v>0</v>
      </c>
    </row>
    <row r="475" spans="1:17">
      <c r="A475" s="126" t="s">
        <v>2668</v>
      </c>
      <c r="B475" s="113"/>
      <c r="C475" s="113"/>
      <c r="D475" s="113">
        <v>0</v>
      </c>
      <c r="E475" s="113">
        <v>0</v>
      </c>
      <c r="F475" s="113">
        <v>0</v>
      </c>
      <c r="G475" s="113" t="s">
        <v>122</v>
      </c>
      <c r="H475" s="113"/>
      <c r="I475" s="113" t="b">
        <v>0</v>
      </c>
      <c r="J475" s="113" t="b">
        <v>0</v>
      </c>
      <c r="K475" s="113" t="b">
        <v>0</v>
      </c>
      <c r="L475" s="113" t="s">
        <v>175</v>
      </c>
      <c r="M475" s="113" t="s">
        <v>77</v>
      </c>
      <c r="N475" s="113" t="s">
        <v>5395</v>
      </c>
      <c r="O475" s="113" t="s">
        <v>5049</v>
      </c>
      <c r="P475" s="113" t="b">
        <v>0</v>
      </c>
      <c r="Q475" s="113" t="b">
        <v>0</v>
      </c>
    </row>
    <row r="476" spans="1:17">
      <c r="A476" s="126" t="s">
        <v>2669</v>
      </c>
      <c r="B476" s="113"/>
      <c r="C476" s="113"/>
      <c r="D476" s="113">
        <v>0</v>
      </c>
      <c r="E476" s="113">
        <v>0</v>
      </c>
      <c r="F476" s="113">
        <v>0</v>
      </c>
      <c r="G476" s="113" t="s">
        <v>122</v>
      </c>
      <c r="H476" s="113"/>
      <c r="I476" s="113" t="b">
        <v>0</v>
      </c>
      <c r="J476" s="113" t="b">
        <v>0</v>
      </c>
      <c r="K476" s="113" t="b">
        <v>0</v>
      </c>
      <c r="L476" s="113" t="s">
        <v>175</v>
      </c>
      <c r="M476" s="113" t="s">
        <v>77</v>
      </c>
      <c r="N476" s="113" t="s">
        <v>5396</v>
      </c>
      <c r="O476" s="113" t="s">
        <v>5050</v>
      </c>
      <c r="P476" s="113" t="b">
        <v>0</v>
      </c>
      <c r="Q476" s="113" t="b">
        <v>0</v>
      </c>
    </row>
    <row r="477" spans="1:17">
      <c r="A477" s="130" t="s">
        <v>5597</v>
      </c>
      <c r="B477" s="109"/>
      <c r="C477" s="109"/>
      <c r="D477" s="109">
        <v>0</v>
      </c>
      <c r="E477" s="109">
        <v>0</v>
      </c>
      <c r="F477" s="109">
        <v>0</v>
      </c>
      <c r="G477" s="109" t="s">
        <v>122</v>
      </c>
      <c r="H477" s="109"/>
      <c r="I477" s="109" t="b">
        <v>0</v>
      </c>
      <c r="J477" s="109" t="b">
        <v>0</v>
      </c>
      <c r="K477" s="109" t="b">
        <v>0</v>
      </c>
      <c r="L477" s="109" t="s">
        <v>175</v>
      </c>
      <c r="M477" s="109" t="s">
        <v>5522</v>
      </c>
      <c r="N477" s="109" t="s">
        <v>6074</v>
      </c>
      <c r="O477" s="109" t="s">
        <v>5540</v>
      </c>
      <c r="P477" s="109" t="b">
        <v>0</v>
      </c>
      <c r="Q477" s="109" t="b">
        <v>0</v>
      </c>
    </row>
    <row r="478" spans="1:17">
      <c r="A478" s="130" t="s">
        <v>1714</v>
      </c>
      <c r="B478" s="109"/>
      <c r="C478" s="109"/>
      <c r="D478" s="109">
        <v>0</v>
      </c>
      <c r="E478" s="109">
        <v>0</v>
      </c>
      <c r="F478" s="109">
        <v>0</v>
      </c>
      <c r="G478" s="109" t="s">
        <v>122</v>
      </c>
      <c r="H478" s="109"/>
      <c r="I478" s="109" t="b">
        <v>0</v>
      </c>
      <c r="J478" s="109" t="b">
        <v>0</v>
      </c>
      <c r="K478" s="109" t="b">
        <v>0</v>
      </c>
      <c r="L478" s="109" t="s">
        <v>175</v>
      </c>
      <c r="M478" s="109" t="s">
        <v>5522</v>
      </c>
      <c r="N478" s="109" t="s">
        <v>5397</v>
      </c>
      <c r="O478" s="109" t="s">
        <v>5051</v>
      </c>
      <c r="P478" s="109" t="b">
        <v>0</v>
      </c>
      <c r="Q478" s="109" t="b">
        <v>0</v>
      </c>
    </row>
    <row r="479" spans="1:17">
      <c r="A479" s="130" t="s">
        <v>1603</v>
      </c>
      <c r="B479" s="109"/>
      <c r="C479" s="109"/>
      <c r="D479" s="109">
        <v>0</v>
      </c>
      <c r="E479" s="109">
        <v>0</v>
      </c>
      <c r="F479" s="109">
        <v>0</v>
      </c>
      <c r="G479" s="109" t="s">
        <v>122</v>
      </c>
      <c r="H479" s="109"/>
      <c r="I479" s="109" t="b">
        <v>0</v>
      </c>
      <c r="J479" s="109" t="b">
        <v>0</v>
      </c>
      <c r="K479" s="109" t="b">
        <v>0</v>
      </c>
      <c r="L479" s="109" t="s">
        <v>175</v>
      </c>
      <c r="M479" s="109" t="s">
        <v>5522</v>
      </c>
      <c r="N479" s="109" t="s">
        <v>5398</v>
      </c>
      <c r="O479" s="109" t="s">
        <v>5052</v>
      </c>
      <c r="P479" s="109" t="b">
        <v>0</v>
      </c>
      <c r="Q479" s="109" t="b">
        <v>0</v>
      </c>
    </row>
    <row r="480" spans="1:17">
      <c r="A480" s="130" t="s">
        <v>1604</v>
      </c>
      <c r="B480" s="109"/>
      <c r="C480" s="109"/>
      <c r="D480" s="109">
        <v>0</v>
      </c>
      <c r="E480" s="109">
        <v>0</v>
      </c>
      <c r="F480" s="109">
        <v>0</v>
      </c>
      <c r="G480" s="109" t="s">
        <v>122</v>
      </c>
      <c r="H480" s="109"/>
      <c r="I480" s="109" t="b">
        <v>0</v>
      </c>
      <c r="J480" s="109" t="b">
        <v>0</v>
      </c>
      <c r="K480" s="109" t="b">
        <v>0</v>
      </c>
      <c r="L480" s="109" t="s">
        <v>175</v>
      </c>
      <c r="M480" s="109" t="s">
        <v>5522</v>
      </c>
      <c r="N480" s="109" t="s">
        <v>5399</v>
      </c>
      <c r="O480" s="109" t="s">
        <v>5053</v>
      </c>
      <c r="P480" s="109" t="b">
        <v>0</v>
      </c>
      <c r="Q480" s="109" t="b">
        <v>0</v>
      </c>
    </row>
    <row r="481" spans="1:17">
      <c r="A481" s="130" t="s">
        <v>1605</v>
      </c>
      <c r="B481" s="109"/>
      <c r="C481" s="109"/>
      <c r="D481" s="109">
        <v>0</v>
      </c>
      <c r="E481" s="109">
        <v>0</v>
      </c>
      <c r="F481" s="109">
        <v>0</v>
      </c>
      <c r="G481" s="109" t="s">
        <v>122</v>
      </c>
      <c r="H481" s="109"/>
      <c r="I481" s="109" t="b">
        <v>0</v>
      </c>
      <c r="J481" s="109" t="b">
        <v>0</v>
      </c>
      <c r="K481" s="109" t="b">
        <v>0</v>
      </c>
      <c r="L481" s="109" t="s">
        <v>175</v>
      </c>
      <c r="M481" s="109" t="s">
        <v>5522</v>
      </c>
      <c r="N481" s="109" t="s">
        <v>5400</v>
      </c>
      <c r="O481" s="109" t="s">
        <v>5054</v>
      </c>
      <c r="P481" s="109" t="b">
        <v>0</v>
      </c>
      <c r="Q481" s="109" t="b">
        <v>0</v>
      </c>
    </row>
    <row r="482" spans="1:17">
      <c r="A482" s="130" t="s">
        <v>1606</v>
      </c>
      <c r="B482" s="109"/>
      <c r="C482" s="109"/>
      <c r="D482" s="109">
        <v>0</v>
      </c>
      <c r="E482" s="109">
        <v>0</v>
      </c>
      <c r="F482" s="109">
        <v>0</v>
      </c>
      <c r="G482" s="109" t="s">
        <v>122</v>
      </c>
      <c r="H482" s="109"/>
      <c r="I482" s="109" t="b">
        <v>0</v>
      </c>
      <c r="J482" s="109" t="b">
        <v>0</v>
      </c>
      <c r="K482" s="109" t="b">
        <v>0</v>
      </c>
      <c r="L482" s="109" t="s">
        <v>175</v>
      </c>
      <c r="M482" s="109" t="s">
        <v>5522</v>
      </c>
      <c r="N482" s="109" t="s">
        <v>5401</v>
      </c>
      <c r="O482" s="109" t="s">
        <v>5055</v>
      </c>
      <c r="P482" s="109" t="b">
        <v>0</v>
      </c>
      <c r="Q482" s="109" t="b">
        <v>0</v>
      </c>
    </row>
    <row r="483" spans="1:17">
      <c r="A483" s="126" t="s">
        <v>7950</v>
      </c>
      <c r="B483" s="113"/>
      <c r="C483" s="113"/>
      <c r="D483" s="113">
        <v>0</v>
      </c>
      <c r="E483" s="113">
        <v>0</v>
      </c>
      <c r="F483" s="113">
        <v>0</v>
      </c>
      <c r="G483" s="113" t="s">
        <v>122</v>
      </c>
      <c r="H483" s="113"/>
      <c r="I483" s="113" t="b">
        <v>0</v>
      </c>
      <c r="J483" s="113" t="b">
        <v>0</v>
      </c>
      <c r="K483" s="113" t="b">
        <v>0</v>
      </c>
      <c r="L483" s="113" t="s">
        <v>175</v>
      </c>
      <c r="M483" s="113" t="s">
        <v>7951</v>
      </c>
      <c r="N483" s="113" t="s">
        <v>7952</v>
      </c>
      <c r="O483" s="113" t="s">
        <v>7953</v>
      </c>
      <c r="P483" s="113" t="b">
        <v>0</v>
      </c>
      <c r="Q483" s="113" t="b">
        <v>0</v>
      </c>
    </row>
    <row r="484" spans="1:17">
      <c r="A484" s="126" t="s">
        <v>5804</v>
      </c>
      <c r="B484" s="113"/>
      <c r="C484" s="113"/>
      <c r="D484" s="113">
        <v>0</v>
      </c>
      <c r="E484" s="113">
        <v>0</v>
      </c>
      <c r="F484" s="113">
        <v>0</v>
      </c>
      <c r="G484" s="113" t="s">
        <v>122</v>
      </c>
      <c r="H484" s="113"/>
      <c r="I484" s="113" t="b">
        <v>0</v>
      </c>
      <c r="J484" s="113" t="b">
        <v>0</v>
      </c>
      <c r="K484" s="113" t="b">
        <v>0</v>
      </c>
      <c r="L484" s="113" t="s">
        <v>175</v>
      </c>
      <c r="M484" s="113" t="s">
        <v>5523</v>
      </c>
      <c r="N484" s="113" t="s">
        <v>6075</v>
      </c>
      <c r="O484" s="113" t="s">
        <v>6076</v>
      </c>
      <c r="P484" s="113" t="b">
        <v>0</v>
      </c>
      <c r="Q484" s="113" t="b">
        <v>0</v>
      </c>
    </row>
    <row r="485" spans="1:17">
      <c r="A485" s="126" t="s">
        <v>1715</v>
      </c>
      <c r="B485" s="113"/>
      <c r="C485" s="113"/>
      <c r="D485" s="113">
        <v>0</v>
      </c>
      <c r="E485" s="113">
        <v>0</v>
      </c>
      <c r="F485" s="113">
        <v>0</v>
      </c>
      <c r="G485" s="113" t="s">
        <v>122</v>
      </c>
      <c r="H485" s="113"/>
      <c r="I485" s="113" t="b">
        <v>0</v>
      </c>
      <c r="J485" s="113" t="b">
        <v>0</v>
      </c>
      <c r="K485" s="113" t="b">
        <v>0</v>
      </c>
      <c r="L485" s="113" t="s">
        <v>175</v>
      </c>
      <c r="M485" s="113" t="s">
        <v>5523</v>
      </c>
      <c r="N485" s="113" t="s">
        <v>5402</v>
      </c>
      <c r="O485" s="113" t="s">
        <v>5056</v>
      </c>
      <c r="P485" s="113" t="b">
        <v>0</v>
      </c>
      <c r="Q485" s="113" t="b">
        <v>0</v>
      </c>
    </row>
    <row r="486" spans="1:17">
      <c r="A486" s="126" t="s">
        <v>1607</v>
      </c>
      <c r="B486" s="113"/>
      <c r="C486" s="113"/>
      <c r="D486" s="113">
        <v>0</v>
      </c>
      <c r="E486" s="113">
        <v>0</v>
      </c>
      <c r="F486" s="113">
        <v>0</v>
      </c>
      <c r="G486" s="113" t="s">
        <v>122</v>
      </c>
      <c r="H486" s="113"/>
      <c r="I486" s="113" t="b">
        <v>0</v>
      </c>
      <c r="J486" s="113" t="b">
        <v>0</v>
      </c>
      <c r="K486" s="113" t="b">
        <v>0</v>
      </c>
      <c r="L486" s="113" t="s">
        <v>175</v>
      </c>
      <c r="M486" s="113" t="s">
        <v>5523</v>
      </c>
      <c r="N486" s="113" t="s">
        <v>5403</v>
      </c>
      <c r="O486" s="113" t="s">
        <v>5057</v>
      </c>
      <c r="P486" s="113" t="b">
        <v>0</v>
      </c>
      <c r="Q486" s="113" t="b">
        <v>0</v>
      </c>
    </row>
    <row r="487" spans="1:17">
      <c r="A487" s="126" t="s">
        <v>6077</v>
      </c>
      <c r="B487" s="113"/>
      <c r="C487" s="113"/>
      <c r="D487" s="113">
        <v>0</v>
      </c>
      <c r="E487" s="113">
        <v>0</v>
      </c>
      <c r="F487" s="113">
        <v>0</v>
      </c>
      <c r="G487" s="113" t="s">
        <v>122</v>
      </c>
      <c r="H487" s="113"/>
      <c r="I487" s="113" t="b">
        <v>0</v>
      </c>
      <c r="J487" s="113" t="b">
        <v>0</v>
      </c>
      <c r="K487" s="113" t="b">
        <v>0</v>
      </c>
      <c r="L487" s="113" t="s">
        <v>175</v>
      </c>
      <c r="M487" s="113" t="s">
        <v>5523</v>
      </c>
      <c r="N487" s="113" t="s">
        <v>5404</v>
      </c>
      <c r="O487" s="113" t="s">
        <v>5058</v>
      </c>
      <c r="P487" s="113" t="b">
        <v>0</v>
      </c>
      <c r="Q487" s="113" t="b">
        <v>0</v>
      </c>
    </row>
    <row r="488" spans="1:17">
      <c r="A488" s="126" t="s">
        <v>1608</v>
      </c>
      <c r="B488" s="113"/>
      <c r="C488" s="113"/>
      <c r="D488" s="113">
        <v>0</v>
      </c>
      <c r="E488" s="113">
        <v>0</v>
      </c>
      <c r="F488" s="113">
        <v>0</v>
      </c>
      <c r="G488" s="113" t="s">
        <v>122</v>
      </c>
      <c r="H488" s="113"/>
      <c r="I488" s="113" t="b">
        <v>0</v>
      </c>
      <c r="J488" s="113" t="b">
        <v>0</v>
      </c>
      <c r="K488" s="113" t="b">
        <v>0</v>
      </c>
      <c r="L488" s="113" t="s">
        <v>175</v>
      </c>
      <c r="M488" s="113" t="s">
        <v>5523</v>
      </c>
      <c r="N488" s="113" t="s">
        <v>5405</v>
      </c>
      <c r="O488" s="113" t="s">
        <v>5059</v>
      </c>
      <c r="P488" s="113" t="b">
        <v>0</v>
      </c>
      <c r="Q488" s="113" t="b">
        <v>0</v>
      </c>
    </row>
    <row r="489" spans="1:17">
      <c r="A489" s="126" t="s">
        <v>1609</v>
      </c>
      <c r="B489" s="113"/>
      <c r="C489" s="113"/>
      <c r="D489" s="113">
        <v>0</v>
      </c>
      <c r="E489" s="113">
        <v>0</v>
      </c>
      <c r="F489" s="113">
        <v>0</v>
      </c>
      <c r="G489" s="113" t="s">
        <v>122</v>
      </c>
      <c r="H489" s="113"/>
      <c r="I489" s="113" t="b">
        <v>0</v>
      </c>
      <c r="J489" s="113" t="b">
        <v>0</v>
      </c>
      <c r="K489" s="113" t="b">
        <v>0</v>
      </c>
      <c r="L489" s="113" t="s">
        <v>175</v>
      </c>
      <c r="M489" s="113" t="s">
        <v>5523</v>
      </c>
      <c r="N489" s="113" t="s">
        <v>5406</v>
      </c>
      <c r="O489" s="113" t="s">
        <v>5060</v>
      </c>
      <c r="P489" s="113" t="b">
        <v>0</v>
      </c>
      <c r="Q489" s="113" t="b">
        <v>0</v>
      </c>
    </row>
    <row r="490" spans="1:17">
      <c r="A490" s="126" t="s">
        <v>6078</v>
      </c>
      <c r="B490" s="113"/>
      <c r="C490" s="113"/>
      <c r="D490" s="113">
        <v>0</v>
      </c>
      <c r="E490" s="113">
        <v>0</v>
      </c>
      <c r="F490" s="113">
        <v>0</v>
      </c>
      <c r="G490" s="113" t="s">
        <v>122</v>
      </c>
      <c r="H490" s="113"/>
      <c r="I490" s="113" t="b">
        <v>0</v>
      </c>
      <c r="J490" s="113" t="b">
        <v>0</v>
      </c>
      <c r="K490" s="113" t="b">
        <v>0</v>
      </c>
      <c r="L490" s="113" t="s">
        <v>175</v>
      </c>
      <c r="M490" s="113" t="s">
        <v>5523</v>
      </c>
      <c r="N490" s="113" t="s">
        <v>5407</v>
      </c>
      <c r="O490" s="113" t="s">
        <v>5061</v>
      </c>
      <c r="P490" s="113" t="b">
        <v>0</v>
      </c>
      <c r="Q490" s="113" t="b">
        <v>0</v>
      </c>
    </row>
    <row r="491" spans="1:17">
      <c r="A491" s="126" t="s">
        <v>3816</v>
      </c>
      <c r="B491" s="113"/>
      <c r="C491" s="113"/>
      <c r="D491" s="113">
        <v>0</v>
      </c>
      <c r="E491" s="113">
        <v>0</v>
      </c>
      <c r="F491" s="113">
        <v>0</v>
      </c>
      <c r="G491" s="113" t="s">
        <v>122</v>
      </c>
      <c r="H491" s="113"/>
      <c r="I491" s="113" t="b">
        <v>0</v>
      </c>
      <c r="J491" s="113" t="b">
        <v>0</v>
      </c>
      <c r="K491" s="113" t="b">
        <v>0</v>
      </c>
      <c r="L491" s="113" t="s">
        <v>175</v>
      </c>
      <c r="M491" s="113" t="s">
        <v>5523</v>
      </c>
      <c r="N491" s="113" t="s">
        <v>5408</v>
      </c>
      <c r="O491" s="113" t="s">
        <v>5062</v>
      </c>
      <c r="P491" s="113" t="b">
        <v>0</v>
      </c>
      <c r="Q491" s="113" t="b">
        <v>0</v>
      </c>
    </row>
    <row r="492" spans="1:17">
      <c r="A492" s="126" t="s">
        <v>3817</v>
      </c>
      <c r="B492" s="113"/>
      <c r="C492" s="113"/>
      <c r="D492" s="113">
        <v>0</v>
      </c>
      <c r="E492" s="113">
        <v>0</v>
      </c>
      <c r="F492" s="113">
        <v>0</v>
      </c>
      <c r="G492" s="113" t="s">
        <v>122</v>
      </c>
      <c r="H492" s="113"/>
      <c r="I492" s="113" t="b">
        <v>0</v>
      </c>
      <c r="J492" s="113" t="b">
        <v>0</v>
      </c>
      <c r="K492" s="113" t="b">
        <v>0</v>
      </c>
      <c r="L492" s="113" t="s">
        <v>175</v>
      </c>
      <c r="M492" s="113" t="s">
        <v>5523</v>
      </c>
      <c r="N492" s="113" t="s">
        <v>5409</v>
      </c>
      <c r="O492" s="113" t="s">
        <v>5063</v>
      </c>
      <c r="P492" s="113" t="b">
        <v>0</v>
      </c>
      <c r="Q492" s="113" t="b">
        <v>0</v>
      </c>
    </row>
    <row r="493" spans="1:17">
      <c r="A493" s="126" t="s">
        <v>3818</v>
      </c>
      <c r="B493" s="113"/>
      <c r="C493" s="113"/>
      <c r="D493" s="113">
        <v>0</v>
      </c>
      <c r="E493" s="113">
        <v>0</v>
      </c>
      <c r="F493" s="113">
        <v>0</v>
      </c>
      <c r="G493" s="113" t="s">
        <v>122</v>
      </c>
      <c r="H493" s="113"/>
      <c r="I493" s="113" t="b">
        <v>0</v>
      </c>
      <c r="J493" s="113" t="b">
        <v>0</v>
      </c>
      <c r="K493" s="113" t="b">
        <v>0</v>
      </c>
      <c r="L493" s="113" t="s">
        <v>175</v>
      </c>
      <c r="M493" s="113" t="s">
        <v>5523</v>
      </c>
      <c r="N493" s="113" t="s">
        <v>5410</v>
      </c>
      <c r="O493" s="113" t="s">
        <v>5064</v>
      </c>
      <c r="P493" s="113" t="b">
        <v>0</v>
      </c>
      <c r="Q493" s="113" t="b">
        <v>0</v>
      </c>
    </row>
    <row r="494" spans="1:17">
      <c r="A494" s="126" t="s">
        <v>3819</v>
      </c>
      <c r="B494" s="113"/>
      <c r="C494" s="113"/>
      <c r="D494" s="113">
        <v>0</v>
      </c>
      <c r="E494" s="113">
        <v>0</v>
      </c>
      <c r="F494" s="113">
        <v>0</v>
      </c>
      <c r="G494" s="113" t="s">
        <v>122</v>
      </c>
      <c r="H494" s="113"/>
      <c r="I494" s="113" t="b">
        <v>0</v>
      </c>
      <c r="J494" s="113" t="b">
        <v>0</v>
      </c>
      <c r="K494" s="113" t="b">
        <v>0</v>
      </c>
      <c r="L494" s="113" t="s">
        <v>175</v>
      </c>
      <c r="M494" s="113" t="s">
        <v>5523</v>
      </c>
      <c r="N494" s="113" t="s">
        <v>5411</v>
      </c>
      <c r="O494" s="113" t="s">
        <v>5065</v>
      </c>
      <c r="P494" s="113" t="b">
        <v>0</v>
      </c>
      <c r="Q494" s="113" t="b">
        <v>0</v>
      </c>
    </row>
    <row r="495" spans="1:17">
      <c r="A495" s="130" t="s">
        <v>5598</v>
      </c>
      <c r="B495" s="109"/>
      <c r="C495" s="109"/>
      <c r="D495" s="109">
        <v>0</v>
      </c>
      <c r="E495" s="109">
        <v>0</v>
      </c>
      <c r="F495" s="109">
        <v>0</v>
      </c>
      <c r="G495" s="109" t="s">
        <v>122</v>
      </c>
      <c r="H495" s="109"/>
      <c r="I495" s="109" t="b">
        <v>0</v>
      </c>
      <c r="J495" s="109" t="b">
        <v>0</v>
      </c>
      <c r="K495" s="109" t="b">
        <v>0</v>
      </c>
      <c r="L495" s="109" t="s">
        <v>175</v>
      </c>
      <c r="M495" s="109" t="s">
        <v>5541</v>
      </c>
      <c r="N495" s="109" t="s">
        <v>6079</v>
      </c>
      <c r="O495" s="109" t="s">
        <v>6080</v>
      </c>
      <c r="P495" s="109" t="b">
        <v>0</v>
      </c>
      <c r="Q495" s="109" t="b">
        <v>0</v>
      </c>
    </row>
    <row r="496" spans="1:17">
      <c r="A496" s="130" t="s">
        <v>1716</v>
      </c>
      <c r="B496" s="109"/>
      <c r="C496" s="109"/>
      <c r="D496" s="109">
        <v>0</v>
      </c>
      <c r="E496" s="109">
        <v>0</v>
      </c>
      <c r="F496" s="109">
        <v>0</v>
      </c>
      <c r="G496" s="109" t="s">
        <v>122</v>
      </c>
      <c r="H496" s="109"/>
      <c r="I496" s="109" t="b">
        <v>0</v>
      </c>
      <c r="J496" s="109" t="b">
        <v>0</v>
      </c>
      <c r="K496" s="109" t="b">
        <v>0</v>
      </c>
      <c r="L496" s="109" t="s">
        <v>175</v>
      </c>
      <c r="M496" s="109" t="s">
        <v>5541</v>
      </c>
      <c r="N496" s="109" t="s">
        <v>5412</v>
      </c>
      <c r="O496" s="109" t="s">
        <v>5066</v>
      </c>
      <c r="P496" s="109" t="b">
        <v>0</v>
      </c>
      <c r="Q496" s="109" t="b">
        <v>0</v>
      </c>
    </row>
    <row r="497" spans="1:17">
      <c r="A497" s="130" t="s">
        <v>1610</v>
      </c>
      <c r="B497" s="109"/>
      <c r="C497" s="109"/>
      <c r="D497" s="109">
        <v>0</v>
      </c>
      <c r="E497" s="109">
        <v>0</v>
      </c>
      <c r="F497" s="109">
        <v>0</v>
      </c>
      <c r="G497" s="109" t="s">
        <v>122</v>
      </c>
      <c r="H497" s="109"/>
      <c r="I497" s="109" t="b">
        <v>0</v>
      </c>
      <c r="J497" s="109" t="b">
        <v>0</v>
      </c>
      <c r="K497" s="109" t="b">
        <v>0</v>
      </c>
      <c r="L497" s="109" t="s">
        <v>175</v>
      </c>
      <c r="M497" s="109" t="s">
        <v>5541</v>
      </c>
      <c r="N497" s="109" t="s">
        <v>5413</v>
      </c>
      <c r="O497" s="109" t="s">
        <v>5067</v>
      </c>
      <c r="P497" s="109" t="b">
        <v>0</v>
      </c>
      <c r="Q497" s="109" t="b">
        <v>0</v>
      </c>
    </row>
    <row r="498" spans="1:17">
      <c r="A498" s="130" t="s">
        <v>6081</v>
      </c>
      <c r="B498" s="109"/>
      <c r="C498" s="109"/>
      <c r="D498" s="109">
        <v>0</v>
      </c>
      <c r="E498" s="109">
        <v>0</v>
      </c>
      <c r="F498" s="109">
        <v>0</v>
      </c>
      <c r="G498" s="109" t="s">
        <v>122</v>
      </c>
      <c r="H498" s="109"/>
      <c r="I498" s="109" t="b">
        <v>0</v>
      </c>
      <c r="J498" s="109" t="b">
        <v>0</v>
      </c>
      <c r="K498" s="109" t="b">
        <v>0</v>
      </c>
      <c r="L498" s="109" t="s">
        <v>175</v>
      </c>
      <c r="M498" s="109" t="s">
        <v>5541</v>
      </c>
      <c r="N498" s="109" t="s">
        <v>5414</v>
      </c>
      <c r="O498" s="109" t="s">
        <v>5068</v>
      </c>
      <c r="P498" s="109" t="b">
        <v>0</v>
      </c>
      <c r="Q498" s="109" t="b">
        <v>0</v>
      </c>
    </row>
    <row r="499" spans="1:17">
      <c r="A499" s="130" t="s">
        <v>6082</v>
      </c>
      <c r="B499" s="109"/>
      <c r="C499" s="109"/>
      <c r="D499" s="109">
        <v>0</v>
      </c>
      <c r="E499" s="109">
        <v>0</v>
      </c>
      <c r="F499" s="109">
        <v>0</v>
      </c>
      <c r="G499" s="109" t="s">
        <v>122</v>
      </c>
      <c r="H499" s="109"/>
      <c r="I499" s="109" t="b">
        <v>0</v>
      </c>
      <c r="J499" s="109" t="b">
        <v>0</v>
      </c>
      <c r="K499" s="109" t="b">
        <v>0</v>
      </c>
      <c r="L499" s="109" t="s">
        <v>175</v>
      </c>
      <c r="M499" s="109" t="s">
        <v>5541</v>
      </c>
      <c r="N499" s="109" t="s">
        <v>5415</v>
      </c>
      <c r="O499" s="109" t="s">
        <v>5069</v>
      </c>
      <c r="P499" s="109" t="b">
        <v>0</v>
      </c>
      <c r="Q499" s="109" t="b">
        <v>0</v>
      </c>
    </row>
    <row r="500" spans="1:17">
      <c r="A500" s="130" t="s">
        <v>1613</v>
      </c>
      <c r="B500" s="109"/>
      <c r="C500" s="109"/>
      <c r="D500" s="109">
        <v>0</v>
      </c>
      <c r="E500" s="109">
        <v>0</v>
      </c>
      <c r="F500" s="109">
        <v>0</v>
      </c>
      <c r="G500" s="109" t="s">
        <v>122</v>
      </c>
      <c r="H500" s="109"/>
      <c r="I500" s="109" t="b">
        <v>0</v>
      </c>
      <c r="J500" s="109" t="b">
        <v>0</v>
      </c>
      <c r="K500" s="109" t="b">
        <v>0</v>
      </c>
      <c r="L500" s="109" t="s">
        <v>175</v>
      </c>
      <c r="M500" s="109" t="s">
        <v>5541</v>
      </c>
      <c r="N500" s="109" t="s">
        <v>5416</v>
      </c>
      <c r="O500" s="109" t="s">
        <v>5070</v>
      </c>
      <c r="P500" s="109" t="b">
        <v>0</v>
      </c>
      <c r="Q500" s="109" t="b">
        <v>0</v>
      </c>
    </row>
    <row r="501" spans="1:17">
      <c r="A501" s="126" t="s">
        <v>5599</v>
      </c>
      <c r="B501" s="113"/>
      <c r="C501" s="113"/>
      <c r="D501" s="113">
        <v>0</v>
      </c>
      <c r="E501" s="113">
        <v>0</v>
      </c>
      <c r="F501" s="113">
        <v>0</v>
      </c>
      <c r="G501" s="113" t="s">
        <v>122</v>
      </c>
      <c r="H501" s="113"/>
      <c r="I501" s="113" t="b">
        <v>0</v>
      </c>
      <c r="J501" s="113" t="b">
        <v>0</v>
      </c>
      <c r="K501" s="113" t="b">
        <v>0</v>
      </c>
      <c r="L501" s="113" t="s">
        <v>175</v>
      </c>
      <c r="M501" s="113" t="s">
        <v>172</v>
      </c>
      <c r="N501" s="113" t="s">
        <v>5542</v>
      </c>
      <c r="O501" s="113" t="s">
        <v>6083</v>
      </c>
      <c r="P501" s="113" t="b">
        <v>0</v>
      </c>
      <c r="Q501" s="113" t="b">
        <v>0</v>
      </c>
    </row>
    <row r="502" spans="1:17">
      <c r="A502" s="126" t="s">
        <v>6084</v>
      </c>
      <c r="B502" s="113"/>
      <c r="C502" s="113"/>
      <c r="D502" s="113">
        <v>0</v>
      </c>
      <c r="E502" s="113">
        <v>0</v>
      </c>
      <c r="F502" s="113">
        <v>0</v>
      </c>
      <c r="G502" s="113" t="s">
        <v>122</v>
      </c>
      <c r="H502" s="113"/>
      <c r="I502" s="113" t="b">
        <v>0</v>
      </c>
      <c r="J502" s="113" t="b">
        <v>0</v>
      </c>
      <c r="K502" s="113" t="b">
        <v>0</v>
      </c>
      <c r="L502" s="113" t="s">
        <v>175</v>
      </c>
      <c r="M502" s="113" t="s">
        <v>172</v>
      </c>
      <c r="N502" s="113" t="s">
        <v>5417</v>
      </c>
      <c r="O502" s="113" t="s">
        <v>5071</v>
      </c>
      <c r="P502" s="113" t="b">
        <v>0</v>
      </c>
      <c r="Q502" s="113" t="b">
        <v>0</v>
      </c>
    </row>
    <row r="503" spans="1:17">
      <c r="A503" s="126" t="s">
        <v>3708</v>
      </c>
      <c r="B503" s="113"/>
      <c r="C503" s="113"/>
      <c r="D503" s="113">
        <v>0</v>
      </c>
      <c r="E503" s="113">
        <v>0</v>
      </c>
      <c r="F503" s="113">
        <v>0</v>
      </c>
      <c r="G503" s="113" t="s">
        <v>122</v>
      </c>
      <c r="H503" s="113"/>
      <c r="I503" s="113" t="b">
        <v>0</v>
      </c>
      <c r="J503" s="113" t="b">
        <v>0</v>
      </c>
      <c r="K503" s="113" t="b">
        <v>0</v>
      </c>
      <c r="L503" s="113" t="s">
        <v>175</v>
      </c>
      <c r="M503" s="113" t="s">
        <v>172</v>
      </c>
      <c r="N503" s="113" t="s">
        <v>5418</v>
      </c>
      <c r="O503" s="113" t="s">
        <v>5072</v>
      </c>
      <c r="P503" s="113" t="b">
        <v>0</v>
      </c>
      <c r="Q503" s="113" t="b">
        <v>0</v>
      </c>
    </row>
    <row r="504" spans="1:17">
      <c r="A504" s="126" t="s">
        <v>3680</v>
      </c>
      <c r="B504" s="113"/>
      <c r="C504" s="113"/>
      <c r="D504" s="113">
        <v>0</v>
      </c>
      <c r="E504" s="113">
        <v>0</v>
      </c>
      <c r="F504" s="113">
        <v>0</v>
      </c>
      <c r="G504" s="113" t="s">
        <v>122</v>
      </c>
      <c r="H504" s="113"/>
      <c r="I504" s="113" t="b">
        <v>0</v>
      </c>
      <c r="J504" s="113" t="b">
        <v>0</v>
      </c>
      <c r="K504" s="113" t="b">
        <v>0</v>
      </c>
      <c r="L504" s="113" t="s">
        <v>175</v>
      </c>
      <c r="M504" s="113" t="s">
        <v>172</v>
      </c>
      <c r="N504" s="113" t="s">
        <v>5419</v>
      </c>
      <c r="O504" s="113" t="s">
        <v>5073</v>
      </c>
      <c r="P504" s="113" t="b">
        <v>0</v>
      </c>
      <c r="Q504" s="113" t="b">
        <v>0</v>
      </c>
    </row>
    <row r="505" spans="1:17">
      <c r="A505" s="126" t="s">
        <v>3681</v>
      </c>
      <c r="B505" s="113"/>
      <c r="C505" s="113"/>
      <c r="D505" s="113">
        <v>0</v>
      </c>
      <c r="E505" s="113">
        <v>0</v>
      </c>
      <c r="F505" s="113">
        <v>0</v>
      </c>
      <c r="G505" s="113" t="s">
        <v>122</v>
      </c>
      <c r="H505" s="113"/>
      <c r="I505" s="113" t="b">
        <v>0</v>
      </c>
      <c r="J505" s="113" t="b">
        <v>0</v>
      </c>
      <c r="K505" s="113" t="b">
        <v>0</v>
      </c>
      <c r="L505" s="113" t="s">
        <v>175</v>
      </c>
      <c r="M505" s="113" t="s">
        <v>172</v>
      </c>
      <c r="N505" s="113" t="s">
        <v>5420</v>
      </c>
      <c r="O505" s="113" t="s">
        <v>5074</v>
      </c>
      <c r="P505" s="113" t="b">
        <v>0</v>
      </c>
      <c r="Q505" s="113" t="b">
        <v>0</v>
      </c>
    </row>
    <row r="506" spans="1:17">
      <c r="A506" s="126" t="s">
        <v>3682</v>
      </c>
      <c r="B506" s="113"/>
      <c r="C506" s="113"/>
      <c r="D506" s="113">
        <v>0</v>
      </c>
      <c r="E506" s="113">
        <v>0</v>
      </c>
      <c r="F506" s="113">
        <v>0</v>
      </c>
      <c r="G506" s="113" t="s">
        <v>122</v>
      </c>
      <c r="H506" s="113"/>
      <c r="I506" s="113" t="b">
        <v>0</v>
      </c>
      <c r="J506" s="113" t="b">
        <v>0</v>
      </c>
      <c r="K506" s="113" t="b">
        <v>0</v>
      </c>
      <c r="L506" s="113" t="s">
        <v>175</v>
      </c>
      <c r="M506" s="113" t="s">
        <v>172</v>
      </c>
      <c r="N506" s="113" t="s">
        <v>5421</v>
      </c>
      <c r="O506" s="113" t="s">
        <v>5075</v>
      </c>
      <c r="P506" s="113" t="b">
        <v>0</v>
      </c>
      <c r="Q506" s="113" t="b">
        <v>0</v>
      </c>
    </row>
    <row r="507" spans="1:17">
      <c r="A507" s="130" t="s">
        <v>5600</v>
      </c>
      <c r="B507" s="109"/>
      <c r="C507" s="109"/>
      <c r="D507" s="109">
        <v>0</v>
      </c>
      <c r="E507" s="109">
        <v>0</v>
      </c>
      <c r="F507" s="109">
        <v>0</v>
      </c>
      <c r="G507" s="109" t="s">
        <v>122</v>
      </c>
      <c r="H507" s="109"/>
      <c r="I507" s="109" t="b">
        <v>0</v>
      </c>
      <c r="J507" s="109" t="b">
        <v>0</v>
      </c>
      <c r="K507" s="109" t="b">
        <v>0</v>
      </c>
      <c r="L507" s="109" t="s">
        <v>175</v>
      </c>
      <c r="M507" s="109" t="s">
        <v>56</v>
      </c>
      <c r="N507" s="109" t="s">
        <v>6085</v>
      </c>
      <c r="O507" s="109" t="s">
        <v>6086</v>
      </c>
      <c r="P507" s="109" t="b">
        <v>0</v>
      </c>
      <c r="Q507" s="109" t="b">
        <v>0</v>
      </c>
    </row>
    <row r="508" spans="1:17">
      <c r="A508" s="130" t="s">
        <v>6087</v>
      </c>
      <c r="B508" s="109"/>
      <c r="C508" s="109"/>
      <c r="D508" s="109">
        <v>0</v>
      </c>
      <c r="E508" s="109">
        <v>0</v>
      </c>
      <c r="F508" s="109">
        <v>0</v>
      </c>
      <c r="G508" s="109" t="s">
        <v>122</v>
      </c>
      <c r="H508" s="109"/>
      <c r="I508" s="109" t="b">
        <v>0</v>
      </c>
      <c r="J508" s="109" t="b">
        <v>0</v>
      </c>
      <c r="K508" s="109" t="b">
        <v>0</v>
      </c>
      <c r="L508" s="109" t="s">
        <v>175</v>
      </c>
      <c r="M508" s="109" t="s">
        <v>56</v>
      </c>
      <c r="N508" s="109" t="s">
        <v>5422</v>
      </c>
      <c r="O508" s="109" t="s">
        <v>5076</v>
      </c>
      <c r="P508" s="109" t="b">
        <v>0</v>
      </c>
      <c r="Q508" s="109" t="b">
        <v>0</v>
      </c>
    </row>
    <row r="509" spans="1:17">
      <c r="A509" s="130" t="s">
        <v>4285</v>
      </c>
      <c r="B509" s="109"/>
      <c r="C509" s="109"/>
      <c r="D509" s="109">
        <v>0</v>
      </c>
      <c r="E509" s="109">
        <v>0</v>
      </c>
      <c r="F509" s="109">
        <v>0</v>
      </c>
      <c r="G509" s="109" t="s">
        <v>122</v>
      </c>
      <c r="H509" s="109"/>
      <c r="I509" s="109" t="b">
        <v>0</v>
      </c>
      <c r="J509" s="109" t="b">
        <v>0</v>
      </c>
      <c r="K509" s="109" t="b">
        <v>0</v>
      </c>
      <c r="L509" s="109" t="s">
        <v>175</v>
      </c>
      <c r="M509" s="109" t="s">
        <v>56</v>
      </c>
      <c r="N509" s="109" t="s">
        <v>5423</v>
      </c>
      <c r="O509" s="109" t="s">
        <v>5077</v>
      </c>
      <c r="P509" s="109" t="b">
        <v>0</v>
      </c>
      <c r="Q509" s="109" t="b">
        <v>0</v>
      </c>
    </row>
    <row r="510" spans="1:17">
      <c r="A510" s="130" t="s">
        <v>4276</v>
      </c>
      <c r="B510" s="109"/>
      <c r="C510" s="109"/>
      <c r="D510" s="109">
        <v>0</v>
      </c>
      <c r="E510" s="109">
        <v>0</v>
      </c>
      <c r="F510" s="109">
        <v>0</v>
      </c>
      <c r="G510" s="109" t="s">
        <v>122</v>
      </c>
      <c r="H510" s="109"/>
      <c r="I510" s="109" t="b">
        <v>0</v>
      </c>
      <c r="J510" s="109" t="b">
        <v>0</v>
      </c>
      <c r="K510" s="109" t="b">
        <v>0</v>
      </c>
      <c r="L510" s="109" t="s">
        <v>175</v>
      </c>
      <c r="M510" s="109" t="s">
        <v>56</v>
      </c>
      <c r="N510" s="109" t="s">
        <v>5424</v>
      </c>
      <c r="O510" s="109" t="s">
        <v>5078</v>
      </c>
      <c r="P510" s="109" t="b">
        <v>0</v>
      </c>
      <c r="Q510" s="109" t="b">
        <v>0</v>
      </c>
    </row>
    <row r="511" spans="1:17">
      <c r="A511" s="130" t="s">
        <v>4277</v>
      </c>
      <c r="B511" s="109"/>
      <c r="C511" s="109"/>
      <c r="D511" s="109">
        <v>0</v>
      </c>
      <c r="E511" s="109">
        <v>0</v>
      </c>
      <c r="F511" s="109">
        <v>0</v>
      </c>
      <c r="G511" s="109" t="s">
        <v>122</v>
      </c>
      <c r="H511" s="109"/>
      <c r="I511" s="109" t="b">
        <v>0</v>
      </c>
      <c r="J511" s="109" t="b">
        <v>0</v>
      </c>
      <c r="K511" s="109" t="b">
        <v>0</v>
      </c>
      <c r="L511" s="109" t="s">
        <v>175</v>
      </c>
      <c r="M511" s="109" t="s">
        <v>56</v>
      </c>
      <c r="N511" s="109" t="s">
        <v>5425</v>
      </c>
      <c r="O511" s="109" t="s">
        <v>5079</v>
      </c>
      <c r="P511" s="109" t="b">
        <v>0</v>
      </c>
      <c r="Q511" s="109" t="b">
        <v>0</v>
      </c>
    </row>
    <row r="512" spans="1:17">
      <c r="A512" s="130" t="s">
        <v>4278</v>
      </c>
      <c r="B512" s="109"/>
      <c r="C512" s="109"/>
      <c r="D512" s="109">
        <v>0</v>
      </c>
      <c r="E512" s="109">
        <v>0</v>
      </c>
      <c r="F512" s="109">
        <v>0</v>
      </c>
      <c r="G512" s="109" t="s">
        <v>122</v>
      </c>
      <c r="H512" s="109"/>
      <c r="I512" s="109" t="b">
        <v>0</v>
      </c>
      <c r="J512" s="109" t="b">
        <v>0</v>
      </c>
      <c r="K512" s="109" t="b">
        <v>0</v>
      </c>
      <c r="L512" s="109" t="s">
        <v>175</v>
      </c>
      <c r="M512" s="109" t="s">
        <v>56</v>
      </c>
      <c r="N512" s="109" t="s">
        <v>5426</v>
      </c>
      <c r="O512" s="109" t="s">
        <v>5080</v>
      </c>
      <c r="P512" s="109" t="b">
        <v>0</v>
      </c>
      <c r="Q512" s="109" t="b">
        <v>0</v>
      </c>
    </row>
    <row r="513" spans="1:17">
      <c r="A513" s="130" t="s">
        <v>4279</v>
      </c>
      <c r="B513" s="109"/>
      <c r="C513" s="109"/>
      <c r="D513" s="109">
        <v>0</v>
      </c>
      <c r="E513" s="109">
        <v>0</v>
      </c>
      <c r="F513" s="109">
        <v>0</v>
      </c>
      <c r="G513" s="109" t="s">
        <v>122</v>
      </c>
      <c r="H513" s="109"/>
      <c r="I513" s="109" t="b">
        <v>0</v>
      </c>
      <c r="J513" s="109" t="b">
        <v>0</v>
      </c>
      <c r="K513" s="109" t="b">
        <v>0</v>
      </c>
      <c r="L513" s="109" t="s">
        <v>175</v>
      </c>
      <c r="M513" s="109" t="s">
        <v>56</v>
      </c>
      <c r="N513" s="109" t="s">
        <v>5427</v>
      </c>
      <c r="O513" s="109" t="s">
        <v>5081</v>
      </c>
      <c r="P513" s="109" t="b">
        <v>0</v>
      </c>
      <c r="Q513" s="109" t="b">
        <v>0</v>
      </c>
    </row>
    <row r="514" spans="1:17">
      <c r="A514" s="130" t="s">
        <v>4280</v>
      </c>
      <c r="B514" s="109"/>
      <c r="C514" s="109"/>
      <c r="D514" s="109">
        <v>0</v>
      </c>
      <c r="E514" s="109">
        <v>0</v>
      </c>
      <c r="F514" s="109">
        <v>0</v>
      </c>
      <c r="G514" s="109" t="s">
        <v>122</v>
      </c>
      <c r="H514" s="109"/>
      <c r="I514" s="109" t="b">
        <v>0</v>
      </c>
      <c r="J514" s="109" t="b">
        <v>0</v>
      </c>
      <c r="K514" s="109" t="b">
        <v>0</v>
      </c>
      <c r="L514" s="109" t="s">
        <v>175</v>
      </c>
      <c r="M514" s="109" t="s">
        <v>56</v>
      </c>
      <c r="N514" s="109" t="s">
        <v>5428</v>
      </c>
      <c r="O514" s="109" t="s">
        <v>5082</v>
      </c>
      <c r="P514" s="109" t="b">
        <v>0</v>
      </c>
      <c r="Q514" s="109" t="b">
        <v>0</v>
      </c>
    </row>
    <row r="515" spans="1:17">
      <c r="A515" s="130" t="s">
        <v>4281</v>
      </c>
      <c r="B515" s="109"/>
      <c r="C515" s="109"/>
      <c r="D515" s="109">
        <v>0</v>
      </c>
      <c r="E515" s="109">
        <v>0</v>
      </c>
      <c r="F515" s="109">
        <v>0</v>
      </c>
      <c r="G515" s="109" t="s">
        <v>122</v>
      </c>
      <c r="H515" s="109"/>
      <c r="I515" s="109" t="b">
        <v>0</v>
      </c>
      <c r="J515" s="109" t="b">
        <v>0</v>
      </c>
      <c r="K515" s="109" t="b">
        <v>0</v>
      </c>
      <c r="L515" s="109" t="s">
        <v>175</v>
      </c>
      <c r="M515" s="109" t="s">
        <v>56</v>
      </c>
      <c r="N515" s="109" t="s">
        <v>5429</v>
      </c>
      <c r="O515" s="109" t="s">
        <v>5083</v>
      </c>
      <c r="P515" s="109" t="b">
        <v>0</v>
      </c>
      <c r="Q515" s="109" t="b">
        <v>0</v>
      </c>
    </row>
    <row r="516" spans="1:17">
      <c r="A516" s="130" t="s">
        <v>4282</v>
      </c>
      <c r="B516" s="109"/>
      <c r="C516" s="109"/>
      <c r="D516" s="109">
        <v>0</v>
      </c>
      <c r="E516" s="109">
        <v>0</v>
      </c>
      <c r="F516" s="109">
        <v>0</v>
      </c>
      <c r="G516" s="109" t="s">
        <v>122</v>
      </c>
      <c r="H516" s="109"/>
      <c r="I516" s="109" t="b">
        <v>0</v>
      </c>
      <c r="J516" s="109" t="b">
        <v>0</v>
      </c>
      <c r="K516" s="109" t="b">
        <v>0</v>
      </c>
      <c r="L516" s="109" t="s">
        <v>175</v>
      </c>
      <c r="M516" s="109" t="s">
        <v>56</v>
      </c>
      <c r="N516" s="109" t="s">
        <v>5430</v>
      </c>
      <c r="O516" s="109" t="s">
        <v>5084</v>
      </c>
      <c r="P516" s="109" t="b">
        <v>0</v>
      </c>
      <c r="Q516" s="109" t="b">
        <v>0</v>
      </c>
    </row>
    <row r="517" spans="1:17">
      <c r="A517" s="130" t="s">
        <v>4283</v>
      </c>
      <c r="B517" s="109"/>
      <c r="C517" s="109"/>
      <c r="D517" s="109">
        <v>0</v>
      </c>
      <c r="E517" s="109">
        <v>0</v>
      </c>
      <c r="F517" s="109">
        <v>0</v>
      </c>
      <c r="G517" s="109" t="s">
        <v>122</v>
      </c>
      <c r="H517" s="109"/>
      <c r="I517" s="109" t="b">
        <v>0</v>
      </c>
      <c r="J517" s="109" t="b">
        <v>0</v>
      </c>
      <c r="K517" s="109" t="b">
        <v>0</v>
      </c>
      <c r="L517" s="109" t="s">
        <v>175</v>
      </c>
      <c r="M517" s="109" t="s">
        <v>56</v>
      </c>
      <c r="N517" s="109" t="s">
        <v>5431</v>
      </c>
      <c r="O517" s="109" t="s">
        <v>5085</v>
      </c>
      <c r="P517" s="109" t="b">
        <v>0</v>
      </c>
      <c r="Q517" s="109" t="b">
        <v>0</v>
      </c>
    </row>
    <row r="518" spans="1:17">
      <c r="A518" s="126" t="s">
        <v>5601</v>
      </c>
      <c r="B518" s="113"/>
      <c r="C518" s="113"/>
      <c r="D518" s="113">
        <v>0</v>
      </c>
      <c r="E518" s="113">
        <v>0</v>
      </c>
      <c r="F518" s="113">
        <v>0</v>
      </c>
      <c r="G518" s="113" t="s">
        <v>122</v>
      </c>
      <c r="H518" s="113"/>
      <c r="I518" s="113" t="b">
        <v>0</v>
      </c>
      <c r="J518" s="113" t="b">
        <v>0</v>
      </c>
      <c r="K518" s="113" t="b">
        <v>0</v>
      </c>
      <c r="L518" s="113" t="s">
        <v>175</v>
      </c>
      <c r="M518" s="113" t="s">
        <v>77</v>
      </c>
      <c r="N518" s="113" t="s">
        <v>6088</v>
      </c>
      <c r="O518" s="113" t="s">
        <v>6089</v>
      </c>
      <c r="P518" s="113" t="b">
        <v>0</v>
      </c>
      <c r="Q518" s="113" t="b">
        <v>0</v>
      </c>
    </row>
    <row r="519" spans="1:17">
      <c r="A519" s="126" t="s">
        <v>6090</v>
      </c>
      <c r="B519" s="113"/>
      <c r="C519" s="113"/>
      <c r="D519" s="113">
        <v>0</v>
      </c>
      <c r="E519" s="113">
        <v>0</v>
      </c>
      <c r="F519" s="113">
        <v>0</v>
      </c>
      <c r="G519" s="113" t="s">
        <v>122</v>
      </c>
      <c r="H519" s="113"/>
      <c r="I519" s="113" t="b">
        <v>0</v>
      </c>
      <c r="J519" s="113" t="b">
        <v>0</v>
      </c>
      <c r="K519" s="113" t="b">
        <v>0</v>
      </c>
      <c r="L519" s="113" t="s">
        <v>175</v>
      </c>
      <c r="M519" s="113" t="s">
        <v>77</v>
      </c>
      <c r="N519" s="113" t="s">
        <v>5432</v>
      </c>
      <c r="O519" s="113" t="s">
        <v>5086</v>
      </c>
      <c r="P519" s="113" t="b">
        <v>0</v>
      </c>
      <c r="Q519" s="113" t="b">
        <v>0</v>
      </c>
    </row>
    <row r="520" spans="1:17">
      <c r="A520" s="126" t="s">
        <v>4288</v>
      </c>
      <c r="B520" s="113"/>
      <c r="C520" s="113"/>
      <c r="D520" s="113">
        <v>0</v>
      </c>
      <c r="E520" s="113">
        <v>0</v>
      </c>
      <c r="F520" s="113">
        <v>0</v>
      </c>
      <c r="G520" s="113" t="s">
        <v>122</v>
      </c>
      <c r="H520" s="113"/>
      <c r="I520" s="113" t="b">
        <v>0</v>
      </c>
      <c r="J520" s="113" t="b">
        <v>0</v>
      </c>
      <c r="K520" s="113" t="b">
        <v>0</v>
      </c>
      <c r="L520" s="113" t="s">
        <v>175</v>
      </c>
      <c r="M520" s="113" t="s">
        <v>77</v>
      </c>
      <c r="N520" s="113" t="s">
        <v>5433</v>
      </c>
      <c r="O520" s="113" t="s">
        <v>5087</v>
      </c>
      <c r="P520" s="113" t="b">
        <v>0</v>
      </c>
      <c r="Q520" s="113" t="b">
        <v>0</v>
      </c>
    </row>
    <row r="521" spans="1:17">
      <c r="A521" s="126" t="s">
        <v>6091</v>
      </c>
      <c r="B521" s="113"/>
      <c r="C521" s="113"/>
      <c r="D521" s="113">
        <v>0</v>
      </c>
      <c r="E521" s="113">
        <v>0</v>
      </c>
      <c r="F521" s="113">
        <v>0</v>
      </c>
      <c r="G521" s="113" t="s">
        <v>122</v>
      </c>
      <c r="H521" s="113"/>
      <c r="I521" s="113" t="b">
        <v>0</v>
      </c>
      <c r="J521" s="113" t="b">
        <v>0</v>
      </c>
      <c r="K521" s="113" t="b">
        <v>0</v>
      </c>
      <c r="L521" s="113" t="s">
        <v>175</v>
      </c>
      <c r="M521" s="113" t="s">
        <v>77</v>
      </c>
      <c r="N521" s="113" t="s">
        <v>5434</v>
      </c>
      <c r="O521" s="113" t="s">
        <v>5088</v>
      </c>
      <c r="P521" s="113" t="b">
        <v>0</v>
      </c>
      <c r="Q521" s="113" t="b">
        <v>0</v>
      </c>
    </row>
    <row r="522" spans="1:17">
      <c r="A522" s="126" t="s">
        <v>4289</v>
      </c>
      <c r="B522" s="113"/>
      <c r="C522" s="113"/>
      <c r="D522" s="113">
        <v>0</v>
      </c>
      <c r="E522" s="113">
        <v>0</v>
      </c>
      <c r="F522" s="113">
        <v>0</v>
      </c>
      <c r="G522" s="113" t="s">
        <v>122</v>
      </c>
      <c r="H522" s="113"/>
      <c r="I522" s="113" t="b">
        <v>0</v>
      </c>
      <c r="J522" s="113" t="b">
        <v>0</v>
      </c>
      <c r="K522" s="113" t="b">
        <v>0</v>
      </c>
      <c r="L522" s="113" t="s">
        <v>175</v>
      </c>
      <c r="M522" s="113" t="s">
        <v>77</v>
      </c>
      <c r="N522" s="113" t="s">
        <v>5435</v>
      </c>
      <c r="O522" s="113" t="s">
        <v>5089</v>
      </c>
      <c r="P522" s="113" t="b">
        <v>0</v>
      </c>
      <c r="Q522" s="113" t="b">
        <v>0</v>
      </c>
    </row>
    <row r="523" spans="1:17">
      <c r="A523" s="126" t="s">
        <v>4290</v>
      </c>
      <c r="B523" s="113"/>
      <c r="C523" s="113"/>
      <c r="D523" s="113">
        <v>0</v>
      </c>
      <c r="E523" s="113">
        <v>0</v>
      </c>
      <c r="F523" s="113">
        <v>0</v>
      </c>
      <c r="G523" s="113" t="s">
        <v>122</v>
      </c>
      <c r="H523" s="113"/>
      <c r="I523" s="113" t="b">
        <v>0</v>
      </c>
      <c r="J523" s="113" t="b">
        <v>0</v>
      </c>
      <c r="K523" s="113" t="b">
        <v>0</v>
      </c>
      <c r="L523" s="113" t="s">
        <v>175</v>
      </c>
      <c r="M523" s="113" t="s">
        <v>77</v>
      </c>
      <c r="N523" s="113" t="s">
        <v>5436</v>
      </c>
      <c r="O523" s="113" t="s">
        <v>5090</v>
      </c>
      <c r="P523" s="113" t="b">
        <v>0</v>
      </c>
      <c r="Q523" s="113" t="b">
        <v>0</v>
      </c>
    </row>
    <row r="524" spans="1:17">
      <c r="A524" s="130" t="s">
        <v>5602</v>
      </c>
      <c r="B524" s="109"/>
      <c r="C524" s="109"/>
      <c r="D524" s="109">
        <v>0</v>
      </c>
      <c r="E524" s="109">
        <v>0</v>
      </c>
      <c r="F524" s="109">
        <v>0</v>
      </c>
      <c r="G524" s="109" t="s">
        <v>122</v>
      </c>
      <c r="H524" s="109"/>
      <c r="I524" s="109" t="b">
        <v>0</v>
      </c>
      <c r="J524" s="109" t="b">
        <v>0</v>
      </c>
      <c r="K524" s="109" t="b">
        <v>0</v>
      </c>
      <c r="L524" s="109" t="s">
        <v>175</v>
      </c>
      <c r="M524" s="109" t="s">
        <v>6092</v>
      </c>
      <c r="N524" s="109" t="s">
        <v>6093</v>
      </c>
      <c r="O524" s="109" t="s">
        <v>6094</v>
      </c>
      <c r="P524" s="109" t="b">
        <v>0</v>
      </c>
      <c r="Q524" s="109" t="b">
        <v>0</v>
      </c>
    </row>
    <row r="525" spans="1:17">
      <c r="A525" s="130" t="s">
        <v>6095</v>
      </c>
      <c r="B525" s="109"/>
      <c r="C525" s="109"/>
      <c r="D525" s="109">
        <v>0</v>
      </c>
      <c r="E525" s="109">
        <v>0</v>
      </c>
      <c r="F525" s="109">
        <v>0</v>
      </c>
      <c r="G525" s="109" t="s">
        <v>122</v>
      </c>
      <c r="H525" s="109"/>
      <c r="I525" s="109" t="b">
        <v>0</v>
      </c>
      <c r="J525" s="109" t="b">
        <v>0</v>
      </c>
      <c r="K525" s="109" t="b">
        <v>0</v>
      </c>
      <c r="L525" s="109" t="s">
        <v>175</v>
      </c>
      <c r="M525" s="109" t="s">
        <v>375</v>
      </c>
      <c r="N525" s="109" t="s">
        <v>5437</v>
      </c>
      <c r="O525" s="109" t="s">
        <v>5091</v>
      </c>
      <c r="P525" s="109" t="b">
        <v>0</v>
      </c>
      <c r="Q525" s="109" t="b">
        <v>0</v>
      </c>
    </row>
    <row r="526" spans="1:17">
      <c r="A526" s="130" t="s">
        <v>4671</v>
      </c>
      <c r="B526" s="109"/>
      <c r="C526" s="109"/>
      <c r="D526" s="109">
        <v>0</v>
      </c>
      <c r="E526" s="109">
        <v>0</v>
      </c>
      <c r="F526" s="109">
        <v>0</v>
      </c>
      <c r="G526" s="109" t="s">
        <v>122</v>
      </c>
      <c r="H526" s="109"/>
      <c r="I526" s="109" t="b">
        <v>0</v>
      </c>
      <c r="J526" s="109" t="b">
        <v>0</v>
      </c>
      <c r="K526" s="109" t="b">
        <v>0</v>
      </c>
      <c r="L526" s="109" t="s">
        <v>175</v>
      </c>
      <c r="M526" s="109" t="s">
        <v>375</v>
      </c>
      <c r="N526" s="109" t="s">
        <v>5438</v>
      </c>
      <c r="O526" s="109" t="s">
        <v>5092</v>
      </c>
      <c r="P526" s="109" t="b">
        <v>0</v>
      </c>
      <c r="Q526" s="109" t="b">
        <v>0</v>
      </c>
    </row>
    <row r="527" spans="1:17">
      <c r="A527" s="130" t="s">
        <v>4672</v>
      </c>
      <c r="B527" s="109"/>
      <c r="C527" s="109"/>
      <c r="D527" s="109">
        <v>0</v>
      </c>
      <c r="E527" s="109">
        <v>0</v>
      </c>
      <c r="F527" s="109">
        <v>0</v>
      </c>
      <c r="G527" s="109" t="s">
        <v>122</v>
      </c>
      <c r="H527" s="109"/>
      <c r="I527" s="109" t="b">
        <v>0</v>
      </c>
      <c r="J527" s="109" t="b">
        <v>0</v>
      </c>
      <c r="K527" s="109" t="b">
        <v>0</v>
      </c>
      <c r="L527" s="109" t="s">
        <v>175</v>
      </c>
      <c r="M527" s="109" t="s">
        <v>375</v>
      </c>
      <c r="N527" s="109" t="s">
        <v>5439</v>
      </c>
      <c r="O527" s="109" t="s">
        <v>5093</v>
      </c>
      <c r="P527" s="109" t="b">
        <v>0</v>
      </c>
      <c r="Q527" s="109" t="b">
        <v>0</v>
      </c>
    </row>
    <row r="528" spans="1:17">
      <c r="A528" s="130" t="s">
        <v>4673</v>
      </c>
      <c r="B528" s="109"/>
      <c r="C528" s="109"/>
      <c r="D528" s="109">
        <v>0</v>
      </c>
      <c r="E528" s="109">
        <v>0</v>
      </c>
      <c r="F528" s="109">
        <v>0</v>
      </c>
      <c r="G528" s="109" t="s">
        <v>122</v>
      </c>
      <c r="H528" s="109"/>
      <c r="I528" s="109" t="b">
        <v>0</v>
      </c>
      <c r="J528" s="109" t="b">
        <v>0</v>
      </c>
      <c r="K528" s="109" t="b">
        <v>0</v>
      </c>
      <c r="L528" s="109" t="s">
        <v>175</v>
      </c>
      <c r="M528" s="109" t="s">
        <v>375</v>
      </c>
      <c r="N528" s="109" t="s">
        <v>5440</v>
      </c>
      <c r="O528" s="109" t="s">
        <v>5094</v>
      </c>
      <c r="P528" s="109" t="b">
        <v>0</v>
      </c>
      <c r="Q528" s="109" t="b">
        <v>0</v>
      </c>
    </row>
    <row r="529" spans="1:17">
      <c r="A529" s="130" t="s">
        <v>4674</v>
      </c>
      <c r="B529" s="109"/>
      <c r="C529" s="109"/>
      <c r="D529" s="109">
        <v>0</v>
      </c>
      <c r="E529" s="109">
        <v>0</v>
      </c>
      <c r="F529" s="109">
        <v>0</v>
      </c>
      <c r="G529" s="109" t="s">
        <v>122</v>
      </c>
      <c r="H529" s="109"/>
      <c r="I529" s="109" t="b">
        <v>0</v>
      </c>
      <c r="J529" s="109" t="b">
        <v>0</v>
      </c>
      <c r="K529" s="109" t="b">
        <v>0</v>
      </c>
      <c r="L529" s="109" t="s">
        <v>175</v>
      </c>
      <c r="M529" s="109" t="s">
        <v>375</v>
      </c>
      <c r="N529" s="109" t="s">
        <v>5441</v>
      </c>
      <c r="O529" s="109" t="s">
        <v>5095</v>
      </c>
      <c r="P529" s="109" t="b">
        <v>0</v>
      </c>
      <c r="Q529" s="109" t="b">
        <v>0</v>
      </c>
    </row>
    <row r="530" spans="1:17">
      <c r="A530" s="130" t="s">
        <v>4675</v>
      </c>
      <c r="B530" s="109"/>
      <c r="C530" s="109"/>
      <c r="D530" s="109">
        <v>0</v>
      </c>
      <c r="E530" s="109">
        <v>0</v>
      </c>
      <c r="F530" s="109">
        <v>0</v>
      </c>
      <c r="G530" s="109" t="s">
        <v>122</v>
      </c>
      <c r="H530" s="109"/>
      <c r="I530" s="109" t="b">
        <v>0</v>
      </c>
      <c r="J530" s="109" t="b">
        <v>0</v>
      </c>
      <c r="K530" s="109" t="b">
        <v>0</v>
      </c>
      <c r="L530" s="109" t="s">
        <v>175</v>
      </c>
      <c r="M530" s="109" t="s">
        <v>375</v>
      </c>
      <c r="N530" s="109" t="s">
        <v>5442</v>
      </c>
      <c r="O530" s="109" t="s">
        <v>5096</v>
      </c>
      <c r="P530" s="109" t="b">
        <v>0</v>
      </c>
      <c r="Q530" s="109" t="b">
        <v>0</v>
      </c>
    </row>
    <row r="531" spans="1:17">
      <c r="A531" s="130" t="s">
        <v>4676</v>
      </c>
      <c r="B531" s="109"/>
      <c r="C531" s="109"/>
      <c r="D531" s="109">
        <v>0</v>
      </c>
      <c r="E531" s="109">
        <v>0</v>
      </c>
      <c r="F531" s="109">
        <v>0</v>
      </c>
      <c r="G531" s="109" t="s">
        <v>122</v>
      </c>
      <c r="H531" s="109"/>
      <c r="I531" s="109" t="b">
        <v>0</v>
      </c>
      <c r="J531" s="109" t="b">
        <v>0</v>
      </c>
      <c r="K531" s="109" t="b">
        <v>0</v>
      </c>
      <c r="L531" s="109" t="s">
        <v>175</v>
      </c>
      <c r="M531" s="109" t="s">
        <v>375</v>
      </c>
      <c r="N531" s="109" t="s">
        <v>5443</v>
      </c>
      <c r="O531" s="109" t="s">
        <v>5097</v>
      </c>
      <c r="P531" s="109" t="b">
        <v>0</v>
      </c>
      <c r="Q531" s="109" t="b">
        <v>0</v>
      </c>
    </row>
    <row r="532" spans="1:17">
      <c r="A532" s="130" t="s">
        <v>4677</v>
      </c>
      <c r="B532" s="109"/>
      <c r="C532" s="109"/>
      <c r="D532" s="109">
        <v>0</v>
      </c>
      <c r="E532" s="109">
        <v>0</v>
      </c>
      <c r="F532" s="109">
        <v>0</v>
      </c>
      <c r="G532" s="109" t="s">
        <v>122</v>
      </c>
      <c r="H532" s="109"/>
      <c r="I532" s="109" t="b">
        <v>0</v>
      </c>
      <c r="J532" s="109" t="b">
        <v>0</v>
      </c>
      <c r="K532" s="109" t="b">
        <v>0</v>
      </c>
      <c r="L532" s="109" t="s">
        <v>175</v>
      </c>
      <c r="M532" s="109" t="s">
        <v>375</v>
      </c>
      <c r="N532" s="109" t="s">
        <v>5444</v>
      </c>
      <c r="O532" s="109" t="s">
        <v>5098</v>
      </c>
      <c r="P532" s="109" t="b">
        <v>0</v>
      </c>
      <c r="Q532" s="109" t="b">
        <v>0</v>
      </c>
    </row>
    <row r="533" spans="1:17">
      <c r="A533" s="130" t="s">
        <v>4678</v>
      </c>
      <c r="B533" s="109"/>
      <c r="C533" s="109"/>
      <c r="D533" s="109">
        <v>0</v>
      </c>
      <c r="E533" s="109">
        <v>0</v>
      </c>
      <c r="F533" s="109">
        <v>0</v>
      </c>
      <c r="G533" s="109" t="s">
        <v>122</v>
      </c>
      <c r="H533" s="109"/>
      <c r="I533" s="109" t="b">
        <v>0</v>
      </c>
      <c r="J533" s="109" t="b">
        <v>0</v>
      </c>
      <c r="K533" s="109" t="b">
        <v>0</v>
      </c>
      <c r="L533" s="109" t="s">
        <v>175</v>
      </c>
      <c r="M533" s="109" t="s">
        <v>375</v>
      </c>
      <c r="N533" s="109" t="s">
        <v>5445</v>
      </c>
      <c r="O533" s="109" t="s">
        <v>5099</v>
      </c>
      <c r="P533" s="109" t="b">
        <v>0</v>
      </c>
      <c r="Q533" s="109" t="b">
        <v>0</v>
      </c>
    </row>
    <row r="534" spans="1:17">
      <c r="A534" s="130" t="s">
        <v>4679</v>
      </c>
      <c r="B534" s="109"/>
      <c r="C534" s="109"/>
      <c r="D534" s="109">
        <v>0</v>
      </c>
      <c r="E534" s="109">
        <v>0</v>
      </c>
      <c r="F534" s="109">
        <v>0</v>
      </c>
      <c r="G534" s="109" t="s">
        <v>122</v>
      </c>
      <c r="H534" s="109"/>
      <c r="I534" s="109" t="b">
        <v>0</v>
      </c>
      <c r="J534" s="109" t="b">
        <v>0</v>
      </c>
      <c r="K534" s="109" t="b">
        <v>0</v>
      </c>
      <c r="L534" s="109" t="s">
        <v>175</v>
      </c>
      <c r="M534" s="109" t="s">
        <v>375</v>
      </c>
      <c r="N534" s="109" t="s">
        <v>5446</v>
      </c>
      <c r="O534" s="109" t="s">
        <v>5100</v>
      </c>
      <c r="P534" s="109" t="b">
        <v>0</v>
      </c>
      <c r="Q534" s="109" t="b">
        <v>0</v>
      </c>
    </row>
    <row r="535" spans="1:17">
      <c r="A535" s="126" t="s">
        <v>6345</v>
      </c>
      <c r="B535" s="113"/>
      <c r="C535" s="113"/>
      <c r="D535" s="113">
        <v>0</v>
      </c>
      <c r="E535" s="113">
        <v>0</v>
      </c>
      <c r="F535" s="113">
        <v>0</v>
      </c>
      <c r="G535" s="113" t="s">
        <v>122</v>
      </c>
      <c r="H535" s="113"/>
      <c r="I535" s="113" t="b">
        <v>0</v>
      </c>
      <c r="J535" s="113" t="b">
        <v>0</v>
      </c>
      <c r="K535" s="113" t="b">
        <v>0</v>
      </c>
      <c r="L535" s="113" t="s">
        <v>175</v>
      </c>
      <c r="M535" s="113" t="s">
        <v>77</v>
      </c>
      <c r="N535" s="113" t="s">
        <v>6088</v>
      </c>
      <c r="O535" s="113" t="s">
        <v>6089</v>
      </c>
      <c r="P535" s="113" t="b">
        <v>0</v>
      </c>
      <c r="Q535" s="113" t="b">
        <v>0</v>
      </c>
    </row>
    <row r="536" spans="1:17">
      <c r="A536" s="126" t="s">
        <v>6344</v>
      </c>
      <c r="B536" s="113"/>
      <c r="C536" s="113"/>
      <c r="D536" s="113">
        <v>0</v>
      </c>
      <c r="E536" s="113">
        <v>0</v>
      </c>
      <c r="F536" s="113">
        <v>0</v>
      </c>
      <c r="G536" s="113" t="s">
        <v>122</v>
      </c>
      <c r="H536" s="113"/>
      <c r="I536" s="113" t="b">
        <v>0</v>
      </c>
      <c r="J536" s="113" t="b">
        <v>0</v>
      </c>
      <c r="K536" s="113" t="b">
        <v>0</v>
      </c>
      <c r="L536" s="113" t="s">
        <v>175</v>
      </c>
      <c r="M536" s="113" t="s">
        <v>77</v>
      </c>
      <c r="N536" s="113" t="s">
        <v>5432</v>
      </c>
      <c r="O536" s="113" t="s">
        <v>5086</v>
      </c>
      <c r="P536" s="113" t="b">
        <v>0</v>
      </c>
      <c r="Q536" s="113" t="b">
        <v>0</v>
      </c>
    </row>
    <row r="537" spans="1:17">
      <c r="A537" s="126" t="s">
        <v>6336</v>
      </c>
      <c r="B537" s="113"/>
      <c r="C537" s="113"/>
      <c r="D537" s="113">
        <v>0</v>
      </c>
      <c r="E537" s="113">
        <v>0</v>
      </c>
      <c r="F537" s="113">
        <v>0</v>
      </c>
      <c r="G537" s="113" t="s">
        <v>122</v>
      </c>
      <c r="H537" s="113"/>
      <c r="I537" s="113" t="b">
        <v>0</v>
      </c>
      <c r="J537" s="113" t="b">
        <v>0</v>
      </c>
      <c r="K537" s="113" t="b">
        <v>0</v>
      </c>
      <c r="L537" s="113" t="s">
        <v>175</v>
      </c>
      <c r="M537" s="113" t="s">
        <v>77</v>
      </c>
      <c r="N537" s="113" t="s">
        <v>5433</v>
      </c>
      <c r="O537" s="113" t="s">
        <v>5087</v>
      </c>
      <c r="P537" s="113" t="b">
        <v>0</v>
      </c>
      <c r="Q537" s="113" t="b">
        <v>0</v>
      </c>
    </row>
    <row r="538" spans="1:17">
      <c r="A538" s="126" t="s">
        <v>6337</v>
      </c>
      <c r="B538" s="113"/>
      <c r="C538" s="113"/>
      <c r="D538" s="113">
        <v>0</v>
      </c>
      <c r="E538" s="113">
        <v>0</v>
      </c>
      <c r="F538" s="113">
        <v>0</v>
      </c>
      <c r="G538" s="113" t="s">
        <v>122</v>
      </c>
      <c r="H538" s="113"/>
      <c r="I538" s="113" t="b">
        <v>0</v>
      </c>
      <c r="J538" s="113" t="b">
        <v>0</v>
      </c>
      <c r="K538" s="113" t="b">
        <v>0</v>
      </c>
      <c r="L538" s="113" t="s">
        <v>175</v>
      </c>
      <c r="M538" s="113" t="s">
        <v>77</v>
      </c>
      <c r="N538" s="113" t="s">
        <v>5434</v>
      </c>
      <c r="O538" s="113" t="s">
        <v>5088</v>
      </c>
      <c r="P538" s="113" t="b">
        <v>0</v>
      </c>
      <c r="Q538" s="113" t="b">
        <v>0</v>
      </c>
    </row>
    <row r="539" spans="1:17">
      <c r="A539" s="126" t="s">
        <v>6338</v>
      </c>
      <c r="B539" s="113"/>
      <c r="C539" s="113"/>
      <c r="D539" s="113">
        <v>0</v>
      </c>
      <c r="E539" s="113">
        <v>0</v>
      </c>
      <c r="F539" s="113">
        <v>0</v>
      </c>
      <c r="G539" s="113" t="s">
        <v>122</v>
      </c>
      <c r="H539" s="113"/>
      <c r="I539" s="113" t="b">
        <v>0</v>
      </c>
      <c r="J539" s="113" t="b">
        <v>0</v>
      </c>
      <c r="K539" s="113" t="b">
        <v>0</v>
      </c>
      <c r="L539" s="113" t="s">
        <v>175</v>
      </c>
      <c r="M539" s="113" t="s">
        <v>77</v>
      </c>
      <c r="N539" s="113" t="s">
        <v>5435</v>
      </c>
      <c r="O539" s="113" t="s">
        <v>5089</v>
      </c>
      <c r="P539" s="113" t="b">
        <v>0</v>
      </c>
      <c r="Q539" s="113" t="b">
        <v>0</v>
      </c>
    </row>
    <row r="540" spans="1:17">
      <c r="A540" s="126" t="s">
        <v>6339</v>
      </c>
      <c r="B540" s="113"/>
      <c r="C540" s="113"/>
      <c r="D540" s="113">
        <v>0</v>
      </c>
      <c r="E540" s="113">
        <v>0</v>
      </c>
      <c r="F540" s="113">
        <v>0</v>
      </c>
      <c r="G540" s="113" t="s">
        <v>122</v>
      </c>
      <c r="H540" s="113"/>
      <c r="I540" s="113" t="b">
        <v>0</v>
      </c>
      <c r="J540" s="113" t="b">
        <v>0</v>
      </c>
      <c r="K540" s="113" t="b">
        <v>0</v>
      </c>
      <c r="L540" s="113" t="s">
        <v>175</v>
      </c>
      <c r="M540" s="113" t="s">
        <v>77</v>
      </c>
      <c r="N540" s="113" t="s">
        <v>5436</v>
      </c>
      <c r="O540" s="113" t="s">
        <v>5090</v>
      </c>
      <c r="P540" s="113" t="b">
        <v>0</v>
      </c>
      <c r="Q540" s="113" t="b">
        <v>0</v>
      </c>
    </row>
    <row r="541" spans="1:17">
      <c r="A541" s="130" t="s">
        <v>6348</v>
      </c>
      <c r="B541" s="109"/>
      <c r="C541" s="109"/>
      <c r="D541" s="109">
        <v>0</v>
      </c>
      <c r="E541" s="109">
        <v>0</v>
      </c>
      <c r="F541" s="109">
        <v>0</v>
      </c>
      <c r="G541" s="109" t="s">
        <v>122</v>
      </c>
      <c r="H541" s="109"/>
      <c r="I541" s="109" t="b">
        <v>0</v>
      </c>
      <c r="J541" s="109" t="b">
        <v>0</v>
      </c>
      <c r="K541" s="109" t="b">
        <v>0</v>
      </c>
      <c r="L541" s="109" t="s">
        <v>175</v>
      </c>
      <c r="M541" s="109" t="s">
        <v>6092</v>
      </c>
      <c r="N541" s="109" t="s">
        <v>6093</v>
      </c>
      <c r="O541" s="109" t="s">
        <v>6094</v>
      </c>
      <c r="P541" s="109" t="b">
        <v>0</v>
      </c>
      <c r="Q541" s="109" t="b">
        <v>0</v>
      </c>
    </row>
    <row r="542" spans="1:17">
      <c r="A542" s="130" t="s">
        <v>6347</v>
      </c>
      <c r="B542" s="109"/>
      <c r="C542" s="109"/>
      <c r="D542" s="109">
        <v>0</v>
      </c>
      <c r="E542" s="109">
        <v>0</v>
      </c>
      <c r="F542" s="109">
        <v>0</v>
      </c>
      <c r="G542" s="109" t="s">
        <v>122</v>
      </c>
      <c r="H542" s="109"/>
      <c r="I542" s="109" t="b">
        <v>0</v>
      </c>
      <c r="J542" s="109" t="b">
        <v>0</v>
      </c>
      <c r="K542" s="109" t="b">
        <v>0</v>
      </c>
      <c r="L542" s="109" t="s">
        <v>175</v>
      </c>
      <c r="M542" s="109" t="s">
        <v>375</v>
      </c>
      <c r="N542" s="109" t="s">
        <v>5437</v>
      </c>
      <c r="O542" s="109" t="s">
        <v>5091</v>
      </c>
      <c r="P542" s="109" t="b">
        <v>0</v>
      </c>
      <c r="Q542" s="109" t="b">
        <v>0</v>
      </c>
    </row>
    <row r="543" spans="1:17">
      <c r="A543" s="130" t="s">
        <v>6340</v>
      </c>
      <c r="B543" s="109"/>
      <c r="C543" s="109"/>
      <c r="D543" s="109">
        <v>0</v>
      </c>
      <c r="E543" s="109">
        <v>0</v>
      </c>
      <c r="F543" s="109">
        <v>0</v>
      </c>
      <c r="G543" s="109" t="s">
        <v>122</v>
      </c>
      <c r="H543" s="109"/>
      <c r="I543" s="109" t="b">
        <v>0</v>
      </c>
      <c r="J543" s="109" t="b">
        <v>0</v>
      </c>
      <c r="K543" s="109" t="b">
        <v>0</v>
      </c>
      <c r="L543" s="109" t="s">
        <v>175</v>
      </c>
      <c r="M543" s="109" t="s">
        <v>375</v>
      </c>
      <c r="N543" s="109" t="s">
        <v>5438</v>
      </c>
      <c r="O543" s="109" t="s">
        <v>5092</v>
      </c>
      <c r="P543" s="109" t="b">
        <v>0</v>
      </c>
      <c r="Q543" s="109" t="b">
        <v>0</v>
      </c>
    </row>
    <row r="544" spans="1:17">
      <c r="A544" s="130" t="s">
        <v>6341</v>
      </c>
      <c r="B544" s="109"/>
      <c r="C544" s="109"/>
      <c r="D544" s="109">
        <v>0</v>
      </c>
      <c r="E544" s="109">
        <v>0</v>
      </c>
      <c r="F544" s="109">
        <v>0</v>
      </c>
      <c r="G544" s="109" t="s">
        <v>122</v>
      </c>
      <c r="H544" s="109"/>
      <c r="I544" s="109" t="b">
        <v>0</v>
      </c>
      <c r="J544" s="109" t="b">
        <v>0</v>
      </c>
      <c r="K544" s="109" t="b">
        <v>0</v>
      </c>
      <c r="L544" s="109" t="s">
        <v>175</v>
      </c>
      <c r="M544" s="109" t="s">
        <v>375</v>
      </c>
      <c r="N544" s="109" t="s">
        <v>5439</v>
      </c>
      <c r="O544" s="109" t="s">
        <v>5093</v>
      </c>
      <c r="P544" s="109" t="b">
        <v>0</v>
      </c>
      <c r="Q544" s="109" t="b">
        <v>0</v>
      </c>
    </row>
    <row r="545" spans="1:17">
      <c r="A545" s="130" t="s">
        <v>6342</v>
      </c>
      <c r="B545" s="109"/>
      <c r="C545" s="109"/>
      <c r="D545" s="109">
        <v>0</v>
      </c>
      <c r="E545" s="109">
        <v>0</v>
      </c>
      <c r="F545" s="109">
        <v>0</v>
      </c>
      <c r="G545" s="109" t="s">
        <v>122</v>
      </c>
      <c r="H545" s="109"/>
      <c r="I545" s="109" t="b">
        <v>0</v>
      </c>
      <c r="J545" s="109" t="b">
        <v>0</v>
      </c>
      <c r="K545" s="109" t="b">
        <v>0</v>
      </c>
      <c r="L545" s="109" t="s">
        <v>175</v>
      </c>
      <c r="M545" s="109" t="s">
        <v>375</v>
      </c>
      <c r="N545" s="109" t="s">
        <v>5440</v>
      </c>
      <c r="O545" s="109" t="s">
        <v>5094</v>
      </c>
      <c r="P545" s="109" t="b">
        <v>0</v>
      </c>
      <c r="Q545" s="109" t="b">
        <v>0</v>
      </c>
    </row>
    <row r="546" spans="1:17">
      <c r="A546" s="130" t="s">
        <v>6343</v>
      </c>
      <c r="B546" s="109"/>
      <c r="C546" s="109"/>
      <c r="D546" s="109">
        <v>0</v>
      </c>
      <c r="E546" s="109">
        <v>0</v>
      </c>
      <c r="F546" s="109">
        <v>0</v>
      </c>
      <c r="G546" s="109" t="s">
        <v>122</v>
      </c>
      <c r="H546" s="109"/>
      <c r="I546" s="109" t="b">
        <v>0</v>
      </c>
      <c r="J546" s="109" t="b">
        <v>0</v>
      </c>
      <c r="K546" s="109" t="b">
        <v>0</v>
      </c>
      <c r="L546" s="109" t="s">
        <v>175</v>
      </c>
      <c r="M546" s="109" t="s">
        <v>375</v>
      </c>
      <c r="N546" s="109" t="s">
        <v>5441</v>
      </c>
      <c r="O546" s="109" t="s">
        <v>5095</v>
      </c>
      <c r="P546" s="109" t="b">
        <v>0</v>
      </c>
      <c r="Q546" s="109" t="b">
        <v>0</v>
      </c>
    </row>
    <row r="547" spans="1:17">
      <c r="A547" s="126"/>
    </row>
    <row r="548" spans="1:17">
      <c r="A548" s="126" t="s">
        <v>6096</v>
      </c>
      <c r="B548" s="113"/>
      <c r="C548" s="113"/>
      <c r="D548" s="113">
        <v>0</v>
      </c>
      <c r="E548" s="113">
        <v>0</v>
      </c>
      <c r="F548" s="113">
        <v>0</v>
      </c>
      <c r="G548" s="113" t="s">
        <v>122</v>
      </c>
      <c r="H548" s="113"/>
      <c r="I548" s="113" t="b">
        <v>0</v>
      </c>
      <c r="J548" s="113" t="b">
        <v>0</v>
      </c>
      <c r="K548" s="113" t="b">
        <v>0</v>
      </c>
      <c r="L548" s="26" t="s">
        <v>161</v>
      </c>
      <c r="M548" s="113" t="s">
        <v>162</v>
      </c>
      <c r="N548" s="113" t="s">
        <v>6097</v>
      </c>
      <c r="O548" s="113" t="s">
        <v>5930</v>
      </c>
      <c r="P548" s="113" t="b">
        <v>0</v>
      </c>
      <c r="Q548" s="113" t="b">
        <v>0</v>
      </c>
    </row>
    <row r="549" spans="1:17">
      <c r="A549" s="126" t="s">
        <v>1622</v>
      </c>
      <c r="B549" s="113"/>
      <c r="C549" s="113"/>
      <c r="D549" s="113">
        <v>0</v>
      </c>
      <c r="E549" s="113">
        <v>0</v>
      </c>
      <c r="F549" s="113">
        <v>0</v>
      </c>
      <c r="G549" s="113" t="s">
        <v>122</v>
      </c>
      <c r="H549" s="113"/>
      <c r="I549" s="113" t="b">
        <v>0</v>
      </c>
      <c r="J549" s="113" t="b">
        <v>0</v>
      </c>
      <c r="K549" s="113" t="b">
        <v>0</v>
      </c>
      <c r="L549" s="26" t="s">
        <v>161</v>
      </c>
      <c r="M549" s="113" t="s">
        <v>162</v>
      </c>
      <c r="N549" s="113" t="s">
        <v>5447</v>
      </c>
      <c r="O549" s="113" t="s">
        <v>5101</v>
      </c>
      <c r="P549" s="113" t="b">
        <v>0</v>
      </c>
      <c r="Q549" s="113" t="b">
        <v>0</v>
      </c>
    </row>
    <row r="550" spans="1:17">
      <c r="A550" s="126" t="s">
        <v>1623</v>
      </c>
      <c r="B550" s="113"/>
      <c r="C550" s="113"/>
      <c r="D550" s="113">
        <v>0</v>
      </c>
      <c r="E550" s="113">
        <v>0</v>
      </c>
      <c r="F550" s="113">
        <v>0</v>
      </c>
      <c r="G550" s="113" t="s">
        <v>122</v>
      </c>
      <c r="H550" s="113"/>
      <c r="I550" s="113" t="b">
        <v>0</v>
      </c>
      <c r="J550" s="113" t="b">
        <v>0</v>
      </c>
      <c r="K550" s="113" t="b">
        <v>0</v>
      </c>
      <c r="L550" s="26" t="s">
        <v>161</v>
      </c>
      <c r="M550" s="113" t="s">
        <v>162</v>
      </c>
      <c r="N550" s="113" t="s">
        <v>5448</v>
      </c>
      <c r="O550" s="113" t="s">
        <v>5102</v>
      </c>
      <c r="P550" s="113" t="b">
        <v>0</v>
      </c>
      <c r="Q550" s="113" t="b">
        <v>0</v>
      </c>
    </row>
    <row r="551" spans="1:17">
      <c r="A551" s="126" t="s">
        <v>1624</v>
      </c>
      <c r="B551" s="113"/>
      <c r="C551" s="113"/>
      <c r="D551" s="113">
        <v>0</v>
      </c>
      <c r="E551" s="113">
        <v>0</v>
      </c>
      <c r="F551" s="113">
        <v>0</v>
      </c>
      <c r="G551" s="113" t="s">
        <v>122</v>
      </c>
      <c r="H551" s="113"/>
      <c r="I551" s="113" t="b">
        <v>0</v>
      </c>
      <c r="J551" s="113" t="b">
        <v>0</v>
      </c>
      <c r="K551" s="113" t="b">
        <v>0</v>
      </c>
      <c r="L551" s="26" t="s">
        <v>161</v>
      </c>
      <c r="M551" s="113" t="s">
        <v>162</v>
      </c>
      <c r="N551" s="113" t="s">
        <v>5449</v>
      </c>
      <c r="O551" s="113" t="s">
        <v>5103</v>
      </c>
      <c r="P551" s="113" t="b">
        <v>0</v>
      </c>
      <c r="Q551" s="113" t="b">
        <v>0</v>
      </c>
    </row>
    <row r="552" spans="1:17">
      <c r="A552" s="126" t="s">
        <v>1625</v>
      </c>
      <c r="B552" s="113"/>
      <c r="C552" s="113"/>
      <c r="D552" s="113">
        <v>0</v>
      </c>
      <c r="E552" s="113">
        <v>0</v>
      </c>
      <c r="F552" s="113">
        <v>0</v>
      </c>
      <c r="G552" s="113" t="s">
        <v>122</v>
      </c>
      <c r="H552" s="113"/>
      <c r="I552" s="113" t="b">
        <v>0</v>
      </c>
      <c r="J552" s="113" t="b">
        <v>0</v>
      </c>
      <c r="K552" s="113" t="b">
        <v>0</v>
      </c>
      <c r="L552" s="26" t="s">
        <v>161</v>
      </c>
      <c r="M552" s="113" t="s">
        <v>162</v>
      </c>
      <c r="N552" s="113" t="s">
        <v>5450</v>
      </c>
      <c r="O552" s="113" t="s">
        <v>5104</v>
      </c>
      <c r="P552" s="113" t="b">
        <v>0</v>
      </c>
      <c r="Q552" s="113" t="b">
        <v>0</v>
      </c>
    </row>
    <row r="553" spans="1:17">
      <c r="A553" s="126" t="s">
        <v>1626</v>
      </c>
      <c r="B553" s="113"/>
      <c r="C553" s="113"/>
      <c r="D553" s="113">
        <v>0</v>
      </c>
      <c r="E553" s="113">
        <v>0</v>
      </c>
      <c r="F553" s="113">
        <v>0</v>
      </c>
      <c r="G553" s="113" t="s">
        <v>122</v>
      </c>
      <c r="H553" s="113"/>
      <c r="I553" s="113" t="b">
        <v>0</v>
      </c>
      <c r="J553" s="113" t="b">
        <v>0</v>
      </c>
      <c r="K553" s="113" t="b">
        <v>0</v>
      </c>
      <c r="L553" s="26" t="s">
        <v>161</v>
      </c>
      <c r="M553" s="113" t="s">
        <v>162</v>
      </c>
      <c r="N553" s="113" t="s">
        <v>5451</v>
      </c>
      <c r="O553" s="113" t="s">
        <v>5105</v>
      </c>
      <c r="P553" s="113" t="b">
        <v>0</v>
      </c>
      <c r="Q553" s="113" t="b">
        <v>0</v>
      </c>
    </row>
    <row r="554" spans="1:17">
      <c r="A554" s="130" t="s">
        <v>7940</v>
      </c>
      <c r="B554" s="109"/>
      <c r="C554" s="109"/>
      <c r="D554" s="109">
        <v>0</v>
      </c>
      <c r="E554" s="109">
        <v>0</v>
      </c>
      <c r="F554" s="109">
        <v>0</v>
      </c>
      <c r="G554" s="109" t="s">
        <v>122</v>
      </c>
      <c r="H554" s="109"/>
      <c r="I554" s="109" t="b">
        <v>0</v>
      </c>
      <c r="J554" s="109" t="b">
        <v>0</v>
      </c>
      <c r="K554" s="109" t="b">
        <v>0</v>
      </c>
      <c r="L554" s="109" t="s">
        <v>175</v>
      </c>
      <c r="M554" s="109" t="s">
        <v>648</v>
      </c>
      <c r="N554" s="109" t="s">
        <v>7941</v>
      </c>
      <c r="O554" s="109" t="s">
        <v>7942</v>
      </c>
      <c r="P554" s="109" t="b">
        <v>0</v>
      </c>
      <c r="Q554" s="109" t="b">
        <v>0</v>
      </c>
    </row>
    <row r="555" spans="1:17">
      <c r="A555" s="130" t="s">
        <v>6098</v>
      </c>
      <c r="B555" s="109"/>
      <c r="C555" s="109"/>
      <c r="D555" s="109">
        <v>0</v>
      </c>
      <c r="E555" s="109">
        <v>0</v>
      </c>
      <c r="F555" s="109">
        <v>0</v>
      </c>
      <c r="G555" s="109" t="s">
        <v>122</v>
      </c>
      <c r="H555" s="109"/>
      <c r="I555" s="109" t="b">
        <v>0</v>
      </c>
      <c r="J555" s="109" t="b">
        <v>0</v>
      </c>
      <c r="K555" s="109" t="b">
        <v>0</v>
      </c>
      <c r="L555" s="109" t="s">
        <v>175</v>
      </c>
      <c r="M555" s="109" t="s">
        <v>648</v>
      </c>
      <c r="N555" s="109" t="s">
        <v>5452</v>
      </c>
      <c r="O555" s="109" t="s">
        <v>5106</v>
      </c>
      <c r="P555" s="109" t="b">
        <v>0</v>
      </c>
      <c r="Q555" s="109" t="b">
        <v>0</v>
      </c>
    </row>
    <row r="556" spans="1:17">
      <c r="A556" s="130" t="s">
        <v>1628</v>
      </c>
      <c r="B556" s="109"/>
      <c r="C556" s="109"/>
      <c r="D556" s="109">
        <v>0</v>
      </c>
      <c r="E556" s="109">
        <v>0</v>
      </c>
      <c r="F556" s="109">
        <v>0</v>
      </c>
      <c r="G556" s="109" t="s">
        <v>122</v>
      </c>
      <c r="H556" s="109"/>
      <c r="I556" s="109" t="b">
        <v>0</v>
      </c>
      <c r="J556" s="109" t="b">
        <v>0</v>
      </c>
      <c r="K556" s="109" t="b">
        <v>0</v>
      </c>
      <c r="L556" s="109" t="s">
        <v>175</v>
      </c>
      <c r="M556" s="109" t="s">
        <v>648</v>
      </c>
      <c r="N556" s="109" t="s">
        <v>3303</v>
      </c>
      <c r="O556" s="109" t="s">
        <v>3307</v>
      </c>
      <c r="P556" s="109" t="b">
        <v>0</v>
      </c>
      <c r="Q556" s="109" t="b">
        <v>0</v>
      </c>
    </row>
    <row r="557" spans="1:17">
      <c r="A557" s="130" t="s">
        <v>1629</v>
      </c>
      <c r="B557" s="109"/>
      <c r="C557" s="109"/>
      <c r="D557" s="109">
        <v>0</v>
      </c>
      <c r="E557" s="109">
        <v>0</v>
      </c>
      <c r="F557" s="109">
        <v>0</v>
      </c>
      <c r="G557" s="109" t="s">
        <v>122</v>
      </c>
      <c r="H557" s="109"/>
      <c r="I557" s="109" t="b">
        <v>0</v>
      </c>
      <c r="J557" s="109" t="b">
        <v>0</v>
      </c>
      <c r="K557" s="109" t="b">
        <v>0</v>
      </c>
      <c r="L557" s="109" t="s">
        <v>175</v>
      </c>
      <c r="M557" s="109" t="s">
        <v>648</v>
      </c>
      <c r="N557" s="109" t="s">
        <v>3304</v>
      </c>
      <c r="O557" s="109" t="s">
        <v>3308</v>
      </c>
      <c r="P557" s="109" t="b">
        <v>0</v>
      </c>
      <c r="Q557" s="109" t="b">
        <v>0</v>
      </c>
    </row>
    <row r="558" spans="1:17">
      <c r="A558" s="130" t="s">
        <v>1630</v>
      </c>
      <c r="B558" s="109"/>
      <c r="C558" s="109"/>
      <c r="D558" s="109">
        <v>0</v>
      </c>
      <c r="E558" s="109">
        <v>0</v>
      </c>
      <c r="F558" s="109">
        <v>0</v>
      </c>
      <c r="G558" s="109" t="s">
        <v>122</v>
      </c>
      <c r="H558" s="109"/>
      <c r="I558" s="109" t="b">
        <v>0</v>
      </c>
      <c r="J558" s="109" t="b">
        <v>0</v>
      </c>
      <c r="K558" s="109" t="b">
        <v>0</v>
      </c>
      <c r="L558" s="109" t="s">
        <v>175</v>
      </c>
      <c r="M558" s="109" t="s">
        <v>648</v>
      </c>
      <c r="N558" s="109" t="s">
        <v>3305</v>
      </c>
      <c r="O558" s="109" t="s">
        <v>3309</v>
      </c>
      <c r="P558" s="109" t="b">
        <v>0</v>
      </c>
      <c r="Q558" s="109" t="b">
        <v>0</v>
      </c>
    </row>
    <row r="559" spans="1:17">
      <c r="A559" s="130" t="s">
        <v>1631</v>
      </c>
      <c r="B559" s="109"/>
      <c r="C559" s="109"/>
      <c r="D559" s="109">
        <v>0</v>
      </c>
      <c r="E559" s="109">
        <v>0</v>
      </c>
      <c r="F559" s="109">
        <v>0</v>
      </c>
      <c r="G559" s="109" t="s">
        <v>122</v>
      </c>
      <c r="H559" s="109"/>
      <c r="I559" s="109" t="b">
        <v>0</v>
      </c>
      <c r="J559" s="109" t="b">
        <v>0</v>
      </c>
      <c r="K559" s="109" t="b">
        <v>0</v>
      </c>
      <c r="L559" s="109" t="s">
        <v>175</v>
      </c>
      <c r="M559" s="109" t="s">
        <v>648</v>
      </c>
      <c r="N559" s="109" t="s">
        <v>3306</v>
      </c>
      <c r="O559" s="109" t="s">
        <v>3310</v>
      </c>
      <c r="P559" s="109" t="b">
        <v>0</v>
      </c>
      <c r="Q559" s="109" t="b">
        <v>0</v>
      </c>
    </row>
    <row r="560" spans="1:17">
      <c r="A560" s="130" t="s">
        <v>5759</v>
      </c>
      <c r="B560" s="109"/>
      <c r="C560" s="109"/>
      <c r="D560" s="109">
        <v>0</v>
      </c>
      <c r="E560" s="109">
        <v>0</v>
      </c>
      <c r="F560" s="109">
        <v>0</v>
      </c>
      <c r="G560" s="109" t="s">
        <v>122</v>
      </c>
      <c r="H560" s="109"/>
      <c r="I560" s="109" t="b">
        <v>0</v>
      </c>
      <c r="J560" s="109" t="b">
        <v>0</v>
      </c>
      <c r="K560" s="109" t="b">
        <v>0</v>
      </c>
      <c r="L560" s="109" t="s">
        <v>175</v>
      </c>
      <c r="M560" s="109" t="s">
        <v>648</v>
      </c>
      <c r="N560" s="109" t="s">
        <v>5452</v>
      </c>
      <c r="O560" s="109" t="s">
        <v>5106</v>
      </c>
      <c r="P560" s="109" t="b">
        <v>0</v>
      </c>
      <c r="Q560" s="109" t="b">
        <v>0</v>
      </c>
    </row>
    <row r="561" spans="1:17">
      <c r="A561" s="130" t="s">
        <v>5760</v>
      </c>
      <c r="B561" s="109"/>
      <c r="C561" s="109"/>
      <c r="D561" s="109">
        <v>0</v>
      </c>
      <c r="E561" s="109">
        <v>0</v>
      </c>
      <c r="F561" s="109">
        <v>0</v>
      </c>
      <c r="G561" s="109" t="s">
        <v>122</v>
      </c>
      <c r="H561" s="109"/>
      <c r="I561" s="109" t="b">
        <v>0</v>
      </c>
      <c r="J561" s="109" t="b">
        <v>0</v>
      </c>
      <c r="K561" s="109" t="b">
        <v>0</v>
      </c>
      <c r="L561" s="109" t="s">
        <v>175</v>
      </c>
      <c r="M561" s="109" t="s">
        <v>648</v>
      </c>
      <c r="N561" s="109" t="s">
        <v>3303</v>
      </c>
      <c r="O561" s="109" t="s">
        <v>3307</v>
      </c>
      <c r="P561" s="109" t="b">
        <v>0</v>
      </c>
      <c r="Q561" s="109" t="b">
        <v>0</v>
      </c>
    </row>
    <row r="562" spans="1:17">
      <c r="A562" s="130" t="s">
        <v>5761</v>
      </c>
      <c r="B562" s="109"/>
      <c r="C562" s="109"/>
      <c r="D562" s="109">
        <v>0</v>
      </c>
      <c r="E562" s="109">
        <v>0</v>
      </c>
      <c r="F562" s="109">
        <v>0</v>
      </c>
      <c r="G562" s="109" t="s">
        <v>122</v>
      </c>
      <c r="H562" s="109"/>
      <c r="I562" s="109" t="b">
        <v>0</v>
      </c>
      <c r="J562" s="109" t="b">
        <v>0</v>
      </c>
      <c r="K562" s="109" t="b">
        <v>0</v>
      </c>
      <c r="L562" s="109" t="s">
        <v>175</v>
      </c>
      <c r="M562" s="109" t="s">
        <v>648</v>
      </c>
      <c r="N562" s="109" t="s">
        <v>3304</v>
      </c>
      <c r="O562" s="109" t="s">
        <v>3308</v>
      </c>
      <c r="P562" s="109" t="b">
        <v>0</v>
      </c>
      <c r="Q562" s="109" t="b">
        <v>0</v>
      </c>
    </row>
    <row r="563" spans="1:17">
      <c r="A563" s="130" t="s">
        <v>5762</v>
      </c>
      <c r="B563" s="109"/>
      <c r="C563" s="109"/>
      <c r="D563" s="109">
        <v>0</v>
      </c>
      <c r="E563" s="109">
        <v>0</v>
      </c>
      <c r="F563" s="109">
        <v>0</v>
      </c>
      <c r="G563" s="109" t="s">
        <v>122</v>
      </c>
      <c r="H563" s="109"/>
      <c r="I563" s="109" t="b">
        <v>0</v>
      </c>
      <c r="J563" s="109" t="b">
        <v>0</v>
      </c>
      <c r="K563" s="109" t="b">
        <v>0</v>
      </c>
      <c r="L563" s="109" t="s">
        <v>175</v>
      </c>
      <c r="M563" s="109" t="s">
        <v>648</v>
      </c>
      <c r="N563" s="109" t="s">
        <v>3305</v>
      </c>
      <c r="O563" s="109" t="s">
        <v>3309</v>
      </c>
      <c r="P563" s="109" t="b">
        <v>0</v>
      </c>
      <c r="Q563" s="109" t="b">
        <v>0</v>
      </c>
    </row>
    <row r="564" spans="1:17">
      <c r="A564" s="130" t="s">
        <v>5763</v>
      </c>
      <c r="B564" s="109"/>
      <c r="C564" s="109"/>
      <c r="D564" s="109">
        <v>0</v>
      </c>
      <c r="E564" s="109">
        <v>0</v>
      </c>
      <c r="F564" s="109">
        <v>0</v>
      </c>
      <c r="G564" s="109" t="s">
        <v>122</v>
      </c>
      <c r="H564" s="109"/>
      <c r="I564" s="109" t="b">
        <v>0</v>
      </c>
      <c r="J564" s="109" t="b">
        <v>0</v>
      </c>
      <c r="K564" s="109" t="b">
        <v>0</v>
      </c>
      <c r="L564" s="109" t="s">
        <v>175</v>
      </c>
      <c r="M564" s="109" t="s">
        <v>648</v>
      </c>
      <c r="N564" s="109" t="s">
        <v>3306</v>
      </c>
      <c r="O564" s="109" t="s">
        <v>3310</v>
      </c>
      <c r="P564" s="109" t="b">
        <v>0</v>
      </c>
      <c r="Q564" s="109" t="b">
        <v>0</v>
      </c>
    </row>
    <row r="565" spans="1:17">
      <c r="A565" s="126" t="s">
        <v>6099</v>
      </c>
      <c r="B565" s="113"/>
      <c r="C565" s="113"/>
      <c r="D565" s="113">
        <v>0</v>
      </c>
      <c r="E565" s="113">
        <v>0</v>
      </c>
      <c r="F565" s="113">
        <v>0</v>
      </c>
      <c r="G565" s="113" t="s">
        <v>122</v>
      </c>
      <c r="H565" s="113"/>
      <c r="I565" s="113" t="b">
        <v>0</v>
      </c>
      <c r="J565" s="113" t="b">
        <v>0</v>
      </c>
      <c r="K565" s="113" t="b">
        <v>0</v>
      </c>
      <c r="L565" s="26" t="s">
        <v>165</v>
      </c>
      <c r="M565" s="113" t="s">
        <v>166</v>
      </c>
      <c r="N565" s="113" t="s">
        <v>623</v>
      </c>
      <c r="O565" s="113" t="s">
        <v>1183</v>
      </c>
      <c r="P565" s="113" t="b">
        <v>0</v>
      </c>
      <c r="Q565" s="113" t="b">
        <v>0</v>
      </c>
    </row>
    <row r="566" spans="1:17">
      <c r="A566" s="126" t="s">
        <v>6100</v>
      </c>
      <c r="B566" s="113"/>
      <c r="C566" s="113"/>
      <c r="D566" s="113">
        <v>0</v>
      </c>
      <c r="E566" s="113">
        <v>0</v>
      </c>
      <c r="F566" s="113">
        <v>0</v>
      </c>
      <c r="G566" s="113" t="s">
        <v>122</v>
      </c>
      <c r="H566" s="113"/>
      <c r="I566" s="113" t="b">
        <v>0</v>
      </c>
      <c r="J566" s="113" t="b">
        <v>0</v>
      </c>
      <c r="K566" s="113" t="b">
        <v>0</v>
      </c>
      <c r="L566" s="26" t="s">
        <v>165</v>
      </c>
      <c r="M566" s="113" t="s">
        <v>166</v>
      </c>
      <c r="N566" s="113" t="s">
        <v>3315</v>
      </c>
      <c r="O566" s="113" t="s">
        <v>3320</v>
      </c>
      <c r="P566" s="113" t="b">
        <v>0</v>
      </c>
      <c r="Q566" s="113" t="b">
        <v>0</v>
      </c>
    </row>
    <row r="567" spans="1:17">
      <c r="A567" s="53" t="s">
        <v>1633</v>
      </c>
      <c r="B567" s="113"/>
      <c r="C567" s="113"/>
      <c r="D567" s="113">
        <v>0</v>
      </c>
      <c r="E567" s="113">
        <v>0</v>
      </c>
      <c r="F567" s="113">
        <v>0</v>
      </c>
      <c r="G567" s="113" t="s">
        <v>122</v>
      </c>
      <c r="H567" s="113"/>
      <c r="I567" s="113" t="b">
        <v>0</v>
      </c>
      <c r="J567" s="113" t="b">
        <v>0</v>
      </c>
      <c r="K567" s="113" t="b">
        <v>0</v>
      </c>
      <c r="L567" s="26" t="s">
        <v>165</v>
      </c>
      <c r="M567" s="113" t="s">
        <v>166</v>
      </c>
      <c r="N567" s="113" t="s">
        <v>3311</v>
      </c>
      <c r="O567" s="113" t="s">
        <v>3316</v>
      </c>
      <c r="P567" s="113" t="b">
        <v>0</v>
      </c>
      <c r="Q567" s="113" t="b">
        <v>0</v>
      </c>
    </row>
    <row r="568" spans="1:17">
      <c r="A568" s="126" t="s">
        <v>1634</v>
      </c>
      <c r="B568" s="113"/>
      <c r="C568" s="113"/>
      <c r="D568" s="113">
        <v>0</v>
      </c>
      <c r="E568" s="113">
        <v>0</v>
      </c>
      <c r="F568" s="113">
        <v>0</v>
      </c>
      <c r="G568" s="113" t="s">
        <v>122</v>
      </c>
      <c r="H568" s="113"/>
      <c r="I568" s="113" t="b">
        <v>0</v>
      </c>
      <c r="J568" s="113" t="b">
        <v>0</v>
      </c>
      <c r="K568" s="113" t="b">
        <v>0</v>
      </c>
      <c r="L568" s="26" t="s">
        <v>165</v>
      </c>
      <c r="M568" s="113" t="s">
        <v>166</v>
      </c>
      <c r="N568" s="113" t="s">
        <v>3312</v>
      </c>
      <c r="O568" s="113" t="s">
        <v>3317</v>
      </c>
      <c r="P568" s="113" t="b">
        <v>0</v>
      </c>
      <c r="Q568" s="113" t="b">
        <v>0</v>
      </c>
    </row>
    <row r="569" spans="1:17">
      <c r="A569" s="126" t="s">
        <v>1635</v>
      </c>
      <c r="B569" s="113"/>
      <c r="C569" s="113"/>
      <c r="D569" s="113">
        <v>0</v>
      </c>
      <c r="E569" s="113">
        <v>0</v>
      </c>
      <c r="F569" s="113">
        <v>0</v>
      </c>
      <c r="G569" s="113" t="s">
        <v>122</v>
      </c>
      <c r="H569" s="113"/>
      <c r="I569" s="113" t="b">
        <v>0</v>
      </c>
      <c r="J569" s="113" t="b">
        <v>0</v>
      </c>
      <c r="K569" s="113" t="b">
        <v>0</v>
      </c>
      <c r="L569" s="26" t="s">
        <v>165</v>
      </c>
      <c r="M569" s="113" t="s">
        <v>166</v>
      </c>
      <c r="N569" s="113" t="s">
        <v>3313</v>
      </c>
      <c r="O569" s="113" t="s">
        <v>3318</v>
      </c>
      <c r="P569" s="113" t="b">
        <v>0</v>
      </c>
      <c r="Q569" s="113" t="b">
        <v>0</v>
      </c>
    </row>
    <row r="570" spans="1:17">
      <c r="A570" s="126" t="s">
        <v>1636</v>
      </c>
      <c r="B570" s="113"/>
      <c r="C570" s="113"/>
      <c r="D570" s="113">
        <v>0</v>
      </c>
      <c r="E570" s="113">
        <v>0</v>
      </c>
      <c r="F570" s="113">
        <v>0</v>
      </c>
      <c r="G570" s="113" t="s">
        <v>122</v>
      </c>
      <c r="H570" s="113"/>
      <c r="I570" s="113" t="b">
        <v>0</v>
      </c>
      <c r="J570" s="113" t="b">
        <v>0</v>
      </c>
      <c r="K570" s="113" t="b">
        <v>0</v>
      </c>
      <c r="L570" s="26" t="s">
        <v>165</v>
      </c>
      <c r="M570" s="113" t="s">
        <v>166</v>
      </c>
      <c r="N570" s="113" t="s">
        <v>3314</v>
      </c>
      <c r="O570" s="113" t="s">
        <v>3319</v>
      </c>
      <c r="P570" s="113" t="b">
        <v>0</v>
      </c>
      <c r="Q570" s="113" t="b">
        <v>0</v>
      </c>
    </row>
    <row r="571" spans="1:17">
      <c r="A571" s="126" t="s">
        <v>8522</v>
      </c>
      <c r="B571" s="113"/>
      <c r="C571" s="113"/>
      <c r="D571" s="113">
        <v>0</v>
      </c>
      <c r="E571" s="113">
        <v>0</v>
      </c>
      <c r="F571" s="113">
        <v>0</v>
      </c>
      <c r="G571" s="113" t="s">
        <v>122</v>
      </c>
      <c r="H571" s="113"/>
      <c r="I571" s="113" t="b">
        <v>0</v>
      </c>
      <c r="J571" s="113" t="b">
        <v>0</v>
      </c>
      <c r="K571" s="113" t="b">
        <v>0</v>
      </c>
      <c r="L571" s="26" t="s">
        <v>165</v>
      </c>
      <c r="M571" s="113" t="s">
        <v>166</v>
      </c>
      <c r="N571" s="113" t="s">
        <v>8534</v>
      </c>
      <c r="O571" s="113" t="s">
        <v>8535</v>
      </c>
      <c r="P571" s="113" t="b">
        <v>0</v>
      </c>
      <c r="Q571" s="113" t="b">
        <v>0</v>
      </c>
    </row>
    <row r="572" spans="1:17">
      <c r="A572" s="126" t="s">
        <v>8523</v>
      </c>
      <c r="B572" s="113"/>
      <c r="C572" s="113"/>
      <c r="D572" s="113">
        <v>0</v>
      </c>
      <c r="E572" s="113">
        <v>0</v>
      </c>
      <c r="F572" s="113">
        <v>0</v>
      </c>
      <c r="G572" s="113" t="s">
        <v>122</v>
      </c>
      <c r="H572" s="113"/>
      <c r="I572" s="113" t="b">
        <v>0</v>
      </c>
      <c r="J572" s="113" t="b">
        <v>0</v>
      </c>
      <c r="K572" s="113" t="b">
        <v>0</v>
      </c>
      <c r="L572" s="26" t="s">
        <v>165</v>
      </c>
      <c r="M572" s="113" t="s">
        <v>166</v>
      </c>
      <c r="N572" s="113" t="s">
        <v>8536</v>
      </c>
      <c r="O572" s="113" t="s">
        <v>8537</v>
      </c>
      <c r="P572" s="113" t="b">
        <v>0</v>
      </c>
      <c r="Q572" s="113" t="b">
        <v>0</v>
      </c>
    </row>
    <row r="573" spans="1:17">
      <c r="A573" s="126" t="s">
        <v>8524</v>
      </c>
      <c r="B573" s="113"/>
      <c r="C573" s="113"/>
      <c r="D573" s="113">
        <v>0</v>
      </c>
      <c r="E573" s="113">
        <v>0</v>
      </c>
      <c r="F573" s="113">
        <v>0</v>
      </c>
      <c r="G573" s="113" t="s">
        <v>122</v>
      </c>
      <c r="H573" s="113"/>
      <c r="I573" s="113" t="b">
        <v>0</v>
      </c>
      <c r="J573" s="113" t="b">
        <v>0</v>
      </c>
      <c r="K573" s="113" t="b">
        <v>0</v>
      </c>
      <c r="L573" s="26" t="s">
        <v>165</v>
      </c>
      <c r="M573" s="113" t="s">
        <v>166</v>
      </c>
      <c r="N573" s="113" t="s">
        <v>8538</v>
      </c>
      <c r="O573" s="113" t="s">
        <v>8539</v>
      </c>
      <c r="P573" s="113" t="b">
        <v>0</v>
      </c>
      <c r="Q573" s="113" t="b">
        <v>0</v>
      </c>
    </row>
    <row r="574" spans="1:17">
      <c r="A574" s="126" t="s">
        <v>8525</v>
      </c>
      <c r="B574" s="113"/>
      <c r="C574" s="113"/>
      <c r="D574" s="113">
        <v>0</v>
      </c>
      <c r="E574" s="113">
        <v>0</v>
      </c>
      <c r="F574" s="113">
        <v>0</v>
      </c>
      <c r="G574" s="113" t="s">
        <v>122</v>
      </c>
      <c r="H574" s="113"/>
      <c r="I574" s="113" t="b">
        <v>0</v>
      </c>
      <c r="J574" s="113" t="b">
        <v>0</v>
      </c>
      <c r="K574" s="113" t="b">
        <v>0</v>
      </c>
      <c r="L574" s="26" t="s">
        <v>165</v>
      </c>
      <c r="M574" s="113" t="s">
        <v>166</v>
      </c>
      <c r="N574" s="113" t="s">
        <v>8540</v>
      </c>
      <c r="O574" s="113" t="s">
        <v>8541</v>
      </c>
      <c r="P574" s="113" t="b">
        <v>0</v>
      </c>
      <c r="Q574" s="113" t="b">
        <v>0</v>
      </c>
    </row>
    <row r="575" spans="1:17">
      <c r="A575" s="126" t="s">
        <v>8526</v>
      </c>
      <c r="B575" s="113"/>
      <c r="C575" s="113"/>
      <c r="D575" s="113">
        <v>0</v>
      </c>
      <c r="E575" s="113">
        <v>0</v>
      </c>
      <c r="F575" s="113">
        <v>0</v>
      </c>
      <c r="G575" s="113" t="s">
        <v>122</v>
      </c>
      <c r="H575" s="113"/>
      <c r="I575" s="113" t="b">
        <v>0</v>
      </c>
      <c r="J575" s="113" t="b">
        <v>0</v>
      </c>
      <c r="K575" s="113" t="b">
        <v>0</v>
      </c>
      <c r="L575" s="26" t="s">
        <v>165</v>
      </c>
      <c r="M575" s="113" t="s">
        <v>166</v>
      </c>
      <c r="N575" s="113" t="s">
        <v>8542</v>
      </c>
      <c r="O575" s="113" t="s">
        <v>8543</v>
      </c>
      <c r="P575" s="113" t="b">
        <v>0</v>
      </c>
      <c r="Q575" s="113" t="b">
        <v>0</v>
      </c>
    </row>
    <row r="576" spans="1:17">
      <c r="A576" s="126" t="s">
        <v>8527</v>
      </c>
      <c r="B576" s="113"/>
      <c r="C576" s="113"/>
      <c r="D576" s="113">
        <v>0</v>
      </c>
      <c r="E576" s="113">
        <v>0</v>
      </c>
      <c r="F576" s="113">
        <v>0</v>
      </c>
      <c r="G576" s="113" t="s">
        <v>122</v>
      </c>
      <c r="H576" s="113"/>
      <c r="I576" s="113" t="b">
        <v>0</v>
      </c>
      <c r="J576" s="113" t="b">
        <v>0</v>
      </c>
      <c r="K576" s="113" t="b">
        <v>0</v>
      </c>
      <c r="L576" s="26" t="s">
        <v>165</v>
      </c>
      <c r="M576" s="113" t="s">
        <v>166</v>
      </c>
      <c r="N576" s="113" t="s">
        <v>8544</v>
      </c>
      <c r="O576" s="113" t="s">
        <v>8545</v>
      </c>
      <c r="P576" s="113" t="b">
        <v>0</v>
      </c>
      <c r="Q576" s="113" t="b">
        <v>0</v>
      </c>
    </row>
    <row r="577" spans="1:17">
      <c r="A577" s="126" t="s">
        <v>8528</v>
      </c>
      <c r="B577" s="113"/>
      <c r="C577" s="113"/>
      <c r="D577" s="113">
        <v>0</v>
      </c>
      <c r="E577" s="113">
        <v>0</v>
      </c>
      <c r="F577" s="113">
        <v>0</v>
      </c>
      <c r="G577" s="113" t="s">
        <v>122</v>
      </c>
      <c r="H577" s="113"/>
      <c r="I577" s="113" t="b">
        <v>0</v>
      </c>
      <c r="J577" s="113" t="b">
        <v>0</v>
      </c>
      <c r="K577" s="113" t="b">
        <v>0</v>
      </c>
      <c r="L577" s="26" t="s">
        <v>165</v>
      </c>
      <c r="M577" s="113" t="s">
        <v>166</v>
      </c>
      <c r="N577" s="113" t="s">
        <v>8546</v>
      </c>
      <c r="O577" s="113" t="s">
        <v>8547</v>
      </c>
      <c r="P577" s="113" t="b">
        <v>0</v>
      </c>
      <c r="Q577" s="113" t="b">
        <v>0</v>
      </c>
    </row>
    <row r="578" spans="1:17">
      <c r="A578" s="126" t="s">
        <v>8529</v>
      </c>
      <c r="B578" s="113"/>
      <c r="C578" s="113"/>
      <c r="D578" s="113">
        <v>0</v>
      </c>
      <c r="E578" s="113">
        <v>0</v>
      </c>
      <c r="F578" s="113">
        <v>0</v>
      </c>
      <c r="G578" s="113" t="s">
        <v>122</v>
      </c>
      <c r="H578" s="113"/>
      <c r="I578" s="113" t="b">
        <v>0</v>
      </c>
      <c r="J578" s="113" t="b">
        <v>0</v>
      </c>
      <c r="K578" s="113" t="b">
        <v>0</v>
      </c>
      <c r="L578" s="26" t="s">
        <v>165</v>
      </c>
      <c r="M578" s="113" t="s">
        <v>166</v>
      </c>
      <c r="N578" s="113" t="s">
        <v>8548</v>
      </c>
      <c r="O578" s="113" t="s">
        <v>8549</v>
      </c>
      <c r="P578" s="113" t="b">
        <v>0</v>
      </c>
      <c r="Q578" s="113" t="b">
        <v>0</v>
      </c>
    </row>
    <row r="579" spans="1:17">
      <c r="A579" s="126" t="s">
        <v>8530</v>
      </c>
      <c r="B579" s="113"/>
      <c r="C579" s="113"/>
      <c r="D579" s="113">
        <v>0</v>
      </c>
      <c r="E579" s="113">
        <v>0</v>
      </c>
      <c r="F579" s="113">
        <v>0</v>
      </c>
      <c r="G579" s="113" t="s">
        <v>122</v>
      </c>
      <c r="H579" s="113"/>
      <c r="I579" s="113" t="b">
        <v>0</v>
      </c>
      <c r="J579" s="113" t="b">
        <v>0</v>
      </c>
      <c r="K579" s="113" t="b">
        <v>0</v>
      </c>
      <c r="L579" s="26" t="s">
        <v>165</v>
      </c>
      <c r="M579" s="113" t="s">
        <v>166</v>
      </c>
      <c r="N579" s="113" t="s">
        <v>8550</v>
      </c>
      <c r="O579" s="113" t="s">
        <v>8551</v>
      </c>
      <c r="P579" s="113" t="b">
        <v>0</v>
      </c>
      <c r="Q579" s="113" t="b">
        <v>0</v>
      </c>
    </row>
    <row r="580" spans="1:17">
      <c r="A580" s="126" t="s">
        <v>8531</v>
      </c>
      <c r="B580" s="113"/>
      <c r="C580" s="113"/>
      <c r="D580" s="113">
        <v>0</v>
      </c>
      <c r="E580" s="113">
        <v>0</v>
      </c>
      <c r="F580" s="113">
        <v>0</v>
      </c>
      <c r="G580" s="113" t="s">
        <v>122</v>
      </c>
      <c r="H580" s="113"/>
      <c r="I580" s="113" t="b">
        <v>0</v>
      </c>
      <c r="J580" s="113" t="b">
        <v>0</v>
      </c>
      <c r="K580" s="113" t="b">
        <v>0</v>
      </c>
      <c r="L580" s="26" t="s">
        <v>165</v>
      </c>
      <c r="M580" s="113" t="s">
        <v>166</v>
      </c>
      <c r="N580" s="113" t="s">
        <v>8552</v>
      </c>
      <c r="O580" s="113" t="s">
        <v>8553</v>
      </c>
      <c r="P580" s="113" t="b">
        <v>0</v>
      </c>
      <c r="Q580" s="113" t="b">
        <v>0</v>
      </c>
    </row>
    <row r="581" spans="1:17">
      <c r="A581" s="130" t="s">
        <v>6101</v>
      </c>
      <c r="B581" s="109"/>
      <c r="C581" s="109"/>
      <c r="D581" s="109">
        <v>0</v>
      </c>
      <c r="E581" s="109">
        <v>0</v>
      </c>
      <c r="F581" s="109">
        <v>0</v>
      </c>
      <c r="G581" s="109" t="s">
        <v>122</v>
      </c>
      <c r="H581" s="109"/>
      <c r="I581" s="109" t="b">
        <v>0</v>
      </c>
      <c r="J581" s="109" t="b">
        <v>0</v>
      </c>
      <c r="K581" s="109" t="b">
        <v>0</v>
      </c>
      <c r="L581" s="26" t="s">
        <v>168</v>
      </c>
      <c r="M581" s="109" t="s">
        <v>169</v>
      </c>
      <c r="N581" s="109" t="s">
        <v>170</v>
      </c>
      <c r="O581" s="109" t="s">
        <v>1184</v>
      </c>
      <c r="P581" s="109" t="b">
        <v>0</v>
      </c>
      <c r="Q581" s="109" t="b">
        <v>0</v>
      </c>
    </row>
    <row r="582" spans="1:17">
      <c r="A582" s="130" t="s">
        <v>1620</v>
      </c>
      <c r="B582" s="109"/>
      <c r="C582" s="109"/>
      <c r="D582" s="109">
        <v>0</v>
      </c>
      <c r="E582" s="109">
        <v>0</v>
      </c>
      <c r="F582" s="109">
        <v>0</v>
      </c>
      <c r="G582" s="109" t="s">
        <v>122</v>
      </c>
      <c r="H582" s="109"/>
      <c r="I582" s="109" t="b">
        <v>0</v>
      </c>
      <c r="J582" s="109" t="b">
        <v>0</v>
      </c>
      <c r="K582" s="109" t="b">
        <v>0</v>
      </c>
      <c r="L582" s="26" t="s">
        <v>168</v>
      </c>
      <c r="M582" s="109" t="s">
        <v>169</v>
      </c>
      <c r="N582" s="109" t="s">
        <v>5453</v>
      </c>
      <c r="O582" s="109" t="s">
        <v>5107</v>
      </c>
      <c r="P582" s="109" t="b">
        <v>0</v>
      </c>
      <c r="Q582" s="109" t="b">
        <v>0</v>
      </c>
    </row>
    <row r="583" spans="1:17">
      <c r="A583" s="130" t="s">
        <v>1637</v>
      </c>
      <c r="B583" s="109"/>
      <c r="C583" s="109"/>
      <c r="D583" s="109">
        <v>0</v>
      </c>
      <c r="E583" s="109">
        <v>0</v>
      </c>
      <c r="F583" s="109">
        <v>0</v>
      </c>
      <c r="G583" s="109" t="s">
        <v>122</v>
      </c>
      <c r="H583" s="109"/>
      <c r="I583" s="109" t="b">
        <v>0</v>
      </c>
      <c r="J583" s="109" t="b">
        <v>0</v>
      </c>
      <c r="K583" s="109" t="b">
        <v>0</v>
      </c>
      <c r="L583" s="26" t="s">
        <v>168</v>
      </c>
      <c r="M583" s="109" t="s">
        <v>169</v>
      </c>
      <c r="N583" s="109" t="s">
        <v>5454</v>
      </c>
      <c r="O583" s="109" t="s">
        <v>5108</v>
      </c>
      <c r="P583" s="109" t="b">
        <v>0</v>
      </c>
      <c r="Q583" s="109" t="b">
        <v>0</v>
      </c>
    </row>
    <row r="584" spans="1:17">
      <c r="A584" s="130" t="s">
        <v>1638</v>
      </c>
      <c r="B584" s="109"/>
      <c r="C584" s="109"/>
      <c r="D584" s="109">
        <v>0</v>
      </c>
      <c r="E584" s="109">
        <v>0</v>
      </c>
      <c r="F584" s="109">
        <v>0</v>
      </c>
      <c r="G584" s="109" t="s">
        <v>122</v>
      </c>
      <c r="H584" s="109"/>
      <c r="I584" s="109" t="b">
        <v>0</v>
      </c>
      <c r="J584" s="109" t="b">
        <v>0</v>
      </c>
      <c r="K584" s="109" t="b">
        <v>0</v>
      </c>
      <c r="L584" s="26" t="s">
        <v>168</v>
      </c>
      <c r="M584" s="109" t="s">
        <v>169</v>
      </c>
      <c r="N584" s="109" t="s">
        <v>5455</v>
      </c>
      <c r="O584" s="109" t="s">
        <v>5109</v>
      </c>
      <c r="P584" s="109" t="b">
        <v>0</v>
      </c>
      <c r="Q584" s="109" t="b">
        <v>0</v>
      </c>
    </row>
    <row r="585" spans="1:17">
      <c r="A585" s="130" t="s">
        <v>1639</v>
      </c>
      <c r="B585" s="109"/>
      <c r="C585" s="109"/>
      <c r="D585" s="109">
        <v>0</v>
      </c>
      <c r="E585" s="109">
        <v>0</v>
      </c>
      <c r="F585" s="109">
        <v>0</v>
      </c>
      <c r="G585" s="109" t="s">
        <v>122</v>
      </c>
      <c r="H585" s="109"/>
      <c r="I585" s="109" t="b">
        <v>0</v>
      </c>
      <c r="J585" s="109" t="b">
        <v>0</v>
      </c>
      <c r="K585" s="109" t="b">
        <v>0</v>
      </c>
      <c r="L585" s="26" t="s">
        <v>168</v>
      </c>
      <c r="M585" s="109" t="s">
        <v>169</v>
      </c>
      <c r="N585" s="109" t="s">
        <v>5456</v>
      </c>
      <c r="O585" s="109" t="s">
        <v>5110</v>
      </c>
      <c r="P585" s="109" t="b">
        <v>0</v>
      </c>
      <c r="Q585" s="109" t="b">
        <v>0</v>
      </c>
    </row>
    <row r="586" spans="1:17">
      <c r="A586" s="130" t="s">
        <v>1640</v>
      </c>
      <c r="B586" s="109"/>
      <c r="C586" s="109"/>
      <c r="D586" s="109">
        <v>0</v>
      </c>
      <c r="E586" s="109">
        <v>0</v>
      </c>
      <c r="F586" s="109">
        <v>0</v>
      </c>
      <c r="G586" s="109" t="s">
        <v>122</v>
      </c>
      <c r="H586" s="109"/>
      <c r="I586" s="109" t="b">
        <v>0</v>
      </c>
      <c r="J586" s="109" t="b">
        <v>0</v>
      </c>
      <c r="K586" s="109" t="b">
        <v>0</v>
      </c>
      <c r="L586" s="26" t="s">
        <v>168</v>
      </c>
      <c r="M586" s="109" t="s">
        <v>169</v>
      </c>
      <c r="N586" s="109" t="s">
        <v>5457</v>
      </c>
      <c r="O586" s="109" t="s">
        <v>5111</v>
      </c>
      <c r="P586" s="109" t="b">
        <v>0</v>
      </c>
      <c r="Q586" s="109" t="b">
        <v>0</v>
      </c>
    </row>
    <row r="587" spans="1:17">
      <c r="A587" s="126" t="s">
        <v>6102</v>
      </c>
      <c r="B587" s="113"/>
      <c r="C587" s="113"/>
      <c r="D587" s="113">
        <v>0</v>
      </c>
      <c r="E587" s="113">
        <v>0</v>
      </c>
      <c r="F587" s="113">
        <v>0</v>
      </c>
      <c r="G587" s="113" t="s">
        <v>122</v>
      </c>
      <c r="H587" s="113"/>
      <c r="I587" s="113" t="b">
        <v>0</v>
      </c>
      <c r="J587" s="113" t="b">
        <v>0</v>
      </c>
      <c r="K587" s="113" t="b">
        <v>0</v>
      </c>
      <c r="L587" s="23" t="s">
        <v>6103</v>
      </c>
      <c r="M587" s="113" t="s">
        <v>444</v>
      </c>
      <c r="N587" s="113" t="s">
        <v>6104</v>
      </c>
      <c r="O587" s="113" t="s">
        <v>6105</v>
      </c>
      <c r="P587" s="113" t="b">
        <v>0</v>
      </c>
      <c r="Q587" s="113" t="b">
        <v>0</v>
      </c>
    </row>
    <row r="588" spans="1:17">
      <c r="A588" s="126" t="s">
        <v>6106</v>
      </c>
      <c r="B588" s="113"/>
      <c r="C588" s="113"/>
      <c r="D588" s="113">
        <v>0</v>
      </c>
      <c r="E588" s="113">
        <v>0</v>
      </c>
      <c r="F588" s="113">
        <v>0</v>
      </c>
      <c r="G588" s="113" t="s">
        <v>122</v>
      </c>
      <c r="H588" s="113"/>
      <c r="I588" s="113" t="b">
        <v>0</v>
      </c>
      <c r="J588" s="113" t="b">
        <v>0</v>
      </c>
      <c r="K588" s="113" t="b">
        <v>0</v>
      </c>
      <c r="L588" s="23" t="s">
        <v>6107</v>
      </c>
      <c r="M588" s="113" t="s">
        <v>444</v>
      </c>
      <c r="N588" s="113" t="s">
        <v>3209</v>
      </c>
      <c r="O588" s="113" t="s">
        <v>3210</v>
      </c>
      <c r="P588" s="113" t="b">
        <v>0</v>
      </c>
      <c r="Q588" s="113" t="b">
        <v>0</v>
      </c>
    </row>
    <row r="589" spans="1:17">
      <c r="A589" s="126" t="s">
        <v>1642</v>
      </c>
      <c r="B589" s="113"/>
      <c r="C589" s="113"/>
      <c r="D589" s="113">
        <v>0</v>
      </c>
      <c r="E589" s="113">
        <v>0</v>
      </c>
      <c r="F589" s="113">
        <v>0</v>
      </c>
      <c r="G589" s="113" t="s">
        <v>122</v>
      </c>
      <c r="H589" s="113"/>
      <c r="I589" s="113" t="b">
        <v>0</v>
      </c>
      <c r="J589" s="113" t="b">
        <v>0</v>
      </c>
      <c r="K589" s="113" t="b">
        <v>0</v>
      </c>
      <c r="L589" s="23" t="s">
        <v>2076</v>
      </c>
      <c r="M589" s="113" t="s">
        <v>444</v>
      </c>
      <c r="N589" s="113" t="s">
        <v>3211</v>
      </c>
      <c r="O589" s="113" t="s">
        <v>3212</v>
      </c>
      <c r="P589" s="113" t="b">
        <v>0</v>
      </c>
      <c r="Q589" s="113" t="b">
        <v>0</v>
      </c>
    </row>
    <row r="590" spans="1:17">
      <c r="A590" s="126" t="s">
        <v>1643</v>
      </c>
      <c r="B590" s="113"/>
      <c r="C590" s="113"/>
      <c r="D590" s="113">
        <v>0</v>
      </c>
      <c r="E590" s="113">
        <v>0</v>
      </c>
      <c r="F590" s="113">
        <v>0</v>
      </c>
      <c r="G590" s="113" t="s">
        <v>122</v>
      </c>
      <c r="H590" s="113"/>
      <c r="I590" s="113" t="b">
        <v>0</v>
      </c>
      <c r="J590" s="113" t="b">
        <v>0</v>
      </c>
      <c r="K590" s="113" t="b">
        <v>0</v>
      </c>
      <c r="L590" s="23" t="s">
        <v>6107</v>
      </c>
      <c r="M590" s="113" t="s">
        <v>444</v>
      </c>
      <c r="N590" s="113" t="s">
        <v>3213</v>
      </c>
      <c r="O590" s="113" t="s">
        <v>3214</v>
      </c>
      <c r="P590" s="113" t="b">
        <v>0</v>
      </c>
      <c r="Q590" s="113" t="b">
        <v>0</v>
      </c>
    </row>
    <row r="591" spans="1:17">
      <c r="A591" s="126" t="s">
        <v>1644</v>
      </c>
      <c r="B591" s="113"/>
      <c r="C591" s="113"/>
      <c r="D591" s="113">
        <v>0</v>
      </c>
      <c r="E591" s="113">
        <v>0</v>
      </c>
      <c r="F591" s="113">
        <v>0</v>
      </c>
      <c r="G591" s="113" t="s">
        <v>122</v>
      </c>
      <c r="H591" s="113"/>
      <c r="I591" s="113" t="b">
        <v>0</v>
      </c>
      <c r="J591" s="113" t="b">
        <v>0</v>
      </c>
      <c r="K591" s="113" t="b">
        <v>0</v>
      </c>
      <c r="L591" s="23" t="s">
        <v>2076</v>
      </c>
      <c r="M591" s="113" t="s">
        <v>444</v>
      </c>
      <c r="N591" s="113" t="s">
        <v>3205</v>
      </c>
      <c r="O591" s="113" t="s">
        <v>3206</v>
      </c>
      <c r="P591" s="113" t="b">
        <v>0</v>
      </c>
      <c r="Q591" s="113" t="b">
        <v>0</v>
      </c>
    </row>
    <row r="592" spans="1:17">
      <c r="A592" s="126" t="s">
        <v>1645</v>
      </c>
      <c r="B592" s="113"/>
      <c r="C592" s="113"/>
      <c r="D592" s="113">
        <v>0</v>
      </c>
      <c r="E592" s="113">
        <v>0</v>
      </c>
      <c r="F592" s="113">
        <v>0</v>
      </c>
      <c r="G592" s="113" t="s">
        <v>122</v>
      </c>
      <c r="H592" s="113"/>
      <c r="I592" s="113" t="b">
        <v>0</v>
      </c>
      <c r="J592" s="113" t="b">
        <v>0</v>
      </c>
      <c r="K592" s="113" t="b">
        <v>0</v>
      </c>
      <c r="L592" s="23" t="s">
        <v>6107</v>
      </c>
      <c r="M592" s="113" t="s">
        <v>444</v>
      </c>
      <c r="N592" s="113" t="s">
        <v>3207</v>
      </c>
      <c r="O592" s="113" t="s">
        <v>3208</v>
      </c>
      <c r="P592" s="113" t="b">
        <v>0</v>
      </c>
      <c r="Q592" s="113" t="b">
        <v>0</v>
      </c>
    </row>
    <row r="593" spans="1:17">
      <c r="A593" s="126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23"/>
      <c r="M593" s="113"/>
      <c r="N593" s="113"/>
      <c r="O593" s="113"/>
      <c r="P593" s="113"/>
      <c r="Q593" s="113"/>
    </row>
    <row r="594" spans="1:17">
      <c r="A594" s="126" t="s">
        <v>5603</v>
      </c>
      <c r="B594" s="113"/>
      <c r="C594" s="113"/>
      <c r="D594" s="113">
        <v>0</v>
      </c>
      <c r="E594" s="113">
        <v>0</v>
      </c>
      <c r="F594" s="113">
        <v>0</v>
      </c>
      <c r="G594" s="113" t="s">
        <v>122</v>
      </c>
      <c r="H594" s="113"/>
      <c r="I594" s="113" t="b">
        <v>0</v>
      </c>
      <c r="J594" s="113" t="b">
        <v>0</v>
      </c>
      <c r="K594" s="113" t="b">
        <v>1</v>
      </c>
      <c r="L594" s="23"/>
      <c r="M594" s="113" t="s">
        <v>5604</v>
      </c>
      <c r="N594" s="113" t="s">
        <v>5603</v>
      </c>
      <c r="O594" s="113" t="s">
        <v>5605</v>
      </c>
      <c r="P594" s="113" t="b">
        <v>0</v>
      </c>
      <c r="Q594" s="113" t="b">
        <v>0</v>
      </c>
    </row>
    <row r="595" spans="1:17">
      <c r="A595" s="126" t="s">
        <v>6108</v>
      </c>
      <c r="B595" s="113"/>
      <c r="C595" s="113"/>
      <c r="D595" s="113">
        <v>0</v>
      </c>
      <c r="E595" s="113">
        <v>0</v>
      </c>
      <c r="F595" s="113">
        <v>0</v>
      </c>
      <c r="G595" s="113" t="s">
        <v>122</v>
      </c>
      <c r="H595" s="113"/>
      <c r="I595" s="113" t="b">
        <v>0</v>
      </c>
      <c r="J595" s="113" t="b">
        <v>0</v>
      </c>
      <c r="K595" s="113" t="b">
        <v>1</v>
      </c>
      <c r="L595" s="23"/>
      <c r="M595" s="113" t="s">
        <v>5519</v>
      </c>
      <c r="N595" s="113" t="s">
        <v>6109</v>
      </c>
      <c r="O595" s="113" t="s">
        <v>6110</v>
      </c>
      <c r="P595" s="113" t="b">
        <v>0</v>
      </c>
      <c r="Q595" s="113" t="b">
        <v>0</v>
      </c>
    </row>
    <row r="596" spans="1:17">
      <c r="A596" s="126" t="s">
        <v>5606</v>
      </c>
      <c r="B596" s="113"/>
      <c r="C596" s="113"/>
      <c r="D596" s="113">
        <v>0</v>
      </c>
      <c r="E596" s="113">
        <v>0</v>
      </c>
      <c r="F596" s="113">
        <v>0</v>
      </c>
      <c r="G596" s="113" t="s">
        <v>122</v>
      </c>
      <c r="H596" s="113"/>
      <c r="I596" s="113" t="b">
        <v>0</v>
      </c>
      <c r="J596" s="113" t="b">
        <v>0</v>
      </c>
      <c r="K596" s="113" t="b">
        <v>1</v>
      </c>
      <c r="L596" s="23"/>
      <c r="M596" s="113" t="s">
        <v>5607</v>
      </c>
      <c r="N596" s="113" t="s">
        <v>5606</v>
      </c>
      <c r="O596" s="113" t="s">
        <v>5608</v>
      </c>
      <c r="P596" s="113" t="b">
        <v>0</v>
      </c>
      <c r="Q596" s="113" t="b">
        <v>0</v>
      </c>
    </row>
    <row r="597" spans="1:17">
      <c r="A597" s="126" t="s">
        <v>5609</v>
      </c>
      <c r="B597" s="113"/>
      <c r="C597" s="113"/>
      <c r="D597" s="113">
        <v>0</v>
      </c>
      <c r="E597" s="113">
        <v>0</v>
      </c>
      <c r="F597" s="113">
        <v>0</v>
      </c>
      <c r="G597" s="113" t="s">
        <v>122</v>
      </c>
      <c r="H597" s="113"/>
      <c r="I597" s="113" t="b">
        <v>0</v>
      </c>
      <c r="J597" s="113" t="b">
        <v>0</v>
      </c>
      <c r="K597" s="113" t="b">
        <v>1</v>
      </c>
      <c r="L597" s="23"/>
      <c r="M597" s="113" t="s">
        <v>5713</v>
      </c>
      <c r="N597" s="113" t="s">
        <v>5609</v>
      </c>
      <c r="O597" s="113" t="s">
        <v>5611</v>
      </c>
      <c r="P597" s="113" t="b">
        <v>0</v>
      </c>
      <c r="Q597" s="113" t="b">
        <v>0</v>
      </c>
    </row>
    <row r="598" spans="1:17">
      <c r="A598" s="126" t="s">
        <v>5612</v>
      </c>
      <c r="B598" s="113"/>
      <c r="C598" s="113"/>
      <c r="D598" s="113">
        <v>0</v>
      </c>
      <c r="E598" s="113">
        <v>0</v>
      </c>
      <c r="F598" s="113">
        <v>0</v>
      </c>
      <c r="G598" s="113" t="s">
        <v>122</v>
      </c>
      <c r="H598" s="113"/>
      <c r="I598" s="113" t="b">
        <v>0</v>
      </c>
      <c r="J598" s="113" t="b">
        <v>0</v>
      </c>
      <c r="K598" s="113" t="b">
        <v>1</v>
      </c>
      <c r="L598" s="23"/>
      <c r="M598" s="113" t="s">
        <v>5613</v>
      </c>
      <c r="N598" s="113" t="s">
        <v>5612</v>
      </c>
      <c r="O598" s="113" t="s">
        <v>5614</v>
      </c>
      <c r="P598" s="113" t="b">
        <v>0</v>
      </c>
      <c r="Q598" s="113" t="b">
        <v>0</v>
      </c>
    </row>
    <row r="599" spans="1:17">
      <c r="A599" s="126" t="s">
        <v>5615</v>
      </c>
      <c r="B599" s="113"/>
      <c r="C599" s="113"/>
      <c r="D599" s="113">
        <v>0</v>
      </c>
      <c r="E599" s="113">
        <v>0</v>
      </c>
      <c r="F599" s="113">
        <v>0</v>
      </c>
      <c r="G599" s="113" t="s">
        <v>122</v>
      </c>
      <c r="H599" s="113"/>
      <c r="I599" s="113" t="b">
        <v>0</v>
      </c>
      <c r="J599" s="113" t="b">
        <v>0</v>
      </c>
      <c r="K599" s="113" t="b">
        <v>1</v>
      </c>
      <c r="L599" s="23"/>
      <c r="M599" s="113" t="s">
        <v>5616</v>
      </c>
      <c r="N599" s="113" t="s">
        <v>5615</v>
      </c>
      <c r="O599" s="113" t="s">
        <v>5617</v>
      </c>
      <c r="P599" s="113" t="b">
        <v>0</v>
      </c>
      <c r="Q599" s="113" t="b">
        <v>0</v>
      </c>
    </row>
    <row r="600" spans="1:17">
      <c r="A600" s="126" t="s">
        <v>5618</v>
      </c>
      <c r="B600" s="113"/>
      <c r="C600" s="113"/>
      <c r="D600" s="113">
        <v>0</v>
      </c>
      <c r="E600" s="113">
        <v>0</v>
      </c>
      <c r="F600" s="113">
        <v>0</v>
      </c>
      <c r="G600" s="113" t="s">
        <v>122</v>
      </c>
      <c r="H600" s="113"/>
      <c r="I600" s="113" t="b">
        <v>0</v>
      </c>
      <c r="J600" s="113" t="b">
        <v>0</v>
      </c>
      <c r="K600" s="113" t="b">
        <v>1</v>
      </c>
      <c r="L600" s="23"/>
      <c r="M600" s="113" t="s">
        <v>5619</v>
      </c>
      <c r="N600" s="113" t="s">
        <v>5618</v>
      </c>
      <c r="O600" s="113" t="s">
        <v>5620</v>
      </c>
      <c r="P600" s="113" t="b">
        <v>0</v>
      </c>
      <c r="Q600" s="113" t="b">
        <v>0</v>
      </c>
    </row>
    <row r="601" spans="1:17">
      <c r="A601" s="126" t="s">
        <v>5621</v>
      </c>
      <c r="B601" s="113"/>
      <c r="C601" s="113"/>
      <c r="D601" s="113">
        <v>0</v>
      </c>
      <c r="E601" s="113">
        <v>0</v>
      </c>
      <c r="F601" s="113">
        <v>0</v>
      </c>
      <c r="G601" s="113" t="s">
        <v>122</v>
      </c>
      <c r="H601" s="113"/>
      <c r="I601" s="113" t="b">
        <v>0</v>
      </c>
      <c r="J601" s="113" t="b">
        <v>0</v>
      </c>
      <c r="K601" s="113" t="b">
        <v>1</v>
      </c>
      <c r="L601" s="23"/>
      <c r="M601" s="113" t="s">
        <v>5622</v>
      </c>
      <c r="N601" s="113" t="s">
        <v>5621</v>
      </c>
      <c r="O601" s="113" t="s">
        <v>5623</v>
      </c>
      <c r="P601" s="113" t="b">
        <v>0</v>
      </c>
      <c r="Q601" s="113" t="b">
        <v>0</v>
      </c>
    </row>
    <row r="602" spans="1:17">
      <c r="A602" s="126" t="s">
        <v>5624</v>
      </c>
      <c r="B602" s="113"/>
      <c r="C602" s="113"/>
      <c r="D602" s="113">
        <v>0</v>
      </c>
      <c r="E602" s="113">
        <v>0</v>
      </c>
      <c r="F602" s="113">
        <v>0</v>
      </c>
      <c r="G602" s="113" t="s">
        <v>122</v>
      </c>
      <c r="H602" s="113"/>
      <c r="I602" s="113" t="b">
        <v>0</v>
      </c>
      <c r="J602" s="113" t="b">
        <v>0</v>
      </c>
      <c r="K602" s="113" t="b">
        <v>1</v>
      </c>
      <c r="L602" s="23"/>
      <c r="M602" s="113" t="s">
        <v>5625</v>
      </c>
      <c r="N602" s="113" t="s">
        <v>5624</v>
      </c>
      <c r="O602" s="113" t="s">
        <v>5626</v>
      </c>
      <c r="P602" s="113" t="b">
        <v>0</v>
      </c>
      <c r="Q602" s="113" t="b">
        <v>0</v>
      </c>
    </row>
    <row r="603" spans="1:17">
      <c r="A603" s="126" t="s">
        <v>5627</v>
      </c>
      <c r="B603" s="113"/>
      <c r="C603" s="113"/>
      <c r="D603" s="113">
        <v>0</v>
      </c>
      <c r="E603" s="113">
        <v>0</v>
      </c>
      <c r="F603" s="113">
        <v>0</v>
      </c>
      <c r="G603" s="113" t="s">
        <v>122</v>
      </c>
      <c r="H603" s="113"/>
      <c r="I603" s="113" t="b">
        <v>0</v>
      </c>
      <c r="J603" s="113" t="b">
        <v>0</v>
      </c>
      <c r="K603" s="113" t="b">
        <v>1</v>
      </c>
      <c r="L603" s="23"/>
      <c r="M603" s="113" t="s">
        <v>5628</v>
      </c>
      <c r="N603" s="113" t="s">
        <v>5627</v>
      </c>
      <c r="O603" s="113" t="s">
        <v>5629</v>
      </c>
      <c r="P603" s="113" t="b">
        <v>0</v>
      </c>
      <c r="Q603" s="113" t="b">
        <v>0</v>
      </c>
    </row>
    <row r="604" spans="1:17">
      <c r="A604" s="126" t="s">
        <v>6111</v>
      </c>
      <c r="B604" s="113"/>
      <c r="C604" s="113"/>
      <c r="D604" s="113">
        <v>0</v>
      </c>
      <c r="E604" s="113">
        <v>0</v>
      </c>
      <c r="F604" s="113">
        <v>0</v>
      </c>
      <c r="G604" s="113" t="s">
        <v>122</v>
      </c>
      <c r="H604" s="113"/>
      <c r="I604" s="113" t="b">
        <v>0</v>
      </c>
      <c r="J604" s="113" t="b">
        <v>0</v>
      </c>
      <c r="K604" s="113" t="b">
        <v>1</v>
      </c>
      <c r="L604" s="23"/>
      <c r="M604" s="113" t="s">
        <v>375</v>
      </c>
      <c r="N604" s="113" t="s">
        <v>6111</v>
      </c>
      <c r="O604" s="113" t="s">
        <v>6112</v>
      </c>
      <c r="P604" s="113" t="b">
        <v>0</v>
      </c>
      <c r="Q604" s="113" t="b">
        <v>0</v>
      </c>
    </row>
    <row r="605" spans="1:17">
      <c r="A605" s="126" t="s">
        <v>5630</v>
      </c>
      <c r="B605" s="113"/>
      <c r="C605" s="113"/>
      <c r="D605" s="113">
        <v>0</v>
      </c>
      <c r="E605" s="113">
        <v>0</v>
      </c>
      <c r="F605" s="113">
        <v>0</v>
      </c>
      <c r="G605" s="113" t="s">
        <v>122</v>
      </c>
      <c r="H605" s="113"/>
      <c r="I605" s="113" t="b">
        <v>0</v>
      </c>
      <c r="J605" s="113" t="b">
        <v>0</v>
      </c>
      <c r="K605" s="113" t="b">
        <v>1</v>
      </c>
      <c r="L605" s="23"/>
      <c r="M605" s="113" t="s">
        <v>284</v>
      </c>
      <c r="N605" s="113" t="s">
        <v>5630</v>
      </c>
      <c r="O605" s="113" t="s">
        <v>5631</v>
      </c>
      <c r="P605" s="113" t="b">
        <v>0</v>
      </c>
      <c r="Q605" s="113" t="b">
        <v>0</v>
      </c>
    </row>
    <row r="606" spans="1:17">
      <c r="A606" s="126" t="s">
        <v>5632</v>
      </c>
      <c r="B606" s="113"/>
      <c r="C606" s="113"/>
      <c r="D606" s="113">
        <v>0</v>
      </c>
      <c r="E606" s="113">
        <v>0</v>
      </c>
      <c r="F606" s="113">
        <v>0</v>
      </c>
      <c r="G606" s="113" t="s">
        <v>122</v>
      </c>
      <c r="H606" s="113"/>
      <c r="I606" s="113" t="b">
        <v>0</v>
      </c>
      <c r="J606" s="113" t="b">
        <v>0</v>
      </c>
      <c r="K606" s="113" t="b">
        <v>1</v>
      </c>
      <c r="L606" s="23"/>
      <c r="M606" s="113" t="s">
        <v>284</v>
      </c>
      <c r="N606" s="113" t="s">
        <v>5632</v>
      </c>
      <c r="O606" s="113" t="s">
        <v>5633</v>
      </c>
      <c r="P606" s="113" t="b">
        <v>0</v>
      </c>
      <c r="Q606" s="113" t="b">
        <v>0</v>
      </c>
    </row>
    <row r="607" spans="1:17">
      <c r="A607" s="126" t="s">
        <v>5634</v>
      </c>
      <c r="B607" s="113"/>
      <c r="C607" s="113"/>
      <c r="D607" s="113">
        <v>0</v>
      </c>
      <c r="E607" s="113">
        <v>0</v>
      </c>
      <c r="F607" s="113">
        <v>0</v>
      </c>
      <c r="G607" s="113" t="s">
        <v>122</v>
      </c>
      <c r="H607" s="113"/>
      <c r="I607" s="113" t="b">
        <v>0</v>
      </c>
      <c r="J607" s="113" t="b">
        <v>0</v>
      </c>
      <c r="K607" s="113" t="b">
        <v>1</v>
      </c>
      <c r="L607" s="23"/>
      <c r="M607" s="113" t="s">
        <v>5635</v>
      </c>
      <c r="N607" s="113" t="s">
        <v>5634</v>
      </c>
      <c r="O607" s="113" t="s">
        <v>5636</v>
      </c>
      <c r="P607" s="113" t="b">
        <v>0</v>
      </c>
      <c r="Q607" s="113" t="b">
        <v>0</v>
      </c>
    </row>
    <row r="608" spans="1:17">
      <c r="A608" s="126" t="s">
        <v>5637</v>
      </c>
      <c r="B608" s="113"/>
      <c r="C608" s="113"/>
      <c r="D608" s="113">
        <v>0</v>
      </c>
      <c r="E608" s="113">
        <v>0</v>
      </c>
      <c r="F608" s="113">
        <v>0</v>
      </c>
      <c r="G608" s="113" t="s">
        <v>122</v>
      </c>
      <c r="H608" s="113"/>
      <c r="I608" s="113" t="b">
        <v>0</v>
      </c>
      <c r="J608" s="113" t="b">
        <v>0</v>
      </c>
      <c r="K608" s="113" t="b">
        <v>1</v>
      </c>
      <c r="L608" s="23"/>
      <c r="M608" s="113" t="s">
        <v>5640</v>
      </c>
      <c r="N608" s="113" t="s">
        <v>5637</v>
      </c>
      <c r="O608" s="113" t="s">
        <v>5638</v>
      </c>
      <c r="P608" s="113" t="b">
        <v>0</v>
      </c>
      <c r="Q608" s="113" t="b">
        <v>0</v>
      </c>
    </row>
    <row r="609" spans="1:17">
      <c r="A609" s="126" t="s">
        <v>5639</v>
      </c>
      <c r="B609" s="113"/>
      <c r="C609" s="113"/>
      <c r="D609" s="113">
        <v>0</v>
      </c>
      <c r="E609" s="113">
        <v>0</v>
      </c>
      <c r="F609" s="113">
        <v>0</v>
      </c>
      <c r="G609" s="113" t="s">
        <v>122</v>
      </c>
      <c r="H609" s="113"/>
      <c r="I609" s="113" t="b">
        <v>0</v>
      </c>
      <c r="J609" s="113" t="b">
        <v>0</v>
      </c>
      <c r="K609" s="113" t="b">
        <v>1</v>
      </c>
      <c r="L609" s="23"/>
      <c r="M609" s="113" t="s">
        <v>5640</v>
      </c>
      <c r="N609" s="113" t="s">
        <v>5639</v>
      </c>
      <c r="O609" s="113" t="s">
        <v>5641</v>
      </c>
      <c r="P609" s="113" t="b">
        <v>0</v>
      </c>
      <c r="Q609" s="113" t="b">
        <v>0</v>
      </c>
    </row>
    <row r="610" spans="1:17">
      <c r="A610" s="126" t="s">
        <v>5642</v>
      </c>
      <c r="B610" s="113"/>
      <c r="C610" s="113"/>
      <c r="D610" s="113">
        <v>0</v>
      </c>
      <c r="E610" s="113">
        <v>0</v>
      </c>
      <c r="F610" s="113">
        <v>0</v>
      </c>
      <c r="G610" s="113" t="s">
        <v>122</v>
      </c>
      <c r="H610" s="113"/>
      <c r="I610" s="113" t="b">
        <v>0</v>
      </c>
      <c r="J610" s="113" t="b">
        <v>0</v>
      </c>
      <c r="K610" s="113" t="b">
        <v>1</v>
      </c>
      <c r="L610" s="23"/>
      <c r="M610" s="113" t="s">
        <v>5643</v>
      </c>
      <c r="N610" s="113" t="s">
        <v>5642</v>
      </c>
      <c r="O610" s="113" t="s">
        <v>5644</v>
      </c>
      <c r="P610" s="113" t="b">
        <v>0</v>
      </c>
      <c r="Q610" s="113" t="b">
        <v>0</v>
      </c>
    </row>
    <row r="611" spans="1:17">
      <c r="A611" s="126" t="s">
        <v>5645</v>
      </c>
      <c r="B611" s="113"/>
      <c r="C611" s="113"/>
      <c r="D611" s="113">
        <v>0</v>
      </c>
      <c r="E611" s="113">
        <v>0</v>
      </c>
      <c r="F611" s="113">
        <v>0</v>
      </c>
      <c r="G611" s="113" t="s">
        <v>122</v>
      </c>
      <c r="H611" s="113"/>
      <c r="I611" s="113" t="b">
        <v>0</v>
      </c>
      <c r="J611" s="113" t="b">
        <v>0</v>
      </c>
      <c r="K611" s="113" t="b">
        <v>1</v>
      </c>
      <c r="L611" s="23"/>
      <c r="M611" s="113" t="s">
        <v>5646</v>
      </c>
      <c r="N611" s="113" t="s">
        <v>5645</v>
      </c>
      <c r="O611" s="113" t="s">
        <v>5647</v>
      </c>
      <c r="P611" s="113" t="b">
        <v>0</v>
      </c>
      <c r="Q611" s="113" t="b">
        <v>0</v>
      </c>
    </row>
    <row r="612" spans="1:17">
      <c r="A612" s="126" t="s">
        <v>5648</v>
      </c>
      <c r="B612" s="113"/>
      <c r="C612" s="113"/>
      <c r="D612" s="113">
        <v>0</v>
      </c>
      <c r="E612" s="113">
        <v>0</v>
      </c>
      <c r="F612" s="113">
        <v>0</v>
      </c>
      <c r="G612" s="113" t="s">
        <v>122</v>
      </c>
      <c r="H612" s="113"/>
      <c r="I612" s="113" t="b">
        <v>0</v>
      </c>
      <c r="J612" s="113" t="b">
        <v>0</v>
      </c>
      <c r="K612" s="113" t="b">
        <v>1</v>
      </c>
      <c r="L612" s="23"/>
      <c r="M612" s="113" t="s">
        <v>5649</v>
      </c>
      <c r="N612" s="113" t="s">
        <v>5648</v>
      </c>
      <c r="O612" s="113" t="s">
        <v>5650</v>
      </c>
      <c r="P612" s="113" t="b">
        <v>0</v>
      </c>
      <c r="Q612" s="113" t="b">
        <v>0</v>
      </c>
    </row>
    <row r="613" spans="1:17">
      <c r="A613" s="126" t="s">
        <v>5651</v>
      </c>
      <c r="B613" s="113"/>
      <c r="C613" s="113"/>
      <c r="D613" s="113">
        <v>0</v>
      </c>
      <c r="E613" s="113">
        <v>0</v>
      </c>
      <c r="F613" s="113">
        <v>0</v>
      </c>
      <c r="G613" s="113" t="s">
        <v>122</v>
      </c>
      <c r="H613" s="113"/>
      <c r="I613" s="113" t="b">
        <v>0</v>
      </c>
      <c r="J613" s="113" t="b">
        <v>0</v>
      </c>
      <c r="K613" s="113" t="b">
        <v>1</v>
      </c>
      <c r="L613" s="23"/>
      <c r="M613" s="113" t="s">
        <v>5652</v>
      </c>
      <c r="N613" s="113" t="s">
        <v>5651</v>
      </c>
      <c r="O613" s="113" t="s">
        <v>5653</v>
      </c>
      <c r="P613" s="113" t="b">
        <v>0</v>
      </c>
      <c r="Q613" s="113" t="b">
        <v>0</v>
      </c>
    </row>
    <row r="614" spans="1:17">
      <c r="A614" s="126" t="s">
        <v>5654</v>
      </c>
      <c r="B614" s="113"/>
      <c r="C614" s="113"/>
      <c r="D614" s="113">
        <v>0</v>
      </c>
      <c r="E614" s="113">
        <v>0</v>
      </c>
      <c r="F614" s="113">
        <v>0</v>
      </c>
      <c r="G614" s="113" t="s">
        <v>122</v>
      </c>
      <c r="H614" s="113"/>
      <c r="I614" s="113" t="b">
        <v>0</v>
      </c>
      <c r="J614" s="113" t="b">
        <v>0</v>
      </c>
      <c r="K614" s="113" t="b">
        <v>1</v>
      </c>
      <c r="L614" s="23"/>
      <c r="M614" s="113" t="s">
        <v>5655</v>
      </c>
      <c r="N614" s="113" t="s">
        <v>5654</v>
      </c>
      <c r="O614" s="113" t="s">
        <v>5656</v>
      </c>
      <c r="P614" s="113" t="b">
        <v>0</v>
      </c>
      <c r="Q614" s="113" t="b">
        <v>0</v>
      </c>
    </row>
    <row r="615" spans="1:17">
      <c r="A615" s="126" t="s">
        <v>5716</v>
      </c>
      <c r="B615" s="113"/>
      <c r="C615" s="113"/>
      <c r="D615" s="113">
        <v>0</v>
      </c>
      <c r="E615" s="113">
        <v>0</v>
      </c>
      <c r="F615" s="113">
        <v>0</v>
      </c>
      <c r="G615" s="113" t="s">
        <v>122</v>
      </c>
      <c r="H615" s="113"/>
      <c r="I615" s="113" t="b">
        <v>0</v>
      </c>
      <c r="J615" s="113" t="b">
        <v>0</v>
      </c>
      <c r="K615" s="113" t="b">
        <v>1</v>
      </c>
      <c r="L615" s="23"/>
      <c r="M615" s="113" t="s">
        <v>5519</v>
      </c>
      <c r="N615" s="113" t="s">
        <v>6113</v>
      </c>
      <c r="O615" s="113" t="s">
        <v>6114</v>
      </c>
      <c r="P615" s="113" t="b">
        <v>0</v>
      </c>
      <c r="Q615" s="113" t="b">
        <v>0</v>
      </c>
    </row>
    <row r="616" spans="1:17">
      <c r="A616" s="126" t="s">
        <v>5657</v>
      </c>
      <c r="B616" s="113"/>
      <c r="C616" s="113"/>
      <c r="D616" s="113">
        <v>0</v>
      </c>
      <c r="E616" s="113">
        <v>0</v>
      </c>
      <c r="F616" s="113">
        <v>0</v>
      </c>
      <c r="G616" s="113" t="s">
        <v>122</v>
      </c>
      <c r="H616" s="113"/>
      <c r="I616" s="113" t="b">
        <v>0</v>
      </c>
      <c r="J616" s="113" t="b">
        <v>0</v>
      </c>
      <c r="K616" s="113" t="b">
        <v>1</v>
      </c>
      <c r="L616" s="23"/>
      <c r="M616" s="113"/>
      <c r="N616" s="113" t="s">
        <v>5657</v>
      </c>
      <c r="O616" s="113" t="s">
        <v>5658</v>
      </c>
      <c r="P616" s="113" t="b">
        <v>0</v>
      </c>
      <c r="Q616" s="113" t="b">
        <v>0</v>
      </c>
    </row>
    <row r="617" spans="1:17">
      <c r="A617" s="126" t="s">
        <v>5659</v>
      </c>
      <c r="B617" s="113"/>
      <c r="C617" s="113"/>
      <c r="D617" s="113">
        <v>0</v>
      </c>
      <c r="E617" s="113">
        <v>0</v>
      </c>
      <c r="F617" s="113">
        <v>0</v>
      </c>
      <c r="G617" s="113" t="s">
        <v>122</v>
      </c>
      <c r="H617" s="113"/>
      <c r="I617" s="113" t="b">
        <v>0</v>
      </c>
      <c r="J617" s="113" t="b">
        <v>0</v>
      </c>
      <c r="K617" s="113" t="b">
        <v>1</v>
      </c>
      <c r="L617" s="23"/>
      <c r="M617" s="113"/>
      <c r="N617" s="113" t="s">
        <v>5659</v>
      </c>
      <c r="O617" s="113" t="s">
        <v>5660</v>
      </c>
      <c r="P617" s="113" t="b">
        <v>0</v>
      </c>
      <c r="Q617" s="113" t="b">
        <v>0</v>
      </c>
    </row>
    <row r="618" spans="1:17">
      <c r="A618" s="126" t="s">
        <v>5661</v>
      </c>
      <c r="B618" s="113"/>
      <c r="C618" s="113"/>
      <c r="D618" s="113">
        <v>0</v>
      </c>
      <c r="E618" s="113">
        <v>0</v>
      </c>
      <c r="F618" s="113">
        <v>0</v>
      </c>
      <c r="G618" s="113" t="s">
        <v>122</v>
      </c>
      <c r="H618" s="113"/>
      <c r="I618" s="113" t="b">
        <v>0</v>
      </c>
      <c r="J618" s="113" t="b">
        <v>0</v>
      </c>
      <c r="K618" s="113" t="b">
        <v>1</v>
      </c>
      <c r="L618" s="23"/>
      <c r="M618" s="113" t="s">
        <v>147</v>
      </c>
      <c r="N618" s="113" t="s">
        <v>5661</v>
      </c>
      <c r="O618" s="113" t="s">
        <v>5662</v>
      </c>
      <c r="P618" s="113" t="b">
        <v>0</v>
      </c>
      <c r="Q618" s="113" t="b">
        <v>0</v>
      </c>
    </row>
    <row r="619" spans="1:17">
      <c r="A619" s="126" t="s">
        <v>5663</v>
      </c>
      <c r="B619" s="113"/>
      <c r="C619" s="113"/>
      <c r="D619" s="113">
        <v>0</v>
      </c>
      <c r="E619" s="113">
        <v>0</v>
      </c>
      <c r="F619" s="113">
        <v>0</v>
      </c>
      <c r="G619" s="113" t="s">
        <v>122</v>
      </c>
      <c r="H619" s="113"/>
      <c r="I619" s="113" t="b">
        <v>0</v>
      </c>
      <c r="J619" s="113" t="b">
        <v>0</v>
      </c>
      <c r="K619" s="113" t="b">
        <v>1</v>
      </c>
      <c r="L619" s="23"/>
      <c r="M619" s="113" t="s">
        <v>5664</v>
      </c>
      <c r="N619" s="113" t="s">
        <v>5663</v>
      </c>
      <c r="O619" s="113" t="s">
        <v>5665</v>
      </c>
      <c r="P619" s="113" t="b">
        <v>0</v>
      </c>
      <c r="Q619" s="113" t="b">
        <v>0</v>
      </c>
    </row>
    <row r="620" spans="1:17">
      <c r="A620" s="126" t="s">
        <v>5666</v>
      </c>
      <c r="B620" s="113"/>
      <c r="C620" s="113"/>
      <c r="D620" s="113">
        <v>0</v>
      </c>
      <c r="E620" s="113">
        <v>0</v>
      </c>
      <c r="F620" s="113">
        <v>0</v>
      </c>
      <c r="G620" s="113" t="s">
        <v>122</v>
      </c>
      <c r="H620" s="113"/>
      <c r="I620" s="113" t="b">
        <v>0</v>
      </c>
      <c r="J620" s="113" t="b">
        <v>0</v>
      </c>
      <c r="K620" s="113" t="b">
        <v>1</v>
      </c>
      <c r="L620" s="23"/>
      <c r="M620" s="113" t="s">
        <v>147</v>
      </c>
      <c r="N620" s="113" t="s">
        <v>5666</v>
      </c>
      <c r="O620" s="113" t="s">
        <v>5667</v>
      </c>
      <c r="P620" s="113" t="b">
        <v>0</v>
      </c>
      <c r="Q620" s="113" t="b">
        <v>0</v>
      </c>
    </row>
    <row r="621" spans="1:17">
      <c r="A621" s="126" t="s">
        <v>5668</v>
      </c>
      <c r="B621" s="113"/>
      <c r="C621" s="113"/>
      <c r="D621" s="113">
        <v>0</v>
      </c>
      <c r="E621" s="113">
        <v>0</v>
      </c>
      <c r="F621" s="113">
        <v>0</v>
      </c>
      <c r="G621" s="113" t="s">
        <v>122</v>
      </c>
      <c r="H621" s="113"/>
      <c r="I621" s="113" t="b">
        <v>0</v>
      </c>
      <c r="J621" s="113" t="b">
        <v>0</v>
      </c>
      <c r="K621" s="113" t="b">
        <v>1</v>
      </c>
      <c r="L621" s="23"/>
      <c r="M621" s="113" t="s">
        <v>5669</v>
      </c>
      <c r="N621" s="113" t="s">
        <v>5668</v>
      </c>
      <c r="O621" s="113" t="s">
        <v>5670</v>
      </c>
      <c r="P621" s="113" t="b">
        <v>0</v>
      </c>
      <c r="Q621" s="113" t="b">
        <v>0</v>
      </c>
    </row>
    <row r="622" spans="1:17">
      <c r="A622" s="126" t="s">
        <v>5671</v>
      </c>
      <c r="B622" s="113"/>
      <c r="C622" s="113"/>
      <c r="D622" s="113">
        <v>0</v>
      </c>
      <c r="E622" s="113">
        <v>0</v>
      </c>
      <c r="F622" s="113">
        <v>0</v>
      </c>
      <c r="G622" s="113" t="s">
        <v>122</v>
      </c>
      <c r="H622" s="113"/>
      <c r="I622" s="113" t="b">
        <v>0</v>
      </c>
      <c r="J622" s="113" t="b">
        <v>0</v>
      </c>
      <c r="K622" s="113" t="b">
        <v>1</v>
      </c>
      <c r="L622" s="23"/>
      <c r="M622" s="113" t="s">
        <v>5672</v>
      </c>
      <c r="N622" s="113" t="s">
        <v>5671</v>
      </c>
      <c r="O622" s="113" t="s">
        <v>5673</v>
      </c>
      <c r="P622" s="113" t="b">
        <v>0</v>
      </c>
      <c r="Q622" s="113" t="b">
        <v>0</v>
      </c>
    </row>
    <row r="623" spans="1:17">
      <c r="A623" s="126" t="s">
        <v>5674</v>
      </c>
      <c r="B623" s="113"/>
      <c r="C623" s="113"/>
      <c r="D623" s="113">
        <v>0</v>
      </c>
      <c r="E623" s="113">
        <v>0</v>
      </c>
      <c r="F623" s="113">
        <v>0</v>
      </c>
      <c r="G623" s="113" t="s">
        <v>122</v>
      </c>
      <c r="H623" s="113"/>
      <c r="I623" s="113" t="b">
        <v>0</v>
      </c>
      <c r="J623" s="113" t="b">
        <v>0</v>
      </c>
      <c r="K623" s="113" t="b">
        <v>1</v>
      </c>
      <c r="L623" s="23"/>
      <c r="M623" s="113" t="s">
        <v>5675</v>
      </c>
      <c r="N623" s="113" t="s">
        <v>5674</v>
      </c>
      <c r="O623" s="113" t="s">
        <v>5676</v>
      </c>
      <c r="P623" s="113" t="b">
        <v>0</v>
      </c>
      <c r="Q623" s="113" t="b">
        <v>0</v>
      </c>
    </row>
    <row r="624" spans="1:17">
      <c r="A624" s="126" t="s">
        <v>5677</v>
      </c>
      <c r="B624" s="113"/>
      <c r="C624" s="113"/>
      <c r="D624" s="113">
        <v>0</v>
      </c>
      <c r="E624" s="113">
        <v>0</v>
      </c>
      <c r="F624" s="113">
        <v>0</v>
      </c>
      <c r="G624" s="113" t="s">
        <v>122</v>
      </c>
      <c r="H624" s="113"/>
      <c r="I624" s="113" t="b">
        <v>0</v>
      </c>
      <c r="J624" s="113" t="b">
        <v>0</v>
      </c>
      <c r="K624" s="113" t="b">
        <v>1</v>
      </c>
      <c r="L624" s="23"/>
      <c r="M624" s="113" t="s">
        <v>5678</v>
      </c>
      <c r="N624" s="113" t="s">
        <v>5677</v>
      </c>
      <c r="O624" s="113" t="s">
        <v>5679</v>
      </c>
      <c r="P624" s="113" t="b">
        <v>0</v>
      </c>
      <c r="Q624" s="113" t="b">
        <v>0</v>
      </c>
    </row>
    <row r="625" spans="1:17">
      <c r="A625" s="126" t="s">
        <v>5680</v>
      </c>
      <c r="B625" s="113"/>
      <c r="C625" s="113"/>
      <c r="D625" s="113">
        <v>0</v>
      </c>
      <c r="E625" s="113">
        <v>0</v>
      </c>
      <c r="F625" s="113">
        <v>0</v>
      </c>
      <c r="G625" s="113" t="s">
        <v>122</v>
      </c>
      <c r="H625" s="113"/>
      <c r="I625" s="113" t="b">
        <v>0</v>
      </c>
      <c r="J625" s="113" t="b">
        <v>0</v>
      </c>
      <c r="K625" s="113" t="b">
        <v>1</v>
      </c>
      <c r="L625" s="23"/>
      <c r="M625" s="113" t="s">
        <v>5681</v>
      </c>
      <c r="N625" s="113" t="s">
        <v>5680</v>
      </c>
      <c r="O625" s="113" t="s">
        <v>5682</v>
      </c>
      <c r="P625" s="113" t="b">
        <v>0</v>
      </c>
      <c r="Q625" s="113" t="b">
        <v>0</v>
      </c>
    </row>
    <row r="626" spans="1:17">
      <c r="A626" s="126" t="s">
        <v>5683</v>
      </c>
      <c r="B626" s="113"/>
      <c r="C626" s="113"/>
      <c r="D626" s="113">
        <v>0</v>
      </c>
      <c r="E626" s="113">
        <v>0</v>
      </c>
      <c r="F626" s="113">
        <v>0</v>
      </c>
      <c r="G626" s="113" t="s">
        <v>122</v>
      </c>
      <c r="H626" s="113"/>
      <c r="I626" s="113" t="b">
        <v>0</v>
      </c>
      <c r="J626" s="113" t="b">
        <v>0</v>
      </c>
      <c r="K626" s="113" t="b">
        <v>1</v>
      </c>
      <c r="L626" s="23"/>
      <c r="M626" s="113" t="s">
        <v>5684</v>
      </c>
      <c r="N626" s="113" t="s">
        <v>5683</v>
      </c>
      <c r="O626" s="113" t="s">
        <v>5685</v>
      </c>
      <c r="P626" s="113" t="b">
        <v>0</v>
      </c>
      <c r="Q626" s="113" t="b">
        <v>0</v>
      </c>
    </row>
    <row r="627" spans="1:17">
      <c r="A627" s="126" t="s">
        <v>5686</v>
      </c>
      <c r="B627" s="113"/>
      <c r="C627" s="113"/>
      <c r="D627" s="113">
        <v>0</v>
      </c>
      <c r="E627" s="113">
        <v>0</v>
      </c>
      <c r="F627" s="113">
        <v>0</v>
      </c>
      <c r="G627" s="113" t="s">
        <v>122</v>
      </c>
      <c r="H627" s="113"/>
      <c r="I627" s="113" t="b">
        <v>0</v>
      </c>
      <c r="J627" s="113" t="b">
        <v>0</v>
      </c>
      <c r="K627" s="113" t="b">
        <v>1</v>
      </c>
      <c r="L627" s="23"/>
      <c r="M627" s="113" t="s">
        <v>5687</v>
      </c>
      <c r="N627" s="113" t="s">
        <v>5686</v>
      </c>
      <c r="O627" s="113" t="s">
        <v>6115</v>
      </c>
      <c r="P627" s="113" t="b">
        <v>0</v>
      </c>
      <c r="Q627" s="113" t="b">
        <v>0</v>
      </c>
    </row>
    <row r="628" spans="1:17">
      <c r="A628" s="126" t="s">
        <v>5688</v>
      </c>
      <c r="B628" s="113"/>
      <c r="C628" s="113"/>
      <c r="D628" s="113">
        <v>0</v>
      </c>
      <c r="E628" s="113">
        <v>0</v>
      </c>
      <c r="F628" s="113">
        <v>0</v>
      </c>
      <c r="G628" s="113" t="s">
        <v>122</v>
      </c>
      <c r="H628" s="113"/>
      <c r="I628" s="113" t="b">
        <v>0</v>
      </c>
      <c r="J628" s="113" t="b">
        <v>0</v>
      </c>
      <c r="K628" s="113" t="b">
        <v>1</v>
      </c>
      <c r="L628" s="23"/>
      <c r="M628" s="113" t="s">
        <v>5689</v>
      </c>
      <c r="N628" s="113" t="s">
        <v>5688</v>
      </c>
      <c r="O628" s="113" t="s">
        <v>5690</v>
      </c>
      <c r="P628" s="113" t="b">
        <v>0</v>
      </c>
      <c r="Q628" s="113" t="b">
        <v>0</v>
      </c>
    </row>
    <row r="629" spans="1:17">
      <c r="A629" s="126" t="s">
        <v>6116</v>
      </c>
      <c r="B629" s="113"/>
      <c r="C629" s="113"/>
      <c r="D629" s="113">
        <v>0</v>
      </c>
      <c r="E629" s="113">
        <v>0</v>
      </c>
      <c r="F629" s="113">
        <v>0</v>
      </c>
      <c r="G629" s="113" t="s">
        <v>122</v>
      </c>
      <c r="H629" s="113"/>
      <c r="I629" s="113" t="b">
        <v>0</v>
      </c>
      <c r="J629" s="113" t="b">
        <v>0</v>
      </c>
      <c r="K629" s="113" t="b">
        <v>1</v>
      </c>
      <c r="L629" s="23"/>
      <c r="M629" s="113" t="s">
        <v>5744</v>
      </c>
      <c r="N629" s="126" t="s">
        <v>6116</v>
      </c>
      <c r="O629" s="126" t="s">
        <v>6117</v>
      </c>
      <c r="P629" s="113" t="b">
        <v>0</v>
      </c>
      <c r="Q629" s="113" t="b">
        <v>0</v>
      </c>
    </row>
    <row r="630" spans="1:17">
      <c r="A630" s="126" t="s">
        <v>6118</v>
      </c>
      <c r="B630" s="113"/>
      <c r="C630" s="113"/>
      <c r="D630" s="113">
        <v>0</v>
      </c>
      <c r="E630" s="113">
        <v>0</v>
      </c>
      <c r="F630" s="113">
        <v>0</v>
      </c>
      <c r="G630" s="113" t="s">
        <v>122</v>
      </c>
      <c r="H630" s="113"/>
      <c r="I630" s="113" t="b">
        <v>0</v>
      </c>
      <c r="J630" s="113" t="b">
        <v>0</v>
      </c>
      <c r="K630" s="113" t="b">
        <v>1</v>
      </c>
      <c r="L630" s="23"/>
      <c r="M630" s="113" t="s">
        <v>5743</v>
      </c>
      <c r="N630" s="126" t="s">
        <v>5741</v>
      </c>
      <c r="O630" s="126" t="s">
        <v>6119</v>
      </c>
      <c r="P630" s="113" t="b">
        <v>0</v>
      </c>
      <c r="Q630" s="113" t="b">
        <v>0</v>
      </c>
    </row>
    <row r="631" spans="1:17">
      <c r="A631" s="126" t="s">
        <v>7245</v>
      </c>
      <c r="B631" s="113"/>
      <c r="C631" s="113"/>
      <c r="D631" s="113">
        <v>0</v>
      </c>
      <c r="E631" s="113">
        <v>0</v>
      </c>
      <c r="F631" s="113">
        <v>0</v>
      </c>
      <c r="G631" s="113" t="s">
        <v>122</v>
      </c>
      <c r="H631" s="113"/>
      <c r="I631" s="113" t="b">
        <v>0</v>
      </c>
      <c r="J631" s="113" t="b">
        <v>0</v>
      </c>
      <c r="K631" s="113" t="b">
        <v>1</v>
      </c>
      <c r="L631" s="23"/>
      <c r="M631" s="113" t="s">
        <v>6471</v>
      </c>
      <c r="N631" s="126" t="s">
        <v>6472</v>
      </c>
      <c r="O631" s="126" t="s">
        <v>6473</v>
      </c>
      <c r="P631" s="113" t="b">
        <v>0</v>
      </c>
      <c r="Q631" s="113" t="b">
        <v>0</v>
      </c>
    </row>
    <row r="632" spans="1:17">
      <c r="A632" s="126" t="s">
        <v>6474</v>
      </c>
      <c r="B632" s="113"/>
      <c r="C632" s="113"/>
      <c r="D632" s="113">
        <v>0</v>
      </c>
      <c r="E632" s="113">
        <v>0</v>
      </c>
      <c r="F632" s="113">
        <v>0</v>
      </c>
      <c r="G632" s="113" t="s">
        <v>122</v>
      </c>
      <c r="H632" s="113"/>
      <c r="I632" s="113" t="b">
        <v>0</v>
      </c>
      <c r="J632" s="113" t="b">
        <v>0</v>
      </c>
      <c r="K632" s="113" t="b">
        <v>1</v>
      </c>
      <c r="L632" s="23"/>
      <c r="M632" s="113" t="s">
        <v>6475</v>
      </c>
      <c r="N632" s="126" t="s">
        <v>6474</v>
      </c>
      <c r="O632" s="126" t="s">
        <v>6476</v>
      </c>
      <c r="P632" s="113" t="b">
        <v>0</v>
      </c>
      <c r="Q632" s="113" t="b">
        <v>0</v>
      </c>
    </row>
    <row r="633" spans="1:17">
      <c r="A633" s="126" t="s">
        <v>7500</v>
      </c>
      <c r="B633" s="113"/>
      <c r="C633" s="113"/>
      <c r="D633" s="113">
        <v>0</v>
      </c>
      <c r="E633" s="113">
        <v>0</v>
      </c>
      <c r="F633" s="113">
        <v>0</v>
      </c>
      <c r="G633" s="113" t="s">
        <v>122</v>
      </c>
      <c r="H633" s="113"/>
      <c r="I633" s="113" t="b">
        <v>0</v>
      </c>
      <c r="J633" s="113" t="b">
        <v>0</v>
      </c>
      <c r="K633" s="113" t="b">
        <v>1</v>
      </c>
      <c r="L633" s="23"/>
      <c r="M633" s="113" t="s">
        <v>7474</v>
      </c>
      <c r="N633" s="113" t="s">
        <v>7473</v>
      </c>
      <c r="O633" s="113" t="s">
        <v>7499</v>
      </c>
      <c r="P633" s="113" t="b">
        <v>0</v>
      </c>
      <c r="Q633" s="113" t="b">
        <v>0</v>
      </c>
    </row>
    <row r="634" spans="1:17">
      <c r="A634" s="126" t="s">
        <v>7480</v>
      </c>
      <c r="B634" s="113"/>
      <c r="C634" s="113"/>
      <c r="D634" s="113">
        <v>0</v>
      </c>
      <c r="E634" s="113">
        <v>0</v>
      </c>
      <c r="F634" s="113">
        <v>0</v>
      </c>
      <c r="G634" s="113" t="s">
        <v>122</v>
      </c>
      <c r="H634" s="113"/>
      <c r="I634" s="113" t="b">
        <v>0</v>
      </c>
      <c r="J634" s="113" t="b">
        <v>0</v>
      </c>
      <c r="K634" s="113" t="b">
        <v>1</v>
      </c>
      <c r="L634" s="23"/>
      <c r="M634" s="113" t="s">
        <v>7474</v>
      </c>
      <c r="N634" s="113" t="s">
        <v>7473</v>
      </c>
      <c r="O634" s="113" t="s">
        <v>7486</v>
      </c>
      <c r="P634" s="113" t="b">
        <v>0</v>
      </c>
      <c r="Q634" s="113" t="b">
        <v>0</v>
      </c>
    </row>
    <row r="635" spans="1:17">
      <c r="A635" s="126" t="s">
        <v>7481</v>
      </c>
      <c r="B635" s="113"/>
      <c r="C635" s="113"/>
      <c r="D635" s="113">
        <v>0</v>
      </c>
      <c r="E635" s="113">
        <v>0</v>
      </c>
      <c r="F635" s="113">
        <v>0</v>
      </c>
      <c r="G635" s="113" t="s">
        <v>122</v>
      </c>
      <c r="H635" s="113"/>
      <c r="I635" s="113" t="b">
        <v>0</v>
      </c>
      <c r="J635" s="113" t="b">
        <v>0</v>
      </c>
      <c r="K635" s="113" t="b">
        <v>1</v>
      </c>
      <c r="L635" s="23"/>
      <c r="M635" s="113" t="s">
        <v>7474</v>
      </c>
      <c r="N635" s="113" t="s">
        <v>7472</v>
      </c>
      <c r="O635" s="113" t="s">
        <v>7487</v>
      </c>
      <c r="P635" s="113" t="b">
        <v>0</v>
      </c>
      <c r="Q635" s="113" t="b">
        <v>0</v>
      </c>
    </row>
    <row r="636" spans="1:17">
      <c r="A636" s="126" t="s">
        <v>7482</v>
      </c>
      <c r="B636" s="113"/>
      <c r="C636" s="113"/>
      <c r="D636" s="113">
        <v>0</v>
      </c>
      <c r="E636" s="113">
        <v>0</v>
      </c>
      <c r="F636" s="113">
        <v>0</v>
      </c>
      <c r="G636" s="113" t="s">
        <v>122</v>
      </c>
      <c r="H636" s="113"/>
      <c r="I636" s="113" t="b">
        <v>0</v>
      </c>
      <c r="J636" s="113" t="b">
        <v>0</v>
      </c>
      <c r="K636" s="113" t="b">
        <v>1</v>
      </c>
      <c r="L636" s="23"/>
      <c r="M636" s="113" t="s">
        <v>7474</v>
      </c>
      <c r="N636" s="113" t="s">
        <v>7472</v>
      </c>
      <c r="O636" s="113" t="s">
        <v>7488</v>
      </c>
      <c r="P636" s="113" t="b">
        <v>0</v>
      </c>
      <c r="Q636" s="113" t="b">
        <v>0</v>
      </c>
    </row>
    <row r="637" spans="1:17">
      <c r="A637" s="126" t="s">
        <v>7483</v>
      </c>
      <c r="B637" s="113"/>
      <c r="C637" s="113"/>
      <c r="D637" s="113">
        <v>0</v>
      </c>
      <c r="E637" s="113">
        <v>0</v>
      </c>
      <c r="F637" s="113">
        <v>0</v>
      </c>
      <c r="G637" s="113" t="s">
        <v>122</v>
      </c>
      <c r="H637" s="113"/>
      <c r="I637" s="113" t="b">
        <v>0</v>
      </c>
      <c r="J637" s="113" t="b">
        <v>0</v>
      </c>
      <c r="K637" s="113" t="b">
        <v>1</v>
      </c>
      <c r="L637" s="23"/>
      <c r="M637" s="113" t="s">
        <v>7474</v>
      </c>
      <c r="N637" s="113" t="s">
        <v>7472</v>
      </c>
      <c r="O637" s="113" t="s">
        <v>7489</v>
      </c>
      <c r="P637" s="113" t="b">
        <v>0</v>
      </c>
      <c r="Q637" s="113" t="b">
        <v>0</v>
      </c>
    </row>
    <row r="638" spans="1:17">
      <c r="A638" s="126" t="s">
        <v>7484</v>
      </c>
      <c r="B638" s="113"/>
      <c r="C638" s="113"/>
      <c r="D638" s="113">
        <v>0</v>
      </c>
      <c r="E638" s="113">
        <v>0</v>
      </c>
      <c r="F638" s="113">
        <v>0</v>
      </c>
      <c r="G638" s="113" t="s">
        <v>122</v>
      </c>
      <c r="H638" s="113"/>
      <c r="I638" s="113" t="b">
        <v>0</v>
      </c>
      <c r="J638" s="113" t="b">
        <v>0</v>
      </c>
      <c r="K638" s="113" t="b">
        <v>1</v>
      </c>
      <c r="L638" s="23"/>
      <c r="M638" s="113" t="s">
        <v>7474</v>
      </c>
      <c r="N638" s="113" t="s">
        <v>7472</v>
      </c>
      <c r="O638" s="113" t="s">
        <v>7490</v>
      </c>
      <c r="P638" s="113" t="b">
        <v>0</v>
      </c>
      <c r="Q638" s="113" t="b">
        <v>0</v>
      </c>
    </row>
    <row r="639" spans="1:17">
      <c r="A639" s="126" t="s">
        <v>7485</v>
      </c>
      <c r="B639" s="113"/>
      <c r="C639" s="113"/>
      <c r="D639" s="113">
        <v>0</v>
      </c>
      <c r="E639" s="113">
        <v>0</v>
      </c>
      <c r="F639" s="113">
        <v>0</v>
      </c>
      <c r="G639" s="113" t="s">
        <v>122</v>
      </c>
      <c r="H639" s="113"/>
      <c r="I639" s="113" t="b">
        <v>0</v>
      </c>
      <c r="J639" s="113" t="b">
        <v>0</v>
      </c>
      <c r="K639" s="113" t="b">
        <v>1</v>
      </c>
      <c r="L639" s="23"/>
      <c r="M639" s="113" t="s">
        <v>7474</v>
      </c>
      <c r="N639" s="113" t="s">
        <v>7472</v>
      </c>
      <c r="O639" s="113" t="s">
        <v>7491</v>
      </c>
      <c r="P639" s="113" t="b">
        <v>0</v>
      </c>
      <c r="Q639" s="113" t="b">
        <v>0</v>
      </c>
    </row>
    <row r="640" spans="1:17">
      <c r="A640" s="126" t="s">
        <v>7656</v>
      </c>
      <c r="B640" s="113"/>
      <c r="C640" s="113"/>
      <c r="D640" s="113">
        <v>0</v>
      </c>
      <c r="E640" s="113">
        <v>0</v>
      </c>
      <c r="F640" s="113">
        <v>0</v>
      </c>
      <c r="G640" s="113" t="s">
        <v>122</v>
      </c>
      <c r="H640" s="113"/>
      <c r="I640" s="113" t="b">
        <v>0</v>
      </c>
      <c r="J640" s="113" t="b">
        <v>0</v>
      </c>
      <c r="K640" s="113" t="b">
        <v>1</v>
      </c>
      <c r="L640" s="23"/>
      <c r="M640" s="113" t="s">
        <v>7651</v>
      </c>
      <c r="N640" s="113" t="s">
        <v>7657</v>
      </c>
      <c r="O640" s="113" t="s">
        <v>7658</v>
      </c>
      <c r="P640" s="113" t="b">
        <v>0</v>
      </c>
      <c r="Q640" s="113" t="b">
        <v>0</v>
      </c>
    </row>
    <row r="641" spans="1:17">
      <c r="A641" s="126" t="s">
        <v>7675</v>
      </c>
      <c r="B641" s="113"/>
      <c r="C641" s="113"/>
      <c r="D641" s="113">
        <v>0</v>
      </c>
      <c r="E641" s="113">
        <v>0</v>
      </c>
      <c r="F641" s="113">
        <v>0</v>
      </c>
      <c r="G641" s="113" t="s">
        <v>122</v>
      </c>
      <c r="H641" s="113"/>
      <c r="I641" s="113" t="b">
        <v>0</v>
      </c>
      <c r="J641" s="113" t="b">
        <v>0</v>
      </c>
      <c r="K641" s="113" t="b">
        <v>1</v>
      </c>
      <c r="L641" s="23"/>
      <c r="M641" s="113" t="s">
        <v>7677</v>
      </c>
      <c r="N641" s="126" t="s">
        <v>7678</v>
      </c>
      <c r="O641" s="126" t="s">
        <v>7676</v>
      </c>
      <c r="P641" s="113" t="b">
        <v>0</v>
      </c>
      <c r="Q641" s="113" t="b">
        <v>0</v>
      </c>
    </row>
    <row r="642" spans="1:17">
      <c r="A642" s="126" t="s">
        <v>7673</v>
      </c>
      <c r="B642" s="113"/>
      <c r="C642" s="113"/>
      <c r="D642" s="113">
        <v>0</v>
      </c>
      <c r="E642" s="113">
        <v>0</v>
      </c>
      <c r="F642" s="113">
        <v>0</v>
      </c>
      <c r="G642" s="113" t="s">
        <v>122</v>
      </c>
      <c r="H642" s="113"/>
      <c r="I642" s="113" t="b">
        <v>0</v>
      </c>
      <c r="J642" s="113" t="b">
        <v>0</v>
      </c>
      <c r="K642" s="113" t="b">
        <v>1</v>
      </c>
      <c r="L642" s="23"/>
      <c r="M642" s="113" t="s">
        <v>7672</v>
      </c>
      <c r="N642" s="126" t="s">
        <v>7679</v>
      </c>
      <c r="O642" s="126" t="s">
        <v>7674</v>
      </c>
      <c r="P642" s="113" t="b">
        <v>0</v>
      </c>
      <c r="Q642" s="113" t="b">
        <v>0</v>
      </c>
    </row>
    <row r="643" spans="1:17">
      <c r="A643" s="126" t="s">
        <v>7814</v>
      </c>
      <c r="B643" s="113"/>
      <c r="C643" s="113"/>
      <c r="D643" s="113">
        <v>0</v>
      </c>
      <c r="E643" s="113">
        <v>0</v>
      </c>
      <c r="F643" s="113">
        <v>0</v>
      </c>
      <c r="G643" s="113" t="s">
        <v>122</v>
      </c>
      <c r="H643" s="113"/>
      <c r="I643" s="113" t="b">
        <v>0</v>
      </c>
      <c r="J643" s="113" t="b">
        <v>0</v>
      </c>
      <c r="K643" s="113" t="b">
        <v>0</v>
      </c>
      <c r="L643" s="23"/>
      <c r="M643" s="113" t="s">
        <v>7885</v>
      </c>
      <c r="N643" s="126" t="s">
        <v>7815</v>
      </c>
      <c r="O643" s="113" t="s">
        <v>7816</v>
      </c>
      <c r="P643" s="113" t="b">
        <v>0</v>
      </c>
      <c r="Q643" s="113" t="b">
        <v>0</v>
      </c>
    </row>
    <row r="644" spans="1:17">
      <c r="A644" s="126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23"/>
      <c r="M644" s="113"/>
      <c r="N644" s="113"/>
      <c r="O644" s="113"/>
      <c r="P644" s="113"/>
      <c r="Q644" s="113"/>
    </row>
    <row r="645" spans="1:17">
      <c r="A645" s="126" t="s">
        <v>5691</v>
      </c>
      <c r="B645" s="113"/>
      <c r="C645" s="113"/>
      <c r="D645" s="113">
        <v>0</v>
      </c>
      <c r="E645" s="113">
        <v>0</v>
      </c>
      <c r="F645" s="113">
        <v>0</v>
      </c>
      <c r="G645" s="113" t="s">
        <v>122</v>
      </c>
      <c r="H645" s="113"/>
      <c r="I645" s="113" t="b">
        <v>0</v>
      </c>
      <c r="J645" s="113" t="b">
        <v>0</v>
      </c>
      <c r="K645" s="113" t="b">
        <v>0</v>
      </c>
      <c r="L645" s="23"/>
      <c r="M645" s="113" t="s">
        <v>5610</v>
      </c>
      <c r="N645" s="113" t="s">
        <v>5691</v>
      </c>
      <c r="O645" s="113" t="s">
        <v>5692</v>
      </c>
      <c r="P645" s="113" t="b">
        <v>0</v>
      </c>
      <c r="Q645" s="113" t="b">
        <v>0</v>
      </c>
    </row>
    <row r="646" spans="1:17">
      <c r="A646" s="126" t="s">
        <v>7943</v>
      </c>
      <c r="B646" s="113"/>
      <c r="C646" s="113"/>
      <c r="D646" s="113">
        <v>0</v>
      </c>
      <c r="E646" s="113">
        <v>0</v>
      </c>
      <c r="F646" s="113">
        <v>0</v>
      </c>
      <c r="G646" s="113" t="s">
        <v>122</v>
      </c>
      <c r="H646" s="113"/>
      <c r="I646" s="113" t="b">
        <v>0</v>
      </c>
      <c r="J646" s="113" t="b">
        <v>0</v>
      </c>
      <c r="K646" s="113" t="b">
        <v>0</v>
      </c>
      <c r="L646" s="23"/>
      <c r="M646" s="113" t="s">
        <v>284</v>
      </c>
      <c r="N646" s="113" t="s">
        <v>5693</v>
      </c>
      <c r="O646" s="113" t="s">
        <v>5694</v>
      </c>
      <c r="P646" s="113" t="b">
        <v>0</v>
      </c>
      <c r="Q646" s="113" t="b">
        <v>0</v>
      </c>
    </row>
    <row r="647" spans="1:17">
      <c r="A647" s="126" t="s">
        <v>5695</v>
      </c>
      <c r="B647" s="113"/>
      <c r="C647" s="113"/>
      <c r="D647" s="113">
        <v>0</v>
      </c>
      <c r="E647" s="113">
        <v>0</v>
      </c>
      <c r="F647" s="113">
        <v>0</v>
      </c>
      <c r="G647" s="113" t="s">
        <v>122</v>
      </c>
      <c r="H647" s="113"/>
      <c r="I647" s="113" t="b">
        <v>0</v>
      </c>
      <c r="J647" s="113" t="b">
        <v>0</v>
      </c>
      <c r="K647" s="113" t="b">
        <v>0</v>
      </c>
      <c r="L647" s="23"/>
      <c r="M647" s="113" t="s">
        <v>3341</v>
      </c>
      <c r="N647" s="113" t="s">
        <v>5695</v>
      </c>
      <c r="O647" s="113" t="s">
        <v>5696</v>
      </c>
      <c r="P647" s="113" t="b">
        <v>0</v>
      </c>
      <c r="Q647" s="113" t="b">
        <v>0</v>
      </c>
    </row>
    <row r="648" spans="1:17">
      <c r="A648" s="126" t="s">
        <v>5697</v>
      </c>
      <c r="B648" s="113"/>
      <c r="C648" s="113"/>
      <c r="D648" s="113">
        <v>0</v>
      </c>
      <c r="E648" s="113">
        <v>0</v>
      </c>
      <c r="F648" s="113">
        <v>0</v>
      </c>
      <c r="G648" s="113" t="s">
        <v>122</v>
      </c>
      <c r="H648" s="113"/>
      <c r="I648" s="113" t="b">
        <v>0</v>
      </c>
      <c r="J648" s="113" t="b">
        <v>0</v>
      </c>
      <c r="K648" s="113" t="b">
        <v>0</v>
      </c>
      <c r="L648" s="23"/>
      <c r="M648" s="113" t="s">
        <v>5698</v>
      </c>
      <c r="N648" s="113" t="s">
        <v>5697</v>
      </c>
      <c r="O648" s="113" t="s">
        <v>5699</v>
      </c>
      <c r="P648" s="113" t="b">
        <v>0</v>
      </c>
      <c r="Q648" s="113" t="b">
        <v>0</v>
      </c>
    </row>
    <row r="649" spans="1:17">
      <c r="A649" s="126" t="s">
        <v>5700</v>
      </c>
      <c r="B649" s="113"/>
      <c r="C649" s="113"/>
      <c r="D649" s="113">
        <v>0</v>
      </c>
      <c r="E649" s="113">
        <v>0</v>
      </c>
      <c r="F649" s="113">
        <v>0</v>
      </c>
      <c r="G649" s="113" t="s">
        <v>122</v>
      </c>
      <c r="H649" s="113"/>
      <c r="I649" s="113" t="b">
        <v>0</v>
      </c>
      <c r="J649" s="113" t="b">
        <v>0</v>
      </c>
      <c r="K649" s="113" t="b">
        <v>0</v>
      </c>
      <c r="L649" s="23"/>
      <c r="M649" s="113" t="s">
        <v>5701</v>
      </c>
      <c r="N649" s="113" t="s">
        <v>5700</v>
      </c>
      <c r="O649" s="113" t="s">
        <v>5702</v>
      </c>
      <c r="P649" s="113" t="b">
        <v>0</v>
      </c>
      <c r="Q649" s="113" t="b">
        <v>0</v>
      </c>
    </row>
    <row r="650" spans="1:17">
      <c r="A650" s="126" t="s">
        <v>5703</v>
      </c>
      <c r="B650" s="113"/>
      <c r="C650" s="113"/>
      <c r="D650" s="113">
        <v>0</v>
      </c>
      <c r="E650" s="113">
        <v>0</v>
      </c>
      <c r="F650" s="113">
        <v>0</v>
      </c>
      <c r="G650" s="113" t="s">
        <v>122</v>
      </c>
      <c r="H650" s="113"/>
      <c r="I650" s="113" t="b">
        <v>0</v>
      </c>
      <c r="J650" s="113" t="b">
        <v>0</v>
      </c>
      <c r="K650" s="113" t="b">
        <v>0</v>
      </c>
      <c r="L650" s="23"/>
      <c r="M650" s="113"/>
      <c r="N650" s="113" t="s">
        <v>5703</v>
      </c>
      <c r="O650" s="113" t="s">
        <v>5704</v>
      </c>
      <c r="P650" s="113" t="b">
        <v>0</v>
      </c>
      <c r="Q650" s="113" t="b">
        <v>0</v>
      </c>
    </row>
    <row r="651" spans="1:17">
      <c r="A651" s="126" t="s">
        <v>5705</v>
      </c>
      <c r="B651" s="113"/>
      <c r="C651" s="113"/>
      <c r="D651" s="113">
        <v>0</v>
      </c>
      <c r="E651" s="113">
        <v>0</v>
      </c>
      <c r="F651" s="113">
        <v>0</v>
      </c>
      <c r="G651" s="113" t="s">
        <v>122</v>
      </c>
      <c r="H651" s="113"/>
      <c r="I651" s="113" t="b">
        <v>0</v>
      </c>
      <c r="J651" s="113" t="b">
        <v>0</v>
      </c>
      <c r="K651" s="113" t="b">
        <v>0</v>
      </c>
      <c r="L651" s="23"/>
      <c r="M651" s="113" t="s">
        <v>5706</v>
      </c>
      <c r="N651" s="113" t="s">
        <v>5705</v>
      </c>
      <c r="O651" s="113" t="s">
        <v>5707</v>
      </c>
      <c r="P651" s="113" t="b">
        <v>0</v>
      </c>
      <c r="Q651" s="113" t="b">
        <v>0</v>
      </c>
    </row>
    <row r="652" spans="1:17">
      <c r="A652" s="126" t="s">
        <v>5708</v>
      </c>
      <c r="B652" s="113"/>
      <c r="C652" s="113"/>
      <c r="D652" s="113">
        <v>0</v>
      </c>
      <c r="E652" s="113">
        <v>0</v>
      </c>
      <c r="F652" s="113">
        <v>0</v>
      </c>
      <c r="G652" s="113" t="s">
        <v>122</v>
      </c>
      <c r="H652" s="113"/>
      <c r="I652" s="113" t="b">
        <v>0</v>
      </c>
      <c r="J652" s="113" t="b">
        <v>0</v>
      </c>
      <c r="K652" s="113" t="b">
        <v>0</v>
      </c>
      <c r="L652" s="23"/>
      <c r="M652" s="113" t="s">
        <v>5709</v>
      </c>
      <c r="N652" s="113" t="s">
        <v>5708</v>
      </c>
      <c r="O652" s="113" t="s">
        <v>5710</v>
      </c>
      <c r="P652" s="113" t="b">
        <v>0</v>
      </c>
      <c r="Q652" s="113" t="b">
        <v>0</v>
      </c>
    </row>
    <row r="653" spans="1:17">
      <c r="A653" s="126" t="s">
        <v>5711</v>
      </c>
      <c r="B653" s="113"/>
      <c r="C653" s="113"/>
      <c r="D653" s="113">
        <v>0</v>
      </c>
      <c r="E653" s="113">
        <v>0</v>
      </c>
      <c r="F653" s="113">
        <v>0</v>
      </c>
      <c r="G653" s="113" t="s">
        <v>122</v>
      </c>
      <c r="H653" s="113"/>
      <c r="I653" s="113" t="b">
        <v>0</v>
      </c>
      <c r="J653" s="113" t="b">
        <v>0</v>
      </c>
      <c r="K653" s="113" t="b">
        <v>0</v>
      </c>
      <c r="L653" s="23"/>
      <c r="M653" s="113" t="s">
        <v>147</v>
      </c>
      <c r="N653" s="113" t="s">
        <v>5711</v>
      </c>
      <c r="O653" s="113" t="s">
        <v>7944</v>
      </c>
      <c r="P653" s="113" t="b">
        <v>0</v>
      </c>
      <c r="Q653" s="113" t="b">
        <v>0</v>
      </c>
    </row>
    <row r="654" spans="1:17">
      <c r="A654" s="126" t="s">
        <v>7945</v>
      </c>
      <c r="B654" s="113"/>
      <c r="C654" s="113"/>
      <c r="D654" s="113">
        <v>0</v>
      </c>
      <c r="E654" s="113">
        <v>0</v>
      </c>
      <c r="F654" s="113">
        <v>0</v>
      </c>
      <c r="G654" s="113" t="s">
        <v>122</v>
      </c>
      <c r="H654" s="113"/>
      <c r="I654" s="113" t="b">
        <v>0</v>
      </c>
      <c r="J654" s="113" t="b">
        <v>0</v>
      </c>
      <c r="K654" s="113" t="b">
        <v>0</v>
      </c>
      <c r="L654" s="23"/>
      <c r="M654" s="113" t="s">
        <v>7946</v>
      </c>
      <c r="N654" s="126" t="s">
        <v>7945</v>
      </c>
      <c r="O654" s="113" t="s">
        <v>7947</v>
      </c>
      <c r="P654" s="113" t="b">
        <v>0</v>
      </c>
      <c r="Q654" s="113" t="b">
        <v>0</v>
      </c>
    </row>
    <row r="655" spans="1:17">
      <c r="A655" s="126" t="s">
        <v>7948</v>
      </c>
      <c r="B655" s="113"/>
      <c r="C655" s="113"/>
      <c r="D655" s="113">
        <v>0</v>
      </c>
      <c r="E655" s="113">
        <v>0</v>
      </c>
      <c r="F655" s="113">
        <v>0</v>
      </c>
      <c r="G655" s="113" t="s">
        <v>122</v>
      </c>
      <c r="H655" s="113"/>
      <c r="I655" s="113" t="b">
        <v>0</v>
      </c>
      <c r="J655" s="113" t="b">
        <v>0</v>
      </c>
      <c r="K655" s="113" t="b">
        <v>0</v>
      </c>
      <c r="L655" s="23"/>
      <c r="M655" s="113" t="s">
        <v>7652</v>
      </c>
      <c r="N655" s="126" t="s">
        <v>7948</v>
      </c>
      <c r="O655" s="113" t="s">
        <v>7949</v>
      </c>
      <c r="P655" s="113" t="b">
        <v>0</v>
      </c>
      <c r="Q655" s="113" t="b">
        <v>0</v>
      </c>
    </row>
    <row r="656" spans="1:17">
      <c r="A656" s="126" t="s">
        <v>7807</v>
      </c>
      <c r="B656" s="113"/>
      <c r="C656" s="113"/>
      <c r="D656" s="113">
        <v>0</v>
      </c>
      <c r="E656" s="113">
        <v>0</v>
      </c>
      <c r="F656" s="113">
        <v>0</v>
      </c>
      <c r="G656" s="113" t="s">
        <v>122</v>
      </c>
      <c r="H656" s="113"/>
      <c r="I656" s="113" t="b">
        <v>0</v>
      </c>
      <c r="J656" s="113" t="b">
        <v>0</v>
      </c>
      <c r="K656" s="113" t="b">
        <v>0</v>
      </c>
      <c r="L656" s="23"/>
      <c r="M656" s="113" t="s">
        <v>7883</v>
      </c>
      <c r="N656" s="126" t="s">
        <v>7810</v>
      </c>
      <c r="O656" s="113" t="s">
        <v>7811</v>
      </c>
      <c r="P656" s="113" t="b">
        <v>0</v>
      </c>
      <c r="Q656" s="113" t="b">
        <v>0</v>
      </c>
    </row>
    <row r="657" spans="1:17">
      <c r="A657" s="126" t="s">
        <v>7809</v>
      </c>
      <c r="B657" s="113"/>
      <c r="C657" s="113"/>
      <c r="D657" s="113">
        <v>0</v>
      </c>
      <c r="E657" s="113">
        <v>0</v>
      </c>
      <c r="F657" s="113">
        <v>0</v>
      </c>
      <c r="G657" s="113" t="s">
        <v>122</v>
      </c>
      <c r="H657" s="113"/>
      <c r="I657" s="113" t="b">
        <v>0</v>
      </c>
      <c r="J657" s="113" t="b">
        <v>0</v>
      </c>
      <c r="K657" s="113" t="b">
        <v>0</v>
      </c>
      <c r="L657" s="23"/>
      <c r="M657" s="113" t="s">
        <v>7884</v>
      </c>
      <c r="N657" s="126" t="s">
        <v>7809</v>
      </c>
      <c r="O657" s="113" t="s">
        <v>7812</v>
      </c>
      <c r="P657" s="113" t="b">
        <v>0</v>
      </c>
      <c r="Q657" s="113" t="b">
        <v>0</v>
      </c>
    </row>
    <row r="658" spans="1:17">
      <c r="A658" s="126" t="s">
        <v>8612</v>
      </c>
      <c r="B658" s="113"/>
      <c r="C658" s="113"/>
      <c r="D658" s="113">
        <v>0</v>
      </c>
      <c r="E658" s="113">
        <v>0</v>
      </c>
      <c r="F658" s="113">
        <v>0</v>
      </c>
      <c r="G658" s="113" t="s">
        <v>122</v>
      </c>
      <c r="H658" s="113"/>
      <c r="I658" s="113" t="b">
        <v>0</v>
      </c>
      <c r="J658" s="113" t="b">
        <v>0</v>
      </c>
      <c r="K658" s="113" t="b">
        <v>0</v>
      </c>
      <c r="L658" s="23"/>
      <c r="M658" s="113" t="s">
        <v>8614</v>
      </c>
      <c r="N658" s="126" t="s">
        <v>8616</v>
      </c>
      <c r="O658" s="113" t="s">
        <v>8617</v>
      </c>
      <c r="P658" s="113" t="b">
        <v>0</v>
      </c>
      <c r="Q658" s="113" t="b">
        <v>0</v>
      </c>
    </row>
    <row r="659" spans="1:17">
      <c r="A659" s="126" t="s">
        <v>8613</v>
      </c>
      <c r="B659" s="113"/>
      <c r="C659" s="113"/>
      <c r="D659" s="113">
        <v>0</v>
      </c>
      <c r="E659" s="113">
        <v>0</v>
      </c>
      <c r="F659" s="113">
        <v>0</v>
      </c>
      <c r="G659" s="113" t="s">
        <v>122</v>
      </c>
      <c r="H659" s="113"/>
      <c r="I659" s="113" t="b">
        <v>0</v>
      </c>
      <c r="J659" s="113" t="b">
        <v>0</v>
      </c>
      <c r="K659" s="113" t="b">
        <v>0</v>
      </c>
      <c r="L659" s="23"/>
      <c r="M659" s="113" t="s">
        <v>8615</v>
      </c>
      <c r="N659" s="126" t="s">
        <v>8613</v>
      </c>
      <c r="O659" s="113" t="s">
        <v>8618</v>
      </c>
      <c r="P659" s="113" t="b">
        <v>0</v>
      </c>
      <c r="Q659" s="113" t="b">
        <v>0</v>
      </c>
    </row>
    <row r="660" spans="1:17">
      <c r="A660" s="126" t="s">
        <v>8621</v>
      </c>
      <c r="B660" s="113"/>
      <c r="C660" s="113"/>
      <c r="D660" s="113">
        <v>0</v>
      </c>
      <c r="E660" s="113">
        <v>0</v>
      </c>
      <c r="F660" s="113">
        <v>0</v>
      </c>
      <c r="G660" s="113" t="s">
        <v>122</v>
      </c>
      <c r="H660" s="113"/>
      <c r="I660" s="113" t="b">
        <v>0</v>
      </c>
      <c r="J660" s="113" t="b">
        <v>0</v>
      </c>
      <c r="K660" s="113" t="b">
        <v>0</v>
      </c>
      <c r="L660" s="23"/>
      <c r="M660" s="113" t="s">
        <v>8620</v>
      </c>
      <c r="N660" s="126" t="s">
        <v>8619</v>
      </c>
      <c r="O660" s="113" t="s">
        <v>8622</v>
      </c>
      <c r="P660" s="113" t="b">
        <v>0</v>
      </c>
      <c r="Q660" s="113" t="b">
        <v>0</v>
      </c>
    </row>
  </sheetData>
  <phoneticPr fontId="3" type="noConversion"/>
  <conditionalFormatting sqref="A541 A1:A65 A547:A553 A109:A535 A555:A644 A656:A1048576">
    <cfRule type="duplicateValues" dxfId="585" priority="50"/>
  </conditionalFormatting>
  <conditionalFormatting sqref="A541:XFD541 B536:XFD540 B542:XFD546 A1:XFD65 A547:XFD553 A109:XFD535 A555:XFD644 A656:XFD1048576">
    <cfRule type="cellIs" dxfId="584" priority="51" operator="equal">
      <formula>"Single"</formula>
    </cfRule>
    <cfRule type="cellIs" dxfId="583" priority="52" operator="equal">
      <formula>"Self"</formula>
    </cfRule>
    <cfRule type="containsText" dxfId="582" priority="53" operator="containsText" text="debuff">
      <formula>NOT(ISERROR(SEARCH("debuff",A1)))</formula>
    </cfRule>
    <cfRule type="cellIs" dxfId="581" priority="54" operator="equal">
      <formula>FALSE</formula>
    </cfRule>
    <cfRule type="cellIs" dxfId="580" priority="55" operator="equal">
      <formula>TRUE</formula>
    </cfRule>
    <cfRule type="cellIs" dxfId="579" priority="56" operator="equal">
      <formula>0</formula>
    </cfRule>
  </conditionalFormatting>
  <conditionalFormatting sqref="A536:A540">
    <cfRule type="duplicateValues" dxfId="578" priority="44"/>
  </conditionalFormatting>
  <conditionalFormatting sqref="A536:A540">
    <cfRule type="cellIs" dxfId="577" priority="45" operator="equal">
      <formula>TRUE</formula>
    </cfRule>
    <cfRule type="cellIs" dxfId="576" priority="46" operator="equal">
      <formula>FALSE</formula>
    </cfRule>
    <cfRule type="cellIs" dxfId="575" priority="47" operator="equal">
      <formula>"Single"</formula>
    </cfRule>
    <cfRule type="cellIs" dxfId="574" priority="48" operator="equal">
      <formula>"Self"</formula>
    </cfRule>
    <cfRule type="cellIs" dxfId="573" priority="49" operator="equal">
      <formula>0</formula>
    </cfRule>
  </conditionalFormatting>
  <conditionalFormatting sqref="A542:A546">
    <cfRule type="duplicateValues" dxfId="572" priority="38"/>
  </conditionalFormatting>
  <conditionalFormatting sqref="A542:A546">
    <cfRule type="cellIs" dxfId="571" priority="39" operator="equal">
      <formula>TRUE</formula>
    </cfRule>
    <cfRule type="cellIs" dxfId="570" priority="40" operator="equal">
      <formula>FALSE</formula>
    </cfRule>
    <cfRule type="cellIs" dxfId="569" priority="41" operator="equal">
      <formula>"Single"</formula>
    </cfRule>
    <cfRule type="cellIs" dxfId="568" priority="42" operator="equal">
      <formula>"Self"</formula>
    </cfRule>
    <cfRule type="cellIs" dxfId="567" priority="43" operator="equal">
      <formula>0</formula>
    </cfRule>
  </conditionalFormatting>
  <conditionalFormatting sqref="N656">
    <cfRule type="duplicateValues" dxfId="566" priority="35"/>
  </conditionalFormatting>
  <conditionalFormatting sqref="N657">
    <cfRule type="duplicateValues" dxfId="565" priority="34"/>
  </conditionalFormatting>
  <conditionalFormatting sqref="N656:N657">
    <cfRule type="duplicateValues" dxfId="564" priority="33"/>
  </conditionalFormatting>
  <conditionalFormatting sqref="N643">
    <cfRule type="duplicateValues" dxfId="563" priority="32"/>
  </conditionalFormatting>
  <conditionalFormatting sqref="N643">
    <cfRule type="duplicateValues" dxfId="562" priority="31"/>
  </conditionalFormatting>
  <conditionalFormatting sqref="A66:A108">
    <cfRule type="duplicateValues" dxfId="561" priority="24"/>
  </conditionalFormatting>
  <conditionalFormatting sqref="A66:XFD108">
    <cfRule type="cellIs" dxfId="560" priority="25" operator="equal">
      <formula>"Single"</formula>
    </cfRule>
    <cfRule type="cellIs" dxfId="559" priority="26" operator="equal">
      <formula>"Self"</formula>
    </cfRule>
    <cfRule type="containsText" dxfId="558" priority="27" operator="containsText" text="debuff">
      <formula>NOT(ISERROR(SEARCH("debuff",A66)))</formula>
    </cfRule>
    <cfRule type="cellIs" dxfId="557" priority="28" operator="equal">
      <formula>FALSE</formula>
    </cfRule>
    <cfRule type="cellIs" dxfId="556" priority="29" operator="equal">
      <formula>TRUE</formula>
    </cfRule>
    <cfRule type="cellIs" dxfId="555" priority="30" operator="equal">
      <formula>0</formula>
    </cfRule>
  </conditionalFormatting>
  <conditionalFormatting sqref="A554">
    <cfRule type="duplicateValues" dxfId="554" priority="17"/>
  </conditionalFormatting>
  <conditionalFormatting sqref="A554:XFD554">
    <cfRule type="cellIs" dxfId="553" priority="18" operator="equal">
      <formula>"Single"</formula>
    </cfRule>
    <cfRule type="cellIs" dxfId="552" priority="19" operator="equal">
      <formula>"Self"</formula>
    </cfRule>
    <cfRule type="containsText" dxfId="551" priority="20" operator="containsText" text="debuff">
      <formula>NOT(ISERROR(SEARCH("debuff",A554)))</formula>
    </cfRule>
    <cfRule type="cellIs" dxfId="550" priority="21" operator="equal">
      <formula>FALSE</formula>
    </cfRule>
    <cfRule type="cellIs" dxfId="549" priority="22" operator="equal">
      <formula>TRUE</formula>
    </cfRule>
    <cfRule type="cellIs" dxfId="548" priority="23" operator="equal">
      <formula>0</formula>
    </cfRule>
  </conditionalFormatting>
  <conditionalFormatting sqref="A645:A655">
    <cfRule type="duplicateValues" dxfId="547" priority="10"/>
  </conditionalFormatting>
  <conditionalFormatting sqref="A645:XFD655">
    <cfRule type="cellIs" dxfId="546" priority="11" operator="equal">
      <formula>"Single"</formula>
    </cfRule>
    <cfRule type="cellIs" dxfId="545" priority="12" operator="equal">
      <formula>"Self"</formula>
    </cfRule>
    <cfRule type="containsText" dxfId="544" priority="13" operator="containsText" text="debuff">
      <formula>NOT(ISERROR(SEARCH("debuff",A645)))</formula>
    </cfRule>
    <cfRule type="cellIs" dxfId="543" priority="14" operator="equal">
      <formula>FALSE</formula>
    </cfRule>
    <cfRule type="cellIs" dxfId="542" priority="15" operator="equal">
      <formula>TRUE</formula>
    </cfRule>
    <cfRule type="cellIs" dxfId="541" priority="16" operator="equal">
      <formula>0</formula>
    </cfRule>
  </conditionalFormatting>
  <conditionalFormatting sqref="N654">
    <cfRule type="duplicateValues" dxfId="540" priority="9"/>
  </conditionalFormatting>
  <conditionalFormatting sqref="N655">
    <cfRule type="duplicateValues" dxfId="539" priority="8"/>
  </conditionalFormatting>
  <conditionalFormatting sqref="N658">
    <cfRule type="duplicateValues" dxfId="538" priority="7"/>
  </conditionalFormatting>
  <conditionalFormatting sqref="N659">
    <cfRule type="duplicateValues" dxfId="537" priority="6"/>
  </conditionalFormatting>
  <conditionalFormatting sqref="N658:N659">
    <cfRule type="duplicateValues" dxfId="536" priority="5"/>
  </conditionalFormatting>
  <conditionalFormatting sqref="N658:N659">
    <cfRule type="duplicateValues" dxfId="535" priority="4"/>
  </conditionalFormatting>
  <conditionalFormatting sqref="N660">
    <cfRule type="duplicateValues" dxfId="534" priority="3"/>
  </conditionalFormatting>
  <conditionalFormatting sqref="N660">
    <cfRule type="duplicateValues" dxfId="533" priority="2"/>
  </conditionalFormatting>
  <conditionalFormatting sqref="N660">
    <cfRule type="duplicateValues" dxfId="532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R641"/>
  <sheetViews>
    <sheetView zoomScale="85" zoomScaleNormal="85" workbookViewId="0">
      <pane xSplit="1" ySplit="4" topLeftCell="B375" activePane="bottomRight" state="frozen"/>
      <selection pane="topRight" activeCell="B1" sqref="B1"/>
      <selection pane="bottomLeft" activeCell="A4" sqref="A4"/>
      <selection pane="bottomRight" activeCell="A395" sqref="A395"/>
    </sheetView>
  </sheetViews>
  <sheetFormatPr defaultRowHeight="16.5"/>
  <cols>
    <col min="1" max="1" width="40" bestFit="1" customWidth="1"/>
    <col min="2" max="2" width="17.875" bestFit="1" customWidth="1"/>
    <col min="3" max="3" width="16.25" bestFit="1" customWidth="1"/>
    <col min="4" max="4" width="10.125" bestFit="1" customWidth="1"/>
    <col min="5" max="5" width="16.25" customWidth="1"/>
    <col min="6" max="6" width="16.5" bestFit="1" customWidth="1"/>
    <col min="7" max="7" width="9.625" bestFit="1" customWidth="1"/>
    <col min="8" max="8" width="10.375" bestFit="1" customWidth="1"/>
    <col min="9" max="9" width="13.25" bestFit="1" customWidth="1"/>
    <col min="10" max="10" width="17.5" customWidth="1"/>
    <col min="11" max="11" width="20.125" bestFit="1" customWidth="1"/>
    <col min="12" max="12" width="37.125" customWidth="1"/>
    <col min="13" max="13" width="13.25" customWidth="1"/>
    <col min="14" max="14" width="75.125" bestFit="1" customWidth="1"/>
    <col min="15" max="15" width="9.125" bestFit="1" customWidth="1"/>
    <col min="16" max="16" width="9" bestFit="1" customWidth="1"/>
    <col min="17" max="19" width="9.625" bestFit="1" customWidth="1"/>
    <col min="20" max="20" width="21.125" bestFit="1" customWidth="1"/>
    <col min="21" max="21" width="9.625" bestFit="1" customWidth="1"/>
  </cols>
  <sheetData>
    <row r="1" spans="1:18" ht="33" customHeight="1">
      <c r="A1" s="1" t="s">
        <v>0</v>
      </c>
      <c r="B1" s="3" t="s">
        <v>1</v>
      </c>
      <c r="C1" s="3" t="s">
        <v>2</v>
      </c>
      <c r="D1" s="3" t="s">
        <v>1323</v>
      </c>
      <c r="E1" s="3" t="s">
        <v>1327</v>
      </c>
      <c r="F1" s="4" t="s">
        <v>178</v>
      </c>
      <c r="G1" s="4" t="s">
        <v>179</v>
      </c>
      <c r="H1" s="4" t="s">
        <v>180</v>
      </c>
      <c r="I1" s="4" t="s">
        <v>181</v>
      </c>
      <c r="J1" s="63" t="s">
        <v>834</v>
      </c>
      <c r="K1" s="63" t="s">
        <v>180</v>
      </c>
      <c r="L1" s="63" t="s">
        <v>835</v>
      </c>
      <c r="M1" s="63" t="s">
        <v>836</v>
      </c>
      <c r="N1" s="8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>
      <c r="A2" s="1" t="s">
        <v>17</v>
      </c>
      <c r="B2" s="3" t="s">
        <v>18</v>
      </c>
      <c r="C2" s="3" t="s">
        <v>19</v>
      </c>
      <c r="D2" s="3" t="s">
        <v>1321</v>
      </c>
      <c r="E2" s="3" t="s">
        <v>1319</v>
      </c>
      <c r="F2" s="4" t="s">
        <v>187</v>
      </c>
      <c r="G2" s="4" t="s">
        <v>188</v>
      </c>
      <c r="H2" s="4" t="s">
        <v>189</v>
      </c>
      <c r="I2" s="4" t="s">
        <v>190</v>
      </c>
      <c r="J2" s="63" t="s">
        <v>881</v>
      </c>
      <c r="K2" s="63" t="s">
        <v>885</v>
      </c>
      <c r="L2" s="63" t="s">
        <v>887</v>
      </c>
      <c r="M2" s="63" t="s">
        <v>888</v>
      </c>
      <c r="N2" s="8" t="s">
        <v>191</v>
      </c>
      <c r="O2" s="1" t="s">
        <v>192</v>
      </c>
      <c r="P2" s="1" t="s">
        <v>193</v>
      </c>
      <c r="Q2" s="1" t="s">
        <v>30</v>
      </c>
      <c r="R2" s="1" t="s">
        <v>194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3" t="s">
        <v>1325</v>
      </c>
      <c r="F3" s="4" t="s">
        <v>187</v>
      </c>
      <c r="G3" s="4" t="s">
        <v>188</v>
      </c>
      <c r="H3" s="4" t="s">
        <v>195</v>
      </c>
      <c r="I3" s="4" t="s">
        <v>37</v>
      </c>
      <c r="J3" s="63" t="s">
        <v>882</v>
      </c>
      <c r="K3" s="63" t="s">
        <v>886</v>
      </c>
      <c r="L3" s="63" t="s">
        <v>886</v>
      </c>
      <c r="M3" s="63" t="s">
        <v>886</v>
      </c>
      <c r="N3" s="8" t="s">
        <v>196</v>
      </c>
      <c r="O3" s="1" t="s">
        <v>37</v>
      </c>
      <c r="P3" s="1" t="s">
        <v>37</v>
      </c>
      <c r="Q3" s="1" t="s">
        <v>36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3" t="s">
        <v>42</v>
      </c>
      <c r="F4" s="4" t="s">
        <v>42</v>
      </c>
      <c r="G4" s="4" t="s">
        <v>42</v>
      </c>
      <c r="H4" s="4" t="s">
        <v>42</v>
      </c>
      <c r="I4" s="4" t="s">
        <v>42</v>
      </c>
      <c r="J4" s="63" t="s">
        <v>884</v>
      </c>
      <c r="K4" s="63" t="s">
        <v>883</v>
      </c>
      <c r="L4" s="63" t="s">
        <v>883</v>
      </c>
      <c r="M4" s="63" t="s">
        <v>883</v>
      </c>
      <c r="N4" s="8" t="s">
        <v>42</v>
      </c>
      <c r="O4" s="1" t="s">
        <v>42</v>
      </c>
      <c r="P4" s="1" t="s">
        <v>42</v>
      </c>
      <c r="Q4" s="1" t="s">
        <v>43</v>
      </c>
      <c r="R4" s="1" t="s">
        <v>42</v>
      </c>
    </row>
    <row r="5" spans="1:18">
      <c r="A5" s="11" t="s">
        <v>122</v>
      </c>
      <c r="B5" s="11"/>
      <c r="C5" s="11"/>
      <c r="D5" s="11">
        <v>0</v>
      </c>
      <c r="E5" s="11">
        <v>1</v>
      </c>
      <c r="F5" s="11" t="s">
        <v>197</v>
      </c>
      <c r="G5" s="11" t="s">
        <v>198</v>
      </c>
      <c r="H5" s="11"/>
      <c r="I5" s="11">
        <v>0</v>
      </c>
      <c r="J5" s="11" t="s">
        <v>837</v>
      </c>
      <c r="K5" s="11"/>
      <c r="L5" s="11"/>
      <c r="M5" s="11"/>
      <c r="N5" s="33" t="str">
        <f t="shared" ref="N5:N71" si="0">J5&amp;"("&amp;IF(K5="","",K5)&amp;IF(L5="","",", "&amp;L5)&amp;IF(M5="","",", "&amp;M5)&amp;")"</f>
        <v>None()</v>
      </c>
      <c r="O5" s="11">
        <v>0</v>
      </c>
      <c r="P5" s="11">
        <v>0</v>
      </c>
      <c r="Q5" s="11"/>
      <c r="R5" s="114" t="b">
        <v>0</v>
      </c>
    </row>
    <row r="6" spans="1:18">
      <c r="A6" s="33" t="s">
        <v>44</v>
      </c>
      <c r="B6" s="110"/>
      <c r="C6" s="110"/>
      <c r="D6" s="110">
        <v>0</v>
      </c>
      <c r="E6" s="110">
        <v>1</v>
      </c>
      <c r="F6" s="115" t="s">
        <v>197</v>
      </c>
      <c r="G6" s="116" t="s">
        <v>198</v>
      </c>
      <c r="H6" s="11"/>
      <c r="I6" s="11">
        <v>0</v>
      </c>
      <c r="J6" s="11" t="s">
        <v>837</v>
      </c>
      <c r="K6" s="11"/>
      <c r="L6" s="11"/>
      <c r="M6" s="11"/>
      <c r="N6" s="33" t="str">
        <f t="shared" si="0"/>
        <v>None()</v>
      </c>
      <c r="O6" s="11">
        <v>0</v>
      </c>
      <c r="P6" s="11">
        <v>0</v>
      </c>
      <c r="Q6" s="11"/>
      <c r="R6" s="11" t="b">
        <v>1</v>
      </c>
    </row>
    <row r="7" spans="1:18">
      <c r="A7" s="33" t="s">
        <v>46</v>
      </c>
      <c r="B7" s="111"/>
      <c r="C7" s="111"/>
      <c r="D7" s="111">
        <v>0</v>
      </c>
      <c r="E7" s="111">
        <v>1</v>
      </c>
      <c r="F7" s="116" t="s">
        <v>197</v>
      </c>
      <c r="G7" s="116" t="s">
        <v>198</v>
      </c>
      <c r="H7" s="11"/>
      <c r="I7" s="11">
        <v>0</v>
      </c>
      <c r="J7" s="11" t="s">
        <v>838</v>
      </c>
      <c r="K7" s="11" t="s">
        <v>839</v>
      </c>
      <c r="L7" s="11">
        <v>1000</v>
      </c>
      <c r="M7" s="11"/>
      <c r="N7" s="33" t="str">
        <f t="shared" si="0"/>
        <v>Status(DamageDerate, 1000)</v>
      </c>
      <c r="O7" s="11">
        <v>0</v>
      </c>
      <c r="P7" s="11">
        <v>0</v>
      </c>
      <c r="Q7" s="11"/>
      <c r="R7" s="11" t="b">
        <v>1</v>
      </c>
    </row>
    <row r="8" spans="1:18">
      <c r="A8" s="33" t="s">
        <v>49</v>
      </c>
      <c r="B8" s="111"/>
      <c r="C8" s="111"/>
      <c r="D8" s="111">
        <v>0</v>
      </c>
      <c r="E8" s="111">
        <v>1</v>
      </c>
      <c r="F8" s="116" t="s">
        <v>197</v>
      </c>
      <c r="G8" s="116" t="s">
        <v>198</v>
      </c>
      <c r="H8" s="11"/>
      <c r="I8" s="11">
        <v>0</v>
      </c>
      <c r="J8" s="11" t="s">
        <v>838</v>
      </c>
      <c r="K8" s="11" t="s">
        <v>839</v>
      </c>
      <c r="L8" s="11">
        <v>-1000</v>
      </c>
      <c r="M8" s="11"/>
      <c r="N8" s="33" t="str">
        <f t="shared" si="0"/>
        <v>Status(DamageDerate, -1000)</v>
      </c>
      <c r="O8" s="11">
        <v>0</v>
      </c>
      <c r="P8" s="11">
        <v>0</v>
      </c>
      <c r="Q8" s="11"/>
      <c r="R8" s="11" t="b">
        <v>1</v>
      </c>
    </row>
    <row r="9" spans="1:18">
      <c r="A9" s="30" t="s">
        <v>4768</v>
      </c>
      <c r="B9" s="30"/>
      <c r="C9" s="30"/>
      <c r="D9" s="30">
        <v>0</v>
      </c>
      <c r="E9" s="30">
        <v>1</v>
      </c>
      <c r="F9" s="30" t="s">
        <v>197</v>
      </c>
      <c r="G9" s="30" t="s">
        <v>198</v>
      </c>
      <c r="H9" s="30"/>
      <c r="I9" s="30">
        <v>0</v>
      </c>
      <c r="J9" s="30" t="s">
        <v>840</v>
      </c>
      <c r="K9" s="30" t="s">
        <v>841</v>
      </c>
      <c r="L9" s="30">
        <v>100</v>
      </c>
      <c r="M9" s="30"/>
      <c r="N9" s="30" t="str">
        <f t="shared" si="0"/>
        <v>DebuffResist(CrowdControl, 100)</v>
      </c>
      <c r="O9" s="30">
        <v>0</v>
      </c>
      <c r="P9" s="30">
        <v>0</v>
      </c>
      <c r="Q9" s="30"/>
      <c r="R9" s="30" t="b">
        <v>1</v>
      </c>
    </row>
    <row r="10" spans="1:18">
      <c r="A10" s="30" t="s">
        <v>4514</v>
      </c>
      <c r="B10" s="30"/>
      <c r="C10" s="30"/>
      <c r="D10" s="30">
        <v>0</v>
      </c>
      <c r="E10" s="30">
        <v>1</v>
      </c>
      <c r="F10" s="30" t="s">
        <v>197</v>
      </c>
      <c r="G10" s="30" t="s">
        <v>198</v>
      </c>
      <c r="H10" s="30"/>
      <c r="I10" s="30">
        <v>0</v>
      </c>
      <c r="J10" s="30" t="s">
        <v>840</v>
      </c>
      <c r="K10" s="30" t="s">
        <v>418</v>
      </c>
      <c r="L10" s="30">
        <v>100</v>
      </c>
      <c r="M10" s="30"/>
      <c r="N10" s="30" t="str">
        <f t="shared" si="0"/>
        <v>DebuffResist(All, 100)</v>
      </c>
      <c r="O10" s="30">
        <v>0</v>
      </c>
      <c r="P10" s="30">
        <v>0</v>
      </c>
      <c r="Q10" s="30"/>
      <c r="R10" s="30" t="b">
        <v>1</v>
      </c>
    </row>
    <row r="11" spans="1:18">
      <c r="A11" s="33" t="s">
        <v>4513</v>
      </c>
      <c r="B11" s="33"/>
      <c r="C11" s="33"/>
      <c r="D11" s="33">
        <v>0</v>
      </c>
      <c r="E11" s="33">
        <v>1</v>
      </c>
      <c r="F11" s="117" t="s">
        <v>197</v>
      </c>
      <c r="G11" s="117" t="s">
        <v>198</v>
      </c>
      <c r="H11" s="33"/>
      <c r="I11" s="118">
        <v>0</v>
      </c>
      <c r="J11" s="118" t="s">
        <v>842</v>
      </c>
      <c r="K11" s="118" t="s">
        <v>837</v>
      </c>
      <c r="L11" s="118">
        <v>1000</v>
      </c>
      <c r="M11" s="118"/>
      <c r="N11" s="33" t="str">
        <f t="shared" si="0"/>
        <v>CCResist(None, 1000)</v>
      </c>
      <c r="O11" s="33">
        <v>0</v>
      </c>
      <c r="P11" s="33">
        <v>0</v>
      </c>
      <c r="Q11" s="33"/>
      <c r="R11" s="33" t="b">
        <v>1</v>
      </c>
    </row>
    <row r="12" spans="1:18">
      <c r="A12" s="33" t="s">
        <v>199</v>
      </c>
      <c r="B12" s="33"/>
      <c r="C12" s="33"/>
      <c r="D12" s="33">
        <v>0</v>
      </c>
      <c r="E12" s="33">
        <v>1</v>
      </c>
      <c r="F12" s="117" t="s">
        <v>197</v>
      </c>
      <c r="G12" s="117" t="s">
        <v>198</v>
      </c>
      <c r="H12" s="33"/>
      <c r="I12" s="118">
        <v>0</v>
      </c>
      <c r="J12" s="118" t="s">
        <v>842</v>
      </c>
      <c r="K12" s="118" t="s">
        <v>843</v>
      </c>
      <c r="L12" s="118">
        <v>1000</v>
      </c>
      <c r="M12" s="118"/>
      <c r="N12" s="33" t="str">
        <f t="shared" si="0"/>
        <v>CCResist(Silence, 1000)</v>
      </c>
      <c r="O12" s="33">
        <v>0</v>
      </c>
      <c r="P12" s="33">
        <v>0</v>
      </c>
      <c r="Q12" s="33"/>
      <c r="R12" s="33" t="b">
        <v>1</v>
      </c>
    </row>
    <row r="13" spans="1:18">
      <c r="A13" s="33" t="s">
        <v>200</v>
      </c>
      <c r="B13" s="33"/>
      <c r="C13" s="33"/>
      <c r="D13" s="33">
        <v>0</v>
      </c>
      <c r="E13" s="33">
        <v>1</v>
      </c>
      <c r="F13" s="117" t="s">
        <v>197</v>
      </c>
      <c r="G13" s="117" t="s">
        <v>198</v>
      </c>
      <c r="H13" s="33"/>
      <c r="I13" s="118">
        <v>0</v>
      </c>
      <c r="J13" s="118" t="s">
        <v>842</v>
      </c>
      <c r="K13" s="118" t="s">
        <v>844</v>
      </c>
      <c r="L13" s="118">
        <v>1000</v>
      </c>
      <c r="M13" s="118"/>
      <c r="N13" s="33" t="str">
        <f t="shared" si="0"/>
        <v>CCResist(Blind, 1000)</v>
      </c>
      <c r="O13" s="33">
        <v>0</v>
      </c>
      <c r="P13" s="33">
        <v>0</v>
      </c>
      <c r="Q13" s="33"/>
      <c r="R13" s="33" t="b">
        <v>1</v>
      </c>
    </row>
    <row r="14" spans="1:18">
      <c r="A14" s="33" t="s">
        <v>201</v>
      </c>
      <c r="B14" s="33"/>
      <c r="C14" s="33"/>
      <c r="D14" s="33">
        <v>0</v>
      </c>
      <c r="E14" s="33">
        <v>1</v>
      </c>
      <c r="F14" s="117" t="s">
        <v>197</v>
      </c>
      <c r="G14" s="117" t="s">
        <v>198</v>
      </c>
      <c r="H14" s="33"/>
      <c r="I14" s="118">
        <v>0</v>
      </c>
      <c r="J14" s="118" t="s">
        <v>842</v>
      </c>
      <c r="K14" s="118" t="s">
        <v>845</v>
      </c>
      <c r="L14" s="118">
        <v>1000</v>
      </c>
      <c r="M14" s="118"/>
      <c r="N14" s="33" t="str">
        <f t="shared" si="0"/>
        <v>CCResist(Bind, 1000)</v>
      </c>
      <c r="O14" s="33">
        <v>0</v>
      </c>
      <c r="P14" s="33">
        <v>0</v>
      </c>
      <c r="Q14" s="33"/>
      <c r="R14" s="33" t="b">
        <v>1</v>
      </c>
    </row>
    <row r="15" spans="1:18">
      <c r="A15" s="33" t="s">
        <v>202</v>
      </c>
      <c r="B15" s="33"/>
      <c r="C15" s="33"/>
      <c r="D15" s="33">
        <v>0</v>
      </c>
      <c r="E15" s="33">
        <v>1</v>
      </c>
      <c r="F15" s="117" t="s">
        <v>197</v>
      </c>
      <c r="G15" s="117" t="s">
        <v>198</v>
      </c>
      <c r="H15" s="33"/>
      <c r="I15" s="118">
        <v>0</v>
      </c>
      <c r="J15" s="118" t="s">
        <v>842</v>
      </c>
      <c r="K15" s="118" t="s">
        <v>846</v>
      </c>
      <c r="L15" s="118">
        <v>1000</v>
      </c>
      <c r="M15" s="118"/>
      <c r="N15" s="33" t="str">
        <f t="shared" si="0"/>
        <v>CCResist(Wound, 1000)</v>
      </c>
      <c r="O15" s="33">
        <v>0</v>
      </c>
      <c r="P15" s="33">
        <v>0</v>
      </c>
      <c r="Q15" s="33"/>
      <c r="R15" s="33" t="b">
        <v>1</v>
      </c>
    </row>
    <row r="16" spans="1:18">
      <c r="A16" s="33" t="s">
        <v>203</v>
      </c>
      <c r="B16" s="33"/>
      <c r="C16" s="33"/>
      <c r="D16" s="33">
        <v>0</v>
      </c>
      <c r="E16" s="33">
        <v>1</v>
      </c>
      <c r="F16" s="117" t="s">
        <v>197</v>
      </c>
      <c r="G16" s="117" t="s">
        <v>198</v>
      </c>
      <c r="H16" s="33"/>
      <c r="I16" s="118">
        <v>0</v>
      </c>
      <c r="J16" s="118" t="s">
        <v>842</v>
      </c>
      <c r="K16" s="118" t="s">
        <v>847</v>
      </c>
      <c r="L16" s="118">
        <v>1000</v>
      </c>
      <c r="M16" s="118"/>
      <c r="N16" s="33" t="str">
        <f t="shared" si="0"/>
        <v>CCResist(Sleep, 1000)</v>
      </c>
      <c r="O16" s="33">
        <v>0</v>
      </c>
      <c r="P16" s="33">
        <v>0</v>
      </c>
      <c r="Q16" s="33"/>
      <c r="R16" s="33" t="b">
        <v>1</v>
      </c>
    </row>
    <row r="17" spans="1:18">
      <c r="A17" s="33" t="s">
        <v>204</v>
      </c>
      <c r="B17" s="33"/>
      <c r="C17" s="33"/>
      <c r="D17" s="33">
        <v>0</v>
      </c>
      <c r="E17" s="33">
        <v>1</v>
      </c>
      <c r="F17" s="117" t="s">
        <v>197</v>
      </c>
      <c r="G17" s="117" t="s">
        <v>198</v>
      </c>
      <c r="H17" s="33"/>
      <c r="I17" s="118">
        <v>0</v>
      </c>
      <c r="J17" s="118" t="s">
        <v>842</v>
      </c>
      <c r="K17" s="118" t="s">
        <v>848</v>
      </c>
      <c r="L17" s="118">
        <v>1000</v>
      </c>
      <c r="M17" s="118"/>
      <c r="N17" s="33" t="str">
        <f t="shared" si="0"/>
        <v>CCResist(Stun, 1000)</v>
      </c>
      <c r="O17" s="33">
        <v>0</v>
      </c>
      <c r="P17" s="33">
        <v>0</v>
      </c>
      <c r="Q17" s="33"/>
      <c r="R17" s="33" t="b">
        <v>1</v>
      </c>
    </row>
    <row r="18" spans="1:18">
      <c r="A18" s="33" t="s">
        <v>205</v>
      </c>
      <c r="B18" s="33"/>
      <c r="C18" s="33"/>
      <c r="D18" s="33">
        <v>0</v>
      </c>
      <c r="E18" s="33">
        <v>1</v>
      </c>
      <c r="F18" s="117" t="s">
        <v>197</v>
      </c>
      <c r="G18" s="117" t="s">
        <v>198</v>
      </c>
      <c r="H18" s="33"/>
      <c r="I18" s="118">
        <v>0</v>
      </c>
      <c r="J18" s="118" t="s">
        <v>842</v>
      </c>
      <c r="K18" s="118" t="s">
        <v>849</v>
      </c>
      <c r="L18" s="118">
        <v>1000</v>
      </c>
      <c r="M18" s="118"/>
      <c r="N18" s="33" t="str">
        <f t="shared" si="0"/>
        <v>CCResist(Shock, 1000)</v>
      </c>
      <c r="O18" s="33">
        <v>0</v>
      </c>
      <c r="P18" s="33">
        <v>0</v>
      </c>
      <c r="Q18" s="33"/>
      <c r="R18" s="33" t="b">
        <v>1</v>
      </c>
    </row>
    <row r="19" spans="1:18">
      <c r="A19" s="33" t="s">
        <v>206</v>
      </c>
      <c r="B19" s="33"/>
      <c r="C19" s="33"/>
      <c r="D19" s="33">
        <v>0</v>
      </c>
      <c r="E19" s="33">
        <v>1</v>
      </c>
      <c r="F19" s="117" t="s">
        <v>197</v>
      </c>
      <c r="G19" s="117" t="s">
        <v>198</v>
      </c>
      <c r="H19" s="33"/>
      <c r="I19" s="118">
        <v>0</v>
      </c>
      <c r="J19" s="118" t="s">
        <v>842</v>
      </c>
      <c r="K19" s="118" t="s">
        <v>850</v>
      </c>
      <c r="L19" s="118">
        <v>1000</v>
      </c>
      <c r="M19" s="118"/>
      <c r="N19" s="33" t="str">
        <f t="shared" si="0"/>
        <v>CCResist(Paralysis, 1000)</v>
      </c>
      <c r="O19" s="33">
        <v>0</v>
      </c>
      <c r="P19" s="33">
        <v>0</v>
      </c>
      <c r="Q19" s="33"/>
      <c r="R19" s="33" t="b">
        <v>1</v>
      </c>
    </row>
    <row r="20" spans="1:18">
      <c r="A20" s="33" t="s">
        <v>207</v>
      </c>
      <c r="B20" s="33"/>
      <c r="C20" s="33"/>
      <c r="D20" s="33">
        <v>0</v>
      </c>
      <c r="E20" s="33">
        <v>1</v>
      </c>
      <c r="F20" s="117" t="s">
        <v>197</v>
      </c>
      <c r="G20" s="117" t="s">
        <v>198</v>
      </c>
      <c r="H20" s="33"/>
      <c r="I20" s="118">
        <v>0</v>
      </c>
      <c r="J20" s="118" t="s">
        <v>842</v>
      </c>
      <c r="K20" s="118" t="s">
        <v>851</v>
      </c>
      <c r="L20" s="118">
        <v>1000</v>
      </c>
      <c r="M20" s="118"/>
      <c r="N20" s="33" t="str">
        <f t="shared" si="0"/>
        <v>CCResist(Fear, 1000)</v>
      </c>
      <c r="O20" s="33">
        <v>0</v>
      </c>
      <c r="P20" s="33">
        <v>0</v>
      </c>
      <c r="Q20" s="33"/>
      <c r="R20" s="33" t="b">
        <v>1</v>
      </c>
    </row>
    <row r="21" spans="1:18">
      <c r="A21" s="33" t="s">
        <v>208</v>
      </c>
      <c r="B21" s="33"/>
      <c r="C21" s="33"/>
      <c r="D21" s="33">
        <v>0</v>
      </c>
      <c r="E21" s="33">
        <v>1</v>
      </c>
      <c r="F21" s="117" t="s">
        <v>197</v>
      </c>
      <c r="G21" s="117" t="s">
        <v>198</v>
      </c>
      <c r="H21" s="33"/>
      <c r="I21" s="118">
        <v>0</v>
      </c>
      <c r="J21" s="118" t="s">
        <v>842</v>
      </c>
      <c r="K21" s="118" t="s">
        <v>852</v>
      </c>
      <c r="L21" s="118">
        <v>1000</v>
      </c>
      <c r="M21" s="118"/>
      <c r="N21" s="33" t="str">
        <f t="shared" si="0"/>
        <v>CCResist(Charm, 1000)</v>
      </c>
      <c r="O21" s="33">
        <v>0</v>
      </c>
      <c r="P21" s="33">
        <v>0</v>
      </c>
      <c r="Q21" s="33"/>
      <c r="R21" s="33" t="b">
        <v>1</v>
      </c>
    </row>
    <row r="22" spans="1:18">
      <c r="A22" s="33" t="s">
        <v>209</v>
      </c>
      <c r="B22" s="33"/>
      <c r="C22" s="33"/>
      <c r="D22" s="33">
        <v>0</v>
      </c>
      <c r="E22" s="33">
        <v>1</v>
      </c>
      <c r="F22" s="117" t="s">
        <v>197</v>
      </c>
      <c r="G22" s="117" t="s">
        <v>198</v>
      </c>
      <c r="H22" s="33"/>
      <c r="I22" s="118">
        <v>0</v>
      </c>
      <c r="J22" s="118" t="s">
        <v>842</v>
      </c>
      <c r="K22" s="118" t="s">
        <v>853</v>
      </c>
      <c r="L22" s="118">
        <v>1000</v>
      </c>
      <c r="M22" s="118"/>
      <c r="N22" s="33" t="str">
        <f t="shared" si="0"/>
        <v>CCResist(Knockback, 1000)</v>
      </c>
      <c r="O22" s="33">
        <v>0</v>
      </c>
      <c r="P22" s="33">
        <v>0</v>
      </c>
      <c r="Q22" s="33"/>
      <c r="R22" s="33" t="b">
        <v>1</v>
      </c>
    </row>
    <row r="23" spans="1:18">
      <c r="A23" s="33" t="s">
        <v>210</v>
      </c>
      <c r="B23" s="33"/>
      <c r="C23" s="33"/>
      <c r="D23" s="33">
        <v>0</v>
      </c>
      <c r="E23" s="33">
        <v>1</v>
      </c>
      <c r="F23" s="117" t="s">
        <v>197</v>
      </c>
      <c r="G23" s="117" t="s">
        <v>198</v>
      </c>
      <c r="H23" s="33"/>
      <c r="I23" s="118">
        <v>0</v>
      </c>
      <c r="J23" s="118" t="s">
        <v>842</v>
      </c>
      <c r="K23" s="117" t="s">
        <v>4368</v>
      </c>
      <c r="L23" s="118">
        <v>1000</v>
      </c>
      <c r="M23" s="118"/>
      <c r="N23" s="33" t="str">
        <f t="shared" si="0"/>
        <v>CCResist(Airborn, 1000)</v>
      </c>
      <c r="O23" s="33">
        <v>0</v>
      </c>
      <c r="P23" s="33">
        <v>0</v>
      </c>
      <c r="Q23" s="33"/>
      <c r="R23" s="33" t="b">
        <v>1</v>
      </c>
    </row>
    <row r="24" spans="1:18">
      <c r="A24" s="33" t="s">
        <v>211</v>
      </c>
      <c r="B24" s="33"/>
      <c r="C24" s="33"/>
      <c r="D24" s="33">
        <v>0</v>
      </c>
      <c r="E24" s="33">
        <v>1</v>
      </c>
      <c r="F24" s="117" t="s">
        <v>197</v>
      </c>
      <c r="G24" s="117" t="s">
        <v>198</v>
      </c>
      <c r="H24" s="33"/>
      <c r="I24" s="118">
        <v>0</v>
      </c>
      <c r="J24" s="118" t="s">
        <v>842</v>
      </c>
      <c r="K24" s="118" t="s">
        <v>855</v>
      </c>
      <c r="L24" s="118">
        <v>1000</v>
      </c>
      <c r="M24" s="118"/>
      <c r="N24" s="33" t="str">
        <f t="shared" si="0"/>
        <v>CCResist(Pull, 1000)</v>
      </c>
      <c r="O24" s="33">
        <v>0</v>
      </c>
      <c r="P24" s="33">
        <v>0</v>
      </c>
      <c r="Q24" s="33"/>
      <c r="R24" s="33" t="b">
        <v>1</v>
      </c>
    </row>
    <row r="25" spans="1:18">
      <c r="A25" s="33" t="s">
        <v>212</v>
      </c>
      <c r="B25" s="33"/>
      <c r="C25" s="33"/>
      <c r="D25" s="33">
        <v>0</v>
      </c>
      <c r="E25" s="33">
        <v>1</v>
      </c>
      <c r="F25" s="117" t="s">
        <v>197</v>
      </c>
      <c r="G25" s="117" t="s">
        <v>198</v>
      </c>
      <c r="H25" s="33"/>
      <c r="I25" s="118">
        <v>0</v>
      </c>
      <c r="J25" s="118" t="s">
        <v>842</v>
      </c>
      <c r="K25" s="118" t="s">
        <v>856</v>
      </c>
      <c r="L25" s="118">
        <v>1000</v>
      </c>
      <c r="M25" s="118"/>
      <c r="N25" s="33" t="str">
        <f t="shared" si="0"/>
        <v>CCResist(Freeze, 1000)</v>
      </c>
      <c r="O25" s="33">
        <v>0</v>
      </c>
      <c r="P25" s="33">
        <v>0</v>
      </c>
      <c r="Q25" s="33"/>
      <c r="R25" s="33" t="b">
        <v>1</v>
      </c>
    </row>
    <row r="26" spans="1:18">
      <c r="A26" s="33" t="s">
        <v>213</v>
      </c>
      <c r="B26" s="33"/>
      <c r="C26" s="33"/>
      <c r="D26" s="33">
        <v>0</v>
      </c>
      <c r="E26" s="33">
        <v>1</v>
      </c>
      <c r="F26" s="117" t="s">
        <v>197</v>
      </c>
      <c r="G26" s="117" t="s">
        <v>198</v>
      </c>
      <c r="H26" s="33"/>
      <c r="I26" s="118">
        <v>0</v>
      </c>
      <c r="J26" s="118" t="s">
        <v>842</v>
      </c>
      <c r="K26" s="117" t="s">
        <v>7549</v>
      </c>
      <c r="L26" s="118">
        <v>1000</v>
      </c>
      <c r="M26" s="118"/>
      <c r="N26" s="33" t="str">
        <f t="shared" si="0"/>
        <v>CCResist(Exile, 1000)</v>
      </c>
      <c r="O26" s="33">
        <v>0</v>
      </c>
      <c r="P26" s="33">
        <v>0</v>
      </c>
      <c r="Q26" s="33"/>
      <c r="R26" s="33" t="b">
        <v>1</v>
      </c>
    </row>
    <row r="27" spans="1:18">
      <c r="A27" s="33" t="s">
        <v>214</v>
      </c>
      <c r="B27" s="33"/>
      <c r="C27" s="33"/>
      <c r="D27" s="33">
        <v>0</v>
      </c>
      <c r="E27" s="33">
        <v>1</v>
      </c>
      <c r="F27" s="117" t="s">
        <v>197</v>
      </c>
      <c r="G27" s="117" t="s">
        <v>198</v>
      </c>
      <c r="H27" s="33"/>
      <c r="I27" s="118">
        <v>0</v>
      </c>
      <c r="J27" s="118" t="s">
        <v>842</v>
      </c>
      <c r="K27" s="118" t="s">
        <v>858</v>
      </c>
      <c r="L27" s="118">
        <v>1000</v>
      </c>
      <c r="M27" s="118"/>
      <c r="N27" s="33" t="str">
        <f t="shared" si="0"/>
        <v>CCResist(Groggy, 1000)</v>
      </c>
      <c r="O27" s="33">
        <v>0</v>
      </c>
      <c r="P27" s="33">
        <v>0</v>
      </c>
      <c r="Q27" s="33"/>
      <c r="R27" s="33" t="b">
        <v>1</v>
      </c>
    </row>
    <row r="28" spans="1:18">
      <c r="A28" s="33" t="s">
        <v>1141</v>
      </c>
      <c r="B28" s="33"/>
      <c r="C28" s="33"/>
      <c r="D28" s="33">
        <v>0</v>
      </c>
      <c r="E28" s="33">
        <v>1</v>
      </c>
      <c r="F28" s="117" t="s">
        <v>197</v>
      </c>
      <c r="G28" s="117" t="s">
        <v>198</v>
      </c>
      <c r="H28" s="33"/>
      <c r="I28" s="118">
        <v>0</v>
      </c>
      <c r="J28" s="118" t="s">
        <v>842</v>
      </c>
      <c r="K28" s="118" t="s">
        <v>1083</v>
      </c>
      <c r="L28" s="118">
        <v>1000</v>
      </c>
      <c r="M28" s="118"/>
      <c r="N28" s="33" t="str">
        <f t="shared" ref="N28:N29" si="1">J28&amp;"("&amp;IF(K28="","",K28)&amp;IF(L28="","",", "&amp;L28)&amp;IF(M28="","",", "&amp;M28)&amp;")"</f>
        <v>CCResist(Confusion, 1000)</v>
      </c>
      <c r="O28" s="33">
        <v>0</v>
      </c>
      <c r="P28" s="33">
        <v>0</v>
      </c>
      <c r="Q28" s="33"/>
      <c r="R28" s="33" t="b">
        <v>1</v>
      </c>
    </row>
    <row r="29" spans="1:18">
      <c r="A29" s="33" t="s">
        <v>1142</v>
      </c>
      <c r="B29" s="33"/>
      <c r="C29" s="33"/>
      <c r="D29" s="33">
        <v>0</v>
      </c>
      <c r="E29" s="33">
        <v>1</v>
      </c>
      <c r="F29" s="117" t="s">
        <v>197</v>
      </c>
      <c r="G29" s="117" t="s">
        <v>198</v>
      </c>
      <c r="H29" s="33"/>
      <c r="I29" s="118">
        <v>0</v>
      </c>
      <c r="J29" s="118" t="s">
        <v>842</v>
      </c>
      <c r="K29" s="118" t="s">
        <v>1084</v>
      </c>
      <c r="L29" s="118">
        <v>1000</v>
      </c>
      <c r="M29" s="118"/>
      <c r="N29" s="33" t="str">
        <f t="shared" si="1"/>
        <v>CCResist(DeathHeal, 1000)</v>
      </c>
      <c r="O29" s="33">
        <v>0</v>
      </c>
      <c r="P29" s="33">
        <v>0</v>
      </c>
      <c r="Q29" s="33"/>
      <c r="R29" s="33" t="b">
        <v>1</v>
      </c>
    </row>
    <row r="30" spans="1:18">
      <c r="A30" s="33" t="s">
        <v>215</v>
      </c>
      <c r="B30" s="33"/>
      <c r="C30" s="33"/>
      <c r="D30" s="33">
        <v>0</v>
      </c>
      <c r="E30" s="33">
        <v>1</v>
      </c>
      <c r="F30" s="117" t="s">
        <v>197</v>
      </c>
      <c r="G30" s="117" t="s">
        <v>198</v>
      </c>
      <c r="H30" s="33"/>
      <c r="I30" s="118">
        <v>0</v>
      </c>
      <c r="J30" s="118" t="s">
        <v>840</v>
      </c>
      <c r="K30" s="117" t="s">
        <v>1140</v>
      </c>
      <c r="L30" s="118">
        <v>100</v>
      </c>
      <c r="M30" s="118"/>
      <c r="N30" s="33" t="str">
        <f t="shared" si="0"/>
        <v>DebuffResist(Provoke, 100)</v>
      </c>
      <c r="O30" s="33">
        <v>0</v>
      </c>
      <c r="P30" s="33">
        <v>0</v>
      </c>
      <c r="Q30" s="33"/>
      <c r="R30" s="33" t="b">
        <v>1</v>
      </c>
    </row>
    <row r="31" spans="1:18">
      <c r="A31" s="33" t="s">
        <v>216</v>
      </c>
      <c r="B31" s="33"/>
      <c r="C31" s="33"/>
      <c r="D31" s="33">
        <v>0</v>
      </c>
      <c r="E31" s="33">
        <v>1</v>
      </c>
      <c r="F31" s="117" t="s">
        <v>197</v>
      </c>
      <c r="G31" s="117" t="s">
        <v>198</v>
      </c>
      <c r="H31" s="33"/>
      <c r="I31" s="118">
        <v>0</v>
      </c>
      <c r="J31" s="118" t="s">
        <v>840</v>
      </c>
      <c r="K31" s="118" t="s">
        <v>860</v>
      </c>
      <c r="L31" s="118">
        <v>100</v>
      </c>
      <c r="M31" s="118"/>
      <c r="N31" s="33" t="str">
        <f t="shared" si="0"/>
        <v>DebuffResist(Polymorph, 100)</v>
      </c>
      <c r="O31" s="33">
        <v>0</v>
      </c>
      <c r="P31" s="33">
        <v>0</v>
      </c>
      <c r="Q31" s="33"/>
      <c r="R31" s="33" t="b">
        <v>1</v>
      </c>
    </row>
    <row r="32" spans="1:18">
      <c r="A32" s="31" t="s">
        <v>7386</v>
      </c>
      <c r="B32" s="31"/>
      <c r="C32" s="31"/>
      <c r="D32" s="31">
        <v>0</v>
      </c>
      <c r="E32" s="31">
        <v>1</v>
      </c>
      <c r="F32" s="31" t="s">
        <v>197</v>
      </c>
      <c r="G32" s="31" t="s">
        <v>198</v>
      </c>
      <c r="H32" s="31"/>
      <c r="I32" s="31">
        <v>0</v>
      </c>
      <c r="J32" s="31" t="s">
        <v>861</v>
      </c>
      <c r="K32" s="31" t="s">
        <v>862</v>
      </c>
      <c r="L32" s="31">
        <v>100</v>
      </c>
      <c r="M32" s="31"/>
      <c r="N32" s="31" t="str">
        <f t="shared" si="0"/>
        <v>EffectResist(Damage, 100)</v>
      </c>
      <c r="O32" s="31">
        <v>0</v>
      </c>
      <c r="P32" s="31">
        <v>0</v>
      </c>
      <c r="Q32" s="31"/>
      <c r="R32" s="31" t="b">
        <v>1</v>
      </c>
    </row>
    <row r="33" spans="1:18">
      <c r="A33" s="31" t="s">
        <v>217</v>
      </c>
      <c r="B33" s="31"/>
      <c r="C33" s="31"/>
      <c r="D33" s="31">
        <v>0</v>
      </c>
      <c r="E33" s="31">
        <v>1</v>
      </c>
      <c r="F33" s="31" t="s">
        <v>197</v>
      </c>
      <c r="G33" s="31" t="s">
        <v>198</v>
      </c>
      <c r="H33" s="31"/>
      <c r="I33" s="31">
        <v>0</v>
      </c>
      <c r="J33" s="31" t="s">
        <v>840</v>
      </c>
      <c r="K33" s="31" t="s">
        <v>863</v>
      </c>
      <c r="L33" s="31">
        <v>100</v>
      </c>
      <c r="M33" s="31"/>
      <c r="N33" s="31" t="str">
        <f t="shared" si="0"/>
        <v>DebuffResist(Burn, 100)</v>
      </c>
      <c r="O33" s="31">
        <v>0</v>
      </c>
      <c r="P33" s="31">
        <v>0</v>
      </c>
      <c r="Q33" s="31"/>
      <c r="R33" s="31" t="b">
        <v>1</v>
      </c>
    </row>
    <row r="34" spans="1:18">
      <c r="A34" s="31" t="s">
        <v>218</v>
      </c>
      <c r="B34" s="31"/>
      <c r="C34" s="31"/>
      <c r="D34" s="31">
        <v>0</v>
      </c>
      <c r="E34" s="31">
        <v>1</v>
      </c>
      <c r="F34" s="31" t="s">
        <v>197</v>
      </c>
      <c r="G34" s="31" t="s">
        <v>198</v>
      </c>
      <c r="H34" s="31"/>
      <c r="I34" s="31">
        <v>0</v>
      </c>
      <c r="J34" s="31" t="s">
        <v>840</v>
      </c>
      <c r="K34" s="31" t="s">
        <v>864</v>
      </c>
      <c r="L34" s="31">
        <v>100</v>
      </c>
      <c r="M34" s="31"/>
      <c r="N34" s="31" t="str">
        <f t="shared" si="0"/>
        <v>DebuffResist(Poison, 100)</v>
      </c>
      <c r="O34" s="31">
        <v>0</v>
      </c>
      <c r="P34" s="31">
        <v>0</v>
      </c>
      <c r="Q34" s="31"/>
      <c r="R34" s="31" t="b">
        <v>1</v>
      </c>
    </row>
    <row r="35" spans="1:18">
      <c r="A35" s="31" t="s">
        <v>219</v>
      </c>
      <c r="B35" s="31"/>
      <c r="C35" s="31"/>
      <c r="D35" s="31">
        <v>0</v>
      </c>
      <c r="E35" s="31">
        <v>1</v>
      </c>
      <c r="F35" s="31" t="s">
        <v>197</v>
      </c>
      <c r="G35" s="31" t="s">
        <v>198</v>
      </c>
      <c r="H35" s="31"/>
      <c r="I35" s="31">
        <v>0</v>
      </c>
      <c r="J35" s="31" t="s">
        <v>840</v>
      </c>
      <c r="K35" s="31" t="s">
        <v>865</v>
      </c>
      <c r="L35" s="31">
        <v>100</v>
      </c>
      <c r="M35" s="31"/>
      <c r="N35" s="31" t="str">
        <f t="shared" si="0"/>
        <v>DebuffResist(Bleed, 100)</v>
      </c>
      <c r="O35" s="31">
        <v>0</v>
      </c>
      <c r="P35" s="31">
        <v>0</v>
      </c>
      <c r="Q35" s="31"/>
      <c r="R35" s="31" t="b">
        <v>1</v>
      </c>
    </row>
    <row r="36" spans="1:18">
      <c r="A36" s="30" t="s">
        <v>4511</v>
      </c>
      <c r="B36" s="30"/>
      <c r="C36" s="30"/>
      <c r="D36" s="30">
        <v>0</v>
      </c>
      <c r="E36" s="30">
        <v>1</v>
      </c>
      <c r="F36" s="30" t="s">
        <v>197</v>
      </c>
      <c r="G36" s="30" t="s">
        <v>198</v>
      </c>
      <c r="H36" s="30"/>
      <c r="I36" s="30">
        <v>0</v>
      </c>
      <c r="J36" s="30" t="s">
        <v>840</v>
      </c>
      <c r="K36" s="30" t="s">
        <v>841</v>
      </c>
      <c r="L36" s="30">
        <v>50</v>
      </c>
      <c r="M36" s="30"/>
      <c r="N36" s="30" t="str">
        <f t="shared" si="0"/>
        <v>DebuffResist(CrowdControl, 50)</v>
      </c>
      <c r="O36" s="55">
        <v>0</v>
      </c>
      <c r="P36" s="55">
        <v>0</v>
      </c>
      <c r="Q36" s="55"/>
      <c r="R36" s="55" t="b">
        <v>1</v>
      </c>
    </row>
    <row r="37" spans="1:18">
      <c r="A37" s="55" t="s">
        <v>220</v>
      </c>
      <c r="B37" s="55"/>
      <c r="C37" s="55"/>
      <c r="D37" s="55">
        <v>0</v>
      </c>
      <c r="E37" s="55">
        <v>1</v>
      </c>
      <c r="F37" s="55" t="s">
        <v>197</v>
      </c>
      <c r="G37" s="55" t="s">
        <v>198</v>
      </c>
      <c r="H37" s="55"/>
      <c r="I37" s="55">
        <v>0</v>
      </c>
      <c r="J37" s="55" t="s">
        <v>842</v>
      </c>
      <c r="K37" s="55" t="s">
        <v>837</v>
      </c>
      <c r="L37" s="55">
        <v>500</v>
      </c>
      <c r="M37" s="55"/>
      <c r="N37" s="55" t="str">
        <f t="shared" si="0"/>
        <v>CCResist(None, 500)</v>
      </c>
      <c r="O37" s="55">
        <v>0</v>
      </c>
      <c r="P37" s="55">
        <v>0</v>
      </c>
      <c r="Q37" s="55"/>
      <c r="R37" s="55" t="b">
        <v>1</v>
      </c>
    </row>
    <row r="38" spans="1:18">
      <c r="A38" s="55" t="s">
        <v>221</v>
      </c>
      <c r="B38" s="55"/>
      <c r="C38" s="55"/>
      <c r="D38" s="55">
        <v>0</v>
      </c>
      <c r="E38" s="55">
        <v>1</v>
      </c>
      <c r="F38" s="55" t="s">
        <v>197</v>
      </c>
      <c r="G38" s="55" t="s">
        <v>198</v>
      </c>
      <c r="H38" s="55"/>
      <c r="I38" s="55">
        <v>0</v>
      </c>
      <c r="J38" s="55" t="s">
        <v>842</v>
      </c>
      <c r="K38" s="55" t="s">
        <v>843</v>
      </c>
      <c r="L38" s="55">
        <v>500</v>
      </c>
      <c r="M38" s="55"/>
      <c r="N38" s="55" t="str">
        <f t="shared" si="0"/>
        <v>CCResist(Silence, 500)</v>
      </c>
      <c r="O38" s="55">
        <v>0</v>
      </c>
      <c r="P38" s="55">
        <v>0</v>
      </c>
      <c r="Q38" s="55"/>
      <c r="R38" s="55" t="b">
        <v>1</v>
      </c>
    </row>
    <row r="39" spans="1:18">
      <c r="A39" s="55" t="s">
        <v>222</v>
      </c>
      <c r="B39" s="55"/>
      <c r="C39" s="55"/>
      <c r="D39" s="55">
        <v>0</v>
      </c>
      <c r="E39" s="55">
        <v>1</v>
      </c>
      <c r="F39" s="55" t="s">
        <v>197</v>
      </c>
      <c r="G39" s="55" t="s">
        <v>198</v>
      </c>
      <c r="H39" s="55"/>
      <c r="I39" s="55">
        <v>0</v>
      </c>
      <c r="J39" s="55" t="s">
        <v>842</v>
      </c>
      <c r="K39" s="55" t="s">
        <v>844</v>
      </c>
      <c r="L39" s="55">
        <v>500</v>
      </c>
      <c r="M39" s="55"/>
      <c r="N39" s="55" t="str">
        <f t="shared" si="0"/>
        <v>CCResist(Blind, 500)</v>
      </c>
      <c r="O39" s="55">
        <v>0</v>
      </c>
      <c r="P39" s="55">
        <v>0</v>
      </c>
      <c r="Q39" s="55"/>
      <c r="R39" s="55" t="b">
        <v>1</v>
      </c>
    </row>
    <row r="40" spans="1:18">
      <c r="A40" s="55" t="s">
        <v>223</v>
      </c>
      <c r="B40" s="55"/>
      <c r="C40" s="55"/>
      <c r="D40" s="55">
        <v>0</v>
      </c>
      <c r="E40" s="55">
        <v>1</v>
      </c>
      <c r="F40" s="55" t="s">
        <v>197</v>
      </c>
      <c r="G40" s="55" t="s">
        <v>198</v>
      </c>
      <c r="H40" s="55"/>
      <c r="I40" s="55">
        <v>0</v>
      </c>
      <c r="J40" s="55" t="s">
        <v>842</v>
      </c>
      <c r="K40" s="55" t="s">
        <v>845</v>
      </c>
      <c r="L40" s="55">
        <v>500</v>
      </c>
      <c r="M40" s="55"/>
      <c r="N40" s="55" t="str">
        <f t="shared" si="0"/>
        <v>CCResist(Bind, 500)</v>
      </c>
      <c r="O40" s="55">
        <v>0</v>
      </c>
      <c r="P40" s="55">
        <v>0</v>
      </c>
      <c r="Q40" s="55"/>
      <c r="R40" s="55" t="b">
        <v>1</v>
      </c>
    </row>
    <row r="41" spans="1:18">
      <c r="A41" s="55" t="s">
        <v>224</v>
      </c>
      <c r="B41" s="55"/>
      <c r="C41" s="55"/>
      <c r="D41" s="55">
        <v>0</v>
      </c>
      <c r="E41" s="55">
        <v>1</v>
      </c>
      <c r="F41" s="55" t="s">
        <v>197</v>
      </c>
      <c r="G41" s="55" t="s">
        <v>198</v>
      </c>
      <c r="H41" s="55"/>
      <c r="I41" s="55">
        <v>0</v>
      </c>
      <c r="J41" s="55" t="s">
        <v>842</v>
      </c>
      <c r="K41" s="55" t="s">
        <v>846</v>
      </c>
      <c r="L41" s="55">
        <v>500</v>
      </c>
      <c r="M41" s="55"/>
      <c r="N41" s="55" t="str">
        <f t="shared" si="0"/>
        <v>CCResist(Wound, 500)</v>
      </c>
      <c r="O41" s="55">
        <v>0</v>
      </c>
      <c r="P41" s="55">
        <v>0</v>
      </c>
      <c r="Q41" s="55"/>
      <c r="R41" s="55" t="b">
        <v>1</v>
      </c>
    </row>
    <row r="42" spans="1:18">
      <c r="A42" s="55" t="s">
        <v>225</v>
      </c>
      <c r="B42" s="55"/>
      <c r="C42" s="55"/>
      <c r="D42" s="55">
        <v>0</v>
      </c>
      <c r="E42" s="55">
        <v>1</v>
      </c>
      <c r="F42" s="55" t="s">
        <v>197</v>
      </c>
      <c r="G42" s="55" t="s">
        <v>198</v>
      </c>
      <c r="H42" s="55"/>
      <c r="I42" s="55">
        <v>0</v>
      </c>
      <c r="J42" s="55" t="s">
        <v>842</v>
      </c>
      <c r="K42" s="55" t="s">
        <v>847</v>
      </c>
      <c r="L42" s="55">
        <v>500</v>
      </c>
      <c r="M42" s="55"/>
      <c r="N42" s="55" t="str">
        <f t="shared" si="0"/>
        <v>CCResist(Sleep, 500)</v>
      </c>
      <c r="O42" s="55">
        <v>0</v>
      </c>
      <c r="P42" s="55">
        <v>0</v>
      </c>
      <c r="Q42" s="55"/>
      <c r="R42" s="55" t="b">
        <v>1</v>
      </c>
    </row>
    <row r="43" spans="1:18">
      <c r="A43" s="55" t="s">
        <v>226</v>
      </c>
      <c r="B43" s="55"/>
      <c r="C43" s="55"/>
      <c r="D43" s="55">
        <v>0</v>
      </c>
      <c r="E43" s="55">
        <v>1</v>
      </c>
      <c r="F43" s="55" t="s">
        <v>197</v>
      </c>
      <c r="G43" s="55" t="s">
        <v>198</v>
      </c>
      <c r="H43" s="55"/>
      <c r="I43" s="55">
        <v>0</v>
      </c>
      <c r="J43" s="55" t="s">
        <v>842</v>
      </c>
      <c r="K43" s="55" t="s">
        <v>848</v>
      </c>
      <c r="L43" s="55">
        <v>500</v>
      </c>
      <c r="M43" s="55"/>
      <c r="N43" s="55" t="str">
        <f t="shared" si="0"/>
        <v>CCResist(Stun, 500)</v>
      </c>
      <c r="O43" s="55">
        <v>0</v>
      </c>
      <c r="P43" s="55">
        <v>0</v>
      </c>
      <c r="Q43" s="55"/>
      <c r="R43" s="55" t="b">
        <v>1</v>
      </c>
    </row>
    <row r="44" spans="1:18">
      <c r="A44" s="55" t="s">
        <v>227</v>
      </c>
      <c r="B44" s="55"/>
      <c r="C44" s="55"/>
      <c r="D44" s="55">
        <v>0</v>
      </c>
      <c r="E44" s="55">
        <v>1</v>
      </c>
      <c r="F44" s="55" t="s">
        <v>197</v>
      </c>
      <c r="G44" s="55" t="s">
        <v>198</v>
      </c>
      <c r="H44" s="55"/>
      <c r="I44" s="55">
        <v>0</v>
      </c>
      <c r="J44" s="55" t="s">
        <v>842</v>
      </c>
      <c r="K44" s="55" t="s">
        <v>849</v>
      </c>
      <c r="L44" s="55">
        <v>500</v>
      </c>
      <c r="M44" s="55"/>
      <c r="N44" s="55" t="str">
        <f t="shared" si="0"/>
        <v>CCResist(Shock, 500)</v>
      </c>
      <c r="O44" s="55">
        <v>0</v>
      </c>
      <c r="P44" s="55">
        <v>0</v>
      </c>
      <c r="Q44" s="55"/>
      <c r="R44" s="55" t="b">
        <v>1</v>
      </c>
    </row>
    <row r="45" spans="1:18">
      <c r="A45" s="55" t="s">
        <v>228</v>
      </c>
      <c r="B45" s="55"/>
      <c r="C45" s="55"/>
      <c r="D45" s="55">
        <v>0</v>
      </c>
      <c r="E45" s="55">
        <v>1</v>
      </c>
      <c r="F45" s="55" t="s">
        <v>197</v>
      </c>
      <c r="G45" s="55" t="s">
        <v>198</v>
      </c>
      <c r="H45" s="55"/>
      <c r="I45" s="55">
        <v>0</v>
      </c>
      <c r="J45" s="55" t="s">
        <v>842</v>
      </c>
      <c r="K45" s="55" t="s">
        <v>850</v>
      </c>
      <c r="L45" s="55">
        <v>500</v>
      </c>
      <c r="M45" s="55"/>
      <c r="N45" s="55" t="str">
        <f t="shared" si="0"/>
        <v>CCResist(Paralysis, 500)</v>
      </c>
      <c r="O45" s="55">
        <v>0</v>
      </c>
      <c r="P45" s="55">
        <v>0</v>
      </c>
      <c r="Q45" s="55"/>
      <c r="R45" s="55" t="b">
        <v>1</v>
      </c>
    </row>
    <row r="46" spans="1:18">
      <c r="A46" s="55" t="s">
        <v>229</v>
      </c>
      <c r="B46" s="55"/>
      <c r="C46" s="55"/>
      <c r="D46" s="55">
        <v>0</v>
      </c>
      <c r="E46" s="55">
        <v>1</v>
      </c>
      <c r="F46" s="55" t="s">
        <v>197</v>
      </c>
      <c r="G46" s="55" t="s">
        <v>198</v>
      </c>
      <c r="H46" s="55"/>
      <c r="I46" s="55">
        <v>0</v>
      </c>
      <c r="J46" s="55" t="s">
        <v>842</v>
      </c>
      <c r="K46" s="55" t="s">
        <v>851</v>
      </c>
      <c r="L46" s="55">
        <v>500</v>
      </c>
      <c r="M46" s="55"/>
      <c r="N46" s="55" t="str">
        <f t="shared" si="0"/>
        <v>CCResist(Fear, 500)</v>
      </c>
      <c r="O46" s="55">
        <v>0</v>
      </c>
      <c r="P46" s="55">
        <v>0</v>
      </c>
      <c r="Q46" s="55"/>
      <c r="R46" s="55" t="b">
        <v>1</v>
      </c>
    </row>
    <row r="47" spans="1:18">
      <c r="A47" s="55" t="s">
        <v>230</v>
      </c>
      <c r="B47" s="55"/>
      <c r="C47" s="55"/>
      <c r="D47" s="55">
        <v>0</v>
      </c>
      <c r="E47" s="55">
        <v>1</v>
      </c>
      <c r="F47" s="55" t="s">
        <v>197</v>
      </c>
      <c r="G47" s="55" t="s">
        <v>198</v>
      </c>
      <c r="H47" s="55"/>
      <c r="I47" s="55">
        <v>0</v>
      </c>
      <c r="J47" s="55" t="s">
        <v>842</v>
      </c>
      <c r="K47" s="55" t="s">
        <v>852</v>
      </c>
      <c r="L47" s="55">
        <v>500</v>
      </c>
      <c r="M47" s="55"/>
      <c r="N47" s="55" t="str">
        <f t="shared" si="0"/>
        <v>CCResist(Charm, 500)</v>
      </c>
      <c r="O47" s="55">
        <v>0</v>
      </c>
      <c r="P47" s="55">
        <v>0</v>
      </c>
      <c r="Q47" s="55"/>
      <c r="R47" s="55" t="b">
        <v>1</v>
      </c>
    </row>
    <row r="48" spans="1:18">
      <c r="A48" s="55" t="s">
        <v>231</v>
      </c>
      <c r="B48" s="55"/>
      <c r="C48" s="55"/>
      <c r="D48" s="55">
        <v>0</v>
      </c>
      <c r="E48" s="55">
        <v>1</v>
      </c>
      <c r="F48" s="55" t="s">
        <v>197</v>
      </c>
      <c r="G48" s="55" t="s">
        <v>198</v>
      </c>
      <c r="H48" s="55"/>
      <c r="I48" s="55">
        <v>0</v>
      </c>
      <c r="J48" s="55" t="s">
        <v>842</v>
      </c>
      <c r="K48" s="55" t="s">
        <v>853</v>
      </c>
      <c r="L48" s="55">
        <v>500</v>
      </c>
      <c r="M48" s="55"/>
      <c r="N48" s="55" t="str">
        <f t="shared" si="0"/>
        <v>CCResist(Knockback, 500)</v>
      </c>
      <c r="O48" s="55">
        <v>0</v>
      </c>
      <c r="P48" s="55">
        <v>0</v>
      </c>
      <c r="Q48" s="55"/>
      <c r="R48" s="55" t="b">
        <v>1</v>
      </c>
    </row>
    <row r="49" spans="1:18">
      <c r="A49" s="55" t="s">
        <v>232</v>
      </c>
      <c r="B49" s="55"/>
      <c r="C49" s="55"/>
      <c r="D49" s="55">
        <v>0</v>
      </c>
      <c r="E49" s="55">
        <v>1</v>
      </c>
      <c r="F49" s="55" t="s">
        <v>197</v>
      </c>
      <c r="G49" s="55" t="s">
        <v>198</v>
      </c>
      <c r="H49" s="55"/>
      <c r="I49" s="55">
        <v>0</v>
      </c>
      <c r="J49" s="55" t="s">
        <v>842</v>
      </c>
      <c r="K49" s="55" t="s">
        <v>854</v>
      </c>
      <c r="L49" s="55">
        <v>500</v>
      </c>
      <c r="M49" s="55"/>
      <c r="N49" s="55" t="str">
        <f t="shared" si="0"/>
        <v>CCResist(Airborn, 500)</v>
      </c>
      <c r="O49" s="55">
        <v>0</v>
      </c>
      <c r="P49" s="55">
        <v>0</v>
      </c>
      <c r="Q49" s="55"/>
      <c r="R49" s="55" t="b">
        <v>1</v>
      </c>
    </row>
    <row r="50" spans="1:18">
      <c r="A50" s="55" t="s">
        <v>233</v>
      </c>
      <c r="B50" s="55"/>
      <c r="C50" s="55"/>
      <c r="D50" s="55">
        <v>0</v>
      </c>
      <c r="E50" s="55">
        <v>1</v>
      </c>
      <c r="F50" s="55" t="s">
        <v>197</v>
      </c>
      <c r="G50" s="55" t="s">
        <v>198</v>
      </c>
      <c r="H50" s="55"/>
      <c r="I50" s="55">
        <v>0</v>
      </c>
      <c r="J50" s="55" t="s">
        <v>842</v>
      </c>
      <c r="K50" s="55" t="s">
        <v>855</v>
      </c>
      <c r="L50" s="55">
        <v>500</v>
      </c>
      <c r="M50" s="55"/>
      <c r="N50" s="55" t="str">
        <f t="shared" si="0"/>
        <v>CCResist(Pull, 500)</v>
      </c>
      <c r="O50" s="55">
        <v>0</v>
      </c>
      <c r="P50" s="55">
        <v>0</v>
      </c>
      <c r="Q50" s="55"/>
      <c r="R50" s="55" t="b">
        <v>1</v>
      </c>
    </row>
    <row r="51" spans="1:18">
      <c r="A51" s="55" t="s">
        <v>234</v>
      </c>
      <c r="B51" s="55"/>
      <c r="C51" s="55"/>
      <c r="D51" s="55">
        <v>0</v>
      </c>
      <c r="E51" s="55">
        <v>1</v>
      </c>
      <c r="F51" s="55" t="s">
        <v>197</v>
      </c>
      <c r="G51" s="55" t="s">
        <v>198</v>
      </c>
      <c r="H51" s="55"/>
      <c r="I51" s="55">
        <v>0</v>
      </c>
      <c r="J51" s="55" t="s">
        <v>842</v>
      </c>
      <c r="K51" s="55" t="s">
        <v>856</v>
      </c>
      <c r="L51" s="55">
        <v>500</v>
      </c>
      <c r="M51" s="55"/>
      <c r="N51" s="55" t="str">
        <f t="shared" si="0"/>
        <v>CCResist(Freeze, 500)</v>
      </c>
      <c r="O51" s="55">
        <v>0</v>
      </c>
      <c r="P51" s="55">
        <v>0</v>
      </c>
      <c r="Q51" s="55"/>
      <c r="R51" s="55" t="b">
        <v>1</v>
      </c>
    </row>
    <row r="52" spans="1:18">
      <c r="A52" s="55" t="s">
        <v>235</v>
      </c>
      <c r="B52" s="55"/>
      <c r="C52" s="55"/>
      <c r="D52" s="55">
        <v>0</v>
      </c>
      <c r="E52" s="55">
        <v>1</v>
      </c>
      <c r="F52" s="55" t="s">
        <v>197</v>
      </c>
      <c r="G52" s="55" t="s">
        <v>198</v>
      </c>
      <c r="H52" s="55"/>
      <c r="I52" s="55">
        <v>0</v>
      </c>
      <c r="J52" s="55" t="s">
        <v>842</v>
      </c>
      <c r="K52" s="55" t="s">
        <v>857</v>
      </c>
      <c r="L52" s="55">
        <v>500</v>
      </c>
      <c r="M52" s="55"/>
      <c r="N52" s="55" t="str">
        <f t="shared" si="0"/>
        <v>CCResist(Exile, 500)</v>
      </c>
      <c r="O52" s="55">
        <v>0</v>
      </c>
      <c r="P52" s="55">
        <v>0</v>
      </c>
      <c r="Q52" s="55"/>
      <c r="R52" s="55" t="b">
        <v>1</v>
      </c>
    </row>
    <row r="53" spans="1:18">
      <c r="A53" s="55" t="s">
        <v>236</v>
      </c>
      <c r="B53" s="55"/>
      <c r="C53" s="55"/>
      <c r="D53" s="55">
        <v>0</v>
      </c>
      <c r="E53" s="55">
        <v>1</v>
      </c>
      <c r="F53" s="55" t="s">
        <v>197</v>
      </c>
      <c r="G53" s="55" t="s">
        <v>198</v>
      </c>
      <c r="H53" s="55"/>
      <c r="I53" s="55">
        <v>0</v>
      </c>
      <c r="J53" s="55" t="s">
        <v>840</v>
      </c>
      <c r="K53" s="55" t="s">
        <v>859</v>
      </c>
      <c r="L53" s="55">
        <v>50</v>
      </c>
      <c r="M53" s="55"/>
      <c r="N53" s="55" t="str">
        <f t="shared" si="0"/>
        <v>DebuffResist(Provoke, 50)</v>
      </c>
      <c r="O53" s="55">
        <v>0</v>
      </c>
      <c r="P53" s="55">
        <v>0</v>
      </c>
      <c r="Q53" s="55"/>
      <c r="R53" s="55" t="b">
        <v>1</v>
      </c>
    </row>
    <row r="54" spans="1:18">
      <c r="A54" s="55" t="s">
        <v>237</v>
      </c>
      <c r="B54" s="55"/>
      <c r="C54" s="55"/>
      <c r="D54" s="55">
        <v>0</v>
      </c>
      <c r="E54" s="55">
        <v>1</v>
      </c>
      <c r="F54" s="55" t="s">
        <v>197</v>
      </c>
      <c r="G54" s="55" t="s">
        <v>198</v>
      </c>
      <c r="H54" s="55"/>
      <c r="I54" s="55">
        <v>0</v>
      </c>
      <c r="J54" s="55" t="s">
        <v>840</v>
      </c>
      <c r="K54" s="55" t="s">
        <v>860</v>
      </c>
      <c r="L54" s="55">
        <v>50</v>
      </c>
      <c r="M54" s="55"/>
      <c r="N54" s="55" t="str">
        <f t="shared" si="0"/>
        <v>DebuffResist(Polymorph, 50)</v>
      </c>
      <c r="O54" s="55">
        <v>0</v>
      </c>
      <c r="P54" s="55">
        <v>0</v>
      </c>
      <c r="Q54" s="55"/>
      <c r="R54" s="55" t="b">
        <v>1</v>
      </c>
    </row>
    <row r="55" spans="1:18">
      <c r="A55" s="31" t="s">
        <v>238</v>
      </c>
      <c r="B55" s="31"/>
      <c r="C55" s="31"/>
      <c r="D55" s="31">
        <v>0</v>
      </c>
      <c r="E55" s="31">
        <v>1</v>
      </c>
      <c r="F55" s="31" t="s">
        <v>197</v>
      </c>
      <c r="G55" s="31" t="s">
        <v>198</v>
      </c>
      <c r="H55" s="31"/>
      <c r="I55" s="31">
        <v>0</v>
      </c>
      <c r="J55" s="31" t="s">
        <v>861</v>
      </c>
      <c r="K55" s="31" t="s">
        <v>862</v>
      </c>
      <c r="L55" s="31">
        <v>50</v>
      </c>
      <c r="M55" s="31"/>
      <c r="N55" s="31" t="str">
        <f t="shared" si="0"/>
        <v>EffectResist(Damage, 50)</v>
      </c>
      <c r="O55" s="31">
        <v>0</v>
      </c>
      <c r="P55" s="31">
        <v>0</v>
      </c>
      <c r="Q55" s="31"/>
      <c r="R55" s="31" t="b">
        <v>1</v>
      </c>
    </row>
    <row r="56" spans="1:18">
      <c r="A56" s="31" t="s">
        <v>239</v>
      </c>
      <c r="B56" s="31"/>
      <c r="C56" s="31"/>
      <c r="D56" s="31">
        <v>0</v>
      </c>
      <c r="E56" s="31">
        <v>1</v>
      </c>
      <c r="F56" s="31" t="s">
        <v>197</v>
      </c>
      <c r="G56" s="31" t="s">
        <v>198</v>
      </c>
      <c r="H56" s="31"/>
      <c r="I56" s="31">
        <v>0</v>
      </c>
      <c r="J56" s="31" t="s">
        <v>840</v>
      </c>
      <c r="K56" s="31" t="s">
        <v>863</v>
      </c>
      <c r="L56" s="31">
        <v>50</v>
      </c>
      <c r="M56" s="31"/>
      <c r="N56" s="31" t="str">
        <f t="shared" si="0"/>
        <v>DebuffResist(Burn, 50)</v>
      </c>
      <c r="O56" s="31">
        <v>0</v>
      </c>
      <c r="P56" s="31">
        <v>0</v>
      </c>
      <c r="Q56" s="31"/>
      <c r="R56" s="31" t="b">
        <v>1</v>
      </c>
    </row>
    <row r="57" spans="1:18">
      <c r="A57" s="31" t="s">
        <v>240</v>
      </c>
      <c r="B57" s="31"/>
      <c r="C57" s="31"/>
      <c r="D57" s="31">
        <v>0</v>
      </c>
      <c r="E57" s="31">
        <v>1</v>
      </c>
      <c r="F57" s="31" t="s">
        <v>197</v>
      </c>
      <c r="G57" s="31" t="s">
        <v>198</v>
      </c>
      <c r="H57" s="31"/>
      <c r="I57" s="31">
        <v>0</v>
      </c>
      <c r="J57" s="31" t="s">
        <v>840</v>
      </c>
      <c r="K57" s="31" t="s">
        <v>864</v>
      </c>
      <c r="L57" s="31">
        <v>50</v>
      </c>
      <c r="M57" s="31"/>
      <c r="N57" s="31" t="str">
        <f t="shared" si="0"/>
        <v>DebuffResist(Poison, 50)</v>
      </c>
      <c r="O57" s="31">
        <v>0</v>
      </c>
      <c r="P57" s="31">
        <v>0</v>
      </c>
      <c r="Q57" s="31"/>
      <c r="R57" s="31" t="b">
        <v>1</v>
      </c>
    </row>
    <row r="58" spans="1:18">
      <c r="A58" s="31" t="s">
        <v>241</v>
      </c>
      <c r="B58" s="31"/>
      <c r="C58" s="31"/>
      <c r="D58" s="31">
        <v>0</v>
      </c>
      <c r="E58" s="31">
        <v>1</v>
      </c>
      <c r="F58" s="31" t="s">
        <v>197</v>
      </c>
      <c r="G58" s="31" t="s">
        <v>198</v>
      </c>
      <c r="H58" s="31"/>
      <c r="I58" s="31">
        <v>0</v>
      </c>
      <c r="J58" s="31" t="s">
        <v>840</v>
      </c>
      <c r="K58" s="31" t="s">
        <v>865</v>
      </c>
      <c r="L58" s="31">
        <v>50</v>
      </c>
      <c r="M58" s="31"/>
      <c r="N58" s="31" t="str">
        <f t="shared" si="0"/>
        <v>DebuffResist(Bleed, 50)</v>
      </c>
      <c r="O58" s="31">
        <v>0</v>
      </c>
      <c r="P58" s="31">
        <v>0</v>
      </c>
      <c r="Q58" s="31"/>
      <c r="R58" s="31" t="b">
        <v>1</v>
      </c>
    </row>
    <row r="59" spans="1:18" s="73" customFormat="1">
      <c r="A59" s="130" t="s">
        <v>7707</v>
      </c>
      <c r="B59" s="130"/>
      <c r="C59" s="130"/>
      <c r="D59" s="130">
        <v>0</v>
      </c>
      <c r="E59" s="130">
        <v>1</v>
      </c>
      <c r="F59" s="131" t="s">
        <v>197</v>
      </c>
      <c r="G59" s="131" t="s">
        <v>198</v>
      </c>
      <c r="H59" s="130"/>
      <c r="I59" s="131">
        <v>0</v>
      </c>
      <c r="J59" s="114" t="s">
        <v>838</v>
      </c>
      <c r="K59" s="114" t="s">
        <v>874</v>
      </c>
      <c r="L59" s="131">
        <v>-10000</v>
      </c>
      <c r="M59" s="131"/>
      <c r="N59" s="130" t="str">
        <f t="shared" si="0"/>
        <v>Status(ReceiveRecoveryRate, -10000)</v>
      </c>
      <c r="O59" s="130">
        <v>0</v>
      </c>
      <c r="P59" s="130">
        <v>0</v>
      </c>
      <c r="Q59" s="130"/>
      <c r="R59" s="130" t="b">
        <v>1</v>
      </c>
    </row>
    <row r="60" spans="1:18">
      <c r="A60" s="119" t="s">
        <v>242</v>
      </c>
      <c r="B60" s="32"/>
      <c r="C60" s="32"/>
      <c r="D60" s="32">
        <v>0</v>
      </c>
      <c r="E60" s="32">
        <v>1</v>
      </c>
      <c r="F60" s="120" t="s">
        <v>197</v>
      </c>
      <c r="G60" s="120" t="s">
        <v>198</v>
      </c>
      <c r="H60" s="121"/>
      <c r="I60" s="121">
        <v>0</v>
      </c>
      <c r="J60" s="121" t="s">
        <v>242</v>
      </c>
      <c r="K60" s="121"/>
      <c r="L60" s="121"/>
      <c r="M60" s="121"/>
      <c r="N60" s="119" t="str">
        <f t="shared" si="0"/>
        <v>Invincible()</v>
      </c>
      <c r="O60" s="32">
        <v>0</v>
      </c>
      <c r="P60" s="32">
        <v>0</v>
      </c>
      <c r="Q60" s="32"/>
      <c r="R60" s="121" t="b">
        <v>1</v>
      </c>
    </row>
    <row r="61" spans="1:18">
      <c r="A61" s="119" t="s">
        <v>243</v>
      </c>
      <c r="B61" s="119"/>
      <c r="C61" s="119"/>
      <c r="D61" s="119">
        <v>0</v>
      </c>
      <c r="E61" s="119">
        <v>1</v>
      </c>
      <c r="F61" s="120" t="s">
        <v>197</v>
      </c>
      <c r="G61" s="120" t="s">
        <v>198</v>
      </c>
      <c r="H61" s="119"/>
      <c r="I61" s="121">
        <v>0</v>
      </c>
      <c r="J61" s="121" t="s">
        <v>841</v>
      </c>
      <c r="K61" s="121" t="s">
        <v>848</v>
      </c>
      <c r="L61" s="121"/>
      <c r="M61" s="121"/>
      <c r="N61" s="119" t="str">
        <f t="shared" si="0"/>
        <v>CrowdControl(Stun)</v>
      </c>
      <c r="O61" s="119">
        <v>0</v>
      </c>
      <c r="P61" s="119">
        <v>0</v>
      </c>
      <c r="Q61" s="119" t="s">
        <v>244</v>
      </c>
      <c r="R61" s="121" t="b">
        <v>1</v>
      </c>
    </row>
    <row r="62" spans="1:18">
      <c r="A62" s="119" t="s">
        <v>4012</v>
      </c>
      <c r="B62" s="119"/>
      <c r="C62" s="119"/>
      <c r="D62" s="119">
        <v>0</v>
      </c>
      <c r="E62" s="119">
        <v>1</v>
      </c>
      <c r="F62" s="120" t="s">
        <v>197</v>
      </c>
      <c r="G62" s="120" t="s">
        <v>198</v>
      </c>
      <c r="H62" s="119"/>
      <c r="I62" s="121">
        <v>0</v>
      </c>
      <c r="J62" s="121" t="s">
        <v>841</v>
      </c>
      <c r="K62" s="121" t="s">
        <v>845</v>
      </c>
      <c r="L62" s="121"/>
      <c r="M62" s="121"/>
      <c r="N62" s="119" t="str">
        <f t="shared" si="0"/>
        <v>CrowdControl(Bind)</v>
      </c>
      <c r="O62" s="119">
        <v>0</v>
      </c>
      <c r="P62" s="119">
        <v>0</v>
      </c>
      <c r="Q62" s="119" t="s">
        <v>245</v>
      </c>
      <c r="R62" s="121" t="b">
        <v>1</v>
      </c>
    </row>
    <row r="63" spans="1:18">
      <c r="A63" s="119" t="s">
        <v>246</v>
      </c>
      <c r="B63" s="119"/>
      <c r="C63" s="119"/>
      <c r="D63" s="119">
        <v>0</v>
      </c>
      <c r="E63" s="119">
        <v>1</v>
      </c>
      <c r="F63" s="120" t="s">
        <v>197</v>
      </c>
      <c r="G63" s="120" t="s">
        <v>198</v>
      </c>
      <c r="H63" s="119"/>
      <c r="I63" s="121">
        <v>0</v>
      </c>
      <c r="J63" s="121" t="s">
        <v>841</v>
      </c>
      <c r="K63" s="121" t="s">
        <v>856</v>
      </c>
      <c r="L63" s="121"/>
      <c r="M63" s="121"/>
      <c r="N63" s="119" t="str">
        <f t="shared" si="0"/>
        <v>CrowdControl(Freeze)</v>
      </c>
      <c r="O63" s="119">
        <v>0</v>
      </c>
      <c r="P63" s="119">
        <v>0</v>
      </c>
      <c r="Q63" s="119" t="s">
        <v>148</v>
      </c>
      <c r="R63" s="121" t="b">
        <v>1</v>
      </c>
    </row>
    <row r="64" spans="1:18">
      <c r="A64" s="119" t="s">
        <v>247</v>
      </c>
      <c r="B64" s="119"/>
      <c r="C64" s="119"/>
      <c r="D64" s="119">
        <v>0</v>
      </c>
      <c r="E64" s="119">
        <v>1</v>
      </c>
      <c r="F64" s="120" t="s">
        <v>197</v>
      </c>
      <c r="G64" s="120" t="s">
        <v>198</v>
      </c>
      <c r="H64" s="119"/>
      <c r="I64" s="121">
        <v>0</v>
      </c>
      <c r="J64" s="121" t="s">
        <v>841</v>
      </c>
      <c r="K64" s="121" t="s">
        <v>849</v>
      </c>
      <c r="L64" s="121"/>
      <c r="M64" s="121"/>
      <c r="N64" s="119" t="str">
        <f t="shared" si="0"/>
        <v>CrowdControl(Shock)</v>
      </c>
      <c r="O64" s="119">
        <v>0</v>
      </c>
      <c r="P64" s="119">
        <v>0</v>
      </c>
      <c r="Q64" s="119" t="s">
        <v>248</v>
      </c>
      <c r="R64" s="121" t="b">
        <v>1</v>
      </c>
    </row>
    <row r="65" spans="1:18">
      <c r="A65" s="119" t="s">
        <v>1328</v>
      </c>
      <c r="B65" s="119"/>
      <c r="C65" s="119"/>
      <c r="D65" s="119">
        <v>0</v>
      </c>
      <c r="E65" s="119">
        <v>1</v>
      </c>
      <c r="F65" s="120" t="s">
        <v>197</v>
      </c>
      <c r="G65" s="120" t="s">
        <v>198</v>
      </c>
      <c r="H65" s="119"/>
      <c r="I65" s="121">
        <v>0</v>
      </c>
      <c r="J65" s="121" t="s">
        <v>841</v>
      </c>
      <c r="K65" s="121" t="s">
        <v>850</v>
      </c>
      <c r="L65" s="121"/>
      <c r="M65" s="121"/>
      <c r="N65" s="119" t="str">
        <f t="shared" si="0"/>
        <v>CrowdControl(Paralysis)</v>
      </c>
      <c r="O65" s="119">
        <v>0</v>
      </c>
      <c r="P65" s="119">
        <v>0</v>
      </c>
      <c r="Q65" s="119" t="s">
        <v>249</v>
      </c>
      <c r="R65" s="121" t="b">
        <v>1</v>
      </c>
    </row>
    <row r="66" spans="1:18">
      <c r="A66" s="119" t="s">
        <v>2825</v>
      </c>
      <c r="B66" s="119"/>
      <c r="C66" s="119"/>
      <c r="D66" s="119">
        <v>0</v>
      </c>
      <c r="E66" s="119">
        <v>1</v>
      </c>
      <c r="F66" s="120" t="s">
        <v>197</v>
      </c>
      <c r="G66" s="120" t="s">
        <v>198</v>
      </c>
      <c r="H66" s="119"/>
      <c r="I66" s="121">
        <v>0</v>
      </c>
      <c r="J66" s="121" t="s">
        <v>841</v>
      </c>
      <c r="K66" s="121" t="s">
        <v>846</v>
      </c>
      <c r="L66" s="121"/>
      <c r="M66" s="121"/>
      <c r="N66" s="119" t="str">
        <f t="shared" si="0"/>
        <v>CrowdControl(Wound)</v>
      </c>
      <c r="O66" s="119">
        <v>0</v>
      </c>
      <c r="P66" s="119">
        <v>0</v>
      </c>
      <c r="Q66" s="119" t="s">
        <v>250</v>
      </c>
      <c r="R66" s="121" t="b">
        <v>1</v>
      </c>
    </row>
    <row r="67" spans="1:18">
      <c r="A67" s="119" t="s">
        <v>251</v>
      </c>
      <c r="B67" s="119"/>
      <c r="C67" s="119"/>
      <c r="D67" s="119">
        <v>0</v>
      </c>
      <c r="E67" s="119">
        <v>1</v>
      </c>
      <c r="F67" s="120" t="s">
        <v>197</v>
      </c>
      <c r="G67" s="120" t="s">
        <v>198</v>
      </c>
      <c r="H67" s="119"/>
      <c r="I67" s="121">
        <v>0</v>
      </c>
      <c r="J67" s="121" t="s">
        <v>841</v>
      </c>
      <c r="K67" s="121" t="s">
        <v>851</v>
      </c>
      <c r="L67" s="121"/>
      <c r="M67" s="121"/>
      <c r="N67" s="119" t="str">
        <f t="shared" si="0"/>
        <v>CrowdControl(Fear)</v>
      </c>
      <c r="O67" s="119">
        <v>0</v>
      </c>
      <c r="P67" s="119">
        <v>0</v>
      </c>
      <c r="Q67" s="119" t="s">
        <v>252</v>
      </c>
      <c r="R67" s="121" t="b">
        <v>1</v>
      </c>
    </row>
    <row r="68" spans="1:18">
      <c r="A68" s="119" t="s">
        <v>253</v>
      </c>
      <c r="B68" s="119"/>
      <c r="C68" s="119"/>
      <c r="D68" s="119">
        <v>0</v>
      </c>
      <c r="E68" s="119">
        <v>1</v>
      </c>
      <c r="F68" s="120" t="s">
        <v>197</v>
      </c>
      <c r="G68" s="120" t="s">
        <v>198</v>
      </c>
      <c r="H68" s="119"/>
      <c r="I68" s="121">
        <v>0</v>
      </c>
      <c r="J68" s="121" t="s">
        <v>841</v>
      </c>
      <c r="K68" s="121" t="s">
        <v>852</v>
      </c>
      <c r="L68" s="121"/>
      <c r="M68" s="121"/>
      <c r="N68" s="119" t="str">
        <f t="shared" si="0"/>
        <v>CrowdControl(Charm)</v>
      </c>
      <c r="O68" s="119">
        <v>0</v>
      </c>
      <c r="P68" s="119">
        <v>0</v>
      </c>
      <c r="Q68" s="119" t="s">
        <v>254</v>
      </c>
      <c r="R68" s="121" t="b">
        <v>1</v>
      </c>
    </row>
    <row r="69" spans="1:18">
      <c r="A69" s="119" t="s">
        <v>2693</v>
      </c>
      <c r="B69" s="119"/>
      <c r="C69" s="119"/>
      <c r="D69" s="119">
        <v>0</v>
      </c>
      <c r="E69" s="119">
        <v>1</v>
      </c>
      <c r="F69" s="120" t="s">
        <v>197</v>
      </c>
      <c r="G69" s="120" t="s">
        <v>198</v>
      </c>
      <c r="H69" s="119"/>
      <c r="I69" s="121">
        <v>0</v>
      </c>
      <c r="J69" s="121" t="s">
        <v>841</v>
      </c>
      <c r="K69" s="121" t="s">
        <v>843</v>
      </c>
      <c r="L69" s="121"/>
      <c r="M69" s="121"/>
      <c r="N69" s="119" t="str">
        <f t="shared" si="0"/>
        <v>CrowdControl(Silence)</v>
      </c>
      <c r="O69" s="119">
        <v>0</v>
      </c>
      <c r="P69" s="119">
        <v>0</v>
      </c>
      <c r="Q69" s="119" t="s">
        <v>3340</v>
      </c>
      <c r="R69" s="121" t="b">
        <v>1</v>
      </c>
    </row>
    <row r="70" spans="1:18">
      <c r="A70" s="119" t="s">
        <v>256</v>
      </c>
      <c r="B70" s="119"/>
      <c r="C70" s="119"/>
      <c r="D70" s="119">
        <v>0</v>
      </c>
      <c r="E70" s="119">
        <v>1</v>
      </c>
      <c r="F70" s="120" t="s">
        <v>197</v>
      </c>
      <c r="G70" s="120" t="s">
        <v>198</v>
      </c>
      <c r="H70" s="119"/>
      <c r="I70" s="121">
        <v>0</v>
      </c>
      <c r="J70" s="121" t="s">
        <v>841</v>
      </c>
      <c r="K70" s="121" t="s">
        <v>844</v>
      </c>
      <c r="L70" s="121"/>
      <c r="M70" s="121"/>
      <c r="N70" s="119" t="str">
        <f t="shared" si="0"/>
        <v>CrowdControl(Blind)</v>
      </c>
      <c r="O70" s="119">
        <v>0</v>
      </c>
      <c r="P70" s="119">
        <v>0</v>
      </c>
      <c r="Q70" s="119" t="s">
        <v>257</v>
      </c>
      <c r="R70" s="121" t="b">
        <v>1</v>
      </c>
    </row>
    <row r="71" spans="1:18">
      <c r="A71" s="119" t="s">
        <v>258</v>
      </c>
      <c r="B71" s="119"/>
      <c r="C71" s="119"/>
      <c r="D71" s="119">
        <v>0</v>
      </c>
      <c r="E71" s="119">
        <v>1</v>
      </c>
      <c r="F71" s="120" t="s">
        <v>197</v>
      </c>
      <c r="G71" s="120" t="s">
        <v>198</v>
      </c>
      <c r="H71" s="119"/>
      <c r="I71" s="121">
        <v>0</v>
      </c>
      <c r="J71" s="121" t="s">
        <v>841</v>
      </c>
      <c r="K71" s="121" t="s">
        <v>847</v>
      </c>
      <c r="L71" s="121"/>
      <c r="M71" s="121"/>
      <c r="N71" s="119" t="str">
        <f t="shared" si="0"/>
        <v>CrowdControl(Sleep)</v>
      </c>
      <c r="O71" s="119">
        <v>0</v>
      </c>
      <c r="P71" s="119">
        <v>0</v>
      </c>
      <c r="Q71" s="119" t="s">
        <v>259</v>
      </c>
      <c r="R71" s="121" t="b">
        <v>1</v>
      </c>
    </row>
    <row r="72" spans="1:18">
      <c r="A72" s="119" t="s">
        <v>260</v>
      </c>
      <c r="B72" s="119"/>
      <c r="C72" s="119"/>
      <c r="D72" s="119">
        <v>0</v>
      </c>
      <c r="E72" s="119">
        <v>1</v>
      </c>
      <c r="F72" s="120" t="s">
        <v>197</v>
      </c>
      <c r="G72" s="120" t="s">
        <v>198</v>
      </c>
      <c r="H72" s="119"/>
      <c r="I72" s="121">
        <v>0</v>
      </c>
      <c r="J72" s="121" t="s">
        <v>841</v>
      </c>
      <c r="K72" s="121" t="s">
        <v>857</v>
      </c>
      <c r="L72" s="121"/>
      <c r="M72" s="121"/>
      <c r="N72" s="119" t="str">
        <f t="shared" ref="N72:N109" si="2">J72&amp;"("&amp;IF(K72="","",K72)&amp;IF(L72="","",", "&amp;L72)&amp;IF(M72="","",", "&amp;M72)&amp;")"</f>
        <v>CrowdControl(Exile)</v>
      </c>
      <c r="O72" s="119">
        <v>0</v>
      </c>
      <c r="P72" s="119">
        <v>0</v>
      </c>
      <c r="Q72" s="119" t="s">
        <v>261</v>
      </c>
      <c r="R72" s="121" t="b">
        <v>1</v>
      </c>
    </row>
    <row r="73" spans="1:18">
      <c r="A73" s="119" t="s">
        <v>4286</v>
      </c>
      <c r="B73" s="119"/>
      <c r="C73" s="119"/>
      <c r="D73" s="119">
        <v>0</v>
      </c>
      <c r="E73" s="119">
        <v>1</v>
      </c>
      <c r="F73" s="120" t="s">
        <v>197</v>
      </c>
      <c r="G73" s="120" t="s">
        <v>198</v>
      </c>
      <c r="H73" s="119"/>
      <c r="I73" s="121">
        <v>0</v>
      </c>
      <c r="J73" s="121" t="s">
        <v>841</v>
      </c>
      <c r="K73" s="121" t="s">
        <v>853</v>
      </c>
      <c r="L73" s="121"/>
      <c r="M73" s="121"/>
      <c r="N73" s="119" t="str">
        <f t="shared" si="2"/>
        <v>CrowdControl(Knockback)</v>
      </c>
      <c r="O73" s="119">
        <v>0</v>
      </c>
      <c r="P73" s="119">
        <v>0</v>
      </c>
      <c r="Q73" s="119" t="s">
        <v>262</v>
      </c>
      <c r="R73" s="121" t="b">
        <v>1</v>
      </c>
    </row>
    <row r="74" spans="1:18">
      <c r="A74" s="119" t="s">
        <v>4369</v>
      </c>
      <c r="B74" s="119"/>
      <c r="C74" s="119"/>
      <c r="D74" s="119">
        <v>0</v>
      </c>
      <c r="E74" s="119">
        <v>1</v>
      </c>
      <c r="F74" s="120" t="s">
        <v>197</v>
      </c>
      <c r="G74" s="120" t="s">
        <v>198</v>
      </c>
      <c r="H74" s="119"/>
      <c r="I74" s="121">
        <v>0</v>
      </c>
      <c r="J74" s="121" t="s">
        <v>841</v>
      </c>
      <c r="K74" s="121" t="s">
        <v>854</v>
      </c>
      <c r="L74" s="121"/>
      <c r="M74" s="121"/>
      <c r="N74" s="119" t="str">
        <f t="shared" si="2"/>
        <v>CrowdControl(Airborn)</v>
      </c>
      <c r="O74" s="119">
        <v>0</v>
      </c>
      <c r="P74" s="119">
        <v>0</v>
      </c>
      <c r="Q74" s="119"/>
      <c r="R74" s="121" t="b">
        <v>1</v>
      </c>
    </row>
    <row r="75" spans="1:18">
      <c r="A75" s="119" t="s">
        <v>118</v>
      </c>
      <c r="B75" s="119"/>
      <c r="C75" s="119"/>
      <c r="D75" s="119">
        <v>0</v>
      </c>
      <c r="E75" s="119">
        <v>1</v>
      </c>
      <c r="F75" s="120" t="s">
        <v>197</v>
      </c>
      <c r="G75" s="120" t="s">
        <v>198</v>
      </c>
      <c r="H75" s="119"/>
      <c r="I75" s="121">
        <v>0</v>
      </c>
      <c r="J75" s="121" t="s">
        <v>841</v>
      </c>
      <c r="K75" s="121" t="s">
        <v>866</v>
      </c>
      <c r="L75" s="121"/>
      <c r="M75" s="121"/>
      <c r="N75" s="119" t="str">
        <f t="shared" si="2"/>
        <v>CrowdControl(Pushed)</v>
      </c>
      <c r="O75" s="119">
        <v>0</v>
      </c>
      <c r="P75" s="119">
        <v>0</v>
      </c>
      <c r="Q75" s="119" t="s">
        <v>264</v>
      </c>
      <c r="R75" s="121" t="b">
        <v>1</v>
      </c>
    </row>
    <row r="76" spans="1:18">
      <c r="A76" s="119" t="s">
        <v>2694</v>
      </c>
      <c r="B76" s="119"/>
      <c r="C76" s="119"/>
      <c r="D76" s="119">
        <v>0</v>
      </c>
      <c r="E76" s="119">
        <v>1</v>
      </c>
      <c r="F76" s="120" t="s">
        <v>197</v>
      </c>
      <c r="G76" s="120" t="s">
        <v>198</v>
      </c>
      <c r="H76" s="119"/>
      <c r="I76" s="121">
        <v>0</v>
      </c>
      <c r="J76" s="121" t="s">
        <v>841</v>
      </c>
      <c r="K76" s="119" t="s">
        <v>1085</v>
      </c>
      <c r="L76" s="121"/>
      <c r="M76" s="121"/>
      <c r="N76" s="119" t="str">
        <f t="shared" si="2"/>
        <v>CrowdControl(Confusion)</v>
      </c>
      <c r="O76" s="119">
        <v>0</v>
      </c>
      <c r="P76" s="119">
        <v>0</v>
      </c>
      <c r="Q76" s="119" t="s">
        <v>1088</v>
      </c>
      <c r="R76" s="121" t="b">
        <v>1</v>
      </c>
    </row>
    <row r="77" spans="1:18">
      <c r="A77" s="119" t="s">
        <v>1149</v>
      </c>
      <c r="B77" s="119"/>
      <c r="C77" s="119"/>
      <c r="D77" s="119">
        <v>0</v>
      </c>
      <c r="E77" s="119">
        <v>1</v>
      </c>
      <c r="F77" s="120" t="s">
        <v>197</v>
      </c>
      <c r="G77" s="120" t="s">
        <v>198</v>
      </c>
      <c r="H77" s="119"/>
      <c r="I77" s="121">
        <v>0</v>
      </c>
      <c r="J77" s="120" t="s">
        <v>4510</v>
      </c>
      <c r="K77" s="119" t="s">
        <v>1086</v>
      </c>
      <c r="L77" s="121">
        <v>1000</v>
      </c>
      <c r="M77" s="121"/>
      <c r="N77" s="119" t="str">
        <f t="shared" si="2"/>
        <v>CrowdControl(DeathHeal, 1000)</v>
      </c>
      <c r="O77" s="119">
        <v>0</v>
      </c>
      <c r="P77" s="119">
        <v>0</v>
      </c>
      <c r="Q77" s="119" t="s">
        <v>1087</v>
      </c>
      <c r="R77" s="121" t="b">
        <v>1</v>
      </c>
    </row>
    <row r="78" spans="1:18">
      <c r="A78" s="119" t="s">
        <v>3537</v>
      </c>
      <c r="B78" s="119"/>
      <c r="C78" s="119"/>
      <c r="D78" s="119">
        <v>0</v>
      </c>
      <c r="E78" s="119">
        <v>1</v>
      </c>
      <c r="F78" s="120" t="s">
        <v>197</v>
      </c>
      <c r="G78" s="120" t="s">
        <v>198</v>
      </c>
      <c r="H78" s="119"/>
      <c r="I78" s="121">
        <v>0</v>
      </c>
      <c r="J78" s="121" t="s">
        <v>859</v>
      </c>
      <c r="K78" s="121"/>
      <c r="L78" s="121"/>
      <c r="M78" s="121"/>
      <c r="N78" s="119" t="str">
        <f t="shared" si="2"/>
        <v>Provoke()</v>
      </c>
      <c r="O78" s="119">
        <v>0</v>
      </c>
      <c r="P78" s="119">
        <v>0</v>
      </c>
      <c r="Q78" s="119"/>
      <c r="R78" s="121" t="b">
        <v>1</v>
      </c>
    </row>
    <row r="79" spans="1:18">
      <c r="A79" s="119" t="s">
        <v>5501</v>
      </c>
      <c r="B79" s="32"/>
      <c r="C79" s="32"/>
      <c r="D79" s="32">
        <v>0</v>
      </c>
      <c r="E79" s="32">
        <v>1</v>
      </c>
      <c r="F79" s="120" t="s">
        <v>197</v>
      </c>
      <c r="G79" s="120" t="s">
        <v>198</v>
      </c>
      <c r="H79" s="121"/>
      <c r="I79" s="121">
        <v>0</v>
      </c>
      <c r="J79" s="120" t="s">
        <v>4509</v>
      </c>
      <c r="K79" s="121"/>
      <c r="L79" s="121"/>
      <c r="M79" s="121"/>
      <c r="N79" s="119" t="str">
        <f t="shared" si="2"/>
        <v>Aggro()</v>
      </c>
      <c r="O79" s="32">
        <v>0</v>
      </c>
      <c r="P79" s="32">
        <v>0</v>
      </c>
      <c r="Q79" s="32"/>
      <c r="R79" s="121" t="b">
        <v>1</v>
      </c>
    </row>
    <row r="80" spans="1:18">
      <c r="A80" s="119" t="s">
        <v>266</v>
      </c>
      <c r="B80" s="120"/>
      <c r="C80" s="120"/>
      <c r="D80" s="120">
        <v>0</v>
      </c>
      <c r="E80" s="120">
        <v>1</v>
      </c>
      <c r="F80" s="120" t="s">
        <v>197</v>
      </c>
      <c r="G80" s="120" t="s">
        <v>198</v>
      </c>
      <c r="H80" s="120"/>
      <c r="I80" s="121">
        <v>0</v>
      </c>
      <c r="J80" s="120" t="s">
        <v>1128</v>
      </c>
      <c r="K80" s="120" t="s">
        <v>1129</v>
      </c>
      <c r="L80" s="121"/>
      <c r="M80" s="121"/>
      <c r="N80" s="119" t="str">
        <f t="shared" si="2"/>
        <v>Link(All)</v>
      </c>
      <c r="O80" s="120">
        <v>0</v>
      </c>
      <c r="P80" s="121">
        <v>0</v>
      </c>
      <c r="Q80" s="120"/>
      <c r="R80" s="121" t="b">
        <v>1</v>
      </c>
    </row>
    <row r="81" spans="1:18">
      <c r="A81" s="119" t="s">
        <v>267</v>
      </c>
      <c r="B81" s="120"/>
      <c r="C81" s="120"/>
      <c r="D81" s="120">
        <v>0</v>
      </c>
      <c r="E81" s="120">
        <v>1</v>
      </c>
      <c r="F81" s="120" t="s">
        <v>197</v>
      </c>
      <c r="G81" s="120" t="s">
        <v>198</v>
      </c>
      <c r="H81" s="120"/>
      <c r="I81" s="121">
        <v>0</v>
      </c>
      <c r="J81" s="120" t="s">
        <v>1132</v>
      </c>
      <c r="K81" s="120" t="s">
        <v>1130</v>
      </c>
      <c r="L81" s="121"/>
      <c r="M81" s="121"/>
      <c r="N81" s="119" t="str">
        <f t="shared" si="2"/>
        <v>Link(To)</v>
      </c>
      <c r="O81" s="120">
        <v>0</v>
      </c>
      <c r="P81" s="121">
        <v>0</v>
      </c>
      <c r="Q81" s="120"/>
      <c r="R81" s="121" t="b">
        <v>1</v>
      </c>
    </row>
    <row r="82" spans="1:18">
      <c r="A82" s="119" t="s">
        <v>2710</v>
      </c>
      <c r="B82" s="120"/>
      <c r="C82" s="120"/>
      <c r="D82" s="120">
        <v>0</v>
      </c>
      <c r="E82" s="120">
        <v>1</v>
      </c>
      <c r="F82" s="120" t="s">
        <v>197</v>
      </c>
      <c r="G82" s="120" t="s">
        <v>198</v>
      </c>
      <c r="H82" s="120"/>
      <c r="I82" s="121">
        <v>0</v>
      </c>
      <c r="J82" s="120" t="s">
        <v>1132</v>
      </c>
      <c r="K82" s="120" t="s">
        <v>1131</v>
      </c>
      <c r="L82" s="121"/>
      <c r="M82" s="121"/>
      <c r="N82" s="119" t="str">
        <f t="shared" si="2"/>
        <v>Link(From)</v>
      </c>
      <c r="O82" s="120">
        <v>0</v>
      </c>
      <c r="P82" s="121">
        <v>0</v>
      </c>
      <c r="Q82" s="120"/>
      <c r="R82" s="121" t="b">
        <v>1</v>
      </c>
    </row>
    <row r="83" spans="1:18">
      <c r="A83" s="119" t="s">
        <v>6170</v>
      </c>
      <c r="B83" s="32"/>
      <c r="C83" s="32"/>
      <c r="D83" s="32">
        <v>0</v>
      </c>
      <c r="E83" s="32">
        <v>1</v>
      </c>
      <c r="F83" s="120" t="s">
        <v>197</v>
      </c>
      <c r="G83" s="120" t="s">
        <v>198</v>
      </c>
      <c r="H83" s="121"/>
      <c r="I83" s="121">
        <v>0</v>
      </c>
      <c r="J83" s="121" t="s">
        <v>242</v>
      </c>
      <c r="K83" s="121"/>
      <c r="L83" s="121"/>
      <c r="M83" s="121"/>
      <c r="N83" s="119" t="str">
        <f t="shared" si="2"/>
        <v>Invincible()</v>
      </c>
      <c r="O83" s="32">
        <v>0</v>
      </c>
      <c r="P83" s="32">
        <v>0</v>
      </c>
      <c r="Q83" s="32"/>
      <c r="R83" s="121" t="b">
        <v>0</v>
      </c>
    </row>
    <row r="84" spans="1:18">
      <c r="A84" s="119" t="s">
        <v>6171</v>
      </c>
      <c r="B84" s="119"/>
      <c r="C84" s="119"/>
      <c r="D84" s="119">
        <v>0</v>
      </c>
      <c r="E84" s="119">
        <v>1</v>
      </c>
      <c r="F84" s="120" t="s">
        <v>197</v>
      </c>
      <c r="G84" s="120" t="s">
        <v>198</v>
      </c>
      <c r="H84" s="119"/>
      <c r="I84" s="121">
        <v>0</v>
      </c>
      <c r="J84" s="121" t="s">
        <v>841</v>
      </c>
      <c r="K84" s="121" t="s">
        <v>848</v>
      </c>
      <c r="L84" s="121"/>
      <c r="M84" s="121"/>
      <c r="N84" s="119" t="str">
        <f t="shared" si="2"/>
        <v>CrowdControl(Stun)</v>
      </c>
      <c r="O84" s="119">
        <v>0</v>
      </c>
      <c r="P84" s="119">
        <v>0</v>
      </c>
      <c r="Q84" s="119"/>
      <c r="R84" s="121" t="b">
        <v>0</v>
      </c>
    </row>
    <row r="85" spans="1:18">
      <c r="A85" s="119" t="s">
        <v>6172</v>
      </c>
      <c r="B85" s="119"/>
      <c r="C85" s="119"/>
      <c r="D85" s="119">
        <v>0</v>
      </c>
      <c r="E85" s="119">
        <v>1</v>
      </c>
      <c r="F85" s="120" t="s">
        <v>197</v>
      </c>
      <c r="G85" s="120" t="s">
        <v>198</v>
      </c>
      <c r="H85" s="119"/>
      <c r="I85" s="121">
        <v>0</v>
      </c>
      <c r="J85" s="121" t="s">
        <v>841</v>
      </c>
      <c r="K85" s="121" t="s">
        <v>845</v>
      </c>
      <c r="L85" s="121"/>
      <c r="M85" s="121"/>
      <c r="N85" s="119" t="str">
        <f t="shared" si="2"/>
        <v>CrowdControl(Bind)</v>
      </c>
      <c r="O85" s="119">
        <v>0</v>
      </c>
      <c r="P85" s="119">
        <v>0</v>
      </c>
      <c r="Q85" s="119"/>
      <c r="R85" s="121" t="b">
        <v>0</v>
      </c>
    </row>
    <row r="86" spans="1:18">
      <c r="A86" s="119" t="s">
        <v>6173</v>
      </c>
      <c r="B86" s="119"/>
      <c r="C86" s="119"/>
      <c r="D86" s="119">
        <v>0</v>
      </c>
      <c r="E86" s="119">
        <v>1</v>
      </c>
      <c r="F86" s="120" t="s">
        <v>197</v>
      </c>
      <c r="G86" s="120" t="s">
        <v>198</v>
      </c>
      <c r="H86" s="119"/>
      <c r="I86" s="121">
        <v>0</v>
      </c>
      <c r="J86" s="121" t="s">
        <v>841</v>
      </c>
      <c r="K86" s="121" t="s">
        <v>856</v>
      </c>
      <c r="L86" s="121"/>
      <c r="M86" s="121"/>
      <c r="N86" s="119" t="str">
        <f t="shared" si="2"/>
        <v>CrowdControl(Freeze)</v>
      </c>
      <c r="O86" s="119">
        <v>0</v>
      </c>
      <c r="P86" s="119">
        <v>0</v>
      </c>
      <c r="Q86" s="119"/>
      <c r="R86" s="121" t="b">
        <v>0</v>
      </c>
    </row>
    <row r="87" spans="1:18">
      <c r="A87" s="119" t="s">
        <v>6174</v>
      </c>
      <c r="B87" s="119"/>
      <c r="C87" s="119"/>
      <c r="D87" s="119">
        <v>0</v>
      </c>
      <c r="E87" s="119">
        <v>1</v>
      </c>
      <c r="F87" s="120" t="s">
        <v>197</v>
      </c>
      <c r="G87" s="120" t="s">
        <v>198</v>
      </c>
      <c r="H87" s="119"/>
      <c r="I87" s="121">
        <v>0</v>
      </c>
      <c r="J87" s="121" t="s">
        <v>841</v>
      </c>
      <c r="K87" s="121" t="s">
        <v>849</v>
      </c>
      <c r="L87" s="121"/>
      <c r="M87" s="121"/>
      <c r="N87" s="119" t="str">
        <f t="shared" si="2"/>
        <v>CrowdControl(Shock)</v>
      </c>
      <c r="O87" s="119">
        <v>0</v>
      </c>
      <c r="P87" s="119">
        <v>0</v>
      </c>
      <c r="Q87" s="119"/>
      <c r="R87" s="121" t="b">
        <v>0</v>
      </c>
    </row>
    <row r="88" spans="1:18">
      <c r="A88" s="119" t="s">
        <v>6175</v>
      </c>
      <c r="B88" s="119"/>
      <c r="C88" s="119"/>
      <c r="D88" s="119">
        <v>0</v>
      </c>
      <c r="E88" s="119">
        <v>1</v>
      </c>
      <c r="F88" s="120" t="s">
        <v>197</v>
      </c>
      <c r="G88" s="120" t="s">
        <v>198</v>
      </c>
      <c r="H88" s="119"/>
      <c r="I88" s="121">
        <v>0</v>
      </c>
      <c r="J88" s="121" t="s">
        <v>841</v>
      </c>
      <c r="K88" s="121" t="s">
        <v>850</v>
      </c>
      <c r="L88" s="121"/>
      <c r="M88" s="121"/>
      <c r="N88" s="119" t="str">
        <f t="shared" si="2"/>
        <v>CrowdControl(Paralysis)</v>
      </c>
      <c r="O88" s="119">
        <v>0</v>
      </c>
      <c r="P88" s="119">
        <v>0</v>
      </c>
      <c r="Q88" s="119"/>
      <c r="R88" s="121" t="b">
        <v>0</v>
      </c>
    </row>
    <row r="89" spans="1:18">
      <c r="A89" s="119" t="s">
        <v>6176</v>
      </c>
      <c r="B89" s="119"/>
      <c r="C89" s="119"/>
      <c r="D89" s="119">
        <v>0</v>
      </c>
      <c r="E89" s="119">
        <v>1</v>
      </c>
      <c r="F89" s="120" t="s">
        <v>197</v>
      </c>
      <c r="G89" s="120" t="s">
        <v>198</v>
      </c>
      <c r="H89" s="119"/>
      <c r="I89" s="121">
        <v>0</v>
      </c>
      <c r="J89" s="121" t="s">
        <v>841</v>
      </c>
      <c r="K89" s="121" t="s">
        <v>846</v>
      </c>
      <c r="L89" s="121"/>
      <c r="M89" s="121"/>
      <c r="N89" s="119" t="str">
        <f t="shared" si="2"/>
        <v>CrowdControl(Wound)</v>
      </c>
      <c r="O89" s="119">
        <v>0</v>
      </c>
      <c r="P89" s="119">
        <v>0</v>
      </c>
      <c r="Q89" s="119"/>
      <c r="R89" s="121" t="b">
        <v>0</v>
      </c>
    </row>
    <row r="90" spans="1:18">
      <c r="A90" s="119" t="s">
        <v>6177</v>
      </c>
      <c r="B90" s="119"/>
      <c r="C90" s="119"/>
      <c r="D90" s="119">
        <v>0</v>
      </c>
      <c r="E90" s="119">
        <v>1</v>
      </c>
      <c r="F90" s="120" t="s">
        <v>197</v>
      </c>
      <c r="G90" s="120" t="s">
        <v>198</v>
      </c>
      <c r="H90" s="119"/>
      <c r="I90" s="121">
        <v>0</v>
      </c>
      <c r="J90" s="121" t="s">
        <v>841</v>
      </c>
      <c r="K90" s="121" t="s">
        <v>851</v>
      </c>
      <c r="L90" s="121"/>
      <c r="M90" s="121"/>
      <c r="N90" s="119" t="str">
        <f t="shared" si="2"/>
        <v>CrowdControl(Fear)</v>
      </c>
      <c r="O90" s="119">
        <v>0</v>
      </c>
      <c r="P90" s="119">
        <v>0</v>
      </c>
      <c r="Q90" s="119"/>
      <c r="R90" s="121" t="b">
        <v>0</v>
      </c>
    </row>
    <row r="91" spans="1:18">
      <c r="A91" s="119" t="s">
        <v>6178</v>
      </c>
      <c r="B91" s="119"/>
      <c r="C91" s="119"/>
      <c r="D91" s="119">
        <v>0</v>
      </c>
      <c r="E91" s="119">
        <v>1</v>
      </c>
      <c r="F91" s="120" t="s">
        <v>197</v>
      </c>
      <c r="G91" s="120" t="s">
        <v>198</v>
      </c>
      <c r="H91" s="119"/>
      <c r="I91" s="121">
        <v>0</v>
      </c>
      <c r="J91" s="121" t="s">
        <v>841</v>
      </c>
      <c r="K91" s="121" t="s">
        <v>852</v>
      </c>
      <c r="L91" s="121"/>
      <c r="M91" s="121"/>
      <c r="N91" s="119" t="str">
        <f t="shared" si="2"/>
        <v>CrowdControl(Charm)</v>
      </c>
      <c r="O91" s="119">
        <v>0</v>
      </c>
      <c r="P91" s="119">
        <v>0</v>
      </c>
      <c r="Q91" s="119"/>
      <c r="R91" s="121" t="b">
        <v>0</v>
      </c>
    </row>
    <row r="92" spans="1:18">
      <c r="A92" s="119" t="s">
        <v>6179</v>
      </c>
      <c r="B92" s="119"/>
      <c r="C92" s="119"/>
      <c r="D92" s="119">
        <v>0</v>
      </c>
      <c r="E92" s="119">
        <v>1</v>
      </c>
      <c r="F92" s="120" t="s">
        <v>197</v>
      </c>
      <c r="G92" s="120" t="s">
        <v>198</v>
      </c>
      <c r="H92" s="119"/>
      <c r="I92" s="121">
        <v>0</v>
      </c>
      <c r="J92" s="121" t="s">
        <v>841</v>
      </c>
      <c r="K92" s="121" t="s">
        <v>843</v>
      </c>
      <c r="L92" s="121"/>
      <c r="M92" s="121"/>
      <c r="N92" s="119" t="str">
        <f t="shared" si="2"/>
        <v>CrowdControl(Silence)</v>
      </c>
      <c r="O92" s="119">
        <v>0</v>
      </c>
      <c r="P92" s="119">
        <v>0</v>
      </c>
      <c r="Q92" s="119"/>
      <c r="R92" s="121" t="b">
        <v>0</v>
      </c>
    </row>
    <row r="93" spans="1:18">
      <c r="A93" s="119" t="s">
        <v>6180</v>
      </c>
      <c r="B93" s="119"/>
      <c r="C93" s="119"/>
      <c r="D93" s="119">
        <v>0</v>
      </c>
      <c r="E93" s="119">
        <v>1</v>
      </c>
      <c r="F93" s="120" t="s">
        <v>197</v>
      </c>
      <c r="G93" s="120" t="s">
        <v>198</v>
      </c>
      <c r="H93" s="119"/>
      <c r="I93" s="121">
        <v>0</v>
      </c>
      <c r="J93" s="121" t="s">
        <v>841</v>
      </c>
      <c r="K93" s="121" t="s">
        <v>844</v>
      </c>
      <c r="L93" s="121"/>
      <c r="M93" s="121"/>
      <c r="N93" s="119" t="str">
        <f t="shared" si="2"/>
        <v>CrowdControl(Blind)</v>
      </c>
      <c r="O93" s="119">
        <v>0</v>
      </c>
      <c r="P93" s="119">
        <v>0</v>
      </c>
      <c r="Q93" s="119"/>
      <c r="R93" s="121" t="b">
        <v>0</v>
      </c>
    </row>
    <row r="94" spans="1:18">
      <c r="A94" s="119" t="s">
        <v>6181</v>
      </c>
      <c r="B94" s="119"/>
      <c r="C94" s="119"/>
      <c r="D94" s="119">
        <v>0</v>
      </c>
      <c r="E94" s="119">
        <v>1</v>
      </c>
      <c r="F94" s="120" t="s">
        <v>197</v>
      </c>
      <c r="G94" s="120" t="s">
        <v>198</v>
      </c>
      <c r="H94" s="119"/>
      <c r="I94" s="121">
        <v>0</v>
      </c>
      <c r="J94" s="121" t="s">
        <v>841</v>
      </c>
      <c r="K94" s="121" t="s">
        <v>847</v>
      </c>
      <c r="L94" s="121"/>
      <c r="M94" s="121"/>
      <c r="N94" s="119" t="str">
        <f t="shared" si="2"/>
        <v>CrowdControl(Sleep)</v>
      </c>
      <c r="O94" s="119">
        <v>0</v>
      </c>
      <c r="P94" s="119">
        <v>0</v>
      </c>
      <c r="Q94" s="119"/>
      <c r="R94" s="121" t="b">
        <v>0</v>
      </c>
    </row>
    <row r="95" spans="1:18">
      <c r="A95" s="119" t="s">
        <v>6182</v>
      </c>
      <c r="B95" s="119"/>
      <c r="C95" s="119"/>
      <c r="D95" s="119">
        <v>0</v>
      </c>
      <c r="E95" s="119">
        <v>1</v>
      </c>
      <c r="F95" s="120" t="s">
        <v>197</v>
      </c>
      <c r="G95" s="120" t="s">
        <v>198</v>
      </c>
      <c r="H95" s="119"/>
      <c r="I95" s="121">
        <v>0</v>
      </c>
      <c r="J95" s="121" t="s">
        <v>841</v>
      </c>
      <c r="K95" s="121" t="s">
        <v>857</v>
      </c>
      <c r="L95" s="121"/>
      <c r="M95" s="121"/>
      <c r="N95" s="119" t="str">
        <f t="shared" ref="N95:N105" si="3">J95&amp;"("&amp;IF(K95="","",K95)&amp;IF(L95="","",", "&amp;L95)&amp;IF(M95="","",", "&amp;M95)&amp;")"</f>
        <v>CrowdControl(Exile)</v>
      </c>
      <c r="O95" s="119">
        <v>0</v>
      </c>
      <c r="P95" s="119">
        <v>0</v>
      </c>
      <c r="Q95" s="119"/>
      <c r="R95" s="121" t="b">
        <v>0</v>
      </c>
    </row>
    <row r="96" spans="1:18">
      <c r="A96" s="119" t="s">
        <v>6183</v>
      </c>
      <c r="B96" s="119"/>
      <c r="C96" s="119"/>
      <c r="D96" s="119">
        <v>0</v>
      </c>
      <c r="E96" s="119">
        <v>1</v>
      </c>
      <c r="F96" s="120" t="s">
        <v>197</v>
      </c>
      <c r="G96" s="120" t="s">
        <v>198</v>
      </c>
      <c r="H96" s="119"/>
      <c r="I96" s="121">
        <v>0</v>
      </c>
      <c r="J96" s="121" t="s">
        <v>841</v>
      </c>
      <c r="K96" s="121" t="s">
        <v>853</v>
      </c>
      <c r="L96" s="121"/>
      <c r="M96" s="121"/>
      <c r="N96" s="119" t="str">
        <f t="shared" si="3"/>
        <v>CrowdControl(Knockback)</v>
      </c>
      <c r="O96" s="119">
        <v>0</v>
      </c>
      <c r="P96" s="119">
        <v>0</v>
      </c>
      <c r="Q96" s="119"/>
      <c r="R96" s="121" t="b">
        <v>0</v>
      </c>
    </row>
    <row r="97" spans="1:18">
      <c r="A97" s="119" t="s">
        <v>6184</v>
      </c>
      <c r="B97" s="119"/>
      <c r="C97" s="119"/>
      <c r="D97" s="119">
        <v>0</v>
      </c>
      <c r="E97" s="119">
        <v>1</v>
      </c>
      <c r="F97" s="120" t="s">
        <v>197</v>
      </c>
      <c r="G97" s="120" t="s">
        <v>198</v>
      </c>
      <c r="H97" s="119"/>
      <c r="I97" s="121">
        <v>0</v>
      </c>
      <c r="J97" s="121" t="s">
        <v>841</v>
      </c>
      <c r="K97" s="121" t="s">
        <v>854</v>
      </c>
      <c r="L97" s="121"/>
      <c r="M97" s="121"/>
      <c r="N97" s="119" t="str">
        <f t="shared" si="3"/>
        <v>CrowdControl(Airborn)</v>
      </c>
      <c r="O97" s="119">
        <v>0</v>
      </c>
      <c r="P97" s="119">
        <v>0</v>
      </c>
      <c r="Q97" s="119"/>
      <c r="R97" s="121" t="b">
        <v>0</v>
      </c>
    </row>
    <row r="98" spans="1:18">
      <c r="A98" s="119" t="s">
        <v>6185</v>
      </c>
      <c r="B98" s="119"/>
      <c r="C98" s="119"/>
      <c r="D98" s="119">
        <v>0</v>
      </c>
      <c r="E98" s="119">
        <v>1</v>
      </c>
      <c r="F98" s="120" t="s">
        <v>197</v>
      </c>
      <c r="G98" s="120" t="s">
        <v>198</v>
      </c>
      <c r="H98" s="119"/>
      <c r="I98" s="121">
        <v>0</v>
      </c>
      <c r="J98" s="121" t="s">
        <v>841</v>
      </c>
      <c r="K98" s="121" t="s">
        <v>866</v>
      </c>
      <c r="L98" s="121"/>
      <c r="M98" s="121"/>
      <c r="N98" s="119" t="str">
        <f t="shared" si="3"/>
        <v>CrowdControl(Pushed)</v>
      </c>
      <c r="O98" s="119">
        <v>0</v>
      </c>
      <c r="P98" s="119">
        <v>0</v>
      </c>
      <c r="Q98" s="119"/>
      <c r="R98" s="121" t="b">
        <v>0</v>
      </c>
    </row>
    <row r="99" spans="1:18">
      <c r="A99" s="119" t="s">
        <v>6186</v>
      </c>
      <c r="B99" s="119"/>
      <c r="C99" s="119"/>
      <c r="D99" s="119">
        <v>0</v>
      </c>
      <c r="E99" s="119">
        <v>1</v>
      </c>
      <c r="F99" s="120" t="s">
        <v>197</v>
      </c>
      <c r="G99" s="120" t="s">
        <v>198</v>
      </c>
      <c r="H99" s="119"/>
      <c r="I99" s="121">
        <v>0</v>
      </c>
      <c r="J99" s="121" t="s">
        <v>841</v>
      </c>
      <c r="K99" s="119" t="s">
        <v>1085</v>
      </c>
      <c r="L99" s="121"/>
      <c r="M99" s="121"/>
      <c r="N99" s="119" t="str">
        <f t="shared" si="3"/>
        <v>CrowdControl(Confusion)</v>
      </c>
      <c r="O99" s="119">
        <v>0</v>
      </c>
      <c r="P99" s="119">
        <v>0</v>
      </c>
      <c r="Q99" s="119"/>
      <c r="R99" s="121" t="b">
        <v>0</v>
      </c>
    </row>
    <row r="100" spans="1:18">
      <c r="A100" s="119" t="s">
        <v>6187</v>
      </c>
      <c r="B100" s="119"/>
      <c r="C100" s="119"/>
      <c r="D100" s="119">
        <v>0</v>
      </c>
      <c r="E100" s="119">
        <v>1</v>
      </c>
      <c r="F100" s="120" t="s">
        <v>197</v>
      </c>
      <c r="G100" s="120" t="s">
        <v>198</v>
      </c>
      <c r="H100" s="119"/>
      <c r="I100" s="121">
        <v>0</v>
      </c>
      <c r="J100" s="120" t="s">
        <v>4510</v>
      </c>
      <c r="K100" s="119" t="s">
        <v>1086</v>
      </c>
      <c r="L100" s="121">
        <v>1000</v>
      </c>
      <c r="M100" s="121"/>
      <c r="N100" s="119" t="str">
        <f t="shared" si="3"/>
        <v>CrowdControl(DeathHeal, 1000)</v>
      </c>
      <c r="O100" s="119">
        <v>0</v>
      </c>
      <c r="P100" s="119">
        <v>0</v>
      </c>
      <c r="Q100" s="119"/>
      <c r="R100" s="121" t="b">
        <v>0</v>
      </c>
    </row>
    <row r="101" spans="1:18">
      <c r="A101" s="119" t="s">
        <v>6188</v>
      </c>
      <c r="B101" s="119"/>
      <c r="C101" s="119"/>
      <c r="D101" s="119">
        <v>0</v>
      </c>
      <c r="E101" s="119">
        <v>1</v>
      </c>
      <c r="F101" s="120" t="s">
        <v>197</v>
      </c>
      <c r="G101" s="120" t="s">
        <v>198</v>
      </c>
      <c r="H101" s="119"/>
      <c r="I101" s="121">
        <v>0</v>
      </c>
      <c r="J101" s="121" t="s">
        <v>859</v>
      </c>
      <c r="K101" s="121"/>
      <c r="L101" s="121"/>
      <c r="M101" s="121"/>
      <c r="N101" s="119" t="str">
        <f t="shared" si="3"/>
        <v>Provoke()</v>
      </c>
      <c r="O101" s="119">
        <v>0</v>
      </c>
      <c r="P101" s="119">
        <v>0</v>
      </c>
      <c r="Q101" s="119"/>
      <c r="R101" s="121" t="b">
        <v>0</v>
      </c>
    </row>
    <row r="102" spans="1:18">
      <c r="A102" s="119" t="s">
        <v>6189</v>
      </c>
      <c r="B102" s="32"/>
      <c r="C102" s="32"/>
      <c r="D102" s="32">
        <v>0</v>
      </c>
      <c r="E102" s="32">
        <v>1</v>
      </c>
      <c r="F102" s="120" t="s">
        <v>197</v>
      </c>
      <c r="G102" s="120" t="s">
        <v>198</v>
      </c>
      <c r="H102" s="121"/>
      <c r="I102" s="121">
        <v>0</v>
      </c>
      <c r="J102" s="120" t="s">
        <v>4509</v>
      </c>
      <c r="K102" s="121"/>
      <c r="L102" s="121"/>
      <c r="M102" s="121"/>
      <c r="N102" s="119" t="str">
        <f t="shared" si="3"/>
        <v>Aggro()</v>
      </c>
      <c r="O102" s="32">
        <v>0</v>
      </c>
      <c r="P102" s="32">
        <v>0</v>
      </c>
      <c r="Q102" s="32"/>
      <c r="R102" s="121" t="b">
        <v>0</v>
      </c>
    </row>
    <row r="103" spans="1:18">
      <c r="A103" s="119" t="s">
        <v>6190</v>
      </c>
      <c r="B103" s="120"/>
      <c r="C103" s="120"/>
      <c r="D103" s="120">
        <v>0</v>
      </c>
      <c r="E103" s="120">
        <v>1</v>
      </c>
      <c r="F103" s="120" t="s">
        <v>197</v>
      </c>
      <c r="G103" s="120" t="s">
        <v>198</v>
      </c>
      <c r="H103" s="120"/>
      <c r="I103" s="121">
        <v>0</v>
      </c>
      <c r="J103" s="120" t="s">
        <v>1128</v>
      </c>
      <c r="K103" s="120" t="s">
        <v>1129</v>
      </c>
      <c r="L103" s="121"/>
      <c r="M103" s="121"/>
      <c r="N103" s="119" t="str">
        <f t="shared" si="3"/>
        <v>Link(All)</v>
      </c>
      <c r="O103" s="120">
        <v>0</v>
      </c>
      <c r="P103" s="121">
        <v>0</v>
      </c>
      <c r="Q103" s="120"/>
      <c r="R103" s="121" t="b">
        <v>0</v>
      </c>
    </row>
    <row r="104" spans="1:18">
      <c r="A104" s="119" t="s">
        <v>6191</v>
      </c>
      <c r="B104" s="120"/>
      <c r="C104" s="120"/>
      <c r="D104" s="120">
        <v>0</v>
      </c>
      <c r="E104" s="120">
        <v>1</v>
      </c>
      <c r="F104" s="120" t="s">
        <v>197</v>
      </c>
      <c r="G104" s="120" t="s">
        <v>198</v>
      </c>
      <c r="H104" s="120"/>
      <c r="I104" s="121">
        <v>0</v>
      </c>
      <c r="J104" s="120" t="s">
        <v>1132</v>
      </c>
      <c r="K104" s="120" t="s">
        <v>1130</v>
      </c>
      <c r="L104" s="121"/>
      <c r="M104" s="121"/>
      <c r="N104" s="119" t="str">
        <f t="shared" si="3"/>
        <v>Link(To)</v>
      </c>
      <c r="O104" s="120">
        <v>0</v>
      </c>
      <c r="P104" s="121">
        <v>0</v>
      </c>
      <c r="Q104" s="120"/>
      <c r="R104" s="121" t="b">
        <v>0</v>
      </c>
    </row>
    <row r="105" spans="1:18">
      <c r="A105" s="119" t="s">
        <v>6192</v>
      </c>
      <c r="B105" s="120"/>
      <c r="C105" s="120"/>
      <c r="D105" s="120">
        <v>0</v>
      </c>
      <c r="E105" s="120">
        <v>1</v>
      </c>
      <c r="F105" s="120" t="s">
        <v>197</v>
      </c>
      <c r="G105" s="120" t="s">
        <v>198</v>
      </c>
      <c r="H105" s="120"/>
      <c r="I105" s="121">
        <v>0</v>
      </c>
      <c r="J105" s="120" t="s">
        <v>1132</v>
      </c>
      <c r="K105" s="120" t="s">
        <v>1131</v>
      </c>
      <c r="L105" s="121"/>
      <c r="M105" s="121"/>
      <c r="N105" s="119" t="str">
        <f t="shared" si="3"/>
        <v>Link(From)</v>
      </c>
      <c r="O105" s="120">
        <v>0</v>
      </c>
      <c r="P105" s="121">
        <v>0</v>
      </c>
      <c r="Q105" s="120"/>
      <c r="R105" s="121" t="b">
        <v>0</v>
      </c>
    </row>
    <row r="106" spans="1:18">
      <c r="A106" s="25" t="s">
        <v>4246</v>
      </c>
      <c r="B106" s="25"/>
      <c r="C106" s="25"/>
      <c r="D106" s="25">
        <v>0</v>
      </c>
      <c r="E106" s="25">
        <v>1</v>
      </c>
      <c r="F106" s="25" t="s">
        <v>197</v>
      </c>
      <c r="G106" s="25" t="s">
        <v>198</v>
      </c>
      <c r="H106" s="25"/>
      <c r="I106" s="25">
        <v>0</v>
      </c>
      <c r="J106" s="25" t="s">
        <v>841</v>
      </c>
      <c r="K106" s="25" t="s">
        <v>855</v>
      </c>
      <c r="L106" s="25">
        <v>1000</v>
      </c>
      <c r="M106" s="25"/>
      <c r="N106" s="25" t="str">
        <f t="shared" si="2"/>
        <v>CrowdControl(Pull, 1000)</v>
      </c>
      <c r="O106" s="25">
        <v>0</v>
      </c>
      <c r="P106" s="25">
        <v>0</v>
      </c>
      <c r="Q106" s="25"/>
      <c r="R106" s="25" t="b">
        <v>1</v>
      </c>
    </row>
    <row r="107" spans="1:18">
      <c r="A107" s="25" t="s">
        <v>3426</v>
      </c>
      <c r="B107" s="25"/>
      <c r="C107" s="25"/>
      <c r="D107" s="25">
        <v>0</v>
      </c>
      <c r="E107" s="25">
        <v>1</v>
      </c>
      <c r="F107" s="25" t="s">
        <v>197</v>
      </c>
      <c r="G107" s="25" t="s">
        <v>198</v>
      </c>
      <c r="H107" s="25"/>
      <c r="I107" s="25">
        <v>0</v>
      </c>
      <c r="J107" s="25" t="s">
        <v>841</v>
      </c>
      <c r="K107" s="25" t="s">
        <v>855</v>
      </c>
      <c r="L107" s="25">
        <v>3000</v>
      </c>
      <c r="M107" s="25"/>
      <c r="N107" s="25" t="str">
        <f t="shared" ref="N107" si="4">J107&amp;"("&amp;IF(K107="","",K107)&amp;IF(L107="","",", "&amp;L107)&amp;IF(M107="","",", "&amp;M107)&amp;")"</f>
        <v>CrowdControl(Pull, 3000)</v>
      </c>
      <c r="O107" s="25">
        <v>0</v>
      </c>
      <c r="P107" s="25">
        <v>0</v>
      </c>
      <c r="Q107" s="25"/>
      <c r="R107" s="25" t="b">
        <v>1</v>
      </c>
    </row>
    <row r="108" spans="1:18">
      <c r="A108" s="25" t="s">
        <v>268</v>
      </c>
      <c r="B108" s="25"/>
      <c r="C108" s="25"/>
      <c r="D108" s="25">
        <v>0</v>
      </c>
      <c r="E108" s="25">
        <v>1</v>
      </c>
      <c r="F108" s="25" t="s">
        <v>197</v>
      </c>
      <c r="G108" s="25" t="s">
        <v>198</v>
      </c>
      <c r="H108" s="25"/>
      <c r="I108" s="25">
        <v>0</v>
      </c>
      <c r="J108" s="25" t="s">
        <v>841</v>
      </c>
      <c r="K108" s="25" t="s">
        <v>855</v>
      </c>
      <c r="L108" s="25">
        <v>5000</v>
      </c>
      <c r="M108" s="25"/>
      <c r="N108" s="25" t="str">
        <f t="shared" si="2"/>
        <v>CrowdControl(Pull, 5000)</v>
      </c>
      <c r="O108" s="25">
        <v>0</v>
      </c>
      <c r="P108" s="25">
        <v>0</v>
      </c>
      <c r="Q108" s="25"/>
      <c r="R108" s="25" t="b">
        <v>1</v>
      </c>
    </row>
    <row r="109" spans="1:18">
      <c r="A109" s="25" t="s">
        <v>4693</v>
      </c>
      <c r="B109" s="25"/>
      <c r="C109" s="25"/>
      <c r="D109" s="25">
        <v>0</v>
      </c>
      <c r="E109" s="25">
        <v>1</v>
      </c>
      <c r="F109" s="25" t="s">
        <v>197</v>
      </c>
      <c r="G109" s="25" t="s">
        <v>198</v>
      </c>
      <c r="H109" s="25"/>
      <c r="I109" s="25">
        <v>0</v>
      </c>
      <c r="J109" s="25" t="s">
        <v>841</v>
      </c>
      <c r="K109" s="25" t="s">
        <v>855</v>
      </c>
      <c r="L109" s="25">
        <v>7500</v>
      </c>
      <c r="M109" s="25"/>
      <c r="N109" s="25" t="str">
        <f t="shared" si="2"/>
        <v>CrowdControl(Pull, 7500)</v>
      </c>
      <c r="O109" s="25">
        <v>0</v>
      </c>
      <c r="P109" s="25">
        <v>0</v>
      </c>
      <c r="Q109" s="25"/>
      <c r="R109" s="25" t="b">
        <v>1</v>
      </c>
    </row>
    <row r="110" spans="1:18">
      <c r="A110" s="25" t="s">
        <v>270</v>
      </c>
      <c r="B110" s="25"/>
      <c r="C110" s="25"/>
      <c r="D110" s="25">
        <v>0</v>
      </c>
      <c r="E110" s="25">
        <v>1</v>
      </c>
      <c r="F110" s="25" t="s">
        <v>197</v>
      </c>
      <c r="G110" s="25" t="s">
        <v>198</v>
      </c>
      <c r="H110" s="25"/>
      <c r="I110" s="25">
        <v>0</v>
      </c>
      <c r="J110" s="25" t="s">
        <v>841</v>
      </c>
      <c r="K110" s="25" t="s">
        <v>855</v>
      </c>
      <c r="L110" s="25">
        <v>10000</v>
      </c>
      <c r="M110" s="25"/>
      <c r="N110" s="25" t="str">
        <f t="shared" ref="N110:N177" si="5">J110&amp;"("&amp;IF(K110="","",K110)&amp;IF(L110="","",", "&amp;L110)&amp;IF(M110="","",", "&amp;M110)&amp;")"</f>
        <v>CrowdControl(Pull, 10000)</v>
      </c>
      <c r="O110" s="25">
        <v>0</v>
      </c>
      <c r="P110" s="25">
        <v>0</v>
      </c>
      <c r="Q110" s="25"/>
      <c r="R110" s="25" t="b">
        <v>1</v>
      </c>
    </row>
    <row r="111" spans="1:18">
      <c r="A111" s="25" t="s">
        <v>1395</v>
      </c>
      <c r="B111" s="25"/>
      <c r="C111" s="25"/>
      <c r="D111" s="25">
        <v>0</v>
      </c>
      <c r="E111" s="25">
        <v>1</v>
      </c>
      <c r="F111" s="25" t="s">
        <v>197</v>
      </c>
      <c r="G111" s="25" t="s">
        <v>198</v>
      </c>
      <c r="H111" s="25"/>
      <c r="I111" s="25">
        <v>0</v>
      </c>
      <c r="J111" s="25" t="s">
        <v>841</v>
      </c>
      <c r="K111" s="25" t="s">
        <v>855</v>
      </c>
      <c r="L111" s="25">
        <v>15000</v>
      </c>
      <c r="M111" s="25"/>
      <c r="N111" s="25" t="str">
        <f t="shared" ref="N111:N112" si="6">J111&amp;"("&amp;IF(K111="","",K111)&amp;IF(L111="","",", "&amp;L111)&amp;IF(M111="","",", "&amp;M111)&amp;")"</f>
        <v>CrowdControl(Pull, 15000)</v>
      </c>
      <c r="O111" s="25">
        <v>0</v>
      </c>
      <c r="P111" s="25">
        <v>0</v>
      </c>
      <c r="Q111" s="25"/>
      <c r="R111" s="25" t="b">
        <v>1</v>
      </c>
    </row>
    <row r="112" spans="1:18">
      <c r="A112" s="25" t="s">
        <v>1397</v>
      </c>
      <c r="B112" s="25"/>
      <c r="C112" s="25"/>
      <c r="D112" s="25">
        <v>0</v>
      </c>
      <c r="E112" s="25">
        <v>1</v>
      </c>
      <c r="F112" s="25" t="s">
        <v>197</v>
      </c>
      <c r="G112" s="25" t="s">
        <v>198</v>
      </c>
      <c r="H112" s="25"/>
      <c r="I112" s="25">
        <v>0</v>
      </c>
      <c r="J112" s="25" t="s">
        <v>841</v>
      </c>
      <c r="K112" s="25" t="s">
        <v>855</v>
      </c>
      <c r="L112" s="25">
        <v>20000</v>
      </c>
      <c r="M112" s="25"/>
      <c r="N112" s="25" t="str">
        <f t="shared" si="6"/>
        <v>CrowdControl(Pull, 20000)</v>
      </c>
      <c r="O112" s="25">
        <v>0</v>
      </c>
      <c r="P112" s="25">
        <v>0</v>
      </c>
      <c r="Q112" s="25"/>
      <c r="R112" s="25" t="b">
        <v>1</v>
      </c>
    </row>
    <row r="113" spans="1:18">
      <c r="A113" s="15" t="s">
        <v>76</v>
      </c>
      <c r="B113" s="114"/>
      <c r="C113" s="114"/>
      <c r="D113" s="114">
        <v>0</v>
      </c>
      <c r="E113" s="114">
        <v>1</v>
      </c>
      <c r="F113" s="15" t="s">
        <v>197</v>
      </c>
      <c r="G113" s="15" t="s">
        <v>198</v>
      </c>
      <c r="H113" s="114"/>
      <c r="I113" s="114">
        <v>0</v>
      </c>
      <c r="J113" s="114" t="s">
        <v>838</v>
      </c>
      <c r="K113" s="114" t="s">
        <v>867</v>
      </c>
      <c r="L113" s="114">
        <v>200</v>
      </c>
      <c r="M113" s="114"/>
      <c r="N113" s="15" t="str">
        <f t="shared" si="5"/>
        <v>Status(CriticalRate, 200)</v>
      </c>
      <c r="O113" s="114">
        <v>0</v>
      </c>
      <c r="P113" s="114">
        <v>0</v>
      </c>
      <c r="Q113" s="114"/>
      <c r="R113" s="114" t="b">
        <v>0</v>
      </c>
    </row>
    <row r="114" spans="1:18">
      <c r="A114" s="15" t="s">
        <v>79</v>
      </c>
      <c r="B114" s="114"/>
      <c r="C114" s="114"/>
      <c r="D114" s="114">
        <v>0</v>
      </c>
      <c r="E114" s="114">
        <v>1</v>
      </c>
      <c r="F114" s="15" t="s">
        <v>197</v>
      </c>
      <c r="G114" s="15" t="s">
        <v>198</v>
      </c>
      <c r="H114" s="114"/>
      <c r="I114" s="114">
        <v>0</v>
      </c>
      <c r="J114" s="114" t="s">
        <v>838</v>
      </c>
      <c r="K114" s="114" t="s">
        <v>867</v>
      </c>
      <c r="L114" s="114">
        <v>300</v>
      </c>
      <c r="M114" s="114"/>
      <c r="N114" s="15" t="str">
        <f t="shared" si="5"/>
        <v>Status(CriticalRate, 300)</v>
      </c>
      <c r="O114" s="114">
        <v>0</v>
      </c>
      <c r="P114" s="114">
        <v>0</v>
      </c>
      <c r="Q114" s="114"/>
      <c r="R114" s="114" t="b">
        <v>0</v>
      </c>
    </row>
    <row r="115" spans="1:18">
      <c r="A115" s="15" t="s">
        <v>80</v>
      </c>
      <c r="B115" s="114"/>
      <c r="C115" s="114"/>
      <c r="D115" s="114">
        <v>0</v>
      </c>
      <c r="E115" s="114">
        <v>1</v>
      </c>
      <c r="F115" s="15" t="s">
        <v>197</v>
      </c>
      <c r="G115" s="15" t="s">
        <v>198</v>
      </c>
      <c r="H115" s="114"/>
      <c r="I115" s="114">
        <v>0</v>
      </c>
      <c r="J115" s="114" t="s">
        <v>838</v>
      </c>
      <c r="K115" s="114" t="s">
        <v>867</v>
      </c>
      <c r="L115" s="114">
        <v>350</v>
      </c>
      <c r="M115" s="114"/>
      <c r="N115" s="15" t="str">
        <f t="shared" si="5"/>
        <v>Status(CriticalRate, 350)</v>
      </c>
      <c r="O115" s="114">
        <v>0</v>
      </c>
      <c r="P115" s="114">
        <v>0</v>
      </c>
      <c r="Q115" s="114"/>
      <c r="R115" s="114" t="b">
        <v>0</v>
      </c>
    </row>
    <row r="116" spans="1:18">
      <c r="A116" s="15" t="s">
        <v>81</v>
      </c>
      <c r="B116" s="114"/>
      <c r="C116" s="114"/>
      <c r="D116" s="114">
        <v>0</v>
      </c>
      <c r="E116" s="114">
        <v>1</v>
      </c>
      <c r="F116" s="15" t="s">
        <v>197</v>
      </c>
      <c r="G116" s="15" t="s">
        <v>198</v>
      </c>
      <c r="H116" s="114"/>
      <c r="I116" s="114">
        <v>0</v>
      </c>
      <c r="J116" s="114" t="s">
        <v>838</v>
      </c>
      <c r="K116" s="114" t="s">
        <v>867</v>
      </c>
      <c r="L116" s="114">
        <v>400</v>
      </c>
      <c r="M116" s="114"/>
      <c r="N116" s="15" t="str">
        <f t="shared" si="5"/>
        <v>Status(CriticalRate, 400)</v>
      </c>
      <c r="O116" s="114">
        <v>0</v>
      </c>
      <c r="P116" s="114">
        <v>0</v>
      </c>
      <c r="Q116" s="114"/>
      <c r="R116" s="114" t="b">
        <v>0</v>
      </c>
    </row>
    <row r="117" spans="1:18">
      <c r="A117" s="15" t="s">
        <v>82</v>
      </c>
      <c r="B117" s="114"/>
      <c r="C117" s="114"/>
      <c r="D117" s="114">
        <v>0</v>
      </c>
      <c r="E117" s="114">
        <v>1</v>
      </c>
      <c r="F117" s="15" t="s">
        <v>197</v>
      </c>
      <c r="G117" s="15" t="s">
        <v>198</v>
      </c>
      <c r="H117" s="114"/>
      <c r="I117" s="114">
        <v>0</v>
      </c>
      <c r="J117" s="114" t="s">
        <v>838</v>
      </c>
      <c r="K117" s="114" t="s">
        <v>867</v>
      </c>
      <c r="L117" s="114">
        <v>450</v>
      </c>
      <c r="M117" s="114"/>
      <c r="N117" s="15" t="str">
        <f t="shared" si="5"/>
        <v>Status(CriticalRate, 450)</v>
      </c>
      <c r="O117" s="114">
        <v>0</v>
      </c>
      <c r="P117" s="114">
        <v>0</v>
      </c>
      <c r="Q117" s="114"/>
      <c r="R117" s="114" t="b">
        <v>0</v>
      </c>
    </row>
    <row r="118" spans="1:18">
      <c r="A118" s="15" t="s">
        <v>83</v>
      </c>
      <c r="B118" s="114"/>
      <c r="C118" s="114"/>
      <c r="D118" s="114">
        <v>0</v>
      </c>
      <c r="E118" s="114">
        <v>1</v>
      </c>
      <c r="F118" s="15" t="s">
        <v>197</v>
      </c>
      <c r="G118" s="15" t="s">
        <v>198</v>
      </c>
      <c r="H118" s="114"/>
      <c r="I118" s="114">
        <v>0</v>
      </c>
      <c r="J118" s="114" t="s">
        <v>838</v>
      </c>
      <c r="K118" s="114" t="s">
        <v>867</v>
      </c>
      <c r="L118" s="114">
        <v>500</v>
      </c>
      <c r="M118" s="114"/>
      <c r="N118" s="15" t="str">
        <f t="shared" si="5"/>
        <v>Status(CriticalRate, 500)</v>
      </c>
      <c r="O118" s="114">
        <v>0</v>
      </c>
      <c r="P118" s="114">
        <v>0</v>
      </c>
      <c r="Q118" s="114"/>
      <c r="R118" s="114" t="b">
        <v>0</v>
      </c>
    </row>
    <row r="119" spans="1:18">
      <c r="A119" s="15" t="s">
        <v>998</v>
      </c>
      <c r="B119" s="114"/>
      <c r="C119" s="114"/>
      <c r="D119" s="114">
        <v>0</v>
      </c>
      <c r="E119" s="114">
        <v>1</v>
      </c>
      <c r="F119" s="15" t="s">
        <v>197</v>
      </c>
      <c r="G119" s="15" t="s">
        <v>198</v>
      </c>
      <c r="H119" s="114"/>
      <c r="I119" s="114">
        <v>0</v>
      </c>
      <c r="J119" s="114" t="s">
        <v>838</v>
      </c>
      <c r="K119" s="114" t="s">
        <v>867</v>
      </c>
      <c r="L119" s="114">
        <v>550</v>
      </c>
      <c r="M119" s="114"/>
      <c r="N119" s="15" t="str">
        <f t="shared" si="5"/>
        <v>Status(CriticalRate, 550)</v>
      </c>
      <c r="O119" s="114">
        <v>0</v>
      </c>
      <c r="P119" s="114">
        <v>0</v>
      </c>
      <c r="Q119" s="114"/>
      <c r="R119" s="114" t="b">
        <v>0</v>
      </c>
    </row>
    <row r="120" spans="1:18">
      <c r="A120" s="15" t="s">
        <v>997</v>
      </c>
      <c r="B120" s="114"/>
      <c r="C120" s="114"/>
      <c r="D120" s="114">
        <v>0</v>
      </c>
      <c r="E120" s="114">
        <v>1</v>
      </c>
      <c r="F120" s="15" t="s">
        <v>197</v>
      </c>
      <c r="G120" s="15" t="s">
        <v>198</v>
      </c>
      <c r="H120" s="114"/>
      <c r="I120" s="114">
        <v>0</v>
      </c>
      <c r="J120" s="114" t="s">
        <v>838</v>
      </c>
      <c r="K120" s="114" t="s">
        <v>867</v>
      </c>
      <c r="L120" s="114">
        <v>600</v>
      </c>
      <c r="M120" s="114"/>
      <c r="N120" s="15" t="str">
        <f t="shared" si="5"/>
        <v>Status(CriticalRate, 600)</v>
      </c>
      <c r="O120" s="114">
        <v>0</v>
      </c>
      <c r="P120" s="114">
        <v>0</v>
      </c>
      <c r="Q120" s="114"/>
      <c r="R120" s="114" t="b">
        <v>0</v>
      </c>
    </row>
    <row r="121" spans="1:18">
      <c r="A121" s="15" t="s">
        <v>84</v>
      </c>
      <c r="B121" s="114"/>
      <c r="C121" s="114"/>
      <c r="D121" s="114">
        <v>0</v>
      </c>
      <c r="E121" s="114">
        <v>1</v>
      </c>
      <c r="F121" s="15" t="s">
        <v>197</v>
      </c>
      <c r="G121" s="15" t="s">
        <v>198</v>
      </c>
      <c r="H121" s="114"/>
      <c r="I121" s="114">
        <v>0</v>
      </c>
      <c r="J121" s="114" t="s">
        <v>838</v>
      </c>
      <c r="K121" s="114" t="s">
        <v>867</v>
      </c>
      <c r="L121" s="114">
        <v>1000</v>
      </c>
      <c r="M121" s="114"/>
      <c r="N121" s="15" t="str">
        <f t="shared" si="5"/>
        <v>Status(CriticalRate, 1000)</v>
      </c>
      <c r="O121" s="114">
        <v>0</v>
      </c>
      <c r="P121" s="114">
        <v>0</v>
      </c>
      <c r="Q121" s="114"/>
      <c r="R121" s="114" t="b">
        <v>0</v>
      </c>
    </row>
    <row r="122" spans="1:18">
      <c r="A122" s="14" t="s">
        <v>85</v>
      </c>
      <c r="B122" s="14"/>
      <c r="C122" s="14"/>
      <c r="D122" s="14">
        <v>0</v>
      </c>
      <c r="E122" s="14">
        <v>1</v>
      </c>
      <c r="F122" s="15" t="s">
        <v>197</v>
      </c>
      <c r="G122" s="15" t="s">
        <v>198</v>
      </c>
      <c r="H122" s="14"/>
      <c r="I122" s="114">
        <v>0</v>
      </c>
      <c r="J122" s="114" t="s">
        <v>838</v>
      </c>
      <c r="K122" s="114" t="s">
        <v>868</v>
      </c>
      <c r="L122" s="114">
        <v>100</v>
      </c>
      <c r="M122" s="114"/>
      <c r="N122" s="15" t="str">
        <f t="shared" si="5"/>
        <v>Status(IgnoreDefenseRate, 100)</v>
      </c>
      <c r="O122" s="14">
        <v>0</v>
      </c>
      <c r="P122" s="14">
        <v>0</v>
      </c>
      <c r="Q122" s="14"/>
      <c r="R122" s="114" t="b">
        <v>0</v>
      </c>
    </row>
    <row r="123" spans="1:18">
      <c r="A123" s="14" t="s">
        <v>88</v>
      </c>
      <c r="B123" s="14"/>
      <c r="C123" s="14"/>
      <c r="D123" s="14">
        <v>0</v>
      </c>
      <c r="E123" s="14">
        <v>1</v>
      </c>
      <c r="F123" s="15" t="s">
        <v>197</v>
      </c>
      <c r="G123" s="15" t="s">
        <v>198</v>
      </c>
      <c r="H123" s="14"/>
      <c r="I123" s="114">
        <v>0</v>
      </c>
      <c r="J123" s="114" t="s">
        <v>838</v>
      </c>
      <c r="K123" s="114" t="s">
        <v>868</v>
      </c>
      <c r="L123" s="114">
        <v>200</v>
      </c>
      <c r="M123" s="114"/>
      <c r="N123" s="15" t="str">
        <f t="shared" si="5"/>
        <v>Status(IgnoreDefenseRate, 200)</v>
      </c>
      <c r="O123" s="14">
        <v>0</v>
      </c>
      <c r="P123" s="14">
        <v>0</v>
      </c>
      <c r="Q123" s="14"/>
      <c r="R123" s="114" t="b">
        <v>0</v>
      </c>
    </row>
    <row r="124" spans="1:18">
      <c r="A124" s="14" t="s">
        <v>89</v>
      </c>
      <c r="B124" s="14"/>
      <c r="C124" s="14"/>
      <c r="D124" s="14">
        <v>0</v>
      </c>
      <c r="E124" s="14">
        <v>1</v>
      </c>
      <c r="F124" s="15" t="s">
        <v>197</v>
      </c>
      <c r="G124" s="15" t="s">
        <v>198</v>
      </c>
      <c r="H124" s="14"/>
      <c r="I124" s="114">
        <v>0</v>
      </c>
      <c r="J124" s="114" t="s">
        <v>838</v>
      </c>
      <c r="K124" s="114" t="s">
        <v>868</v>
      </c>
      <c r="L124" s="114">
        <v>250</v>
      </c>
      <c r="M124" s="114"/>
      <c r="N124" s="15" t="str">
        <f t="shared" si="5"/>
        <v>Status(IgnoreDefenseRate, 250)</v>
      </c>
      <c r="O124" s="14">
        <v>0</v>
      </c>
      <c r="P124" s="14">
        <v>0</v>
      </c>
      <c r="Q124" s="14"/>
      <c r="R124" s="114" t="b">
        <v>0</v>
      </c>
    </row>
    <row r="125" spans="1:18">
      <c r="A125" s="14" t="s">
        <v>90</v>
      </c>
      <c r="B125" s="14"/>
      <c r="C125" s="14"/>
      <c r="D125" s="14">
        <v>0</v>
      </c>
      <c r="E125" s="14">
        <v>1</v>
      </c>
      <c r="F125" s="15" t="s">
        <v>197</v>
      </c>
      <c r="G125" s="15" t="s">
        <v>198</v>
      </c>
      <c r="H125" s="14"/>
      <c r="I125" s="114">
        <v>0</v>
      </c>
      <c r="J125" s="114" t="s">
        <v>838</v>
      </c>
      <c r="K125" s="114" t="s">
        <v>868</v>
      </c>
      <c r="L125" s="114">
        <v>300</v>
      </c>
      <c r="M125" s="114"/>
      <c r="N125" s="15" t="str">
        <f t="shared" si="5"/>
        <v>Status(IgnoreDefenseRate, 300)</v>
      </c>
      <c r="O125" s="14">
        <v>0</v>
      </c>
      <c r="P125" s="14">
        <v>0</v>
      </c>
      <c r="Q125" s="14"/>
      <c r="R125" s="114" t="b">
        <v>0</v>
      </c>
    </row>
    <row r="126" spans="1:18">
      <c r="A126" s="14" t="s">
        <v>3196</v>
      </c>
      <c r="B126" s="14"/>
      <c r="C126" s="14"/>
      <c r="D126" s="14">
        <v>0</v>
      </c>
      <c r="E126" s="14">
        <v>1</v>
      </c>
      <c r="F126" s="15" t="s">
        <v>197</v>
      </c>
      <c r="G126" s="15" t="s">
        <v>198</v>
      </c>
      <c r="H126" s="14"/>
      <c r="I126" s="114">
        <v>0</v>
      </c>
      <c r="J126" s="114" t="s">
        <v>838</v>
      </c>
      <c r="K126" s="114" t="s">
        <v>868</v>
      </c>
      <c r="L126" s="114">
        <v>350</v>
      </c>
      <c r="M126" s="114"/>
      <c r="N126" s="15" t="str">
        <f t="shared" ref="N126" si="7">J126&amp;"("&amp;IF(K126="","",K126)&amp;IF(L126="","",", "&amp;L126)&amp;IF(M126="","",", "&amp;M126)&amp;")"</f>
        <v>Status(IgnoreDefenseRate, 350)</v>
      </c>
      <c r="O126" s="14">
        <v>0</v>
      </c>
      <c r="P126" s="14">
        <v>0</v>
      </c>
      <c r="Q126" s="14"/>
      <c r="R126" s="114" t="b">
        <v>0</v>
      </c>
    </row>
    <row r="127" spans="1:18">
      <c r="A127" s="14" t="s">
        <v>91</v>
      </c>
      <c r="B127" s="14"/>
      <c r="C127" s="14"/>
      <c r="D127" s="14">
        <v>0</v>
      </c>
      <c r="E127" s="14">
        <v>1</v>
      </c>
      <c r="F127" s="15" t="s">
        <v>197</v>
      </c>
      <c r="G127" s="15" t="s">
        <v>198</v>
      </c>
      <c r="H127" s="14"/>
      <c r="I127" s="114">
        <v>0</v>
      </c>
      <c r="J127" s="114" t="s">
        <v>838</v>
      </c>
      <c r="K127" s="114" t="s">
        <v>868</v>
      </c>
      <c r="L127" s="114">
        <v>400</v>
      </c>
      <c r="M127" s="114"/>
      <c r="N127" s="15" t="str">
        <f t="shared" si="5"/>
        <v>Status(IgnoreDefenseRate, 400)</v>
      </c>
      <c r="O127" s="14">
        <v>0</v>
      </c>
      <c r="P127" s="14">
        <v>0</v>
      </c>
      <c r="Q127" s="14"/>
      <c r="R127" s="114" t="b">
        <v>0</v>
      </c>
    </row>
    <row r="128" spans="1:18">
      <c r="A128" s="14" t="s">
        <v>3203</v>
      </c>
      <c r="B128" s="14"/>
      <c r="C128" s="14"/>
      <c r="D128" s="14">
        <v>0</v>
      </c>
      <c r="E128" s="14">
        <v>1</v>
      </c>
      <c r="F128" s="15" t="s">
        <v>197</v>
      </c>
      <c r="G128" s="15" t="s">
        <v>198</v>
      </c>
      <c r="H128" s="14"/>
      <c r="I128" s="114">
        <v>0</v>
      </c>
      <c r="J128" s="114" t="s">
        <v>838</v>
      </c>
      <c r="K128" s="114" t="s">
        <v>868</v>
      </c>
      <c r="L128" s="114">
        <v>450</v>
      </c>
      <c r="M128" s="114"/>
      <c r="N128" s="15" t="str">
        <f t="shared" ref="N128" si="8">J128&amp;"("&amp;IF(K128="","",K128)&amp;IF(L128="","",", "&amp;L128)&amp;IF(M128="","",", "&amp;M128)&amp;")"</f>
        <v>Status(IgnoreDefenseRate, 450)</v>
      </c>
      <c r="O128" s="14">
        <v>0</v>
      </c>
      <c r="P128" s="14">
        <v>0</v>
      </c>
      <c r="Q128" s="14"/>
      <c r="R128" s="114" t="b">
        <v>0</v>
      </c>
    </row>
    <row r="129" spans="1:18">
      <c r="A129" s="14" t="s">
        <v>92</v>
      </c>
      <c r="B129" s="14"/>
      <c r="C129" s="14"/>
      <c r="D129" s="14">
        <v>0</v>
      </c>
      <c r="E129" s="14">
        <v>1</v>
      </c>
      <c r="F129" s="15" t="s">
        <v>197</v>
      </c>
      <c r="G129" s="15" t="s">
        <v>198</v>
      </c>
      <c r="H129" s="14"/>
      <c r="I129" s="114">
        <v>0</v>
      </c>
      <c r="J129" s="114" t="s">
        <v>838</v>
      </c>
      <c r="K129" s="114" t="s">
        <v>868</v>
      </c>
      <c r="L129" s="114">
        <v>500</v>
      </c>
      <c r="M129" s="114"/>
      <c r="N129" s="15" t="str">
        <f t="shared" si="5"/>
        <v>Status(IgnoreDefenseRate, 500)</v>
      </c>
      <c r="O129" s="14">
        <v>0</v>
      </c>
      <c r="P129" s="14">
        <v>0</v>
      </c>
      <c r="Q129" s="14"/>
      <c r="R129" s="114" t="b">
        <v>0</v>
      </c>
    </row>
    <row r="130" spans="1:18">
      <c r="A130" s="14" t="s">
        <v>996</v>
      </c>
      <c r="B130" s="14"/>
      <c r="C130" s="14"/>
      <c r="D130" s="14">
        <v>0</v>
      </c>
      <c r="E130" s="14">
        <v>1</v>
      </c>
      <c r="F130" s="15" t="s">
        <v>197</v>
      </c>
      <c r="G130" s="15" t="s">
        <v>198</v>
      </c>
      <c r="H130" s="14"/>
      <c r="I130" s="114">
        <v>0</v>
      </c>
      <c r="J130" s="114" t="s">
        <v>838</v>
      </c>
      <c r="K130" s="114" t="s">
        <v>868</v>
      </c>
      <c r="L130" s="114">
        <v>550</v>
      </c>
      <c r="M130" s="114"/>
      <c r="N130" s="15" t="str">
        <f t="shared" si="5"/>
        <v>Status(IgnoreDefenseRate, 550)</v>
      </c>
      <c r="O130" s="14">
        <v>0</v>
      </c>
      <c r="P130" s="14">
        <v>0</v>
      </c>
      <c r="Q130" s="14"/>
      <c r="R130" s="114" t="b">
        <v>0</v>
      </c>
    </row>
    <row r="131" spans="1:18">
      <c r="A131" s="14" t="s">
        <v>3765</v>
      </c>
      <c r="B131" s="14"/>
      <c r="C131" s="14"/>
      <c r="D131" s="14">
        <v>0</v>
      </c>
      <c r="E131" s="14">
        <v>1</v>
      </c>
      <c r="F131" s="15" t="s">
        <v>197</v>
      </c>
      <c r="G131" s="15" t="s">
        <v>198</v>
      </c>
      <c r="H131" s="14"/>
      <c r="I131" s="114">
        <v>0</v>
      </c>
      <c r="J131" s="114" t="s">
        <v>838</v>
      </c>
      <c r="K131" s="114" t="s">
        <v>868</v>
      </c>
      <c r="L131" s="114">
        <v>600</v>
      </c>
      <c r="M131" s="114"/>
      <c r="N131" s="15" t="str">
        <f t="shared" si="5"/>
        <v>Status(IgnoreDefenseRate, 600)</v>
      </c>
      <c r="O131" s="14">
        <v>0</v>
      </c>
      <c r="P131" s="14">
        <v>0</v>
      </c>
      <c r="Q131" s="14"/>
      <c r="R131" s="114" t="b">
        <v>0</v>
      </c>
    </row>
    <row r="132" spans="1:18">
      <c r="A132" s="14" t="s">
        <v>94</v>
      </c>
      <c r="B132" s="14"/>
      <c r="C132" s="14"/>
      <c r="D132" s="14">
        <v>0</v>
      </c>
      <c r="E132" s="14">
        <v>1</v>
      </c>
      <c r="F132" s="15" t="s">
        <v>197</v>
      </c>
      <c r="G132" s="15" t="s">
        <v>198</v>
      </c>
      <c r="H132" s="14"/>
      <c r="I132" s="114">
        <v>0</v>
      </c>
      <c r="J132" s="114" t="s">
        <v>838</v>
      </c>
      <c r="K132" s="114" t="s">
        <v>868</v>
      </c>
      <c r="L132" s="114">
        <v>650</v>
      </c>
      <c r="M132" s="114"/>
      <c r="N132" s="15" t="str">
        <f t="shared" si="5"/>
        <v>Status(IgnoreDefenseRate, 650)</v>
      </c>
      <c r="O132" s="14">
        <v>0</v>
      </c>
      <c r="P132" s="14">
        <v>0</v>
      </c>
      <c r="Q132" s="14"/>
      <c r="R132" s="114" t="b">
        <v>0</v>
      </c>
    </row>
    <row r="133" spans="1:18">
      <c r="A133" s="14" t="s">
        <v>95</v>
      </c>
      <c r="B133" s="14"/>
      <c r="C133" s="14"/>
      <c r="D133" s="14">
        <v>0</v>
      </c>
      <c r="E133" s="14">
        <v>1</v>
      </c>
      <c r="F133" s="15" t="s">
        <v>197</v>
      </c>
      <c r="G133" s="15" t="s">
        <v>198</v>
      </c>
      <c r="H133" s="14"/>
      <c r="I133" s="114">
        <v>0</v>
      </c>
      <c r="J133" s="114" t="s">
        <v>838</v>
      </c>
      <c r="K133" s="114" t="s">
        <v>868</v>
      </c>
      <c r="L133" s="114">
        <v>700</v>
      </c>
      <c r="M133" s="114"/>
      <c r="N133" s="15" t="str">
        <f t="shared" si="5"/>
        <v>Status(IgnoreDefenseRate, 700)</v>
      </c>
      <c r="O133" s="14">
        <v>0</v>
      </c>
      <c r="P133" s="14">
        <v>0</v>
      </c>
      <c r="Q133" s="14"/>
      <c r="R133" s="114" t="b">
        <v>0</v>
      </c>
    </row>
    <row r="134" spans="1:18">
      <c r="A134" s="14" t="s">
        <v>96</v>
      </c>
      <c r="B134" s="14"/>
      <c r="C134" s="14"/>
      <c r="D134" s="14">
        <v>0</v>
      </c>
      <c r="E134" s="14">
        <v>1</v>
      </c>
      <c r="F134" s="15" t="s">
        <v>197</v>
      </c>
      <c r="G134" s="15" t="s">
        <v>198</v>
      </c>
      <c r="H134" s="14"/>
      <c r="I134" s="114">
        <v>0</v>
      </c>
      <c r="J134" s="114" t="s">
        <v>838</v>
      </c>
      <c r="K134" s="114" t="s">
        <v>868</v>
      </c>
      <c r="L134" s="114">
        <v>750</v>
      </c>
      <c r="M134" s="114"/>
      <c r="N134" s="15" t="str">
        <f t="shared" si="5"/>
        <v>Status(IgnoreDefenseRate, 750)</v>
      </c>
      <c r="O134" s="14">
        <v>0</v>
      </c>
      <c r="P134" s="14">
        <v>0</v>
      </c>
      <c r="Q134" s="14"/>
      <c r="R134" s="114" t="b">
        <v>0</v>
      </c>
    </row>
    <row r="135" spans="1:18">
      <c r="A135" s="14" t="s">
        <v>97</v>
      </c>
      <c r="B135" s="14"/>
      <c r="C135" s="14"/>
      <c r="D135" s="14">
        <v>0</v>
      </c>
      <c r="E135" s="14">
        <v>1</v>
      </c>
      <c r="F135" s="15" t="s">
        <v>197</v>
      </c>
      <c r="G135" s="15" t="s">
        <v>198</v>
      </c>
      <c r="H135" s="14"/>
      <c r="I135" s="114">
        <v>0</v>
      </c>
      <c r="J135" s="114" t="s">
        <v>838</v>
      </c>
      <c r="K135" s="114" t="s">
        <v>868</v>
      </c>
      <c r="L135" s="114">
        <v>800</v>
      </c>
      <c r="M135" s="114"/>
      <c r="N135" s="15" t="str">
        <f t="shared" si="5"/>
        <v>Status(IgnoreDefenseRate, 800)</v>
      </c>
      <c r="O135" s="14">
        <v>0</v>
      </c>
      <c r="P135" s="14">
        <v>0</v>
      </c>
      <c r="Q135" s="14"/>
      <c r="R135" s="114" t="b">
        <v>0</v>
      </c>
    </row>
    <row r="136" spans="1:18">
      <c r="A136" s="14" t="s">
        <v>98</v>
      </c>
      <c r="B136" s="14"/>
      <c r="C136" s="14"/>
      <c r="D136" s="14">
        <v>0</v>
      </c>
      <c r="E136" s="14">
        <v>1</v>
      </c>
      <c r="F136" s="15" t="s">
        <v>197</v>
      </c>
      <c r="G136" s="15" t="s">
        <v>198</v>
      </c>
      <c r="H136" s="14"/>
      <c r="I136" s="114">
        <v>0</v>
      </c>
      <c r="J136" s="114" t="s">
        <v>838</v>
      </c>
      <c r="K136" s="114" t="s">
        <v>868</v>
      </c>
      <c r="L136" s="114">
        <v>850</v>
      </c>
      <c r="M136" s="114"/>
      <c r="N136" s="15" t="str">
        <f t="shared" si="5"/>
        <v>Status(IgnoreDefenseRate, 850)</v>
      </c>
      <c r="O136" s="14">
        <v>0</v>
      </c>
      <c r="P136" s="14">
        <v>0</v>
      </c>
      <c r="Q136" s="14"/>
      <c r="R136" s="114" t="b">
        <v>0</v>
      </c>
    </row>
    <row r="137" spans="1:18">
      <c r="A137" s="14" t="s">
        <v>99</v>
      </c>
      <c r="B137" s="14"/>
      <c r="C137" s="14"/>
      <c r="D137" s="14">
        <v>0</v>
      </c>
      <c r="E137" s="14">
        <v>1</v>
      </c>
      <c r="F137" s="15" t="s">
        <v>197</v>
      </c>
      <c r="G137" s="15" t="s">
        <v>198</v>
      </c>
      <c r="H137" s="14"/>
      <c r="I137" s="114">
        <v>0</v>
      </c>
      <c r="J137" s="114" t="s">
        <v>838</v>
      </c>
      <c r="K137" s="114" t="s">
        <v>868</v>
      </c>
      <c r="L137" s="114">
        <v>900</v>
      </c>
      <c r="M137" s="114"/>
      <c r="N137" s="15" t="str">
        <f t="shared" si="5"/>
        <v>Status(IgnoreDefenseRate, 900)</v>
      </c>
      <c r="O137" s="14">
        <v>0</v>
      </c>
      <c r="P137" s="14">
        <v>0</v>
      </c>
      <c r="Q137" s="14"/>
      <c r="R137" s="114" t="b">
        <v>0</v>
      </c>
    </row>
    <row r="138" spans="1:18">
      <c r="A138" s="14" t="s">
        <v>100</v>
      </c>
      <c r="B138" s="14"/>
      <c r="C138" s="14"/>
      <c r="D138" s="14">
        <v>0</v>
      </c>
      <c r="E138" s="14">
        <v>1</v>
      </c>
      <c r="F138" s="15" t="s">
        <v>197</v>
      </c>
      <c r="G138" s="15" t="s">
        <v>198</v>
      </c>
      <c r="H138" s="14"/>
      <c r="I138" s="114">
        <v>0</v>
      </c>
      <c r="J138" s="114" t="s">
        <v>838</v>
      </c>
      <c r="K138" s="114" t="s">
        <v>868</v>
      </c>
      <c r="L138" s="114">
        <v>950</v>
      </c>
      <c r="M138" s="114"/>
      <c r="N138" s="15" t="str">
        <f t="shared" si="5"/>
        <v>Status(IgnoreDefenseRate, 950)</v>
      </c>
      <c r="O138" s="14">
        <v>0</v>
      </c>
      <c r="P138" s="14">
        <v>0</v>
      </c>
      <c r="Q138" s="14"/>
      <c r="R138" s="114" t="b">
        <v>0</v>
      </c>
    </row>
    <row r="139" spans="1:18">
      <c r="A139" s="14" t="s">
        <v>101</v>
      </c>
      <c r="B139" s="14"/>
      <c r="C139" s="14"/>
      <c r="D139" s="14">
        <v>0</v>
      </c>
      <c r="E139" s="14">
        <v>1</v>
      </c>
      <c r="F139" s="15" t="s">
        <v>197</v>
      </c>
      <c r="G139" s="15" t="s">
        <v>198</v>
      </c>
      <c r="H139" s="14"/>
      <c r="I139" s="114">
        <v>0</v>
      </c>
      <c r="J139" s="114" t="s">
        <v>838</v>
      </c>
      <c r="K139" s="114" t="s">
        <v>868</v>
      </c>
      <c r="L139" s="114">
        <v>1000</v>
      </c>
      <c r="M139" s="114"/>
      <c r="N139" s="15" t="str">
        <f t="shared" si="5"/>
        <v>Status(IgnoreDefenseRate, 1000)</v>
      </c>
      <c r="O139" s="14">
        <v>0</v>
      </c>
      <c r="P139" s="14">
        <v>0</v>
      </c>
      <c r="Q139" s="14"/>
      <c r="R139" s="114" t="b">
        <v>0</v>
      </c>
    </row>
    <row r="140" spans="1:18">
      <c r="A140" s="14" t="s">
        <v>102</v>
      </c>
      <c r="B140" s="23"/>
      <c r="C140" s="23"/>
      <c r="D140" s="23">
        <v>0</v>
      </c>
      <c r="E140" s="23">
        <v>1</v>
      </c>
      <c r="F140" s="23" t="s">
        <v>197</v>
      </c>
      <c r="G140" s="23" t="s">
        <v>198</v>
      </c>
      <c r="H140" s="23"/>
      <c r="I140" s="23">
        <v>0</v>
      </c>
      <c r="J140" s="23" t="s">
        <v>838</v>
      </c>
      <c r="K140" s="23" t="s">
        <v>1332</v>
      </c>
      <c r="L140" s="23">
        <v>500</v>
      </c>
      <c r="M140" s="23"/>
      <c r="N140" s="15" t="str">
        <f t="shared" si="5"/>
        <v>Status(AccuracyDerate, 500)</v>
      </c>
      <c r="O140" s="23">
        <v>0</v>
      </c>
      <c r="P140" s="23">
        <v>0</v>
      </c>
      <c r="Q140" s="23"/>
      <c r="R140" s="23" t="b">
        <v>1</v>
      </c>
    </row>
    <row r="141" spans="1:18">
      <c r="A141" s="14" t="s">
        <v>105</v>
      </c>
      <c r="B141" s="14"/>
      <c r="C141" s="14"/>
      <c r="D141" s="14">
        <v>0</v>
      </c>
      <c r="E141" s="14">
        <v>1</v>
      </c>
      <c r="F141" s="23" t="s">
        <v>197</v>
      </c>
      <c r="G141" s="23" t="s">
        <v>198</v>
      </c>
      <c r="H141" s="23"/>
      <c r="I141" s="23">
        <v>0</v>
      </c>
      <c r="J141" s="23" t="s">
        <v>838</v>
      </c>
      <c r="K141" s="23" t="s">
        <v>1332</v>
      </c>
      <c r="L141" s="23">
        <v>1000</v>
      </c>
      <c r="M141" s="23"/>
      <c r="N141" s="15" t="str">
        <f t="shared" si="5"/>
        <v>Status(AccuracyDerate, 1000)</v>
      </c>
      <c r="O141" s="23">
        <v>0</v>
      </c>
      <c r="P141" s="23">
        <v>0</v>
      </c>
      <c r="Q141" s="23"/>
      <c r="R141" s="23" t="b">
        <v>1</v>
      </c>
    </row>
    <row r="142" spans="1:18">
      <c r="A142" s="14" t="s">
        <v>106</v>
      </c>
      <c r="B142" s="24"/>
      <c r="C142" s="24"/>
      <c r="D142" s="24">
        <v>0</v>
      </c>
      <c r="E142" s="24">
        <v>1</v>
      </c>
      <c r="F142" s="24" t="s">
        <v>197</v>
      </c>
      <c r="G142" s="24" t="s">
        <v>198</v>
      </c>
      <c r="H142" s="24"/>
      <c r="I142" s="24">
        <v>0</v>
      </c>
      <c r="J142" s="24" t="s">
        <v>838</v>
      </c>
      <c r="K142" s="24" t="s">
        <v>870</v>
      </c>
      <c r="L142" s="24">
        <v>200</v>
      </c>
      <c r="M142" s="24"/>
      <c r="N142" s="15" t="str">
        <f t="shared" si="5"/>
        <v>Status(AccuracyRate, 200)</v>
      </c>
      <c r="O142" s="24">
        <v>0</v>
      </c>
      <c r="P142" s="24">
        <v>0</v>
      </c>
      <c r="Q142" s="24"/>
      <c r="R142" s="24" t="b">
        <v>1</v>
      </c>
    </row>
    <row r="143" spans="1:18">
      <c r="A143" s="14" t="s">
        <v>109</v>
      </c>
      <c r="B143" s="24"/>
      <c r="C143" s="24"/>
      <c r="D143" s="24">
        <v>0</v>
      </c>
      <c r="E143" s="24">
        <v>1</v>
      </c>
      <c r="F143" s="24" t="s">
        <v>197</v>
      </c>
      <c r="G143" s="24" t="s">
        <v>198</v>
      </c>
      <c r="H143" s="24"/>
      <c r="I143" s="24">
        <v>0</v>
      </c>
      <c r="J143" s="24" t="s">
        <v>838</v>
      </c>
      <c r="K143" s="24" t="s">
        <v>870</v>
      </c>
      <c r="L143" s="24">
        <v>300</v>
      </c>
      <c r="M143" s="24"/>
      <c r="N143" s="15" t="str">
        <f t="shared" si="5"/>
        <v>Status(AccuracyRate, 300)</v>
      </c>
      <c r="O143" s="24">
        <v>0</v>
      </c>
      <c r="P143" s="24">
        <v>0</v>
      </c>
      <c r="Q143" s="24"/>
      <c r="R143" s="24" t="b">
        <v>1</v>
      </c>
    </row>
    <row r="144" spans="1:18">
      <c r="A144" s="14" t="s">
        <v>110</v>
      </c>
      <c r="B144" s="24"/>
      <c r="C144" s="24"/>
      <c r="D144" s="24">
        <v>0</v>
      </c>
      <c r="E144" s="24">
        <v>1</v>
      </c>
      <c r="F144" s="24" t="s">
        <v>197</v>
      </c>
      <c r="G144" s="24" t="s">
        <v>198</v>
      </c>
      <c r="H144" s="24"/>
      <c r="I144" s="24">
        <v>0</v>
      </c>
      <c r="J144" s="24" t="s">
        <v>838</v>
      </c>
      <c r="K144" s="24" t="s">
        <v>870</v>
      </c>
      <c r="L144" s="24">
        <v>500</v>
      </c>
      <c r="M144" s="24"/>
      <c r="N144" s="15" t="str">
        <f t="shared" si="5"/>
        <v>Status(AccuracyRate, 500)</v>
      </c>
      <c r="O144" s="24">
        <v>0</v>
      </c>
      <c r="P144" s="24">
        <v>0</v>
      </c>
      <c r="Q144" s="24"/>
      <c r="R144" s="24" t="b">
        <v>1</v>
      </c>
    </row>
    <row r="145" spans="1:18">
      <c r="A145" s="14" t="s">
        <v>111</v>
      </c>
      <c r="B145" s="24"/>
      <c r="C145" s="24"/>
      <c r="D145" s="24">
        <v>0</v>
      </c>
      <c r="E145" s="24">
        <v>1</v>
      </c>
      <c r="F145" s="24" t="s">
        <v>197</v>
      </c>
      <c r="G145" s="24" t="s">
        <v>198</v>
      </c>
      <c r="H145" s="24"/>
      <c r="I145" s="24">
        <v>0</v>
      </c>
      <c r="J145" s="24" t="s">
        <v>838</v>
      </c>
      <c r="K145" s="24" t="s">
        <v>870</v>
      </c>
      <c r="L145" s="24">
        <v>1000</v>
      </c>
      <c r="M145" s="24"/>
      <c r="N145" s="15" t="str">
        <f t="shared" si="5"/>
        <v>Status(AccuracyRate, 1000)</v>
      </c>
      <c r="O145" s="24">
        <v>0</v>
      </c>
      <c r="P145" s="24">
        <v>0</v>
      </c>
      <c r="Q145" s="24"/>
      <c r="R145" s="24" t="b">
        <v>1</v>
      </c>
    </row>
    <row r="146" spans="1:18">
      <c r="A146" s="14" t="s">
        <v>65</v>
      </c>
      <c r="B146" s="14"/>
      <c r="C146" s="14"/>
      <c r="D146" s="14">
        <v>0</v>
      </c>
      <c r="E146" s="14">
        <v>1</v>
      </c>
      <c r="F146" s="15" t="s">
        <v>197</v>
      </c>
      <c r="G146" s="15" t="s">
        <v>198</v>
      </c>
      <c r="H146" s="14"/>
      <c r="I146" s="114">
        <v>0</v>
      </c>
      <c r="J146" s="114" t="s">
        <v>838</v>
      </c>
      <c r="K146" s="114" t="s">
        <v>871</v>
      </c>
      <c r="L146" s="114">
        <v>250</v>
      </c>
      <c r="M146" s="114"/>
      <c r="N146" s="15" t="str">
        <f t="shared" si="5"/>
        <v>Status(GuardRate, 250)</v>
      </c>
      <c r="O146" s="14">
        <v>0</v>
      </c>
      <c r="P146" s="14">
        <v>0</v>
      </c>
      <c r="Q146" s="14"/>
      <c r="R146" s="114" t="b">
        <v>1</v>
      </c>
    </row>
    <row r="147" spans="1:18">
      <c r="A147" s="14" t="s">
        <v>69</v>
      </c>
      <c r="B147" s="14"/>
      <c r="C147" s="14"/>
      <c r="D147" s="14">
        <v>0</v>
      </c>
      <c r="E147" s="14">
        <v>1</v>
      </c>
      <c r="F147" s="15" t="s">
        <v>197</v>
      </c>
      <c r="G147" s="15" t="s">
        <v>198</v>
      </c>
      <c r="H147" s="14"/>
      <c r="I147" s="114">
        <v>0</v>
      </c>
      <c r="J147" s="114" t="s">
        <v>838</v>
      </c>
      <c r="K147" s="114" t="s">
        <v>871</v>
      </c>
      <c r="L147" s="114">
        <v>280</v>
      </c>
      <c r="M147" s="114"/>
      <c r="N147" s="15" t="str">
        <f t="shared" si="5"/>
        <v>Status(GuardRate, 280)</v>
      </c>
      <c r="O147" s="14">
        <v>0</v>
      </c>
      <c r="P147" s="14">
        <v>0</v>
      </c>
      <c r="Q147" s="14"/>
      <c r="R147" s="114" t="b">
        <v>1</v>
      </c>
    </row>
    <row r="148" spans="1:18">
      <c r="A148" s="14" t="s">
        <v>70</v>
      </c>
      <c r="B148" s="14"/>
      <c r="C148" s="14"/>
      <c r="D148" s="14">
        <v>0</v>
      </c>
      <c r="E148" s="14">
        <v>1</v>
      </c>
      <c r="F148" s="15" t="s">
        <v>197</v>
      </c>
      <c r="G148" s="15" t="s">
        <v>198</v>
      </c>
      <c r="H148" s="14"/>
      <c r="I148" s="114">
        <v>0</v>
      </c>
      <c r="J148" s="114" t="s">
        <v>838</v>
      </c>
      <c r="K148" s="114" t="s">
        <v>871</v>
      </c>
      <c r="L148" s="114">
        <v>300</v>
      </c>
      <c r="M148" s="114"/>
      <c r="N148" s="15" t="str">
        <f t="shared" si="5"/>
        <v>Status(GuardRate, 300)</v>
      </c>
      <c r="O148" s="14">
        <v>0</v>
      </c>
      <c r="P148" s="14">
        <v>0</v>
      </c>
      <c r="Q148" s="14"/>
      <c r="R148" s="114" t="b">
        <v>1</v>
      </c>
    </row>
    <row r="149" spans="1:18">
      <c r="A149" s="14" t="s">
        <v>71</v>
      </c>
      <c r="B149" s="14"/>
      <c r="C149" s="14"/>
      <c r="D149" s="14">
        <v>0</v>
      </c>
      <c r="E149" s="14">
        <v>1</v>
      </c>
      <c r="F149" s="15" t="s">
        <v>197</v>
      </c>
      <c r="G149" s="15" t="s">
        <v>198</v>
      </c>
      <c r="H149" s="14"/>
      <c r="I149" s="114">
        <v>0</v>
      </c>
      <c r="J149" s="114" t="s">
        <v>838</v>
      </c>
      <c r="K149" s="114" t="s">
        <v>871</v>
      </c>
      <c r="L149" s="114">
        <v>350</v>
      </c>
      <c r="M149" s="114"/>
      <c r="N149" s="15" t="str">
        <f t="shared" si="5"/>
        <v>Status(GuardRate, 350)</v>
      </c>
      <c r="O149" s="14">
        <v>0</v>
      </c>
      <c r="P149" s="14">
        <v>0</v>
      </c>
      <c r="Q149" s="14"/>
      <c r="R149" s="114" t="b">
        <v>1</v>
      </c>
    </row>
    <row r="150" spans="1:18">
      <c r="A150" s="14" t="s">
        <v>72</v>
      </c>
      <c r="B150" s="14"/>
      <c r="C150" s="14"/>
      <c r="D150" s="14">
        <v>0</v>
      </c>
      <c r="E150" s="14">
        <v>1</v>
      </c>
      <c r="F150" s="15" t="s">
        <v>197</v>
      </c>
      <c r="G150" s="15" t="s">
        <v>198</v>
      </c>
      <c r="H150" s="14"/>
      <c r="I150" s="114">
        <v>0</v>
      </c>
      <c r="J150" s="114" t="s">
        <v>838</v>
      </c>
      <c r="K150" s="114" t="s">
        <v>871</v>
      </c>
      <c r="L150" s="114">
        <v>400</v>
      </c>
      <c r="M150" s="114"/>
      <c r="N150" s="15" t="str">
        <f t="shared" si="5"/>
        <v>Status(GuardRate, 400)</v>
      </c>
      <c r="O150" s="14">
        <v>0</v>
      </c>
      <c r="P150" s="14">
        <v>0</v>
      </c>
      <c r="Q150" s="14"/>
      <c r="R150" s="114" t="b">
        <v>1</v>
      </c>
    </row>
    <row r="151" spans="1:18">
      <c r="A151" s="14" t="s">
        <v>73</v>
      </c>
      <c r="B151" s="14"/>
      <c r="C151" s="14"/>
      <c r="D151" s="14">
        <v>0</v>
      </c>
      <c r="E151" s="14">
        <v>1</v>
      </c>
      <c r="F151" s="15" t="s">
        <v>197</v>
      </c>
      <c r="G151" s="15" t="s">
        <v>198</v>
      </c>
      <c r="H151" s="14"/>
      <c r="I151" s="114">
        <v>0</v>
      </c>
      <c r="J151" s="114" t="s">
        <v>838</v>
      </c>
      <c r="K151" s="114" t="s">
        <v>871</v>
      </c>
      <c r="L151" s="114">
        <v>450</v>
      </c>
      <c r="M151" s="114"/>
      <c r="N151" s="15" t="str">
        <f t="shared" si="5"/>
        <v>Status(GuardRate, 450)</v>
      </c>
      <c r="O151" s="14">
        <v>0</v>
      </c>
      <c r="P151" s="14">
        <v>0</v>
      </c>
      <c r="Q151" s="14"/>
      <c r="R151" s="114" t="b">
        <v>1</v>
      </c>
    </row>
    <row r="152" spans="1:18">
      <c r="A152" s="14" t="s">
        <v>74</v>
      </c>
      <c r="B152" s="14"/>
      <c r="C152" s="14"/>
      <c r="D152" s="14">
        <v>0</v>
      </c>
      <c r="E152" s="14">
        <v>1</v>
      </c>
      <c r="F152" s="15" t="s">
        <v>197</v>
      </c>
      <c r="G152" s="15" t="s">
        <v>198</v>
      </c>
      <c r="H152" s="14"/>
      <c r="I152" s="114">
        <v>0</v>
      </c>
      <c r="J152" s="114" t="s">
        <v>838</v>
      </c>
      <c r="K152" s="114" t="s">
        <v>871</v>
      </c>
      <c r="L152" s="114">
        <v>500</v>
      </c>
      <c r="M152" s="114"/>
      <c r="N152" s="15" t="str">
        <f t="shared" si="5"/>
        <v>Status(GuardRate, 500)</v>
      </c>
      <c r="O152" s="14">
        <v>0</v>
      </c>
      <c r="P152" s="14">
        <v>0</v>
      </c>
      <c r="Q152" s="14"/>
      <c r="R152" s="114" t="b">
        <v>1</v>
      </c>
    </row>
    <row r="153" spans="1:18">
      <c r="A153" s="14" t="s">
        <v>75</v>
      </c>
      <c r="B153" s="14"/>
      <c r="C153" s="14"/>
      <c r="D153" s="14">
        <v>0</v>
      </c>
      <c r="E153" s="14">
        <v>1</v>
      </c>
      <c r="F153" s="15" t="s">
        <v>197</v>
      </c>
      <c r="G153" s="15" t="s">
        <v>198</v>
      </c>
      <c r="H153" s="14"/>
      <c r="I153" s="114">
        <v>0</v>
      </c>
      <c r="J153" s="114" t="s">
        <v>838</v>
      </c>
      <c r="K153" s="114" t="s">
        <v>871</v>
      </c>
      <c r="L153" s="114">
        <v>1000</v>
      </c>
      <c r="M153" s="114"/>
      <c r="N153" s="15" t="str">
        <f t="shared" si="5"/>
        <v>Status(GuardRate, 1000)</v>
      </c>
      <c r="O153" s="14">
        <v>0</v>
      </c>
      <c r="P153" s="14">
        <v>0</v>
      </c>
      <c r="Q153" s="14"/>
      <c r="R153" s="114" t="b">
        <v>1</v>
      </c>
    </row>
    <row r="154" spans="1:18" s="73" customFormat="1">
      <c r="A154" s="126" t="s">
        <v>3197</v>
      </c>
      <c r="B154" s="126"/>
      <c r="C154" s="126"/>
      <c r="D154" s="126">
        <v>0</v>
      </c>
      <c r="E154" s="126">
        <v>1</v>
      </c>
      <c r="F154" s="127" t="s">
        <v>197</v>
      </c>
      <c r="G154" s="127" t="s">
        <v>198</v>
      </c>
      <c r="H154" s="126"/>
      <c r="I154" s="127">
        <v>0</v>
      </c>
      <c r="J154" s="127" t="s">
        <v>3202</v>
      </c>
      <c r="K154" s="127" t="s">
        <v>1335</v>
      </c>
      <c r="L154" s="127">
        <v>-200</v>
      </c>
      <c r="M154" s="127"/>
      <c r="N154" s="126" t="str">
        <f t="shared" si="5"/>
        <v>Status(DamageDerate, -200)</v>
      </c>
      <c r="O154" s="126">
        <v>0</v>
      </c>
      <c r="P154" s="126">
        <v>0</v>
      </c>
      <c r="Q154" s="126"/>
      <c r="R154" s="126" t="b">
        <v>1</v>
      </c>
    </row>
    <row r="155" spans="1:18" s="73" customFormat="1">
      <c r="A155" s="126" t="s">
        <v>3198</v>
      </c>
      <c r="B155" s="126"/>
      <c r="C155" s="126"/>
      <c r="D155" s="126">
        <v>0</v>
      </c>
      <c r="E155" s="126">
        <v>1</v>
      </c>
      <c r="F155" s="127" t="s">
        <v>197</v>
      </c>
      <c r="G155" s="127" t="s">
        <v>198</v>
      </c>
      <c r="H155" s="126"/>
      <c r="I155" s="127">
        <v>0</v>
      </c>
      <c r="J155" s="127" t="s">
        <v>838</v>
      </c>
      <c r="K155" s="127" t="s">
        <v>839</v>
      </c>
      <c r="L155" s="127">
        <v>-250</v>
      </c>
      <c r="M155" s="127"/>
      <c r="N155" s="126" t="str">
        <f t="shared" si="5"/>
        <v>Status(DamageDerate, -250)</v>
      </c>
      <c r="O155" s="126">
        <v>0</v>
      </c>
      <c r="P155" s="126">
        <v>0</v>
      </c>
      <c r="Q155" s="126"/>
      <c r="R155" s="126" t="b">
        <v>1</v>
      </c>
    </row>
    <row r="156" spans="1:18" s="73" customFormat="1">
      <c r="A156" s="126" t="s">
        <v>3199</v>
      </c>
      <c r="B156" s="126"/>
      <c r="C156" s="126"/>
      <c r="D156" s="126">
        <v>0</v>
      </c>
      <c r="E156" s="126">
        <v>1</v>
      </c>
      <c r="F156" s="127" t="s">
        <v>197</v>
      </c>
      <c r="G156" s="127" t="s">
        <v>198</v>
      </c>
      <c r="H156" s="126"/>
      <c r="I156" s="127">
        <v>0</v>
      </c>
      <c r="J156" s="127" t="s">
        <v>838</v>
      </c>
      <c r="K156" s="127" t="s">
        <v>839</v>
      </c>
      <c r="L156" s="127">
        <v>-300</v>
      </c>
      <c r="M156" s="127"/>
      <c r="N156" s="126" t="str">
        <f t="shared" si="5"/>
        <v>Status(DamageDerate, -300)</v>
      </c>
      <c r="O156" s="126">
        <v>0</v>
      </c>
      <c r="P156" s="126">
        <v>0</v>
      </c>
      <c r="Q156" s="126"/>
      <c r="R156" s="126" t="b">
        <v>1</v>
      </c>
    </row>
    <row r="157" spans="1:18" s="73" customFormat="1">
      <c r="A157" s="126" t="s">
        <v>3200</v>
      </c>
      <c r="B157" s="126"/>
      <c r="C157" s="126"/>
      <c r="D157" s="126">
        <v>0</v>
      </c>
      <c r="E157" s="126">
        <v>1</v>
      </c>
      <c r="F157" s="127" t="s">
        <v>197</v>
      </c>
      <c r="G157" s="127" t="s">
        <v>198</v>
      </c>
      <c r="H157" s="126"/>
      <c r="I157" s="127">
        <v>0</v>
      </c>
      <c r="J157" s="127" t="s">
        <v>838</v>
      </c>
      <c r="K157" s="127" t="s">
        <v>839</v>
      </c>
      <c r="L157" s="127">
        <v>-350</v>
      </c>
      <c r="M157" s="127"/>
      <c r="N157" s="126" t="str">
        <f t="shared" si="5"/>
        <v>Status(DamageDerate, -350)</v>
      </c>
      <c r="O157" s="126">
        <v>0</v>
      </c>
      <c r="P157" s="126">
        <v>0</v>
      </c>
      <c r="Q157" s="126"/>
      <c r="R157" s="126" t="b">
        <v>1</v>
      </c>
    </row>
    <row r="158" spans="1:18" s="73" customFormat="1">
      <c r="A158" s="126" t="s">
        <v>3201</v>
      </c>
      <c r="B158" s="126"/>
      <c r="C158" s="126"/>
      <c r="D158" s="126">
        <v>0</v>
      </c>
      <c r="E158" s="126">
        <v>1</v>
      </c>
      <c r="F158" s="127" t="s">
        <v>197</v>
      </c>
      <c r="G158" s="127" t="s">
        <v>198</v>
      </c>
      <c r="H158" s="126"/>
      <c r="I158" s="127">
        <v>0</v>
      </c>
      <c r="J158" s="127" t="s">
        <v>838</v>
      </c>
      <c r="K158" s="127" t="s">
        <v>839</v>
      </c>
      <c r="L158" s="127">
        <v>-400</v>
      </c>
      <c r="M158" s="127"/>
      <c r="N158" s="126" t="str">
        <f t="shared" si="5"/>
        <v>Status(DamageDerate, -400)</v>
      </c>
      <c r="O158" s="126">
        <v>0</v>
      </c>
      <c r="P158" s="126">
        <v>0</v>
      </c>
      <c r="Q158" s="126"/>
      <c r="R158" s="126" t="b">
        <v>1</v>
      </c>
    </row>
    <row r="159" spans="1:18">
      <c r="A159" s="14" t="s">
        <v>271</v>
      </c>
      <c r="B159" s="14"/>
      <c r="C159" s="14"/>
      <c r="D159" s="14">
        <v>0</v>
      </c>
      <c r="E159" s="14">
        <v>1</v>
      </c>
      <c r="F159" s="15" t="s">
        <v>197</v>
      </c>
      <c r="G159" s="15" t="s">
        <v>198</v>
      </c>
      <c r="H159" s="14"/>
      <c r="I159" s="114">
        <v>0</v>
      </c>
      <c r="J159" s="114" t="s">
        <v>838</v>
      </c>
      <c r="K159" s="15" t="s">
        <v>3353</v>
      </c>
      <c r="L159" s="114">
        <v>-800</v>
      </c>
      <c r="M159" s="114"/>
      <c r="N159" s="15" t="str">
        <f t="shared" si="5"/>
        <v>Status(MoveSpeedRate, -800)</v>
      </c>
      <c r="O159" s="14">
        <v>0</v>
      </c>
      <c r="P159" s="14">
        <v>0</v>
      </c>
      <c r="Q159" s="14"/>
      <c r="R159" s="114" t="b">
        <v>1</v>
      </c>
    </row>
    <row r="160" spans="1:18">
      <c r="A160" s="14" t="s">
        <v>272</v>
      </c>
      <c r="B160" s="14"/>
      <c r="C160" s="14"/>
      <c r="D160" s="14">
        <v>0</v>
      </c>
      <c r="E160" s="14">
        <v>1</v>
      </c>
      <c r="F160" s="15" t="s">
        <v>197</v>
      </c>
      <c r="G160" s="15" t="s">
        <v>198</v>
      </c>
      <c r="H160" s="14"/>
      <c r="I160" s="114">
        <v>0</v>
      </c>
      <c r="J160" s="114" t="s">
        <v>838</v>
      </c>
      <c r="K160" s="114" t="s">
        <v>872</v>
      </c>
      <c r="L160" s="114">
        <v>-900</v>
      </c>
      <c r="M160" s="114"/>
      <c r="N160" s="15" t="str">
        <f t="shared" si="5"/>
        <v>Status(MoveSpeedRate, -900)</v>
      </c>
      <c r="O160" s="14">
        <v>0</v>
      </c>
      <c r="P160" s="14">
        <v>0</v>
      </c>
      <c r="Q160" s="14"/>
      <c r="R160" s="114" t="b">
        <v>1</v>
      </c>
    </row>
    <row r="161" spans="1:18">
      <c r="A161" s="14" t="s">
        <v>273</v>
      </c>
      <c r="B161" s="14"/>
      <c r="C161" s="14"/>
      <c r="D161" s="14">
        <v>0</v>
      </c>
      <c r="E161" s="14">
        <v>1</v>
      </c>
      <c r="F161" s="15" t="s">
        <v>197</v>
      </c>
      <c r="G161" s="15" t="s">
        <v>198</v>
      </c>
      <c r="H161" s="14"/>
      <c r="I161" s="114">
        <v>0</v>
      </c>
      <c r="J161" s="114" t="s">
        <v>838</v>
      </c>
      <c r="K161" s="114" t="s">
        <v>872</v>
      </c>
      <c r="L161" s="114">
        <v>-1000</v>
      </c>
      <c r="M161" s="114"/>
      <c r="N161" s="15" t="str">
        <f t="shared" si="5"/>
        <v>Status(MoveSpeedRate, -1000)</v>
      </c>
      <c r="O161" s="14">
        <v>0</v>
      </c>
      <c r="P161" s="14">
        <v>0</v>
      </c>
      <c r="Q161" s="14"/>
      <c r="R161" s="114" t="b">
        <v>1</v>
      </c>
    </row>
    <row r="162" spans="1:18">
      <c r="A162" s="14" t="s">
        <v>274</v>
      </c>
      <c r="B162" s="14"/>
      <c r="C162" s="14"/>
      <c r="D162" s="14">
        <v>0</v>
      </c>
      <c r="E162" s="14">
        <v>1</v>
      </c>
      <c r="F162" s="15" t="s">
        <v>197</v>
      </c>
      <c r="G162" s="15" t="s">
        <v>198</v>
      </c>
      <c r="H162" s="14"/>
      <c r="I162" s="114">
        <v>0</v>
      </c>
      <c r="J162" s="114" t="s">
        <v>838</v>
      </c>
      <c r="K162" s="114" t="s">
        <v>873</v>
      </c>
      <c r="L162" s="114">
        <v>-500</v>
      </c>
      <c r="M162" s="114"/>
      <c r="N162" s="15" t="str">
        <f t="shared" si="5"/>
        <v>Status(RecoveryRate, -500)</v>
      </c>
      <c r="O162" s="14">
        <v>0</v>
      </c>
      <c r="P162" s="14">
        <v>0</v>
      </c>
      <c r="Q162" s="14"/>
      <c r="R162" s="114" t="b">
        <v>1</v>
      </c>
    </row>
    <row r="163" spans="1:18">
      <c r="A163" s="14" t="s">
        <v>275</v>
      </c>
      <c r="B163" s="14"/>
      <c r="C163" s="14"/>
      <c r="D163" s="14">
        <v>0</v>
      </c>
      <c r="E163" s="14">
        <v>1</v>
      </c>
      <c r="F163" s="15" t="s">
        <v>197</v>
      </c>
      <c r="G163" s="15" t="s">
        <v>198</v>
      </c>
      <c r="H163" s="14"/>
      <c r="I163" s="114">
        <v>0</v>
      </c>
      <c r="J163" s="114" t="s">
        <v>838</v>
      </c>
      <c r="K163" s="114" t="s">
        <v>873</v>
      </c>
      <c r="L163" s="114">
        <v>-1000</v>
      </c>
      <c r="M163" s="114"/>
      <c r="N163" s="15" t="str">
        <f t="shared" si="5"/>
        <v>Status(RecoveryRate, -1000)</v>
      </c>
      <c r="O163" s="14">
        <v>0</v>
      </c>
      <c r="P163" s="14">
        <v>0</v>
      </c>
      <c r="Q163" s="14"/>
      <c r="R163" s="114" t="b">
        <v>1</v>
      </c>
    </row>
    <row r="164" spans="1:18">
      <c r="A164" s="14" t="s">
        <v>276</v>
      </c>
      <c r="B164" s="14"/>
      <c r="C164" s="14"/>
      <c r="D164" s="14">
        <v>0</v>
      </c>
      <c r="E164" s="14">
        <v>1</v>
      </c>
      <c r="F164" s="15" t="s">
        <v>197</v>
      </c>
      <c r="G164" s="15" t="s">
        <v>198</v>
      </c>
      <c r="H164" s="14"/>
      <c r="I164" s="114">
        <v>0</v>
      </c>
      <c r="J164" s="114" t="s">
        <v>838</v>
      </c>
      <c r="K164" s="114" t="s">
        <v>874</v>
      </c>
      <c r="L164" s="114">
        <v>-200</v>
      </c>
      <c r="M164" s="114"/>
      <c r="N164" s="15" t="str">
        <f t="shared" si="5"/>
        <v>Status(ReceiveRecoveryRate, -200)</v>
      </c>
      <c r="O164" s="14">
        <v>0</v>
      </c>
      <c r="P164" s="14">
        <v>0</v>
      </c>
      <c r="Q164" s="14"/>
      <c r="R164" s="114" t="b">
        <v>1</v>
      </c>
    </row>
    <row r="165" spans="1:18">
      <c r="A165" s="14" t="s">
        <v>277</v>
      </c>
      <c r="B165" s="14"/>
      <c r="C165" s="14"/>
      <c r="D165" s="14">
        <v>0</v>
      </c>
      <c r="E165" s="14">
        <v>1</v>
      </c>
      <c r="F165" s="15" t="s">
        <v>197</v>
      </c>
      <c r="G165" s="15" t="s">
        <v>198</v>
      </c>
      <c r="H165" s="14"/>
      <c r="I165" s="114">
        <v>0</v>
      </c>
      <c r="J165" s="114" t="s">
        <v>838</v>
      </c>
      <c r="K165" s="114" t="s">
        <v>874</v>
      </c>
      <c r="L165" s="114">
        <v>-250</v>
      </c>
      <c r="M165" s="114"/>
      <c r="N165" s="15" t="str">
        <f t="shared" si="5"/>
        <v>Status(ReceiveRecoveryRate, -250)</v>
      </c>
      <c r="O165" s="14">
        <v>0</v>
      </c>
      <c r="P165" s="14">
        <v>0</v>
      </c>
      <c r="Q165" s="14"/>
      <c r="R165" s="114" t="b">
        <v>1</v>
      </c>
    </row>
    <row r="166" spans="1:18">
      <c r="A166" s="14" t="s">
        <v>278</v>
      </c>
      <c r="B166" s="14"/>
      <c r="C166" s="14"/>
      <c r="D166" s="14">
        <v>0</v>
      </c>
      <c r="E166" s="14">
        <v>1</v>
      </c>
      <c r="F166" s="15" t="s">
        <v>197</v>
      </c>
      <c r="G166" s="15" t="s">
        <v>198</v>
      </c>
      <c r="H166" s="14"/>
      <c r="I166" s="114">
        <v>0</v>
      </c>
      <c r="J166" s="114" t="s">
        <v>838</v>
      </c>
      <c r="K166" s="114" t="s">
        <v>874</v>
      </c>
      <c r="L166" s="114">
        <v>-300</v>
      </c>
      <c r="M166" s="114"/>
      <c r="N166" s="15" t="str">
        <f t="shared" si="5"/>
        <v>Status(ReceiveRecoveryRate, -300)</v>
      </c>
      <c r="O166" s="14">
        <v>0</v>
      </c>
      <c r="P166" s="14">
        <v>0</v>
      </c>
      <c r="Q166" s="14"/>
      <c r="R166" s="114" t="b">
        <v>1</v>
      </c>
    </row>
    <row r="167" spans="1:18">
      <c r="A167" s="14" t="s">
        <v>279</v>
      </c>
      <c r="B167" s="14"/>
      <c r="C167" s="14"/>
      <c r="D167" s="14">
        <v>0</v>
      </c>
      <c r="E167" s="14">
        <v>1</v>
      </c>
      <c r="F167" s="15" t="s">
        <v>197</v>
      </c>
      <c r="G167" s="15" t="s">
        <v>198</v>
      </c>
      <c r="H167" s="14"/>
      <c r="I167" s="114">
        <v>0</v>
      </c>
      <c r="J167" s="114" t="s">
        <v>838</v>
      </c>
      <c r="K167" s="114" t="s">
        <v>874</v>
      </c>
      <c r="L167" s="114">
        <v>-500</v>
      </c>
      <c r="M167" s="114"/>
      <c r="N167" s="15" t="str">
        <f t="shared" si="5"/>
        <v>Status(ReceiveRecoveryRate, -500)</v>
      </c>
      <c r="O167" s="14">
        <v>0</v>
      </c>
      <c r="P167" s="14">
        <v>0</v>
      </c>
      <c r="Q167" s="14"/>
      <c r="R167" s="114" t="b">
        <v>1</v>
      </c>
    </row>
    <row r="168" spans="1:18">
      <c r="A168" s="14" t="s">
        <v>280</v>
      </c>
      <c r="B168" s="14"/>
      <c r="C168" s="14"/>
      <c r="D168" s="14">
        <v>0</v>
      </c>
      <c r="E168" s="14">
        <v>1</v>
      </c>
      <c r="F168" s="15" t="s">
        <v>197</v>
      </c>
      <c r="G168" s="15" t="s">
        <v>198</v>
      </c>
      <c r="H168" s="14"/>
      <c r="I168" s="114">
        <v>0</v>
      </c>
      <c r="J168" s="114" t="s">
        <v>838</v>
      </c>
      <c r="K168" s="114" t="s">
        <v>874</v>
      </c>
      <c r="L168" s="114">
        <v>-1000</v>
      </c>
      <c r="M168" s="114"/>
      <c r="N168" s="15" t="str">
        <f t="shared" si="5"/>
        <v>Status(ReceiveRecoveryRate, -1000)</v>
      </c>
      <c r="O168" s="14">
        <v>0</v>
      </c>
      <c r="P168" s="14">
        <v>0</v>
      </c>
      <c r="Q168" s="14"/>
      <c r="R168" s="114" t="b">
        <v>1</v>
      </c>
    </row>
    <row r="169" spans="1:18">
      <c r="A169" s="18" t="s">
        <v>1357</v>
      </c>
      <c r="B169" s="65"/>
      <c r="C169" s="65"/>
      <c r="D169" s="65">
        <v>0</v>
      </c>
      <c r="E169" s="65">
        <v>1</v>
      </c>
      <c r="F169" s="18" t="s">
        <v>197</v>
      </c>
      <c r="G169" s="18" t="s">
        <v>198</v>
      </c>
      <c r="H169" s="65"/>
      <c r="I169" s="122">
        <v>0</v>
      </c>
      <c r="J169" s="122" t="s">
        <v>838</v>
      </c>
      <c r="K169" s="18" t="s">
        <v>6386</v>
      </c>
      <c r="L169" s="122">
        <v>-150</v>
      </c>
      <c r="M169" s="122"/>
      <c r="N169" s="18" t="str">
        <f t="shared" ref="N169" si="9">J169&amp;"("&amp;IF(K169="","",K169)&amp;IF(L169="","",", "&amp;L169)&amp;IF(M169="","",", "&amp;M169)&amp;")"</f>
        <v>Status(AttackSpeedRate, -150)</v>
      </c>
      <c r="O169" s="9">
        <v>0</v>
      </c>
      <c r="P169" s="9">
        <v>0</v>
      </c>
      <c r="Q169" s="9"/>
      <c r="R169" s="123" t="b">
        <v>1</v>
      </c>
    </row>
    <row r="170" spans="1:18">
      <c r="A170" s="18" t="s">
        <v>1358</v>
      </c>
      <c r="B170" s="65"/>
      <c r="C170" s="65"/>
      <c r="D170" s="65">
        <v>0</v>
      </c>
      <c r="E170" s="65">
        <v>1</v>
      </c>
      <c r="F170" s="18" t="s">
        <v>197</v>
      </c>
      <c r="G170" s="18" t="s">
        <v>198</v>
      </c>
      <c r="H170" s="65"/>
      <c r="I170" s="122">
        <v>0</v>
      </c>
      <c r="J170" s="122" t="s">
        <v>838</v>
      </c>
      <c r="K170" s="122" t="s">
        <v>872</v>
      </c>
      <c r="L170" s="122">
        <v>-150</v>
      </c>
      <c r="M170" s="122"/>
      <c r="N170" s="18" t="str">
        <f t="shared" ref="N170" si="10">J170&amp;"("&amp;IF(K170="","",K170)&amp;IF(L170="","",", "&amp;L170)&amp;IF(M170="","",", "&amp;M170)&amp;")"</f>
        <v>Status(MoveSpeedRate, -150)</v>
      </c>
      <c r="O170" s="9">
        <v>0</v>
      </c>
      <c r="P170" s="9">
        <v>0</v>
      </c>
      <c r="Q170" s="9"/>
      <c r="R170" s="123" t="b">
        <v>1</v>
      </c>
    </row>
    <row r="171" spans="1:18">
      <c r="A171" s="18" t="s">
        <v>1386</v>
      </c>
      <c r="B171" s="65"/>
      <c r="C171" s="65"/>
      <c r="D171" s="65">
        <v>0</v>
      </c>
      <c r="E171" s="65">
        <v>1</v>
      </c>
      <c r="F171" s="18" t="s">
        <v>197</v>
      </c>
      <c r="G171" s="18" t="s">
        <v>198</v>
      </c>
      <c r="H171" s="65"/>
      <c r="I171" s="122">
        <v>0</v>
      </c>
      <c r="J171" s="122" t="s">
        <v>838</v>
      </c>
      <c r="K171" s="122" t="s">
        <v>839</v>
      </c>
      <c r="L171" s="122">
        <v>200</v>
      </c>
      <c r="M171" s="122"/>
      <c r="N171" s="18" t="str">
        <f t="shared" ref="N171" si="11">J171&amp;"("&amp;IF(K171="","",K171)&amp;IF(L171="","",", "&amp;L171)&amp;IF(M171="","",", "&amp;M171)&amp;")"</f>
        <v>Status(DamageDerate, 200)</v>
      </c>
      <c r="O171" s="9">
        <v>0</v>
      </c>
      <c r="P171" s="9">
        <v>0</v>
      </c>
      <c r="Q171" s="9"/>
      <c r="R171" s="123" t="b">
        <v>1</v>
      </c>
    </row>
    <row r="172" spans="1:18">
      <c r="A172" s="18" t="s">
        <v>1336</v>
      </c>
      <c r="B172" s="65"/>
      <c r="C172" s="65"/>
      <c r="D172" s="65">
        <v>0</v>
      </c>
      <c r="E172" s="65">
        <v>1</v>
      </c>
      <c r="F172" s="18" t="s">
        <v>197</v>
      </c>
      <c r="G172" s="18" t="s">
        <v>198</v>
      </c>
      <c r="H172" s="65"/>
      <c r="I172" s="122">
        <v>0</v>
      </c>
      <c r="J172" s="122" t="s">
        <v>838</v>
      </c>
      <c r="K172" s="18" t="s">
        <v>1334</v>
      </c>
      <c r="L172" s="122">
        <v>-1000</v>
      </c>
      <c r="M172" s="122"/>
      <c r="N172" s="18" t="str">
        <f t="shared" si="5"/>
        <v>Status(AddEnergyRate, -1000)</v>
      </c>
      <c r="O172" s="9">
        <v>0</v>
      </c>
      <c r="P172" s="9">
        <v>0</v>
      </c>
      <c r="Q172" s="9"/>
      <c r="R172" s="123" t="b">
        <v>1</v>
      </c>
    </row>
    <row r="173" spans="1:18">
      <c r="A173" s="124" t="s">
        <v>1330</v>
      </c>
      <c r="B173" s="65"/>
      <c r="C173" s="65"/>
      <c r="D173" s="65">
        <v>0</v>
      </c>
      <c r="E173" s="65">
        <v>1</v>
      </c>
      <c r="F173" s="18" t="s">
        <v>197</v>
      </c>
      <c r="G173" s="18" t="s">
        <v>198</v>
      </c>
      <c r="H173" s="65"/>
      <c r="I173" s="122">
        <v>0</v>
      </c>
      <c r="J173" s="122" t="s">
        <v>838</v>
      </c>
      <c r="K173" s="122" t="s">
        <v>1331</v>
      </c>
      <c r="L173" s="122">
        <v>-1000</v>
      </c>
      <c r="M173" s="122"/>
      <c r="N173" s="18" t="str">
        <f t="shared" si="5"/>
        <v>Status(GuardRate, -1000)</v>
      </c>
      <c r="O173" s="9">
        <v>0</v>
      </c>
      <c r="P173" s="9">
        <v>0</v>
      </c>
      <c r="Q173" s="9"/>
      <c r="R173" s="123" t="b">
        <v>1</v>
      </c>
    </row>
    <row r="174" spans="1:18">
      <c r="A174" s="18" t="s">
        <v>1329</v>
      </c>
      <c r="B174" s="65"/>
      <c r="C174" s="65"/>
      <c r="D174" s="65">
        <v>0</v>
      </c>
      <c r="E174" s="65">
        <v>1</v>
      </c>
      <c r="F174" s="18" t="s">
        <v>197</v>
      </c>
      <c r="G174" s="18" t="s">
        <v>198</v>
      </c>
      <c r="H174" s="65"/>
      <c r="I174" s="122">
        <v>0</v>
      </c>
      <c r="J174" s="122" t="s">
        <v>838</v>
      </c>
      <c r="K174" s="122" t="s">
        <v>1332</v>
      </c>
      <c r="L174" s="122">
        <v>-1000</v>
      </c>
      <c r="M174" s="122"/>
      <c r="N174" s="18" t="str">
        <f t="shared" si="5"/>
        <v>Status(AccuracyDerate, -1000)</v>
      </c>
      <c r="O174" s="9">
        <v>0</v>
      </c>
      <c r="P174" s="9">
        <v>0</v>
      </c>
      <c r="Q174" s="9"/>
      <c r="R174" s="123" t="b">
        <v>1</v>
      </c>
    </row>
    <row r="175" spans="1:18">
      <c r="A175" s="22" t="s">
        <v>160</v>
      </c>
      <c r="B175" s="123"/>
      <c r="C175" s="123"/>
      <c r="D175" s="123">
        <v>0</v>
      </c>
      <c r="E175" s="123">
        <v>1</v>
      </c>
      <c r="F175" s="7" t="s">
        <v>197</v>
      </c>
      <c r="G175" s="7" t="s">
        <v>198</v>
      </c>
      <c r="H175" s="123"/>
      <c r="I175" s="125">
        <v>0</v>
      </c>
      <c r="J175" s="125" t="s">
        <v>863</v>
      </c>
      <c r="K175" s="125" t="s">
        <v>1117</v>
      </c>
      <c r="L175" s="125">
        <v>100</v>
      </c>
      <c r="M175" s="125"/>
      <c r="N175" s="20" t="str">
        <f t="shared" si="5"/>
        <v>Burn(Attack, 100)</v>
      </c>
      <c r="O175" s="22">
        <v>0</v>
      </c>
      <c r="P175" s="22">
        <v>1000</v>
      </c>
      <c r="Q175" s="22"/>
      <c r="R175" s="22" t="b">
        <v>1</v>
      </c>
    </row>
    <row r="176" spans="1:18">
      <c r="A176" s="17" t="s">
        <v>164</v>
      </c>
      <c r="B176" s="9"/>
      <c r="C176" s="9"/>
      <c r="D176" s="9">
        <v>0</v>
      </c>
      <c r="E176" s="9">
        <v>1</v>
      </c>
      <c r="F176" s="7" t="s">
        <v>197</v>
      </c>
      <c r="G176" s="7" t="s">
        <v>198</v>
      </c>
      <c r="H176" s="9"/>
      <c r="I176" s="125">
        <v>0</v>
      </c>
      <c r="J176" s="125" t="s">
        <v>864</v>
      </c>
      <c r="K176" s="125" t="s">
        <v>875</v>
      </c>
      <c r="L176" s="125">
        <v>100</v>
      </c>
      <c r="M176" s="125"/>
      <c r="N176" s="17" t="str">
        <f t="shared" si="5"/>
        <v>Poison(Attack, 100)</v>
      </c>
      <c r="O176" s="9">
        <v>0</v>
      </c>
      <c r="P176" s="17">
        <v>1000</v>
      </c>
      <c r="Q176" s="9"/>
      <c r="R176" s="17" t="b">
        <v>1</v>
      </c>
    </row>
    <row r="177" spans="1:18">
      <c r="A177" s="19" t="s">
        <v>167</v>
      </c>
      <c r="B177" s="123"/>
      <c r="C177" s="123"/>
      <c r="D177" s="123">
        <v>0</v>
      </c>
      <c r="E177" s="123">
        <v>1</v>
      </c>
      <c r="F177" s="7" t="s">
        <v>197</v>
      </c>
      <c r="G177" s="7" t="s">
        <v>198</v>
      </c>
      <c r="H177" s="123"/>
      <c r="I177" s="125">
        <v>0</v>
      </c>
      <c r="J177" s="125" t="s">
        <v>865</v>
      </c>
      <c r="K177" s="125" t="s">
        <v>875</v>
      </c>
      <c r="L177" s="125">
        <v>100</v>
      </c>
      <c r="M177" s="125"/>
      <c r="N177" s="19" t="str">
        <f t="shared" si="5"/>
        <v>Bleed(Attack, 100)</v>
      </c>
      <c r="O177" s="123">
        <v>0</v>
      </c>
      <c r="P177" s="19">
        <v>1000</v>
      </c>
      <c r="Q177" s="123"/>
      <c r="R177" s="19" t="b">
        <v>1</v>
      </c>
    </row>
    <row r="178" spans="1:18">
      <c r="A178" s="25" t="s">
        <v>281</v>
      </c>
      <c r="B178" s="25"/>
      <c r="C178" s="25"/>
      <c r="D178" s="25">
        <v>0</v>
      </c>
      <c r="E178" s="25">
        <v>1</v>
      </c>
      <c r="F178" s="25" t="s">
        <v>197</v>
      </c>
      <c r="G178" s="25" t="s">
        <v>198</v>
      </c>
      <c r="H178" s="25"/>
      <c r="I178" s="25">
        <v>0</v>
      </c>
      <c r="J178" s="25" t="s">
        <v>876</v>
      </c>
      <c r="K178" s="25" t="s">
        <v>877</v>
      </c>
      <c r="L178" s="25" t="s">
        <v>878</v>
      </c>
      <c r="M178" s="25" t="s">
        <v>1127</v>
      </c>
      <c r="N178" s="25" t="str">
        <f t="shared" ref="N178:N189" si="12">J178&amp;"("&amp;IF(K178="","",K178)&amp;IF(L178="","",", "&amp;L178)&amp;IF(M178="","",", "&amp;M178)&amp;")"</f>
        <v>Event(DecHpOverRate, sample.dechpoverrate.skilleffect, HpRateCondition(100))</v>
      </c>
      <c r="O178" s="25">
        <v>0</v>
      </c>
      <c r="P178" s="25">
        <v>0</v>
      </c>
      <c r="Q178" s="25"/>
      <c r="R178" s="25" t="b">
        <v>1</v>
      </c>
    </row>
    <row r="179" spans="1:18">
      <c r="A179" s="25" t="s">
        <v>282</v>
      </c>
      <c r="B179" s="25"/>
      <c r="C179" s="25"/>
      <c r="D179" s="25">
        <v>0</v>
      </c>
      <c r="E179" s="25">
        <v>1</v>
      </c>
      <c r="F179" s="25" t="s">
        <v>197</v>
      </c>
      <c r="G179" s="25" t="s">
        <v>198</v>
      </c>
      <c r="H179" s="25"/>
      <c r="I179" s="25">
        <v>0</v>
      </c>
      <c r="J179" s="25" t="s">
        <v>876</v>
      </c>
      <c r="K179" s="25" t="s">
        <v>879</v>
      </c>
      <c r="L179" s="25" t="s">
        <v>880</v>
      </c>
      <c r="M179" s="25" t="s">
        <v>1126</v>
      </c>
      <c r="N179" s="25" t="str">
        <f t="shared" si="12"/>
        <v>Event(IncHpOverRate, sample.inchpoverrate.skilleffect, HpRateCondition(100))</v>
      </c>
      <c r="O179" s="25">
        <v>0</v>
      </c>
      <c r="P179" s="25">
        <v>0</v>
      </c>
      <c r="Q179" s="25"/>
      <c r="R179" s="25" t="b">
        <v>1</v>
      </c>
    </row>
    <row r="180" spans="1:18">
      <c r="A180" s="14" t="s">
        <v>1110</v>
      </c>
      <c r="B180" s="14"/>
      <c r="C180" s="14"/>
      <c r="D180" s="14">
        <v>0</v>
      </c>
      <c r="E180" s="14">
        <v>1</v>
      </c>
      <c r="F180" s="15" t="s">
        <v>197</v>
      </c>
      <c r="G180" s="15" t="s">
        <v>198</v>
      </c>
      <c r="H180" s="14"/>
      <c r="I180" s="114">
        <v>0</v>
      </c>
      <c r="J180" s="114" t="s">
        <v>838</v>
      </c>
      <c r="K180" s="114" t="s">
        <v>1118</v>
      </c>
      <c r="L180" s="114">
        <v>200</v>
      </c>
      <c r="M180" s="114"/>
      <c r="N180" s="15" t="str">
        <f t="shared" si="12"/>
        <v>Status(AttackRatio, 200)</v>
      </c>
      <c r="O180" s="14">
        <v>0</v>
      </c>
      <c r="P180" s="14">
        <v>0</v>
      </c>
      <c r="Q180" s="14"/>
      <c r="R180" s="114" t="b">
        <v>0</v>
      </c>
    </row>
    <row r="181" spans="1:18">
      <c r="A181" s="14" t="s">
        <v>1111</v>
      </c>
      <c r="B181" s="14"/>
      <c r="C181" s="14"/>
      <c r="D181" s="14">
        <v>0</v>
      </c>
      <c r="E181" s="14">
        <v>1</v>
      </c>
      <c r="F181" s="15" t="s">
        <v>197</v>
      </c>
      <c r="G181" s="15" t="s">
        <v>198</v>
      </c>
      <c r="H181" s="14"/>
      <c r="I181" s="114">
        <v>0</v>
      </c>
      <c r="J181" s="114" t="s">
        <v>838</v>
      </c>
      <c r="K181" s="15" t="s">
        <v>1120</v>
      </c>
      <c r="L181" s="114">
        <v>300</v>
      </c>
      <c r="M181" s="114"/>
      <c r="N181" s="15" t="str">
        <f t="shared" si="12"/>
        <v>Status(DefenseRatio, 300)</v>
      </c>
      <c r="O181" s="14">
        <v>0</v>
      </c>
      <c r="P181" s="14">
        <v>0</v>
      </c>
      <c r="Q181" s="14"/>
      <c r="R181" s="114" t="b">
        <v>0</v>
      </c>
    </row>
    <row r="182" spans="1:18">
      <c r="A182" s="14" t="s">
        <v>1112</v>
      </c>
      <c r="B182" s="14"/>
      <c r="C182" s="14"/>
      <c r="D182" s="14">
        <v>0</v>
      </c>
      <c r="E182" s="14">
        <v>1</v>
      </c>
      <c r="F182" s="15" t="s">
        <v>197</v>
      </c>
      <c r="G182" s="15" t="s">
        <v>198</v>
      </c>
      <c r="H182" s="14"/>
      <c r="I182" s="114">
        <v>0</v>
      </c>
      <c r="J182" s="114" t="s">
        <v>838</v>
      </c>
      <c r="K182" s="114" t="s">
        <v>1119</v>
      </c>
      <c r="L182" s="114">
        <v>300</v>
      </c>
      <c r="M182" s="114"/>
      <c r="N182" s="15" t="str">
        <f t="shared" si="12"/>
        <v>Status(MaxHpRatio, 300)</v>
      </c>
      <c r="O182" s="14">
        <v>0</v>
      </c>
      <c r="P182" s="14">
        <v>0</v>
      </c>
      <c r="Q182" s="14"/>
      <c r="R182" s="114" t="b">
        <v>0</v>
      </c>
    </row>
    <row r="183" spans="1:18">
      <c r="A183" s="14" t="s">
        <v>1113</v>
      </c>
      <c r="B183" s="14"/>
      <c r="C183" s="14"/>
      <c r="D183" s="14">
        <v>0</v>
      </c>
      <c r="E183" s="14">
        <v>1</v>
      </c>
      <c r="F183" s="15" t="s">
        <v>197</v>
      </c>
      <c r="G183" s="15" t="s">
        <v>198</v>
      </c>
      <c r="H183" s="14"/>
      <c r="I183" s="114">
        <v>0</v>
      </c>
      <c r="J183" s="114" t="s">
        <v>838</v>
      </c>
      <c r="K183" s="114" t="s">
        <v>1121</v>
      </c>
      <c r="L183" s="114">
        <v>100</v>
      </c>
      <c r="M183" s="114"/>
      <c r="N183" s="15" t="str">
        <f t="shared" si="12"/>
        <v>Status(AddEnergyRate, 100)</v>
      </c>
      <c r="O183" s="14">
        <v>0</v>
      </c>
      <c r="P183" s="14">
        <v>0</v>
      </c>
      <c r="Q183" s="14"/>
      <c r="R183" s="114" t="b">
        <v>0</v>
      </c>
    </row>
    <row r="184" spans="1:18">
      <c r="A184" s="14" t="s">
        <v>1114</v>
      </c>
      <c r="B184" s="14"/>
      <c r="C184" s="14"/>
      <c r="D184" s="14">
        <v>0</v>
      </c>
      <c r="E184" s="14">
        <v>1</v>
      </c>
      <c r="F184" s="15" t="s">
        <v>197</v>
      </c>
      <c r="G184" s="15" t="s">
        <v>198</v>
      </c>
      <c r="H184" s="14"/>
      <c r="I184" s="114">
        <v>0</v>
      </c>
      <c r="J184" s="114" t="s">
        <v>838</v>
      </c>
      <c r="K184" s="114" t="s">
        <v>1118</v>
      </c>
      <c r="L184" s="114">
        <v>100</v>
      </c>
      <c r="M184" s="114"/>
      <c r="N184" s="15" t="str">
        <f t="shared" si="12"/>
        <v>Status(AttackRatio, 100)</v>
      </c>
      <c r="O184" s="14">
        <v>0</v>
      </c>
      <c r="P184" s="14">
        <v>0</v>
      </c>
      <c r="Q184" s="14"/>
      <c r="R184" s="114" t="b">
        <v>0</v>
      </c>
    </row>
    <row r="185" spans="1:18">
      <c r="A185" s="14" t="s">
        <v>1115</v>
      </c>
      <c r="B185" s="14"/>
      <c r="C185" s="14"/>
      <c r="D185" s="14">
        <v>0</v>
      </c>
      <c r="E185" s="14">
        <v>1</v>
      </c>
      <c r="F185" s="15" t="s">
        <v>197</v>
      </c>
      <c r="G185" s="15" t="s">
        <v>198</v>
      </c>
      <c r="H185" s="14"/>
      <c r="I185" s="114">
        <v>0</v>
      </c>
      <c r="J185" s="114" t="s">
        <v>838</v>
      </c>
      <c r="K185" s="15" t="s">
        <v>1120</v>
      </c>
      <c r="L185" s="114">
        <v>150</v>
      </c>
      <c r="M185" s="114"/>
      <c r="N185" s="15" t="str">
        <f t="shared" si="12"/>
        <v>Status(DefenseRatio, 150)</v>
      </c>
      <c r="O185" s="14">
        <v>0</v>
      </c>
      <c r="P185" s="14">
        <v>0</v>
      </c>
      <c r="Q185" s="14"/>
      <c r="R185" s="114" t="b">
        <v>0</v>
      </c>
    </row>
    <row r="186" spans="1:18">
      <c r="A186" s="14" t="s">
        <v>1116</v>
      </c>
      <c r="B186" s="14"/>
      <c r="C186" s="14"/>
      <c r="D186" s="14">
        <v>0</v>
      </c>
      <c r="E186" s="14">
        <v>1</v>
      </c>
      <c r="F186" s="15" t="s">
        <v>197</v>
      </c>
      <c r="G186" s="15" t="s">
        <v>198</v>
      </c>
      <c r="H186" s="14"/>
      <c r="I186" s="114">
        <v>0</v>
      </c>
      <c r="J186" s="114" t="s">
        <v>838</v>
      </c>
      <c r="K186" s="114" t="s">
        <v>1119</v>
      </c>
      <c r="L186" s="114">
        <v>150</v>
      </c>
      <c r="M186" s="114"/>
      <c r="N186" s="15" t="str">
        <f t="shared" si="12"/>
        <v>Status(MaxHpRatio, 150)</v>
      </c>
      <c r="O186" s="14">
        <v>0</v>
      </c>
      <c r="P186" s="14">
        <v>0</v>
      </c>
      <c r="Q186" s="14"/>
      <c r="R186" s="114" t="b">
        <v>0</v>
      </c>
    </row>
    <row r="187" spans="1:18">
      <c r="A187" s="14" t="s">
        <v>1123</v>
      </c>
      <c r="B187" s="14"/>
      <c r="C187" s="14"/>
      <c r="D187" s="14">
        <v>0</v>
      </c>
      <c r="E187" s="14">
        <v>1</v>
      </c>
      <c r="F187" s="15" t="s">
        <v>197</v>
      </c>
      <c r="G187" s="15" t="s">
        <v>198</v>
      </c>
      <c r="H187" s="14"/>
      <c r="I187" s="114">
        <v>0</v>
      </c>
      <c r="J187" s="114" t="s">
        <v>838</v>
      </c>
      <c r="K187" s="114" t="s">
        <v>1118</v>
      </c>
      <c r="L187" s="114">
        <v>150</v>
      </c>
      <c r="M187" s="114"/>
      <c r="N187" s="15" t="str">
        <f t="shared" si="12"/>
        <v>Status(AttackRatio, 150)</v>
      </c>
      <c r="O187" s="14">
        <v>0</v>
      </c>
      <c r="P187" s="14">
        <v>0</v>
      </c>
      <c r="Q187" s="14"/>
      <c r="R187" s="114" t="b">
        <v>0</v>
      </c>
    </row>
    <row r="188" spans="1:18">
      <c r="A188" s="14" t="s">
        <v>1124</v>
      </c>
      <c r="B188" s="14"/>
      <c r="C188" s="14"/>
      <c r="D188" s="14">
        <v>0</v>
      </c>
      <c r="E188" s="14">
        <v>1</v>
      </c>
      <c r="F188" s="15" t="s">
        <v>197</v>
      </c>
      <c r="G188" s="15" t="s">
        <v>198</v>
      </c>
      <c r="H188" s="14"/>
      <c r="I188" s="114">
        <v>0</v>
      </c>
      <c r="J188" s="114" t="s">
        <v>838</v>
      </c>
      <c r="K188" s="15" t="s">
        <v>995</v>
      </c>
      <c r="L188" s="114">
        <v>150</v>
      </c>
      <c r="M188" s="114"/>
      <c r="N188" s="15" t="str">
        <f t="shared" si="12"/>
        <v>Status(DefenseRatio, 150)</v>
      </c>
      <c r="O188" s="14">
        <v>0</v>
      </c>
      <c r="P188" s="14">
        <v>0</v>
      </c>
      <c r="Q188" s="14"/>
      <c r="R188" s="114" t="b">
        <v>0</v>
      </c>
    </row>
    <row r="189" spans="1:18">
      <c r="A189" s="14" t="s">
        <v>1125</v>
      </c>
      <c r="B189" s="14"/>
      <c r="C189" s="14"/>
      <c r="D189" s="14">
        <v>0</v>
      </c>
      <c r="E189" s="14">
        <v>1</v>
      </c>
      <c r="F189" s="15" t="s">
        <v>197</v>
      </c>
      <c r="G189" s="15" t="s">
        <v>198</v>
      </c>
      <c r="H189" s="14"/>
      <c r="I189" s="114">
        <v>0</v>
      </c>
      <c r="J189" s="114" t="s">
        <v>838</v>
      </c>
      <c r="K189" s="114" t="s">
        <v>1119</v>
      </c>
      <c r="L189" s="114">
        <v>150</v>
      </c>
      <c r="M189" s="114"/>
      <c r="N189" s="15" t="str">
        <f t="shared" si="12"/>
        <v>Status(MaxHpRatio, 150)</v>
      </c>
      <c r="O189" s="14">
        <v>0</v>
      </c>
      <c r="P189" s="14">
        <v>0</v>
      </c>
      <c r="Q189" s="14"/>
      <c r="R189" s="114" t="b">
        <v>0</v>
      </c>
    </row>
    <row r="190" spans="1:18" s="73" customFormat="1">
      <c r="A190" s="126" t="s">
        <v>1137</v>
      </c>
      <c r="B190" s="72"/>
      <c r="C190" s="72"/>
      <c r="D190" s="72">
        <v>0</v>
      </c>
      <c r="E190" s="72">
        <v>1</v>
      </c>
      <c r="F190" s="126" t="s">
        <v>197</v>
      </c>
      <c r="G190" s="126" t="s">
        <v>1136</v>
      </c>
      <c r="H190" s="126"/>
      <c r="I190" s="126">
        <v>0</v>
      </c>
      <c r="J190" s="126" t="s">
        <v>838</v>
      </c>
      <c r="K190" s="126" t="s">
        <v>897</v>
      </c>
      <c r="L190" s="126">
        <v>-300</v>
      </c>
      <c r="M190" s="72"/>
      <c r="N190" s="127" t="str">
        <f t="shared" ref="N190:N193" si="13">J190&amp;"("&amp;IF(K190="","",K190)&amp;IF(L190="","",", "&amp;L190)&amp;IF(M190="","",", "&amp;M190)&amp;")"</f>
        <v>Status(DefenseRatio, -300)</v>
      </c>
      <c r="O190" s="72">
        <v>0</v>
      </c>
      <c r="P190" s="72">
        <v>0</v>
      </c>
      <c r="Q190" s="72"/>
      <c r="R190" s="126" t="b">
        <v>1</v>
      </c>
    </row>
    <row r="191" spans="1:18" s="73" customFormat="1">
      <c r="A191" s="126" t="s">
        <v>1138</v>
      </c>
      <c r="B191" s="72"/>
      <c r="C191" s="72"/>
      <c r="D191" s="72">
        <v>0</v>
      </c>
      <c r="E191" s="72">
        <v>1</v>
      </c>
      <c r="F191" s="126" t="s">
        <v>197</v>
      </c>
      <c r="G191" s="126" t="s">
        <v>198</v>
      </c>
      <c r="H191" s="126"/>
      <c r="I191" s="126">
        <v>0</v>
      </c>
      <c r="J191" s="126" t="s">
        <v>838</v>
      </c>
      <c r="K191" s="126" t="s">
        <v>908</v>
      </c>
      <c r="L191" s="126">
        <v>-200</v>
      </c>
      <c r="M191" s="72"/>
      <c r="N191" s="127" t="str">
        <f t="shared" si="13"/>
        <v>Status(AttackRatio, -200)</v>
      </c>
      <c r="O191" s="72">
        <v>0</v>
      </c>
      <c r="P191" s="72">
        <v>0</v>
      </c>
      <c r="Q191" s="72"/>
      <c r="R191" s="126" t="b">
        <v>1</v>
      </c>
    </row>
    <row r="192" spans="1:18" s="73" customFormat="1">
      <c r="A192" s="127" t="s">
        <v>1133</v>
      </c>
      <c r="B192" s="127"/>
      <c r="C192" s="127"/>
      <c r="D192" s="127">
        <v>0</v>
      </c>
      <c r="E192" s="127">
        <v>1</v>
      </c>
      <c r="F192" s="127" t="s">
        <v>197</v>
      </c>
      <c r="G192" s="127" t="s">
        <v>198</v>
      </c>
      <c r="H192" s="127"/>
      <c r="I192" s="127">
        <v>0</v>
      </c>
      <c r="J192" s="127" t="s">
        <v>863</v>
      </c>
      <c r="K192" s="127" t="s">
        <v>1134</v>
      </c>
      <c r="L192" s="127">
        <v>150</v>
      </c>
      <c r="M192" s="127"/>
      <c r="N192" s="127" t="str">
        <f t="shared" si="13"/>
        <v>Burn(Attack, 150)</v>
      </c>
      <c r="O192" s="127">
        <v>0</v>
      </c>
      <c r="P192" s="127">
        <v>1000</v>
      </c>
      <c r="Q192" s="127"/>
      <c r="R192" s="127" t="b">
        <v>1</v>
      </c>
    </row>
    <row r="193" spans="1:18" s="73" customFormat="1">
      <c r="A193" s="126" t="s">
        <v>1135</v>
      </c>
      <c r="B193" s="126"/>
      <c r="C193" s="126"/>
      <c r="D193" s="126">
        <v>0</v>
      </c>
      <c r="E193" s="126">
        <v>1</v>
      </c>
      <c r="F193" s="127" t="s">
        <v>197</v>
      </c>
      <c r="G193" s="127" t="s">
        <v>198</v>
      </c>
      <c r="H193" s="126"/>
      <c r="I193" s="127">
        <v>0</v>
      </c>
      <c r="J193" s="127" t="s">
        <v>864</v>
      </c>
      <c r="K193" s="127" t="s">
        <v>875</v>
      </c>
      <c r="L193" s="127">
        <v>100</v>
      </c>
      <c r="M193" s="127"/>
      <c r="N193" s="126" t="str">
        <f t="shared" si="13"/>
        <v>Poison(Attack, 100)</v>
      </c>
      <c r="O193" s="126">
        <v>0</v>
      </c>
      <c r="P193" s="126">
        <v>1000</v>
      </c>
      <c r="Q193" s="126"/>
      <c r="R193" s="126" t="b">
        <v>1</v>
      </c>
    </row>
    <row r="194" spans="1:18" s="73" customFormat="1">
      <c r="A194" s="126" t="s">
        <v>1144</v>
      </c>
      <c r="B194" s="126"/>
      <c r="C194" s="126"/>
      <c r="D194" s="126">
        <v>0</v>
      </c>
      <c r="E194" s="126">
        <v>1</v>
      </c>
      <c r="F194" s="127" t="s">
        <v>197</v>
      </c>
      <c r="G194" s="127" t="s">
        <v>198</v>
      </c>
      <c r="H194" s="126"/>
      <c r="I194" s="127">
        <v>0</v>
      </c>
      <c r="J194" s="127" t="s">
        <v>865</v>
      </c>
      <c r="K194" s="127" t="s">
        <v>875</v>
      </c>
      <c r="L194" s="127">
        <v>160</v>
      </c>
      <c r="M194" s="127"/>
      <c r="N194" s="126" t="str">
        <f t="shared" ref="N194:N195" si="14">J194&amp;"("&amp;IF(K194="","",K194)&amp;IF(L194="","",", "&amp;L194)&amp;IF(M194="","",", "&amp;M194)&amp;")"</f>
        <v>Bleed(Attack, 160)</v>
      </c>
      <c r="O194" s="126">
        <v>0</v>
      </c>
      <c r="P194" s="126">
        <v>1000</v>
      </c>
      <c r="Q194" s="126"/>
      <c r="R194" s="126" t="b">
        <v>1</v>
      </c>
    </row>
    <row r="195" spans="1:18" s="73" customFormat="1">
      <c r="A195" s="128" t="s">
        <v>1145</v>
      </c>
      <c r="B195" s="128"/>
      <c r="C195" s="128"/>
      <c r="D195" s="128">
        <v>0</v>
      </c>
      <c r="E195" s="128">
        <v>1</v>
      </c>
      <c r="F195" s="129" t="s">
        <v>197</v>
      </c>
      <c r="G195" s="129" t="s">
        <v>198</v>
      </c>
      <c r="H195" s="128"/>
      <c r="I195" s="129">
        <v>0</v>
      </c>
      <c r="J195" s="129" t="s">
        <v>838</v>
      </c>
      <c r="K195" s="129" t="s">
        <v>908</v>
      </c>
      <c r="L195" s="129">
        <v>-300</v>
      </c>
      <c r="M195" s="129"/>
      <c r="N195" s="128" t="str">
        <f t="shared" si="14"/>
        <v>Status(AttackRatio, -300)</v>
      </c>
      <c r="O195" s="128">
        <v>0</v>
      </c>
      <c r="P195" s="128">
        <v>0</v>
      </c>
      <c r="Q195" s="128"/>
      <c r="R195" s="128" t="b">
        <v>1</v>
      </c>
    </row>
    <row r="196" spans="1:18" s="73" customFormat="1">
      <c r="A196" s="128" t="s">
        <v>1146</v>
      </c>
      <c r="B196" s="128"/>
      <c r="C196" s="128"/>
      <c r="D196" s="128">
        <v>0</v>
      </c>
      <c r="E196" s="128">
        <v>1</v>
      </c>
      <c r="F196" s="129" t="s">
        <v>197</v>
      </c>
      <c r="G196" s="129" t="s">
        <v>198</v>
      </c>
      <c r="H196" s="128"/>
      <c r="I196" s="129">
        <v>0</v>
      </c>
      <c r="J196" s="129" t="s">
        <v>838</v>
      </c>
      <c r="K196" s="129" t="s">
        <v>1385</v>
      </c>
      <c r="L196" s="129">
        <v>-300</v>
      </c>
      <c r="M196" s="129"/>
      <c r="N196" s="128" t="str">
        <f t="shared" ref="N196" si="15">J196&amp;"("&amp;IF(K196="","",K196)&amp;IF(L196="","",", "&amp;L196)&amp;IF(M196="","",", "&amp;M196)&amp;")"</f>
        <v>Status(DefenseRatio, -300)</v>
      </c>
      <c r="O196" s="128">
        <v>0</v>
      </c>
      <c r="P196" s="128">
        <v>0</v>
      </c>
      <c r="Q196" s="128"/>
      <c r="R196" s="128" t="b">
        <v>1</v>
      </c>
    </row>
    <row r="197" spans="1:18" s="73" customFormat="1">
      <c r="A197" s="128"/>
      <c r="B197" s="128"/>
      <c r="C197" s="128"/>
      <c r="D197" s="128"/>
      <c r="E197" s="128"/>
      <c r="F197" s="129"/>
      <c r="G197" s="129"/>
      <c r="H197" s="128"/>
      <c r="I197" s="129"/>
      <c r="J197" s="129"/>
      <c r="K197" s="129"/>
      <c r="L197" s="129"/>
      <c r="M197" s="129"/>
      <c r="N197" s="128"/>
      <c r="O197" s="128"/>
      <c r="P197" s="128"/>
      <c r="Q197" s="128"/>
      <c r="R197" s="128"/>
    </row>
    <row r="198" spans="1:18" s="73" customFormat="1">
      <c r="A198" s="130" t="s">
        <v>3792</v>
      </c>
      <c r="B198" s="130"/>
      <c r="C198" s="130"/>
      <c r="D198" s="130">
        <v>0</v>
      </c>
      <c r="E198" s="130">
        <v>1</v>
      </c>
      <c r="F198" s="131" t="s">
        <v>197</v>
      </c>
      <c r="G198" s="131" t="s">
        <v>198</v>
      </c>
      <c r="H198" s="130"/>
      <c r="I198" s="131">
        <v>0</v>
      </c>
      <c r="J198" s="131" t="s">
        <v>3796</v>
      </c>
      <c r="K198" s="131" t="s">
        <v>869</v>
      </c>
      <c r="L198" s="131">
        <v>-200</v>
      </c>
      <c r="M198" s="131"/>
      <c r="N198" s="130" t="str">
        <f t="shared" ref="N198:N201" si="16">J198&amp;"("&amp;IF(K198="","",K198)&amp;IF(L198="","",", "&amp;L198)&amp;IF(M198="","",", "&amp;M198)&amp;")"</f>
        <v>Status(AccuracyDerate, -200)</v>
      </c>
      <c r="O198" s="130">
        <v>0</v>
      </c>
      <c r="P198" s="130">
        <v>0</v>
      </c>
      <c r="Q198" s="130"/>
      <c r="R198" s="130" t="b">
        <v>1</v>
      </c>
    </row>
    <row r="199" spans="1:18" s="73" customFormat="1">
      <c r="A199" s="130" t="s">
        <v>3793</v>
      </c>
      <c r="B199" s="130"/>
      <c r="C199" s="130"/>
      <c r="D199" s="130">
        <v>0</v>
      </c>
      <c r="E199" s="130">
        <v>1</v>
      </c>
      <c r="F199" s="131" t="s">
        <v>197</v>
      </c>
      <c r="G199" s="131" t="s">
        <v>198</v>
      </c>
      <c r="H199" s="130"/>
      <c r="I199" s="131">
        <v>0</v>
      </c>
      <c r="J199" s="131" t="s">
        <v>3796</v>
      </c>
      <c r="K199" s="131" t="s">
        <v>869</v>
      </c>
      <c r="L199" s="131">
        <v>-220</v>
      </c>
      <c r="M199" s="131"/>
      <c r="N199" s="130" t="str">
        <f t="shared" si="16"/>
        <v>Status(AccuracyDerate, -220)</v>
      </c>
      <c r="O199" s="130">
        <v>0</v>
      </c>
      <c r="P199" s="130">
        <v>0</v>
      </c>
      <c r="Q199" s="130"/>
      <c r="R199" s="130" t="b">
        <v>1</v>
      </c>
    </row>
    <row r="200" spans="1:18" s="73" customFormat="1">
      <c r="A200" s="130" t="s">
        <v>3794</v>
      </c>
      <c r="B200" s="130"/>
      <c r="C200" s="130"/>
      <c r="D200" s="130">
        <v>0</v>
      </c>
      <c r="E200" s="130">
        <v>1</v>
      </c>
      <c r="F200" s="131" t="s">
        <v>197</v>
      </c>
      <c r="G200" s="131" t="s">
        <v>198</v>
      </c>
      <c r="H200" s="130"/>
      <c r="I200" s="131">
        <v>0</v>
      </c>
      <c r="J200" s="131" t="s">
        <v>3796</v>
      </c>
      <c r="K200" s="131" t="s">
        <v>869</v>
      </c>
      <c r="L200" s="131">
        <v>-240</v>
      </c>
      <c r="M200" s="131"/>
      <c r="N200" s="130" t="str">
        <f t="shared" si="16"/>
        <v>Status(AccuracyDerate, -240)</v>
      </c>
      <c r="O200" s="130">
        <v>0</v>
      </c>
      <c r="P200" s="130">
        <v>0</v>
      </c>
      <c r="Q200" s="130"/>
      <c r="R200" s="130" t="b">
        <v>1</v>
      </c>
    </row>
    <row r="201" spans="1:18" s="73" customFormat="1">
      <c r="A201" s="130" t="s">
        <v>3795</v>
      </c>
      <c r="B201" s="130"/>
      <c r="C201" s="130"/>
      <c r="D201" s="130">
        <v>0</v>
      </c>
      <c r="E201" s="130">
        <v>1</v>
      </c>
      <c r="F201" s="131" t="s">
        <v>197</v>
      </c>
      <c r="G201" s="131" t="s">
        <v>198</v>
      </c>
      <c r="H201" s="130"/>
      <c r="I201" s="131">
        <v>0</v>
      </c>
      <c r="J201" s="131" t="s">
        <v>3796</v>
      </c>
      <c r="K201" s="131" t="s">
        <v>869</v>
      </c>
      <c r="L201" s="131">
        <v>-260</v>
      </c>
      <c r="M201" s="131"/>
      <c r="N201" s="130" t="str">
        <f t="shared" si="16"/>
        <v>Status(AccuracyDerate, -260)</v>
      </c>
      <c r="O201" s="130">
        <v>0</v>
      </c>
      <c r="P201" s="130">
        <v>0</v>
      </c>
      <c r="Q201" s="130"/>
      <c r="R201" s="130" t="b">
        <v>1</v>
      </c>
    </row>
    <row r="202" spans="1:18" s="73" customFormat="1">
      <c r="A202" s="126"/>
      <c r="B202" s="126"/>
      <c r="C202" s="126"/>
      <c r="D202" s="126"/>
      <c r="E202" s="126"/>
      <c r="F202" s="127"/>
      <c r="G202" s="127"/>
      <c r="H202" s="126"/>
      <c r="I202" s="127"/>
      <c r="J202" s="127"/>
      <c r="K202" s="127"/>
      <c r="L202" s="127"/>
      <c r="M202" s="127"/>
      <c r="N202" s="126"/>
      <c r="O202" s="126"/>
      <c r="P202" s="126"/>
      <c r="Q202" s="126"/>
      <c r="R202" s="126"/>
    </row>
    <row r="203" spans="1:18" s="73" customFormat="1">
      <c r="A203" s="126" t="s">
        <v>1228</v>
      </c>
      <c r="B203" s="126"/>
      <c r="C203" s="126"/>
      <c r="D203" s="126">
        <v>0</v>
      </c>
      <c r="E203" s="126">
        <v>1</v>
      </c>
      <c r="F203" s="127" t="s">
        <v>197</v>
      </c>
      <c r="G203" s="127" t="s">
        <v>198</v>
      </c>
      <c r="H203" s="126"/>
      <c r="I203" s="127">
        <v>0</v>
      </c>
      <c r="J203" s="127" t="s">
        <v>838</v>
      </c>
      <c r="K203" s="127" t="s">
        <v>905</v>
      </c>
      <c r="L203" s="127">
        <v>200</v>
      </c>
      <c r="M203" s="127"/>
      <c r="N203" s="126" t="str">
        <f t="shared" ref="N203:N204" si="17">J203&amp;"("&amp;IF(K203="","",K203)&amp;IF(L203="","",", "&amp;L203)&amp;IF(M203="","",", "&amp;M203)&amp;")"</f>
        <v>Status(DamageRate, 200)</v>
      </c>
      <c r="O203" s="126">
        <v>0</v>
      </c>
      <c r="P203" s="126">
        <v>0</v>
      </c>
      <c r="Q203" s="126"/>
      <c r="R203" s="126" t="b">
        <v>0</v>
      </c>
    </row>
    <row r="204" spans="1:18" s="73" customFormat="1">
      <c r="A204" s="126" t="s">
        <v>1229</v>
      </c>
      <c r="B204" s="126"/>
      <c r="C204" s="126"/>
      <c r="D204" s="126">
        <v>0</v>
      </c>
      <c r="E204" s="126">
        <v>1</v>
      </c>
      <c r="F204" s="127" t="s">
        <v>197</v>
      </c>
      <c r="G204" s="127" t="s">
        <v>198</v>
      </c>
      <c r="H204" s="126"/>
      <c r="I204" s="127">
        <v>0</v>
      </c>
      <c r="J204" s="127" t="s">
        <v>838</v>
      </c>
      <c r="K204" s="127" t="s">
        <v>1335</v>
      </c>
      <c r="L204" s="127">
        <v>0</v>
      </c>
      <c r="M204" s="127"/>
      <c r="N204" s="126" t="str">
        <f t="shared" si="17"/>
        <v>Status(DamageDerate, 0)</v>
      </c>
      <c r="O204" s="126">
        <v>0</v>
      </c>
      <c r="P204" s="126">
        <v>0</v>
      </c>
      <c r="Q204" s="126"/>
      <c r="R204" s="126" t="b">
        <v>0</v>
      </c>
    </row>
    <row r="205" spans="1:18" s="73" customFormat="1">
      <c r="A205" s="126" t="s">
        <v>1230</v>
      </c>
      <c r="B205" s="126"/>
      <c r="C205" s="126"/>
      <c r="D205" s="126">
        <v>0</v>
      </c>
      <c r="E205" s="126">
        <v>1</v>
      </c>
      <c r="F205" s="127" t="s">
        <v>197</v>
      </c>
      <c r="G205" s="127" t="s">
        <v>198</v>
      </c>
      <c r="H205" s="126"/>
      <c r="I205" s="127">
        <v>0</v>
      </c>
      <c r="J205" s="127" t="s">
        <v>838</v>
      </c>
      <c r="K205" s="127" t="s">
        <v>905</v>
      </c>
      <c r="L205" s="127">
        <v>200</v>
      </c>
      <c r="M205" s="127"/>
      <c r="N205" s="126" t="str">
        <f t="shared" ref="N205:N208" si="18">J205&amp;"("&amp;IF(K205="","",K205)&amp;IF(L205="","",", "&amp;L205)&amp;IF(M205="","",", "&amp;M205)&amp;")"</f>
        <v>Status(DamageRate, 200)</v>
      </c>
      <c r="O205" s="126">
        <v>0</v>
      </c>
      <c r="P205" s="126">
        <v>0</v>
      </c>
      <c r="Q205" s="126"/>
      <c r="R205" s="126" t="b">
        <v>0</v>
      </c>
    </row>
    <row r="206" spans="1:18" s="73" customFormat="1">
      <c r="A206" s="126" t="s">
        <v>1231</v>
      </c>
      <c r="B206" s="126"/>
      <c r="C206" s="126"/>
      <c r="D206" s="126">
        <v>0</v>
      </c>
      <c r="E206" s="126">
        <v>1</v>
      </c>
      <c r="F206" s="127" t="s">
        <v>197</v>
      </c>
      <c r="G206" s="127" t="s">
        <v>198</v>
      </c>
      <c r="H206" s="126"/>
      <c r="I206" s="127">
        <v>0</v>
      </c>
      <c r="J206" s="127" t="s">
        <v>838</v>
      </c>
      <c r="K206" s="127" t="s">
        <v>839</v>
      </c>
      <c r="L206" s="127">
        <v>0</v>
      </c>
      <c r="M206" s="127"/>
      <c r="N206" s="126" t="str">
        <f t="shared" si="18"/>
        <v>Status(DamageDerate, 0)</v>
      </c>
      <c r="O206" s="126">
        <v>0</v>
      </c>
      <c r="P206" s="126">
        <v>0</v>
      </c>
      <c r="Q206" s="126"/>
      <c r="R206" s="126" t="b">
        <v>0</v>
      </c>
    </row>
    <row r="207" spans="1:18" s="73" customFormat="1">
      <c r="A207" s="126" t="s">
        <v>1232</v>
      </c>
      <c r="B207" s="126"/>
      <c r="C207" s="126"/>
      <c r="D207" s="126">
        <v>0</v>
      </c>
      <c r="E207" s="126">
        <v>1</v>
      </c>
      <c r="F207" s="127" t="s">
        <v>197</v>
      </c>
      <c r="G207" s="127" t="s">
        <v>198</v>
      </c>
      <c r="H207" s="126"/>
      <c r="I207" s="127">
        <v>0</v>
      </c>
      <c r="J207" s="127" t="s">
        <v>838</v>
      </c>
      <c r="K207" s="127" t="s">
        <v>905</v>
      </c>
      <c r="L207" s="127">
        <v>200</v>
      </c>
      <c r="M207" s="127"/>
      <c r="N207" s="126" t="str">
        <f t="shared" si="18"/>
        <v>Status(DamageRate, 200)</v>
      </c>
      <c r="O207" s="126">
        <v>0</v>
      </c>
      <c r="P207" s="126">
        <v>0</v>
      </c>
      <c r="Q207" s="126"/>
      <c r="R207" s="126" t="b">
        <v>0</v>
      </c>
    </row>
    <row r="208" spans="1:18" s="73" customFormat="1">
      <c r="A208" s="126" t="s">
        <v>1233</v>
      </c>
      <c r="B208" s="126"/>
      <c r="C208" s="126"/>
      <c r="D208" s="126">
        <v>0</v>
      </c>
      <c r="E208" s="126">
        <v>1</v>
      </c>
      <c r="F208" s="127" t="s">
        <v>197</v>
      </c>
      <c r="G208" s="127" t="s">
        <v>198</v>
      </c>
      <c r="H208" s="126"/>
      <c r="I208" s="127">
        <v>0</v>
      </c>
      <c r="J208" s="127" t="s">
        <v>838</v>
      </c>
      <c r="K208" s="127" t="s">
        <v>839</v>
      </c>
      <c r="L208" s="127">
        <v>0</v>
      </c>
      <c r="M208" s="127"/>
      <c r="N208" s="126" t="str">
        <f t="shared" si="18"/>
        <v>Status(DamageDerate, 0)</v>
      </c>
      <c r="O208" s="126">
        <v>0</v>
      </c>
      <c r="P208" s="126">
        <v>0</v>
      </c>
      <c r="Q208" s="126"/>
      <c r="R208" s="126" t="b">
        <v>0</v>
      </c>
    </row>
    <row r="209" spans="1:18" s="73" customFormat="1">
      <c r="A209" s="126" t="s">
        <v>2021</v>
      </c>
      <c r="B209" s="126"/>
      <c r="C209" s="126"/>
      <c r="D209" s="126">
        <v>0</v>
      </c>
      <c r="E209" s="126">
        <v>1</v>
      </c>
      <c r="F209" s="127" t="s">
        <v>197</v>
      </c>
      <c r="G209" s="127" t="s">
        <v>198</v>
      </c>
      <c r="H209" s="126"/>
      <c r="I209" s="127">
        <v>0</v>
      </c>
      <c r="J209" s="127" t="s">
        <v>838</v>
      </c>
      <c r="K209" s="127" t="s">
        <v>905</v>
      </c>
      <c r="L209" s="127">
        <v>200</v>
      </c>
      <c r="M209" s="127"/>
      <c r="N209" s="126" t="str">
        <f t="shared" ref="N209:N212" si="19">J209&amp;"("&amp;IF(K209="","",K209)&amp;IF(L209="","",", "&amp;L209)&amp;IF(M209="","",", "&amp;M209)&amp;")"</f>
        <v>Status(DamageRate, 200)</v>
      </c>
      <c r="O209" s="126">
        <v>0</v>
      </c>
      <c r="P209" s="126">
        <v>0</v>
      </c>
      <c r="Q209" s="126"/>
      <c r="R209" s="126" t="b">
        <v>0</v>
      </c>
    </row>
    <row r="210" spans="1:18" s="73" customFormat="1">
      <c r="A210" s="126" t="s">
        <v>2022</v>
      </c>
      <c r="B210" s="126"/>
      <c r="C210" s="126"/>
      <c r="D210" s="126">
        <v>0</v>
      </c>
      <c r="E210" s="126">
        <v>1</v>
      </c>
      <c r="F210" s="127" t="s">
        <v>197</v>
      </c>
      <c r="G210" s="127" t="s">
        <v>198</v>
      </c>
      <c r="H210" s="126"/>
      <c r="I210" s="127">
        <v>0</v>
      </c>
      <c r="J210" s="127" t="s">
        <v>838</v>
      </c>
      <c r="K210" s="127" t="s">
        <v>839</v>
      </c>
      <c r="L210" s="127">
        <v>0</v>
      </c>
      <c r="M210" s="127"/>
      <c r="N210" s="126" t="str">
        <f t="shared" si="19"/>
        <v>Status(DamageDerate, 0)</v>
      </c>
      <c r="O210" s="126">
        <v>0</v>
      </c>
      <c r="P210" s="126">
        <v>0</v>
      </c>
      <c r="Q210" s="126"/>
      <c r="R210" s="126" t="b">
        <v>0</v>
      </c>
    </row>
    <row r="211" spans="1:18" s="73" customFormat="1">
      <c r="A211" s="126" t="s">
        <v>2023</v>
      </c>
      <c r="B211" s="126"/>
      <c r="C211" s="126"/>
      <c r="D211" s="126">
        <v>0</v>
      </c>
      <c r="E211" s="126">
        <v>1</v>
      </c>
      <c r="F211" s="127" t="s">
        <v>197</v>
      </c>
      <c r="G211" s="127" t="s">
        <v>198</v>
      </c>
      <c r="H211" s="126"/>
      <c r="I211" s="127">
        <v>0</v>
      </c>
      <c r="J211" s="127" t="s">
        <v>838</v>
      </c>
      <c r="K211" s="127" t="s">
        <v>905</v>
      </c>
      <c r="L211" s="127">
        <v>200</v>
      </c>
      <c r="M211" s="127"/>
      <c r="N211" s="126" t="str">
        <f t="shared" si="19"/>
        <v>Status(DamageRate, 200)</v>
      </c>
      <c r="O211" s="126">
        <v>0</v>
      </c>
      <c r="P211" s="126">
        <v>0</v>
      </c>
      <c r="Q211" s="126"/>
      <c r="R211" s="126" t="b">
        <v>0</v>
      </c>
    </row>
    <row r="212" spans="1:18" s="73" customFormat="1">
      <c r="A212" s="126" t="s">
        <v>2024</v>
      </c>
      <c r="B212" s="126"/>
      <c r="C212" s="126"/>
      <c r="D212" s="126">
        <v>0</v>
      </c>
      <c r="E212" s="126">
        <v>1</v>
      </c>
      <c r="F212" s="127" t="s">
        <v>197</v>
      </c>
      <c r="G212" s="127" t="s">
        <v>198</v>
      </c>
      <c r="H212" s="126"/>
      <c r="I212" s="127">
        <v>0</v>
      </c>
      <c r="J212" s="127" t="s">
        <v>838</v>
      </c>
      <c r="K212" s="127" t="s">
        <v>839</v>
      </c>
      <c r="L212" s="127">
        <v>0</v>
      </c>
      <c r="M212" s="127"/>
      <c r="N212" s="126" t="str">
        <f t="shared" si="19"/>
        <v>Status(DamageDerate, 0)</v>
      </c>
      <c r="O212" s="126">
        <v>0</v>
      </c>
      <c r="P212" s="126">
        <v>0</v>
      </c>
      <c r="Q212" s="126"/>
      <c r="R212" s="126" t="b">
        <v>0</v>
      </c>
    </row>
    <row r="213" spans="1:18" s="73" customFormat="1">
      <c r="A213" s="126"/>
      <c r="B213" s="126"/>
      <c r="C213" s="126"/>
      <c r="D213" s="126"/>
      <c r="E213" s="126"/>
      <c r="F213" s="127"/>
      <c r="G213" s="127"/>
      <c r="H213" s="126"/>
      <c r="I213" s="127"/>
      <c r="J213" s="127"/>
      <c r="K213" s="127"/>
      <c r="L213" s="127"/>
      <c r="M213" s="127"/>
      <c r="N213" s="126"/>
      <c r="O213" s="126"/>
      <c r="P213" s="126"/>
      <c r="Q213" s="126"/>
      <c r="R213" s="126"/>
    </row>
    <row r="214" spans="1:18" s="73" customFormat="1">
      <c r="A214" s="130" t="s">
        <v>1673</v>
      </c>
      <c r="B214" s="130"/>
      <c r="C214" s="130"/>
      <c r="D214" s="130">
        <v>0</v>
      </c>
      <c r="E214" s="130">
        <v>1</v>
      </c>
      <c r="F214" s="131" t="s">
        <v>197</v>
      </c>
      <c r="G214" s="131" t="s">
        <v>198</v>
      </c>
      <c r="H214" s="130"/>
      <c r="I214" s="131">
        <v>0</v>
      </c>
      <c r="J214" s="131" t="s">
        <v>1621</v>
      </c>
      <c r="K214" s="131" t="s">
        <v>7435</v>
      </c>
      <c r="L214" s="131">
        <v>150</v>
      </c>
      <c r="M214" s="131"/>
      <c r="N214" s="130" t="str">
        <f t="shared" ref="N214:N277" si="20">J214&amp;"("&amp;IF(K214="","",K214)&amp;IF(L214="","",", "&amp;L214)&amp;IF(M214="","",", "&amp;M214)&amp;")"</f>
        <v>StatusDistict(AttackRatio, 150)</v>
      </c>
      <c r="O214" s="130">
        <v>0</v>
      </c>
      <c r="P214" s="130">
        <v>0</v>
      </c>
      <c r="Q214" s="130"/>
      <c r="R214" s="130" t="b">
        <v>1</v>
      </c>
    </row>
    <row r="215" spans="1:18" s="73" customFormat="1">
      <c r="A215" s="130" t="s">
        <v>1416</v>
      </c>
      <c r="B215" s="130"/>
      <c r="C215" s="130"/>
      <c r="D215" s="130">
        <v>0</v>
      </c>
      <c r="E215" s="130">
        <v>1</v>
      </c>
      <c r="F215" s="131" t="s">
        <v>197</v>
      </c>
      <c r="G215" s="131" t="s">
        <v>198</v>
      </c>
      <c r="H215" s="130"/>
      <c r="I215" s="131">
        <v>0</v>
      </c>
      <c r="J215" s="131" t="s">
        <v>1621</v>
      </c>
      <c r="K215" s="131" t="s">
        <v>908</v>
      </c>
      <c r="L215" s="131">
        <v>200</v>
      </c>
      <c r="M215" s="131"/>
      <c r="N215" s="130" t="str">
        <f t="shared" si="20"/>
        <v>StatusDistict(AttackRatio, 200)</v>
      </c>
      <c r="O215" s="130">
        <v>0</v>
      </c>
      <c r="P215" s="130">
        <v>0</v>
      </c>
      <c r="Q215" s="130"/>
      <c r="R215" s="130" t="b">
        <v>1</v>
      </c>
    </row>
    <row r="216" spans="1:18" s="73" customFormat="1">
      <c r="A216" s="130" t="s">
        <v>1417</v>
      </c>
      <c r="B216" s="130"/>
      <c r="C216" s="130"/>
      <c r="D216" s="130">
        <v>0</v>
      </c>
      <c r="E216" s="130">
        <v>1</v>
      </c>
      <c r="F216" s="131" t="s">
        <v>197</v>
      </c>
      <c r="G216" s="131" t="s">
        <v>198</v>
      </c>
      <c r="H216" s="130"/>
      <c r="I216" s="131">
        <v>0</v>
      </c>
      <c r="J216" s="131" t="s">
        <v>1621</v>
      </c>
      <c r="K216" s="131" t="s">
        <v>908</v>
      </c>
      <c r="L216" s="131">
        <v>250</v>
      </c>
      <c r="M216" s="131"/>
      <c r="N216" s="130" t="str">
        <f t="shared" si="20"/>
        <v>StatusDistict(AttackRatio, 250)</v>
      </c>
      <c r="O216" s="130">
        <v>0</v>
      </c>
      <c r="P216" s="130">
        <v>0</v>
      </c>
      <c r="Q216" s="130"/>
      <c r="R216" s="130" t="b">
        <v>1</v>
      </c>
    </row>
    <row r="217" spans="1:18" s="73" customFormat="1">
      <c r="A217" s="130" t="s">
        <v>1418</v>
      </c>
      <c r="B217" s="130"/>
      <c r="C217" s="130"/>
      <c r="D217" s="130">
        <v>0</v>
      </c>
      <c r="E217" s="130">
        <v>1</v>
      </c>
      <c r="F217" s="131" t="s">
        <v>197</v>
      </c>
      <c r="G217" s="131" t="s">
        <v>198</v>
      </c>
      <c r="H217" s="130"/>
      <c r="I217" s="131">
        <v>0</v>
      </c>
      <c r="J217" s="131" t="s">
        <v>1621</v>
      </c>
      <c r="K217" s="131" t="s">
        <v>908</v>
      </c>
      <c r="L217" s="131">
        <v>300</v>
      </c>
      <c r="M217" s="131"/>
      <c r="N217" s="130" t="str">
        <f t="shared" si="20"/>
        <v>StatusDistict(AttackRatio, 300)</v>
      </c>
      <c r="O217" s="130">
        <v>0</v>
      </c>
      <c r="P217" s="130">
        <v>0</v>
      </c>
      <c r="Q217" s="130"/>
      <c r="R217" s="130" t="b">
        <v>1</v>
      </c>
    </row>
    <row r="218" spans="1:18" s="73" customFormat="1">
      <c r="A218" s="130" t="s">
        <v>1419</v>
      </c>
      <c r="B218" s="130"/>
      <c r="C218" s="130"/>
      <c r="D218" s="130">
        <v>0</v>
      </c>
      <c r="E218" s="130">
        <v>1</v>
      </c>
      <c r="F218" s="131" t="s">
        <v>197</v>
      </c>
      <c r="G218" s="131" t="s">
        <v>198</v>
      </c>
      <c r="H218" s="130"/>
      <c r="I218" s="131">
        <v>0</v>
      </c>
      <c r="J218" s="131" t="s">
        <v>1621</v>
      </c>
      <c r="K218" s="131" t="s">
        <v>908</v>
      </c>
      <c r="L218" s="131">
        <v>350</v>
      </c>
      <c r="M218" s="131"/>
      <c r="N218" s="130" t="str">
        <f t="shared" si="20"/>
        <v>StatusDistict(AttackRatio, 350)</v>
      </c>
      <c r="O218" s="130">
        <v>0</v>
      </c>
      <c r="P218" s="130">
        <v>0</v>
      </c>
      <c r="Q218" s="130"/>
      <c r="R218" s="130" t="b">
        <v>1</v>
      </c>
    </row>
    <row r="219" spans="1:18" s="73" customFormat="1">
      <c r="A219" s="126" t="s">
        <v>1674</v>
      </c>
      <c r="B219" s="126"/>
      <c r="C219" s="126"/>
      <c r="D219" s="126">
        <v>0</v>
      </c>
      <c r="E219" s="126">
        <v>1</v>
      </c>
      <c r="F219" s="127" t="s">
        <v>197</v>
      </c>
      <c r="G219" s="127" t="s">
        <v>198</v>
      </c>
      <c r="H219" s="126"/>
      <c r="I219" s="127">
        <v>0</v>
      </c>
      <c r="J219" s="127" t="s">
        <v>1621</v>
      </c>
      <c r="K219" s="127" t="s">
        <v>897</v>
      </c>
      <c r="L219" s="127">
        <v>200</v>
      </c>
      <c r="M219" s="127"/>
      <c r="N219" s="126" t="str">
        <f t="shared" si="20"/>
        <v>StatusDistict(DefenseRatio, 200)</v>
      </c>
      <c r="O219" s="126">
        <v>0</v>
      </c>
      <c r="P219" s="126">
        <v>0</v>
      </c>
      <c r="Q219" s="126"/>
      <c r="R219" s="126" t="b">
        <v>1</v>
      </c>
    </row>
    <row r="220" spans="1:18" s="73" customFormat="1">
      <c r="A220" s="126" t="s">
        <v>1420</v>
      </c>
      <c r="B220" s="126"/>
      <c r="C220" s="126"/>
      <c r="D220" s="126">
        <v>0</v>
      </c>
      <c r="E220" s="126">
        <v>1</v>
      </c>
      <c r="F220" s="127" t="s">
        <v>197</v>
      </c>
      <c r="G220" s="127" t="s">
        <v>198</v>
      </c>
      <c r="H220" s="126"/>
      <c r="I220" s="127">
        <v>0</v>
      </c>
      <c r="J220" s="127" t="s">
        <v>1621</v>
      </c>
      <c r="K220" s="127" t="s">
        <v>897</v>
      </c>
      <c r="L220" s="127">
        <v>400</v>
      </c>
      <c r="M220" s="127"/>
      <c r="N220" s="126" t="str">
        <f t="shared" si="20"/>
        <v>StatusDistict(DefenseRatio, 400)</v>
      </c>
      <c r="O220" s="126">
        <v>0</v>
      </c>
      <c r="P220" s="126">
        <v>0</v>
      </c>
      <c r="Q220" s="126"/>
      <c r="R220" s="126" t="b">
        <v>1</v>
      </c>
    </row>
    <row r="221" spans="1:18" s="73" customFormat="1">
      <c r="A221" s="126" t="s">
        <v>1421</v>
      </c>
      <c r="B221" s="126"/>
      <c r="C221" s="126"/>
      <c r="D221" s="126">
        <v>0</v>
      </c>
      <c r="E221" s="126">
        <v>1</v>
      </c>
      <c r="F221" s="127" t="s">
        <v>197</v>
      </c>
      <c r="G221" s="127" t="s">
        <v>198</v>
      </c>
      <c r="H221" s="126"/>
      <c r="I221" s="127">
        <v>0</v>
      </c>
      <c r="J221" s="127" t="s">
        <v>1621</v>
      </c>
      <c r="K221" s="127" t="s">
        <v>897</v>
      </c>
      <c r="L221" s="127">
        <v>600</v>
      </c>
      <c r="M221" s="127"/>
      <c r="N221" s="126" t="str">
        <f t="shared" si="20"/>
        <v>StatusDistict(DefenseRatio, 600)</v>
      </c>
      <c r="O221" s="126">
        <v>0</v>
      </c>
      <c r="P221" s="126">
        <v>0</v>
      </c>
      <c r="Q221" s="126"/>
      <c r="R221" s="126" t="b">
        <v>1</v>
      </c>
    </row>
    <row r="222" spans="1:18" s="73" customFormat="1">
      <c r="A222" s="126" t="s">
        <v>1422</v>
      </c>
      <c r="B222" s="126"/>
      <c r="C222" s="126"/>
      <c r="D222" s="126">
        <v>0</v>
      </c>
      <c r="E222" s="126">
        <v>1</v>
      </c>
      <c r="F222" s="127" t="s">
        <v>197</v>
      </c>
      <c r="G222" s="127" t="s">
        <v>198</v>
      </c>
      <c r="H222" s="126"/>
      <c r="I222" s="127">
        <v>0</v>
      </c>
      <c r="J222" s="127" t="s">
        <v>1621</v>
      </c>
      <c r="K222" s="127" t="s">
        <v>897</v>
      </c>
      <c r="L222" s="127">
        <v>800</v>
      </c>
      <c r="M222" s="127"/>
      <c r="N222" s="126" t="str">
        <f t="shared" si="20"/>
        <v>StatusDistict(DefenseRatio, 800)</v>
      </c>
      <c r="O222" s="126">
        <v>0</v>
      </c>
      <c r="P222" s="126">
        <v>0</v>
      </c>
      <c r="Q222" s="126"/>
      <c r="R222" s="126" t="b">
        <v>1</v>
      </c>
    </row>
    <row r="223" spans="1:18" s="73" customFormat="1">
      <c r="A223" s="126" t="s">
        <v>1423</v>
      </c>
      <c r="B223" s="126"/>
      <c r="C223" s="126"/>
      <c r="D223" s="126">
        <v>0</v>
      </c>
      <c r="E223" s="126">
        <v>1</v>
      </c>
      <c r="F223" s="127" t="s">
        <v>197</v>
      </c>
      <c r="G223" s="127" t="s">
        <v>198</v>
      </c>
      <c r="H223" s="126"/>
      <c r="I223" s="127">
        <v>0</v>
      </c>
      <c r="J223" s="127" t="s">
        <v>1621</v>
      </c>
      <c r="K223" s="127" t="s">
        <v>897</v>
      </c>
      <c r="L223" s="127">
        <v>1000</v>
      </c>
      <c r="M223" s="127"/>
      <c r="N223" s="126" t="str">
        <f t="shared" si="20"/>
        <v>StatusDistict(DefenseRatio, 1000)</v>
      </c>
      <c r="O223" s="126">
        <v>0</v>
      </c>
      <c r="P223" s="126">
        <v>0</v>
      </c>
      <c r="Q223" s="126"/>
      <c r="R223" s="126" t="b">
        <v>1</v>
      </c>
    </row>
    <row r="224" spans="1:18" s="73" customFormat="1">
      <c r="A224" s="130" t="s">
        <v>1675</v>
      </c>
      <c r="B224" s="130"/>
      <c r="C224" s="130"/>
      <c r="D224" s="130">
        <v>0</v>
      </c>
      <c r="E224" s="130">
        <v>1</v>
      </c>
      <c r="F224" s="131" t="s">
        <v>197</v>
      </c>
      <c r="G224" s="131" t="s">
        <v>198</v>
      </c>
      <c r="H224" s="130"/>
      <c r="I224" s="131">
        <v>0</v>
      </c>
      <c r="J224" s="131" t="s">
        <v>1621</v>
      </c>
      <c r="K224" s="131" t="s">
        <v>867</v>
      </c>
      <c r="L224" s="131">
        <v>50</v>
      </c>
      <c r="M224" s="131"/>
      <c r="N224" s="130" t="str">
        <f t="shared" si="20"/>
        <v>StatusDistict(CriticalRate, 50)</v>
      </c>
      <c r="O224" s="130">
        <v>0</v>
      </c>
      <c r="P224" s="130">
        <v>0</v>
      </c>
      <c r="Q224" s="130"/>
      <c r="R224" s="130" t="b">
        <v>1</v>
      </c>
    </row>
    <row r="225" spans="1:18" s="73" customFormat="1">
      <c r="A225" s="130" t="s">
        <v>1424</v>
      </c>
      <c r="B225" s="130"/>
      <c r="C225" s="130"/>
      <c r="D225" s="130">
        <v>0</v>
      </c>
      <c r="E225" s="130">
        <v>1</v>
      </c>
      <c r="F225" s="131" t="s">
        <v>197</v>
      </c>
      <c r="G225" s="131" t="s">
        <v>198</v>
      </c>
      <c r="H225" s="130"/>
      <c r="I225" s="131">
        <v>0</v>
      </c>
      <c r="J225" s="131" t="s">
        <v>1621</v>
      </c>
      <c r="K225" s="131" t="s">
        <v>867</v>
      </c>
      <c r="L225" s="131">
        <v>100</v>
      </c>
      <c r="M225" s="131"/>
      <c r="N225" s="130" t="str">
        <f t="shared" si="20"/>
        <v>StatusDistict(CriticalRate, 100)</v>
      </c>
      <c r="O225" s="130">
        <v>0</v>
      </c>
      <c r="P225" s="130">
        <v>0</v>
      </c>
      <c r="Q225" s="130"/>
      <c r="R225" s="130" t="b">
        <v>1</v>
      </c>
    </row>
    <row r="226" spans="1:18" s="73" customFormat="1">
      <c r="A226" s="130" t="s">
        <v>1425</v>
      </c>
      <c r="B226" s="130"/>
      <c r="C226" s="130"/>
      <c r="D226" s="130">
        <v>0</v>
      </c>
      <c r="E226" s="130">
        <v>1</v>
      </c>
      <c r="F226" s="131" t="s">
        <v>197</v>
      </c>
      <c r="G226" s="131" t="s">
        <v>198</v>
      </c>
      <c r="H226" s="130"/>
      <c r="I226" s="131">
        <v>0</v>
      </c>
      <c r="J226" s="131" t="s">
        <v>1621</v>
      </c>
      <c r="K226" s="131" t="s">
        <v>867</v>
      </c>
      <c r="L226" s="131">
        <v>150</v>
      </c>
      <c r="M226" s="131"/>
      <c r="N226" s="130" t="str">
        <f t="shared" si="20"/>
        <v>StatusDistict(CriticalRate, 150)</v>
      </c>
      <c r="O226" s="130">
        <v>0</v>
      </c>
      <c r="P226" s="130">
        <v>0</v>
      </c>
      <c r="Q226" s="130"/>
      <c r="R226" s="130" t="b">
        <v>1</v>
      </c>
    </row>
    <row r="227" spans="1:18" s="73" customFormat="1">
      <c r="A227" s="130" t="s">
        <v>1426</v>
      </c>
      <c r="B227" s="130"/>
      <c r="C227" s="130"/>
      <c r="D227" s="130">
        <v>0</v>
      </c>
      <c r="E227" s="130">
        <v>1</v>
      </c>
      <c r="F227" s="131" t="s">
        <v>197</v>
      </c>
      <c r="G227" s="131" t="s">
        <v>198</v>
      </c>
      <c r="H227" s="130"/>
      <c r="I227" s="131">
        <v>0</v>
      </c>
      <c r="J227" s="131" t="s">
        <v>1621</v>
      </c>
      <c r="K227" s="131" t="s">
        <v>867</v>
      </c>
      <c r="L227" s="131">
        <v>200</v>
      </c>
      <c r="M227" s="131"/>
      <c r="N227" s="130" t="str">
        <f t="shared" si="20"/>
        <v>StatusDistict(CriticalRate, 200)</v>
      </c>
      <c r="O227" s="130">
        <v>0</v>
      </c>
      <c r="P227" s="130">
        <v>0</v>
      </c>
      <c r="Q227" s="130"/>
      <c r="R227" s="130" t="b">
        <v>1</v>
      </c>
    </row>
    <row r="228" spans="1:18" s="73" customFormat="1">
      <c r="A228" s="130" t="s">
        <v>1427</v>
      </c>
      <c r="B228" s="130"/>
      <c r="C228" s="130"/>
      <c r="D228" s="130">
        <v>0</v>
      </c>
      <c r="E228" s="130">
        <v>1</v>
      </c>
      <c r="F228" s="131" t="s">
        <v>197</v>
      </c>
      <c r="G228" s="131" t="s">
        <v>198</v>
      </c>
      <c r="H228" s="130"/>
      <c r="I228" s="131">
        <v>0</v>
      </c>
      <c r="J228" s="131" t="s">
        <v>1621</v>
      </c>
      <c r="K228" s="131" t="s">
        <v>867</v>
      </c>
      <c r="L228" s="131">
        <v>250</v>
      </c>
      <c r="M228" s="131"/>
      <c r="N228" s="130" t="str">
        <f t="shared" si="20"/>
        <v>StatusDistict(CriticalRate, 250)</v>
      </c>
      <c r="O228" s="130">
        <v>0</v>
      </c>
      <c r="P228" s="130">
        <v>0</v>
      </c>
      <c r="Q228" s="130"/>
      <c r="R228" s="130" t="b">
        <v>1</v>
      </c>
    </row>
    <row r="229" spans="1:18" s="73" customFormat="1">
      <c r="A229" s="126" t="s">
        <v>3707</v>
      </c>
      <c r="B229" s="126"/>
      <c r="C229" s="126"/>
      <c r="D229" s="126">
        <v>0</v>
      </c>
      <c r="E229" s="126">
        <v>1</v>
      </c>
      <c r="F229" s="127" t="s">
        <v>197</v>
      </c>
      <c r="G229" s="127" t="s">
        <v>198</v>
      </c>
      <c r="H229" s="126"/>
      <c r="I229" s="127">
        <v>0</v>
      </c>
      <c r="J229" s="127" t="s">
        <v>1621</v>
      </c>
      <c r="K229" s="127" t="s">
        <v>926</v>
      </c>
      <c r="L229" s="127">
        <v>150</v>
      </c>
      <c r="M229" s="127"/>
      <c r="N229" s="126" t="str">
        <f t="shared" si="20"/>
        <v>StatusDistict(CriticalDamageRate, 150)</v>
      </c>
      <c r="O229" s="126">
        <v>0</v>
      </c>
      <c r="P229" s="126">
        <v>0</v>
      </c>
      <c r="Q229" s="126"/>
      <c r="R229" s="126" t="b">
        <v>1</v>
      </c>
    </row>
    <row r="230" spans="1:18" s="73" customFormat="1">
      <c r="A230" s="126" t="s">
        <v>1428</v>
      </c>
      <c r="B230" s="126"/>
      <c r="C230" s="126"/>
      <c r="D230" s="126">
        <v>0</v>
      </c>
      <c r="E230" s="126">
        <v>1</v>
      </c>
      <c r="F230" s="127" t="s">
        <v>197</v>
      </c>
      <c r="G230" s="127" t="s">
        <v>198</v>
      </c>
      <c r="H230" s="126"/>
      <c r="I230" s="127">
        <v>0</v>
      </c>
      <c r="J230" s="127" t="s">
        <v>1621</v>
      </c>
      <c r="K230" s="127" t="s">
        <v>926</v>
      </c>
      <c r="L230" s="127">
        <v>300</v>
      </c>
      <c r="M230" s="127"/>
      <c r="N230" s="126" t="str">
        <f t="shared" si="20"/>
        <v>StatusDistict(CriticalDamageRate, 300)</v>
      </c>
      <c r="O230" s="126">
        <v>0</v>
      </c>
      <c r="P230" s="126">
        <v>0</v>
      </c>
      <c r="Q230" s="126"/>
      <c r="R230" s="126" t="b">
        <v>1</v>
      </c>
    </row>
    <row r="231" spans="1:18" s="73" customFormat="1">
      <c r="A231" s="126" t="s">
        <v>4471</v>
      </c>
      <c r="B231" s="126"/>
      <c r="C231" s="126"/>
      <c r="D231" s="126">
        <v>0</v>
      </c>
      <c r="E231" s="126">
        <v>1</v>
      </c>
      <c r="F231" s="127" t="s">
        <v>197</v>
      </c>
      <c r="G231" s="127" t="s">
        <v>198</v>
      </c>
      <c r="H231" s="126"/>
      <c r="I231" s="127">
        <v>0</v>
      </c>
      <c r="J231" s="127" t="s">
        <v>1621</v>
      </c>
      <c r="K231" s="127" t="s">
        <v>926</v>
      </c>
      <c r="L231" s="127">
        <v>450</v>
      </c>
      <c r="M231" s="127"/>
      <c r="N231" s="126" t="str">
        <f t="shared" si="20"/>
        <v>StatusDistict(CriticalDamageRate, 450)</v>
      </c>
      <c r="O231" s="126">
        <v>0</v>
      </c>
      <c r="P231" s="126">
        <v>0</v>
      </c>
      <c r="Q231" s="126"/>
      <c r="R231" s="126" t="b">
        <v>1</v>
      </c>
    </row>
    <row r="232" spans="1:18" s="73" customFormat="1">
      <c r="A232" s="126" t="s">
        <v>1429</v>
      </c>
      <c r="B232" s="126"/>
      <c r="C232" s="126"/>
      <c r="D232" s="126">
        <v>0</v>
      </c>
      <c r="E232" s="126">
        <v>1</v>
      </c>
      <c r="F232" s="127" t="s">
        <v>197</v>
      </c>
      <c r="G232" s="127" t="s">
        <v>198</v>
      </c>
      <c r="H232" s="126"/>
      <c r="I232" s="127">
        <v>0</v>
      </c>
      <c r="J232" s="127" t="s">
        <v>1621</v>
      </c>
      <c r="K232" s="127" t="s">
        <v>926</v>
      </c>
      <c r="L232" s="127">
        <v>600</v>
      </c>
      <c r="M232" s="127"/>
      <c r="N232" s="126" t="str">
        <f t="shared" si="20"/>
        <v>StatusDistict(CriticalDamageRate, 600)</v>
      </c>
      <c r="O232" s="126">
        <v>0</v>
      </c>
      <c r="P232" s="126">
        <v>0</v>
      </c>
      <c r="Q232" s="126"/>
      <c r="R232" s="126" t="b">
        <v>1</v>
      </c>
    </row>
    <row r="233" spans="1:18" s="73" customFormat="1">
      <c r="A233" s="126" t="s">
        <v>1430</v>
      </c>
      <c r="B233" s="126"/>
      <c r="C233" s="126"/>
      <c r="D233" s="126">
        <v>0</v>
      </c>
      <c r="E233" s="126">
        <v>1</v>
      </c>
      <c r="F233" s="127" t="s">
        <v>197</v>
      </c>
      <c r="G233" s="127" t="s">
        <v>198</v>
      </c>
      <c r="H233" s="126"/>
      <c r="I233" s="127">
        <v>0</v>
      </c>
      <c r="J233" s="127" t="s">
        <v>1621</v>
      </c>
      <c r="K233" s="127" t="s">
        <v>926</v>
      </c>
      <c r="L233" s="127">
        <v>750</v>
      </c>
      <c r="M233" s="127"/>
      <c r="N233" s="126" t="str">
        <f t="shared" si="20"/>
        <v>StatusDistict(CriticalDamageRate, 750)</v>
      </c>
      <c r="O233" s="126">
        <v>0</v>
      </c>
      <c r="P233" s="126">
        <v>0</v>
      </c>
      <c r="Q233" s="126"/>
      <c r="R233" s="126" t="b">
        <v>1</v>
      </c>
    </row>
    <row r="234" spans="1:18" s="73" customFormat="1">
      <c r="A234" s="130" t="s">
        <v>4316</v>
      </c>
      <c r="B234" s="130"/>
      <c r="C234" s="130"/>
      <c r="D234" s="130">
        <v>0</v>
      </c>
      <c r="E234" s="130">
        <v>1</v>
      </c>
      <c r="F234" s="131" t="s">
        <v>197</v>
      </c>
      <c r="G234" s="131" t="s">
        <v>198</v>
      </c>
      <c r="H234" s="130"/>
      <c r="I234" s="131">
        <v>0</v>
      </c>
      <c r="J234" s="131" t="s">
        <v>1621</v>
      </c>
      <c r="K234" s="131" t="s">
        <v>918</v>
      </c>
      <c r="L234" s="131">
        <v>100</v>
      </c>
      <c r="M234" s="131"/>
      <c r="N234" s="130" t="str">
        <f t="shared" si="20"/>
        <v>StatusDistict(AttackSpeedRate, 100)</v>
      </c>
      <c r="O234" s="130">
        <v>0</v>
      </c>
      <c r="P234" s="130">
        <v>0</v>
      </c>
      <c r="Q234" s="130"/>
      <c r="R234" s="130" t="b">
        <v>1</v>
      </c>
    </row>
    <row r="235" spans="1:18" s="73" customFormat="1">
      <c r="A235" s="130" t="s">
        <v>1431</v>
      </c>
      <c r="B235" s="130"/>
      <c r="C235" s="130"/>
      <c r="D235" s="130">
        <v>0</v>
      </c>
      <c r="E235" s="130">
        <v>1</v>
      </c>
      <c r="F235" s="131" t="s">
        <v>197</v>
      </c>
      <c r="G235" s="131" t="s">
        <v>198</v>
      </c>
      <c r="H235" s="130"/>
      <c r="I235" s="131">
        <v>0</v>
      </c>
      <c r="J235" s="131" t="s">
        <v>1621</v>
      </c>
      <c r="K235" s="131" t="s">
        <v>918</v>
      </c>
      <c r="L235" s="131">
        <v>150</v>
      </c>
      <c r="M235" s="131"/>
      <c r="N235" s="130" t="str">
        <f t="shared" si="20"/>
        <v>StatusDistict(AttackSpeedRate, 150)</v>
      </c>
      <c r="O235" s="130">
        <v>0</v>
      </c>
      <c r="P235" s="130">
        <v>0</v>
      </c>
      <c r="Q235" s="130"/>
      <c r="R235" s="130" t="b">
        <v>1</v>
      </c>
    </row>
    <row r="236" spans="1:18" s="73" customFormat="1">
      <c r="A236" s="130" t="s">
        <v>1432</v>
      </c>
      <c r="B236" s="130"/>
      <c r="C236" s="130"/>
      <c r="D236" s="130">
        <v>0</v>
      </c>
      <c r="E236" s="130">
        <v>1</v>
      </c>
      <c r="F236" s="131" t="s">
        <v>197</v>
      </c>
      <c r="G236" s="131" t="s">
        <v>198</v>
      </c>
      <c r="H236" s="130"/>
      <c r="I236" s="131">
        <v>0</v>
      </c>
      <c r="J236" s="131" t="s">
        <v>1621</v>
      </c>
      <c r="K236" s="131" t="s">
        <v>918</v>
      </c>
      <c r="L236" s="131">
        <v>200</v>
      </c>
      <c r="M236" s="131"/>
      <c r="N236" s="130" t="str">
        <f t="shared" si="20"/>
        <v>StatusDistict(AttackSpeedRate, 200)</v>
      </c>
      <c r="O236" s="130">
        <v>0</v>
      </c>
      <c r="P236" s="130">
        <v>0</v>
      </c>
      <c r="Q236" s="130"/>
      <c r="R236" s="130" t="b">
        <v>1</v>
      </c>
    </row>
    <row r="237" spans="1:18" s="73" customFormat="1">
      <c r="A237" s="130" t="s">
        <v>1433</v>
      </c>
      <c r="B237" s="130"/>
      <c r="C237" s="130"/>
      <c r="D237" s="130">
        <v>0</v>
      </c>
      <c r="E237" s="130">
        <v>1</v>
      </c>
      <c r="F237" s="131" t="s">
        <v>197</v>
      </c>
      <c r="G237" s="131" t="s">
        <v>198</v>
      </c>
      <c r="H237" s="130"/>
      <c r="I237" s="131">
        <v>0</v>
      </c>
      <c r="J237" s="131" t="s">
        <v>1621</v>
      </c>
      <c r="K237" s="131" t="s">
        <v>918</v>
      </c>
      <c r="L237" s="131">
        <v>250</v>
      </c>
      <c r="M237" s="131"/>
      <c r="N237" s="130" t="str">
        <f t="shared" si="20"/>
        <v>StatusDistict(AttackSpeedRate, 250)</v>
      </c>
      <c r="O237" s="130">
        <v>0</v>
      </c>
      <c r="P237" s="130">
        <v>0</v>
      </c>
      <c r="Q237" s="130"/>
      <c r="R237" s="130" t="b">
        <v>1</v>
      </c>
    </row>
    <row r="238" spans="1:18" s="73" customFormat="1">
      <c r="A238" s="130" t="s">
        <v>1434</v>
      </c>
      <c r="B238" s="130"/>
      <c r="C238" s="130"/>
      <c r="D238" s="130">
        <v>0</v>
      </c>
      <c r="E238" s="130">
        <v>1</v>
      </c>
      <c r="F238" s="131" t="s">
        <v>197</v>
      </c>
      <c r="G238" s="131" t="s">
        <v>198</v>
      </c>
      <c r="H238" s="130"/>
      <c r="I238" s="131">
        <v>0</v>
      </c>
      <c r="J238" s="131" t="s">
        <v>1621</v>
      </c>
      <c r="K238" s="131" t="s">
        <v>918</v>
      </c>
      <c r="L238" s="131">
        <v>300</v>
      </c>
      <c r="M238" s="131"/>
      <c r="N238" s="130" t="str">
        <f t="shared" si="20"/>
        <v>StatusDistict(AttackSpeedRate, 300)</v>
      </c>
      <c r="O238" s="130">
        <v>0</v>
      </c>
      <c r="P238" s="130">
        <v>0</v>
      </c>
      <c r="Q238" s="130"/>
      <c r="R238" s="130" t="b">
        <v>1</v>
      </c>
    </row>
    <row r="239" spans="1:18" s="73" customFormat="1">
      <c r="A239" s="126" t="s">
        <v>1677</v>
      </c>
      <c r="B239" s="126"/>
      <c r="C239" s="126"/>
      <c r="D239" s="126">
        <v>0</v>
      </c>
      <c r="E239" s="126">
        <v>1</v>
      </c>
      <c r="F239" s="127" t="s">
        <v>197</v>
      </c>
      <c r="G239" s="127" t="s">
        <v>198</v>
      </c>
      <c r="H239" s="126"/>
      <c r="I239" s="127">
        <v>0</v>
      </c>
      <c r="J239" s="127" t="s">
        <v>1621</v>
      </c>
      <c r="K239" s="127" t="s">
        <v>870</v>
      </c>
      <c r="L239" s="127">
        <v>100</v>
      </c>
      <c r="M239" s="127"/>
      <c r="N239" s="126" t="str">
        <f t="shared" si="20"/>
        <v>StatusDistict(AccuracyRate, 100)</v>
      </c>
      <c r="O239" s="126">
        <v>0</v>
      </c>
      <c r="P239" s="126">
        <v>0</v>
      </c>
      <c r="Q239" s="126"/>
      <c r="R239" s="126" t="b">
        <v>1</v>
      </c>
    </row>
    <row r="240" spans="1:18" s="73" customFormat="1">
      <c r="A240" s="126" t="s">
        <v>1435</v>
      </c>
      <c r="B240" s="126"/>
      <c r="C240" s="126"/>
      <c r="D240" s="126">
        <v>0</v>
      </c>
      <c r="E240" s="126">
        <v>1</v>
      </c>
      <c r="F240" s="127" t="s">
        <v>197</v>
      </c>
      <c r="G240" s="127" t="s">
        <v>198</v>
      </c>
      <c r="H240" s="126"/>
      <c r="I240" s="127">
        <v>0</v>
      </c>
      <c r="J240" s="127" t="s">
        <v>1621</v>
      </c>
      <c r="K240" s="127" t="s">
        <v>870</v>
      </c>
      <c r="L240" s="127">
        <v>120</v>
      </c>
      <c r="M240" s="127"/>
      <c r="N240" s="126" t="str">
        <f t="shared" si="20"/>
        <v>StatusDistict(AccuracyRate, 120)</v>
      </c>
      <c r="O240" s="126">
        <v>0</v>
      </c>
      <c r="P240" s="126">
        <v>0</v>
      </c>
      <c r="Q240" s="126"/>
      <c r="R240" s="126" t="b">
        <v>1</v>
      </c>
    </row>
    <row r="241" spans="1:18" s="73" customFormat="1">
      <c r="A241" s="126" t="s">
        <v>1436</v>
      </c>
      <c r="B241" s="126"/>
      <c r="C241" s="126"/>
      <c r="D241" s="126">
        <v>0</v>
      </c>
      <c r="E241" s="126">
        <v>1</v>
      </c>
      <c r="F241" s="127" t="s">
        <v>197</v>
      </c>
      <c r="G241" s="127" t="s">
        <v>198</v>
      </c>
      <c r="H241" s="126"/>
      <c r="I241" s="127">
        <v>0</v>
      </c>
      <c r="J241" s="127" t="s">
        <v>1621</v>
      </c>
      <c r="K241" s="127" t="s">
        <v>870</v>
      </c>
      <c r="L241" s="127">
        <v>140</v>
      </c>
      <c r="M241" s="127"/>
      <c r="N241" s="126" t="str">
        <f t="shared" si="20"/>
        <v>StatusDistict(AccuracyRate, 140)</v>
      </c>
      <c r="O241" s="126">
        <v>0</v>
      </c>
      <c r="P241" s="126">
        <v>0</v>
      </c>
      <c r="Q241" s="126"/>
      <c r="R241" s="126" t="b">
        <v>1</v>
      </c>
    </row>
    <row r="242" spans="1:18" s="73" customFormat="1">
      <c r="A242" s="126" t="s">
        <v>1437</v>
      </c>
      <c r="B242" s="126"/>
      <c r="C242" s="126"/>
      <c r="D242" s="126">
        <v>0</v>
      </c>
      <c r="E242" s="126">
        <v>1</v>
      </c>
      <c r="F242" s="127" t="s">
        <v>197</v>
      </c>
      <c r="G242" s="127" t="s">
        <v>198</v>
      </c>
      <c r="H242" s="126"/>
      <c r="I242" s="127">
        <v>0</v>
      </c>
      <c r="J242" s="127" t="s">
        <v>1621</v>
      </c>
      <c r="K242" s="127" t="s">
        <v>870</v>
      </c>
      <c r="L242" s="127">
        <v>160</v>
      </c>
      <c r="M242" s="127"/>
      <c r="N242" s="126" t="str">
        <f t="shared" si="20"/>
        <v>StatusDistict(AccuracyRate, 160)</v>
      </c>
      <c r="O242" s="126">
        <v>0</v>
      </c>
      <c r="P242" s="126">
        <v>0</v>
      </c>
      <c r="Q242" s="126"/>
      <c r="R242" s="126" t="b">
        <v>1</v>
      </c>
    </row>
    <row r="243" spans="1:18" s="73" customFormat="1">
      <c r="A243" s="126" t="s">
        <v>1438</v>
      </c>
      <c r="B243" s="126"/>
      <c r="C243" s="126"/>
      <c r="D243" s="126">
        <v>0</v>
      </c>
      <c r="E243" s="126">
        <v>1</v>
      </c>
      <c r="F243" s="127" t="s">
        <v>197</v>
      </c>
      <c r="G243" s="127" t="s">
        <v>198</v>
      </c>
      <c r="H243" s="126"/>
      <c r="I243" s="127">
        <v>0</v>
      </c>
      <c r="J243" s="127" t="s">
        <v>1621</v>
      </c>
      <c r="K243" s="127" t="s">
        <v>870</v>
      </c>
      <c r="L243" s="127">
        <v>180</v>
      </c>
      <c r="M243" s="127"/>
      <c r="N243" s="126" t="str">
        <f t="shared" si="20"/>
        <v>StatusDistict(AccuracyRate, 180)</v>
      </c>
      <c r="O243" s="126">
        <v>0</v>
      </c>
      <c r="P243" s="126">
        <v>0</v>
      </c>
      <c r="Q243" s="126"/>
      <c r="R243" s="126" t="b">
        <v>1</v>
      </c>
    </row>
    <row r="244" spans="1:18" s="73" customFormat="1">
      <c r="A244" s="130" t="s">
        <v>1678</v>
      </c>
      <c r="B244" s="130"/>
      <c r="C244" s="130"/>
      <c r="D244" s="130">
        <v>0</v>
      </c>
      <c r="E244" s="130">
        <v>1</v>
      </c>
      <c r="F244" s="131" t="s">
        <v>197</v>
      </c>
      <c r="G244" s="131" t="s">
        <v>198</v>
      </c>
      <c r="H244" s="130"/>
      <c r="I244" s="131">
        <v>0</v>
      </c>
      <c r="J244" s="131" t="s">
        <v>1621</v>
      </c>
      <c r="K244" s="131" t="s">
        <v>869</v>
      </c>
      <c r="L244" s="131">
        <v>100</v>
      </c>
      <c r="M244" s="131"/>
      <c r="N244" s="130" t="str">
        <f t="shared" si="20"/>
        <v>StatusDistict(AccuracyDerate, 100)</v>
      </c>
      <c r="O244" s="130">
        <v>0</v>
      </c>
      <c r="P244" s="130">
        <v>0</v>
      </c>
      <c r="Q244" s="130"/>
      <c r="R244" s="130" t="b">
        <v>1</v>
      </c>
    </row>
    <row r="245" spans="1:18" s="73" customFormat="1">
      <c r="A245" s="130" t="s">
        <v>1439</v>
      </c>
      <c r="B245" s="130"/>
      <c r="C245" s="130"/>
      <c r="D245" s="130">
        <v>0</v>
      </c>
      <c r="E245" s="130">
        <v>1</v>
      </c>
      <c r="F245" s="131" t="s">
        <v>197</v>
      </c>
      <c r="G245" s="131" t="s">
        <v>198</v>
      </c>
      <c r="H245" s="130"/>
      <c r="I245" s="131">
        <v>0</v>
      </c>
      <c r="J245" s="131" t="s">
        <v>1621</v>
      </c>
      <c r="K245" s="131" t="s">
        <v>869</v>
      </c>
      <c r="L245" s="131">
        <v>120</v>
      </c>
      <c r="M245" s="131"/>
      <c r="N245" s="130" t="str">
        <f t="shared" si="20"/>
        <v>StatusDistict(AccuracyDerate, 120)</v>
      </c>
      <c r="O245" s="130">
        <v>0</v>
      </c>
      <c r="P245" s="130">
        <v>0</v>
      </c>
      <c r="Q245" s="130"/>
      <c r="R245" s="130" t="b">
        <v>1</v>
      </c>
    </row>
    <row r="246" spans="1:18" s="73" customFormat="1">
      <c r="A246" s="130" t="s">
        <v>5803</v>
      </c>
      <c r="B246" s="130"/>
      <c r="C246" s="130"/>
      <c r="D246" s="130">
        <v>0</v>
      </c>
      <c r="E246" s="130">
        <v>1</v>
      </c>
      <c r="F246" s="131" t="s">
        <v>197</v>
      </c>
      <c r="G246" s="131" t="s">
        <v>198</v>
      </c>
      <c r="H246" s="130"/>
      <c r="I246" s="131">
        <v>0</v>
      </c>
      <c r="J246" s="131" t="s">
        <v>1621</v>
      </c>
      <c r="K246" s="131" t="s">
        <v>869</v>
      </c>
      <c r="L246" s="131">
        <v>140</v>
      </c>
      <c r="M246" s="131"/>
      <c r="N246" s="130" t="str">
        <f t="shared" si="20"/>
        <v>StatusDistict(AccuracyDerate, 140)</v>
      </c>
      <c r="O246" s="130">
        <v>0</v>
      </c>
      <c r="P246" s="130">
        <v>0</v>
      </c>
      <c r="Q246" s="130"/>
      <c r="R246" s="130" t="b">
        <v>1</v>
      </c>
    </row>
    <row r="247" spans="1:18" s="73" customFormat="1">
      <c r="A247" s="130" t="s">
        <v>1441</v>
      </c>
      <c r="B247" s="130"/>
      <c r="C247" s="130"/>
      <c r="D247" s="130">
        <v>0</v>
      </c>
      <c r="E247" s="130">
        <v>1</v>
      </c>
      <c r="F247" s="131" t="s">
        <v>197</v>
      </c>
      <c r="G247" s="131" t="s">
        <v>198</v>
      </c>
      <c r="H247" s="130"/>
      <c r="I247" s="131">
        <v>0</v>
      </c>
      <c r="J247" s="131" t="s">
        <v>1621</v>
      </c>
      <c r="K247" s="131" t="s">
        <v>869</v>
      </c>
      <c r="L247" s="131">
        <v>160</v>
      </c>
      <c r="M247" s="131"/>
      <c r="N247" s="130" t="str">
        <f t="shared" si="20"/>
        <v>StatusDistict(AccuracyDerate, 160)</v>
      </c>
      <c r="O247" s="130">
        <v>0</v>
      </c>
      <c r="P247" s="130">
        <v>0</v>
      </c>
      <c r="Q247" s="130"/>
      <c r="R247" s="130" t="b">
        <v>1</v>
      </c>
    </row>
    <row r="248" spans="1:18" s="73" customFormat="1">
      <c r="A248" s="130" t="s">
        <v>1442</v>
      </c>
      <c r="B248" s="130"/>
      <c r="C248" s="130"/>
      <c r="D248" s="130">
        <v>0</v>
      </c>
      <c r="E248" s="130">
        <v>1</v>
      </c>
      <c r="F248" s="131" t="s">
        <v>197</v>
      </c>
      <c r="G248" s="131" t="s">
        <v>198</v>
      </c>
      <c r="H248" s="130"/>
      <c r="I248" s="131">
        <v>0</v>
      </c>
      <c r="J248" s="131" t="s">
        <v>1621</v>
      </c>
      <c r="K248" s="131" t="s">
        <v>869</v>
      </c>
      <c r="L248" s="131">
        <v>180</v>
      </c>
      <c r="M248" s="131"/>
      <c r="N248" s="130" t="str">
        <f t="shared" si="20"/>
        <v>StatusDistict(AccuracyDerate, 180)</v>
      </c>
      <c r="O248" s="130">
        <v>0</v>
      </c>
      <c r="P248" s="130">
        <v>0</v>
      </c>
      <c r="Q248" s="130"/>
      <c r="R248" s="130" t="b">
        <v>1</v>
      </c>
    </row>
    <row r="249" spans="1:18" s="73" customFormat="1">
      <c r="A249" s="126" t="s">
        <v>1679</v>
      </c>
      <c r="B249" s="126"/>
      <c r="C249" s="126"/>
      <c r="D249" s="126">
        <v>0</v>
      </c>
      <c r="E249" s="126">
        <v>1</v>
      </c>
      <c r="F249" s="127" t="s">
        <v>197</v>
      </c>
      <c r="G249" s="127" t="s">
        <v>198</v>
      </c>
      <c r="H249" s="126"/>
      <c r="I249" s="127">
        <v>0</v>
      </c>
      <c r="J249" s="127" t="s">
        <v>1621</v>
      </c>
      <c r="K249" s="127" t="s">
        <v>3535</v>
      </c>
      <c r="L249" s="127">
        <v>200</v>
      </c>
      <c r="M249" s="127"/>
      <c r="N249" s="126" t="str">
        <f t="shared" si="20"/>
        <v>StatusDistict(DamageRate, 200)</v>
      </c>
      <c r="O249" s="126">
        <v>0</v>
      </c>
      <c r="P249" s="126">
        <v>0</v>
      </c>
      <c r="Q249" s="126"/>
      <c r="R249" s="126" t="b">
        <v>1</v>
      </c>
    </row>
    <row r="250" spans="1:18" s="73" customFormat="1">
      <c r="A250" s="126" t="s">
        <v>1443</v>
      </c>
      <c r="B250" s="126"/>
      <c r="C250" s="126"/>
      <c r="D250" s="126">
        <v>0</v>
      </c>
      <c r="E250" s="126">
        <v>1</v>
      </c>
      <c r="F250" s="127" t="s">
        <v>197</v>
      </c>
      <c r="G250" s="127" t="s">
        <v>198</v>
      </c>
      <c r="H250" s="126"/>
      <c r="I250" s="127">
        <v>0</v>
      </c>
      <c r="J250" s="127" t="s">
        <v>1621</v>
      </c>
      <c r="K250" s="127" t="s">
        <v>905</v>
      </c>
      <c r="L250" s="127">
        <v>250</v>
      </c>
      <c r="M250" s="127"/>
      <c r="N250" s="126" t="str">
        <f t="shared" si="20"/>
        <v>StatusDistict(DamageRate, 250)</v>
      </c>
      <c r="O250" s="126">
        <v>0</v>
      </c>
      <c r="P250" s="126">
        <v>0</v>
      </c>
      <c r="Q250" s="126"/>
      <c r="R250" s="126" t="b">
        <v>1</v>
      </c>
    </row>
    <row r="251" spans="1:18" s="73" customFormat="1">
      <c r="A251" s="126" t="s">
        <v>1444</v>
      </c>
      <c r="B251" s="126"/>
      <c r="C251" s="126"/>
      <c r="D251" s="126">
        <v>0</v>
      </c>
      <c r="E251" s="126">
        <v>1</v>
      </c>
      <c r="F251" s="127" t="s">
        <v>197</v>
      </c>
      <c r="G251" s="127" t="s">
        <v>198</v>
      </c>
      <c r="H251" s="126"/>
      <c r="I251" s="127">
        <v>0</v>
      </c>
      <c r="J251" s="127" t="s">
        <v>1621</v>
      </c>
      <c r="K251" s="127" t="s">
        <v>905</v>
      </c>
      <c r="L251" s="127">
        <v>300</v>
      </c>
      <c r="M251" s="127"/>
      <c r="N251" s="126" t="str">
        <f t="shared" si="20"/>
        <v>StatusDistict(DamageRate, 300)</v>
      </c>
      <c r="O251" s="126">
        <v>0</v>
      </c>
      <c r="P251" s="126">
        <v>0</v>
      </c>
      <c r="Q251" s="126"/>
      <c r="R251" s="126" t="b">
        <v>1</v>
      </c>
    </row>
    <row r="252" spans="1:18" s="73" customFormat="1">
      <c r="A252" s="126" t="s">
        <v>1445</v>
      </c>
      <c r="B252" s="126"/>
      <c r="C252" s="126"/>
      <c r="D252" s="126">
        <v>0</v>
      </c>
      <c r="E252" s="126">
        <v>1</v>
      </c>
      <c r="F252" s="127" t="s">
        <v>197</v>
      </c>
      <c r="G252" s="127" t="s">
        <v>198</v>
      </c>
      <c r="H252" s="126"/>
      <c r="I252" s="127">
        <v>0</v>
      </c>
      <c r="J252" s="127" t="s">
        <v>1621</v>
      </c>
      <c r="K252" s="127" t="s">
        <v>905</v>
      </c>
      <c r="L252" s="127">
        <v>350</v>
      </c>
      <c r="M252" s="127"/>
      <c r="N252" s="126" t="str">
        <f t="shared" si="20"/>
        <v>StatusDistict(DamageRate, 350)</v>
      </c>
      <c r="O252" s="126">
        <v>0</v>
      </c>
      <c r="P252" s="126">
        <v>0</v>
      </c>
      <c r="Q252" s="126"/>
      <c r="R252" s="126" t="b">
        <v>1</v>
      </c>
    </row>
    <row r="253" spans="1:18" s="73" customFormat="1">
      <c r="A253" s="126" t="s">
        <v>1446</v>
      </c>
      <c r="B253" s="126"/>
      <c r="C253" s="126"/>
      <c r="D253" s="126">
        <v>0</v>
      </c>
      <c r="E253" s="126">
        <v>1</v>
      </c>
      <c r="F253" s="127" t="s">
        <v>197</v>
      </c>
      <c r="G253" s="127" t="s">
        <v>198</v>
      </c>
      <c r="H253" s="126"/>
      <c r="I253" s="127">
        <v>0</v>
      </c>
      <c r="J253" s="127" t="s">
        <v>1621</v>
      </c>
      <c r="K253" s="127" t="s">
        <v>905</v>
      </c>
      <c r="L253" s="127">
        <v>400</v>
      </c>
      <c r="M253" s="127"/>
      <c r="N253" s="126" t="str">
        <f t="shared" si="20"/>
        <v>StatusDistict(DamageRate, 400)</v>
      </c>
      <c r="O253" s="126">
        <v>0</v>
      </c>
      <c r="P253" s="126">
        <v>0</v>
      </c>
      <c r="Q253" s="126"/>
      <c r="R253" s="126" t="b">
        <v>1</v>
      </c>
    </row>
    <row r="254" spans="1:18" s="73" customFormat="1">
      <c r="A254" s="130" t="s">
        <v>3979</v>
      </c>
      <c r="B254" s="130"/>
      <c r="C254" s="130"/>
      <c r="D254" s="130">
        <v>0</v>
      </c>
      <c r="E254" s="130">
        <v>1</v>
      </c>
      <c r="F254" s="131" t="s">
        <v>197</v>
      </c>
      <c r="G254" s="131" t="s">
        <v>198</v>
      </c>
      <c r="H254" s="130"/>
      <c r="I254" s="131">
        <v>0</v>
      </c>
      <c r="J254" s="131" t="s">
        <v>1621</v>
      </c>
      <c r="K254" s="131" t="s">
        <v>1614</v>
      </c>
      <c r="L254" s="131">
        <v>100</v>
      </c>
      <c r="M254" s="131"/>
      <c r="N254" s="130" t="str">
        <f t="shared" si="20"/>
        <v>StatusDistict(SingleAreaDamageRate, 100)</v>
      </c>
      <c r="O254" s="130">
        <v>0</v>
      </c>
      <c r="P254" s="130">
        <v>0</v>
      </c>
      <c r="Q254" s="130"/>
      <c r="R254" s="130" t="b">
        <v>1</v>
      </c>
    </row>
    <row r="255" spans="1:18" s="73" customFormat="1">
      <c r="A255" s="130" t="s">
        <v>1447</v>
      </c>
      <c r="B255" s="130"/>
      <c r="C255" s="130"/>
      <c r="D255" s="130">
        <v>0</v>
      </c>
      <c r="E255" s="130">
        <v>1</v>
      </c>
      <c r="F255" s="131" t="s">
        <v>197</v>
      </c>
      <c r="G255" s="131" t="s">
        <v>198</v>
      </c>
      <c r="H255" s="130"/>
      <c r="I255" s="131">
        <v>0</v>
      </c>
      <c r="J255" s="131" t="s">
        <v>1621</v>
      </c>
      <c r="K255" s="131" t="s">
        <v>1614</v>
      </c>
      <c r="L255" s="131">
        <v>200</v>
      </c>
      <c r="M255" s="131"/>
      <c r="N255" s="130" t="str">
        <f t="shared" si="20"/>
        <v>StatusDistict(SingleAreaDamageRate, 200)</v>
      </c>
      <c r="O255" s="130">
        <v>0</v>
      </c>
      <c r="P255" s="130">
        <v>0</v>
      </c>
      <c r="Q255" s="130"/>
      <c r="R255" s="130" t="b">
        <v>1</v>
      </c>
    </row>
    <row r="256" spans="1:18" s="73" customFormat="1">
      <c r="A256" s="130" t="s">
        <v>1448</v>
      </c>
      <c r="B256" s="130"/>
      <c r="C256" s="130"/>
      <c r="D256" s="130">
        <v>0</v>
      </c>
      <c r="E256" s="130">
        <v>1</v>
      </c>
      <c r="F256" s="131" t="s">
        <v>197</v>
      </c>
      <c r="G256" s="131" t="s">
        <v>198</v>
      </c>
      <c r="H256" s="130"/>
      <c r="I256" s="131">
        <v>0</v>
      </c>
      <c r="J256" s="131" t="s">
        <v>1621</v>
      </c>
      <c r="K256" s="131" t="s">
        <v>1614</v>
      </c>
      <c r="L256" s="131">
        <v>300</v>
      </c>
      <c r="M256" s="131"/>
      <c r="N256" s="130" t="str">
        <f t="shared" si="20"/>
        <v>StatusDistict(SingleAreaDamageRate, 300)</v>
      </c>
      <c r="O256" s="130">
        <v>0</v>
      </c>
      <c r="P256" s="130">
        <v>0</v>
      </c>
      <c r="Q256" s="130"/>
      <c r="R256" s="130" t="b">
        <v>1</v>
      </c>
    </row>
    <row r="257" spans="1:18" s="73" customFormat="1">
      <c r="A257" s="130" t="s">
        <v>1449</v>
      </c>
      <c r="B257" s="130"/>
      <c r="C257" s="130"/>
      <c r="D257" s="130">
        <v>0</v>
      </c>
      <c r="E257" s="130">
        <v>1</v>
      </c>
      <c r="F257" s="131" t="s">
        <v>197</v>
      </c>
      <c r="G257" s="131" t="s">
        <v>198</v>
      </c>
      <c r="H257" s="130"/>
      <c r="I257" s="131">
        <v>0</v>
      </c>
      <c r="J257" s="131" t="s">
        <v>1621</v>
      </c>
      <c r="K257" s="131" t="s">
        <v>1614</v>
      </c>
      <c r="L257" s="131">
        <v>400</v>
      </c>
      <c r="M257" s="131"/>
      <c r="N257" s="130" t="str">
        <f t="shared" si="20"/>
        <v>StatusDistict(SingleAreaDamageRate, 400)</v>
      </c>
      <c r="O257" s="130">
        <v>0</v>
      </c>
      <c r="P257" s="130">
        <v>0</v>
      </c>
      <c r="Q257" s="130"/>
      <c r="R257" s="130" t="b">
        <v>1</v>
      </c>
    </row>
    <row r="258" spans="1:18" s="73" customFormat="1">
      <c r="A258" s="130" t="s">
        <v>1450</v>
      </c>
      <c r="B258" s="130"/>
      <c r="C258" s="130"/>
      <c r="D258" s="130">
        <v>0</v>
      </c>
      <c r="E258" s="130">
        <v>1</v>
      </c>
      <c r="F258" s="131" t="s">
        <v>197</v>
      </c>
      <c r="G258" s="131" t="s">
        <v>198</v>
      </c>
      <c r="H258" s="130"/>
      <c r="I258" s="131">
        <v>0</v>
      </c>
      <c r="J258" s="131" t="s">
        <v>1621</v>
      </c>
      <c r="K258" s="131" t="s">
        <v>1614</v>
      </c>
      <c r="L258" s="131">
        <v>500</v>
      </c>
      <c r="M258" s="131"/>
      <c r="N258" s="130" t="str">
        <f t="shared" si="20"/>
        <v>StatusDistict(SingleAreaDamageRate, 500)</v>
      </c>
      <c r="O258" s="130">
        <v>0</v>
      </c>
      <c r="P258" s="130">
        <v>0</v>
      </c>
      <c r="Q258" s="130"/>
      <c r="R258" s="130" t="b">
        <v>1</v>
      </c>
    </row>
    <row r="259" spans="1:18" s="73" customFormat="1">
      <c r="A259" s="126" t="s">
        <v>1680</v>
      </c>
      <c r="B259" s="126"/>
      <c r="C259" s="126"/>
      <c r="D259" s="126">
        <v>0</v>
      </c>
      <c r="E259" s="126">
        <v>1</v>
      </c>
      <c r="F259" s="127" t="s">
        <v>197</v>
      </c>
      <c r="G259" s="127" t="s">
        <v>198</v>
      </c>
      <c r="H259" s="126"/>
      <c r="I259" s="127">
        <v>0</v>
      </c>
      <c r="J259" s="127" t="s">
        <v>1621</v>
      </c>
      <c r="K259" s="127" t="s">
        <v>935</v>
      </c>
      <c r="L259" s="127">
        <v>200</v>
      </c>
      <c r="M259" s="127"/>
      <c r="N259" s="126" t="str">
        <f t="shared" si="20"/>
        <v>StatusDistict(AreaDamageRate, 200)</v>
      </c>
      <c r="O259" s="126">
        <v>0</v>
      </c>
      <c r="P259" s="126">
        <v>0</v>
      </c>
      <c r="Q259" s="126"/>
      <c r="R259" s="126" t="b">
        <v>1</v>
      </c>
    </row>
    <row r="260" spans="1:18" s="73" customFormat="1">
      <c r="A260" s="126" t="s">
        <v>1451</v>
      </c>
      <c r="B260" s="126"/>
      <c r="C260" s="126"/>
      <c r="D260" s="126">
        <v>0</v>
      </c>
      <c r="E260" s="126">
        <v>1</v>
      </c>
      <c r="F260" s="127" t="s">
        <v>197</v>
      </c>
      <c r="G260" s="127" t="s">
        <v>198</v>
      </c>
      <c r="H260" s="126"/>
      <c r="I260" s="127">
        <v>0</v>
      </c>
      <c r="J260" s="127" t="s">
        <v>1621</v>
      </c>
      <c r="K260" s="127" t="s">
        <v>935</v>
      </c>
      <c r="L260" s="127">
        <v>250</v>
      </c>
      <c r="M260" s="127"/>
      <c r="N260" s="126" t="str">
        <f t="shared" si="20"/>
        <v>StatusDistict(AreaDamageRate, 250)</v>
      </c>
      <c r="O260" s="126">
        <v>0</v>
      </c>
      <c r="P260" s="126">
        <v>0</v>
      </c>
      <c r="Q260" s="126"/>
      <c r="R260" s="126" t="b">
        <v>1</v>
      </c>
    </row>
    <row r="261" spans="1:18" s="73" customFormat="1">
      <c r="A261" s="126" t="s">
        <v>1452</v>
      </c>
      <c r="B261" s="126"/>
      <c r="C261" s="126"/>
      <c r="D261" s="126">
        <v>0</v>
      </c>
      <c r="E261" s="126">
        <v>1</v>
      </c>
      <c r="F261" s="127" t="s">
        <v>197</v>
      </c>
      <c r="G261" s="127" t="s">
        <v>198</v>
      </c>
      <c r="H261" s="126"/>
      <c r="I261" s="127">
        <v>0</v>
      </c>
      <c r="J261" s="127" t="s">
        <v>1621</v>
      </c>
      <c r="K261" s="127" t="s">
        <v>935</v>
      </c>
      <c r="L261" s="127">
        <v>300</v>
      </c>
      <c r="M261" s="127"/>
      <c r="N261" s="126" t="str">
        <f t="shared" si="20"/>
        <v>StatusDistict(AreaDamageRate, 300)</v>
      </c>
      <c r="O261" s="126">
        <v>0</v>
      </c>
      <c r="P261" s="126">
        <v>0</v>
      </c>
      <c r="Q261" s="126"/>
      <c r="R261" s="126" t="b">
        <v>1</v>
      </c>
    </row>
    <row r="262" spans="1:18" s="73" customFormat="1">
      <c r="A262" s="126" t="s">
        <v>1453</v>
      </c>
      <c r="B262" s="126"/>
      <c r="C262" s="126"/>
      <c r="D262" s="126">
        <v>0</v>
      </c>
      <c r="E262" s="126">
        <v>1</v>
      </c>
      <c r="F262" s="127" t="s">
        <v>197</v>
      </c>
      <c r="G262" s="127" t="s">
        <v>198</v>
      </c>
      <c r="H262" s="126"/>
      <c r="I262" s="127">
        <v>0</v>
      </c>
      <c r="J262" s="127" t="s">
        <v>1621</v>
      </c>
      <c r="K262" s="127" t="s">
        <v>935</v>
      </c>
      <c r="L262" s="127">
        <v>350</v>
      </c>
      <c r="M262" s="127"/>
      <c r="N262" s="126" t="str">
        <f t="shared" si="20"/>
        <v>StatusDistict(AreaDamageRate, 350)</v>
      </c>
      <c r="O262" s="126">
        <v>0</v>
      </c>
      <c r="P262" s="126">
        <v>0</v>
      </c>
      <c r="Q262" s="126"/>
      <c r="R262" s="126" t="b">
        <v>1</v>
      </c>
    </row>
    <row r="263" spans="1:18" s="73" customFormat="1">
      <c r="A263" s="126" t="s">
        <v>1454</v>
      </c>
      <c r="B263" s="126"/>
      <c r="C263" s="126"/>
      <c r="D263" s="126">
        <v>0</v>
      </c>
      <c r="E263" s="126">
        <v>1</v>
      </c>
      <c r="F263" s="127" t="s">
        <v>197</v>
      </c>
      <c r="G263" s="127" t="s">
        <v>198</v>
      </c>
      <c r="H263" s="126"/>
      <c r="I263" s="127">
        <v>0</v>
      </c>
      <c r="J263" s="127" t="s">
        <v>1621</v>
      </c>
      <c r="K263" s="127" t="s">
        <v>935</v>
      </c>
      <c r="L263" s="127">
        <v>400</v>
      </c>
      <c r="M263" s="127"/>
      <c r="N263" s="126" t="str">
        <f t="shared" si="20"/>
        <v>StatusDistict(AreaDamageRate, 400)</v>
      </c>
      <c r="O263" s="126">
        <v>0</v>
      </c>
      <c r="P263" s="126">
        <v>0</v>
      </c>
      <c r="Q263" s="126"/>
      <c r="R263" s="126" t="b">
        <v>1</v>
      </c>
    </row>
    <row r="264" spans="1:18" s="73" customFormat="1">
      <c r="A264" s="130" t="s">
        <v>1681</v>
      </c>
      <c r="B264" s="130"/>
      <c r="C264" s="130"/>
      <c r="D264" s="130">
        <v>0</v>
      </c>
      <c r="E264" s="130">
        <v>1</v>
      </c>
      <c r="F264" s="131" t="s">
        <v>197</v>
      </c>
      <c r="G264" s="131" t="s">
        <v>198</v>
      </c>
      <c r="H264" s="130"/>
      <c r="I264" s="131">
        <v>0</v>
      </c>
      <c r="J264" s="131" t="s">
        <v>1621</v>
      </c>
      <c r="K264" s="131" t="s">
        <v>1615</v>
      </c>
      <c r="L264" s="131">
        <v>200</v>
      </c>
      <c r="M264" s="131"/>
      <c r="N264" s="130" t="str">
        <f t="shared" si="20"/>
        <v>StatusDistict(MeleeDamageRate, 200)</v>
      </c>
      <c r="O264" s="130">
        <v>0</v>
      </c>
      <c r="P264" s="130">
        <v>0</v>
      </c>
      <c r="Q264" s="130"/>
      <c r="R264" s="130" t="b">
        <v>1</v>
      </c>
    </row>
    <row r="265" spans="1:18" s="73" customFormat="1">
      <c r="A265" s="130" t="s">
        <v>1455</v>
      </c>
      <c r="B265" s="130"/>
      <c r="C265" s="130"/>
      <c r="D265" s="130">
        <v>0</v>
      </c>
      <c r="E265" s="130">
        <v>1</v>
      </c>
      <c r="F265" s="131" t="s">
        <v>197</v>
      </c>
      <c r="G265" s="131" t="s">
        <v>198</v>
      </c>
      <c r="H265" s="130"/>
      <c r="I265" s="131">
        <v>0</v>
      </c>
      <c r="J265" s="131" t="s">
        <v>1621</v>
      </c>
      <c r="K265" s="131" t="s">
        <v>1615</v>
      </c>
      <c r="L265" s="131">
        <v>250</v>
      </c>
      <c r="M265" s="131"/>
      <c r="N265" s="130" t="str">
        <f t="shared" si="20"/>
        <v>StatusDistict(MeleeDamageRate, 250)</v>
      </c>
      <c r="O265" s="130">
        <v>0</v>
      </c>
      <c r="P265" s="130">
        <v>0</v>
      </c>
      <c r="Q265" s="130"/>
      <c r="R265" s="130" t="b">
        <v>1</v>
      </c>
    </row>
    <row r="266" spans="1:18" s="73" customFormat="1">
      <c r="A266" s="130" t="s">
        <v>1456</v>
      </c>
      <c r="B266" s="130"/>
      <c r="C266" s="130"/>
      <c r="D266" s="130">
        <v>0</v>
      </c>
      <c r="E266" s="130">
        <v>1</v>
      </c>
      <c r="F266" s="131" t="s">
        <v>197</v>
      </c>
      <c r="G266" s="131" t="s">
        <v>198</v>
      </c>
      <c r="H266" s="130"/>
      <c r="I266" s="131">
        <v>0</v>
      </c>
      <c r="J266" s="131" t="s">
        <v>1621</v>
      </c>
      <c r="K266" s="131" t="s">
        <v>1615</v>
      </c>
      <c r="L266" s="131">
        <v>300</v>
      </c>
      <c r="M266" s="131"/>
      <c r="N266" s="130" t="str">
        <f t="shared" si="20"/>
        <v>StatusDistict(MeleeDamageRate, 300)</v>
      </c>
      <c r="O266" s="130">
        <v>0</v>
      </c>
      <c r="P266" s="130">
        <v>0</v>
      </c>
      <c r="Q266" s="130"/>
      <c r="R266" s="130" t="b">
        <v>1</v>
      </c>
    </row>
    <row r="267" spans="1:18" s="73" customFormat="1">
      <c r="A267" s="130" t="s">
        <v>1457</v>
      </c>
      <c r="B267" s="130"/>
      <c r="C267" s="130"/>
      <c r="D267" s="130">
        <v>0</v>
      </c>
      <c r="E267" s="130">
        <v>1</v>
      </c>
      <c r="F267" s="131" t="s">
        <v>197</v>
      </c>
      <c r="G267" s="131" t="s">
        <v>198</v>
      </c>
      <c r="H267" s="130"/>
      <c r="I267" s="131">
        <v>0</v>
      </c>
      <c r="J267" s="131" t="s">
        <v>1621</v>
      </c>
      <c r="K267" s="131" t="s">
        <v>1615</v>
      </c>
      <c r="L267" s="131">
        <v>350</v>
      </c>
      <c r="M267" s="131"/>
      <c r="N267" s="130" t="str">
        <f t="shared" si="20"/>
        <v>StatusDistict(MeleeDamageRate, 350)</v>
      </c>
      <c r="O267" s="130">
        <v>0</v>
      </c>
      <c r="P267" s="130">
        <v>0</v>
      </c>
      <c r="Q267" s="130"/>
      <c r="R267" s="130" t="b">
        <v>1</v>
      </c>
    </row>
    <row r="268" spans="1:18" s="73" customFormat="1">
      <c r="A268" s="130" t="s">
        <v>1458</v>
      </c>
      <c r="B268" s="130"/>
      <c r="C268" s="130"/>
      <c r="D268" s="130">
        <v>0</v>
      </c>
      <c r="E268" s="130">
        <v>1</v>
      </c>
      <c r="F268" s="131" t="s">
        <v>197</v>
      </c>
      <c r="G268" s="131" t="s">
        <v>198</v>
      </c>
      <c r="H268" s="130"/>
      <c r="I268" s="131">
        <v>0</v>
      </c>
      <c r="J268" s="131" t="s">
        <v>1621</v>
      </c>
      <c r="K268" s="131" t="s">
        <v>1615</v>
      </c>
      <c r="L268" s="131">
        <v>400</v>
      </c>
      <c r="M268" s="131"/>
      <c r="N268" s="130" t="str">
        <f t="shared" si="20"/>
        <v>StatusDistict(MeleeDamageRate, 400)</v>
      </c>
      <c r="O268" s="130">
        <v>0</v>
      </c>
      <c r="P268" s="130">
        <v>0</v>
      </c>
      <c r="Q268" s="130"/>
      <c r="R268" s="130" t="b">
        <v>1</v>
      </c>
    </row>
    <row r="269" spans="1:18" s="73" customFormat="1">
      <c r="A269" s="126" t="s">
        <v>1682</v>
      </c>
      <c r="B269" s="126"/>
      <c r="C269" s="126"/>
      <c r="D269" s="126">
        <v>0</v>
      </c>
      <c r="E269" s="126">
        <v>1</v>
      </c>
      <c r="F269" s="127" t="s">
        <v>197</v>
      </c>
      <c r="G269" s="127" t="s">
        <v>198</v>
      </c>
      <c r="H269" s="126"/>
      <c r="I269" s="127">
        <v>0</v>
      </c>
      <c r="J269" s="127" t="s">
        <v>1621</v>
      </c>
      <c r="K269" s="127" t="s">
        <v>1616</v>
      </c>
      <c r="L269" s="127">
        <v>200</v>
      </c>
      <c r="M269" s="127"/>
      <c r="N269" s="126" t="str">
        <f t="shared" si="20"/>
        <v>StatusDistict(RangeDamageRate, 200)</v>
      </c>
      <c r="O269" s="126">
        <v>0</v>
      </c>
      <c r="P269" s="126">
        <v>0</v>
      </c>
      <c r="Q269" s="126"/>
      <c r="R269" s="126" t="b">
        <v>1</v>
      </c>
    </row>
    <row r="270" spans="1:18" s="73" customFormat="1">
      <c r="A270" s="126" t="s">
        <v>1459</v>
      </c>
      <c r="B270" s="126"/>
      <c r="C270" s="126"/>
      <c r="D270" s="126">
        <v>0</v>
      </c>
      <c r="E270" s="126">
        <v>1</v>
      </c>
      <c r="F270" s="127" t="s">
        <v>197</v>
      </c>
      <c r="G270" s="127" t="s">
        <v>198</v>
      </c>
      <c r="H270" s="126"/>
      <c r="I270" s="127">
        <v>0</v>
      </c>
      <c r="J270" s="127" t="s">
        <v>1621</v>
      </c>
      <c r="K270" s="127" t="s">
        <v>1616</v>
      </c>
      <c r="L270" s="127">
        <v>250</v>
      </c>
      <c r="M270" s="127"/>
      <c r="N270" s="126" t="str">
        <f t="shared" si="20"/>
        <v>StatusDistict(RangeDamageRate, 250)</v>
      </c>
      <c r="O270" s="126">
        <v>0</v>
      </c>
      <c r="P270" s="126">
        <v>0</v>
      </c>
      <c r="Q270" s="126"/>
      <c r="R270" s="126" t="b">
        <v>1</v>
      </c>
    </row>
    <row r="271" spans="1:18" s="73" customFormat="1">
      <c r="A271" s="126" t="s">
        <v>1460</v>
      </c>
      <c r="B271" s="126"/>
      <c r="C271" s="126"/>
      <c r="D271" s="126">
        <v>0</v>
      </c>
      <c r="E271" s="126">
        <v>1</v>
      </c>
      <c r="F271" s="127" t="s">
        <v>197</v>
      </c>
      <c r="G271" s="127" t="s">
        <v>198</v>
      </c>
      <c r="H271" s="126"/>
      <c r="I271" s="127">
        <v>0</v>
      </c>
      <c r="J271" s="127" t="s">
        <v>1621</v>
      </c>
      <c r="K271" s="127" t="s">
        <v>1616</v>
      </c>
      <c r="L271" s="127">
        <v>300</v>
      </c>
      <c r="M271" s="127"/>
      <c r="N271" s="126" t="str">
        <f t="shared" si="20"/>
        <v>StatusDistict(RangeDamageRate, 300)</v>
      </c>
      <c r="O271" s="126">
        <v>0</v>
      </c>
      <c r="P271" s="126">
        <v>0</v>
      </c>
      <c r="Q271" s="126"/>
      <c r="R271" s="126" t="b">
        <v>1</v>
      </c>
    </row>
    <row r="272" spans="1:18" s="73" customFormat="1">
      <c r="A272" s="126" t="s">
        <v>1461</v>
      </c>
      <c r="B272" s="126"/>
      <c r="C272" s="126"/>
      <c r="D272" s="126">
        <v>0</v>
      </c>
      <c r="E272" s="126">
        <v>1</v>
      </c>
      <c r="F272" s="127" t="s">
        <v>197</v>
      </c>
      <c r="G272" s="127" t="s">
        <v>198</v>
      </c>
      <c r="H272" s="126"/>
      <c r="I272" s="127">
        <v>0</v>
      </c>
      <c r="J272" s="127" t="s">
        <v>1621</v>
      </c>
      <c r="K272" s="127" t="s">
        <v>1616</v>
      </c>
      <c r="L272" s="127">
        <v>350</v>
      </c>
      <c r="M272" s="127"/>
      <c r="N272" s="126" t="str">
        <f t="shared" si="20"/>
        <v>StatusDistict(RangeDamageRate, 350)</v>
      </c>
      <c r="O272" s="126">
        <v>0</v>
      </c>
      <c r="P272" s="126">
        <v>0</v>
      </c>
      <c r="Q272" s="126"/>
      <c r="R272" s="126" t="b">
        <v>1</v>
      </c>
    </row>
    <row r="273" spans="1:18" s="73" customFormat="1">
      <c r="A273" s="126" t="s">
        <v>1462</v>
      </c>
      <c r="B273" s="126"/>
      <c r="C273" s="126"/>
      <c r="D273" s="126">
        <v>0</v>
      </c>
      <c r="E273" s="126">
        <v>1</v>
      </c>
      <c r="F273" s="127" t="s">
        <v>197</v>
      </c>
      <c r="G273" s="127" t="s">
        <v>198</v>
      </c>
      <c r="H273" s="126"/>
      <c r="I273" s="127">
        <v>0</v>
      </c>
      <c r="J273" s="127" t="s">
        <v>1621</v>
      </c>
      <c r="K273" s="127" t="s">
        <v>1616</v>
      </c>
      <c r="L273" s="127">
        <v>400</v>
      </c>
      <c r="M273" s="127"/>
      <c r="N273" s="126" t="str">
        <f t="shared" si="20"/>
        <v>StatusDistict(RangeDamageRate, 400)</v>
      </c>
      <c r="O273" s="126">
        <v>0</v>
      </c>
      <c r="P273" s="126">
        <v>0</v>
      </c>
      <c r="Q273" s="126"/>
      <c r="R273" s="126" t="b">
        <v>1</v>
      </c>
    </row>
    <row r="274" spans="1:18" s="73" customFormat="1">
      <c r="A274" s="130" t="s">
        <v>1683</v>
      </c>
      <c r="B274" s="130"/>
      <c r="C274" s="130"/>
      <c r="D274" s="130">
        <v>0</v>
      </c>
      <c r="E274" s="130">
        <v>1</v>
      </c>
      <c r="F274" s="131" t="s">
        <v>197</v>
      </c>
      <c r="G274" s="131" t="s">
        <v>198</v>
      </c>
      <c r="H274" s="130"/>
      <c r="I274" s="131">
        <v>0</v>
      </c>
      <c r="J274" s="131" t="s">
        <v>1621</v>
      </c>
      <c r="K274" s="131" t="s">
        <v>5815</v>
      </c>
      <c r="L274" s="131">
        <v>200</v>
      </c>
      <c r="M274" s="131"/>
      <c r="N274" s="130" t="str">
        <f t="shared" si="20"/>
        <v>StatusDistict(DotDamageRate, 200)</v>
      </c>
      <c r="O274" s="130">
        <v>0</v>
      </c>
      <c r="P274" s="130">
        <v>0</v>
      </c>
      <c r="Q274" s="130"/>
      <c r="R274" s="130" t="b">
        <v>1</v>
      </c>
    </row>
    <row r="275" spans="1:18" s="73" customFormat="1">
      <c r="A275" s="130" t="s">
        <v>1463</v>
      </c>
      <c r="B275" s="130"/>
      <c r="C275" s="130"/>
      <c r="D275" s="130">
        <v>0</v>
      </c>
      <c r="E275" s="130">
        <v>1</v>
      </c>
      <c r="F275" s="131" t="s">
        <v>197</v>
      </c>
      <c r="G275" s="131" t="s">
        <v>198</v>
      </c>
      <c r="H275" s="130"/>
      <c r="I275" s="131">
        <v>0</v>
      </c>
      <c r="J275" s="131" t="s">
        <v>1621</v>
      </c>
      <c r="K275" s="131" t="s">
        <v>4090</v>
      </c>
      <c r="L275" s="131">
        <v>250</v>
      </c>
      <c r="M275" s="131"/>
      <c r="N275" s="130" t="str">
        <f t="shared" si="20"/>
        <v>StatusDistict(DotDamageRate, 250)</v>
      </c>
      <c r="O275" s="130">
        <v>0</v>
      </c>
      <c r="P275" s="130">
        <v>0</v>
      </c>
      <c r="Q275" s="130"/>
      <c r="R275" s="130" t="b">
        <v>1</v>
      </c>
    </row>
    <row r="276" spans="1:18" s="73" customFormat="1">
      <c r="A276" s="130" t="s">
        <v>1464</v>
      </c>
      <c r="B276" s="130"/>
      <c r="C276" s="130"/>
      <c r="D276" s="130">
        <v>0</v>
      </c>
      <c r="E276" s="130">
        <v>1</v>
      </c>
      <c r="F276" s="131" t="s">
        <v>197</v>
      </c>
      <c r="G276" s="131" t="s">
        <v>198</v>
      </c>
      <c r="H276" s="130"/>
      <c r="I276" s="131">
        <v>0</v>
      </c>
      <c r="J276" s="131" t="s">
        <v>1621</v>
      </c>
      <c r="K276" s="131" t="s">
        <v>4090</v>
      </c>
      <c r="L276" s="131">
        <v>300</v>
      </c>
      <c r="M276" s="131"/>
      <c r="N276" s="130" t="str">
        <f t="shared" si="20"/>
        <v>StatusDistict(DotDamageRate, 300)</v>
      </c>
      <c r="O276" s="130">
        <v>0</v>
      </c>
      <c r="P276" s="130">
        <v>0</v>
      </c>
      <c r="Q276" s="130"/>
      <c r="R276" s="130" t="b">
        <v>1</v>
      </c>
    </row>
    <row r="277" spans="1:18" s="73" customFormat="1">
      <c r="A277" s="130" t="s">
        <v>1465</v>
      </c>
      <c r="B277" s="130"/>
      <c r="C277" s="130"/>
      <c r="D277" s="130">
        <v>0</v>
      </c>
      <c r="E277" s="130">
        <v>1</v>
      </c>
      <c r="F277" s="131" t="s">
        <v>197</v>
      </c>
      <c r="G277" s="131" t="s">
        <v>198</v>
      </c>
      <c r="H277" s="130"/>
      <c r="I277" s="131">
        <v>0</v>
      </c>
      <c r="J277" s="131" t="s">
        <v>1621</v>
      </c>
      <c r="K277" s="131" t="s">
        <v>4090</v>
      </c>
      <c r="L277" s="131">
        <v>350</v>
      </c>
      <c r="M277" s="131"/>
      <c r="N277" s="130" t="str">
        <f t="shared" si="20"/>
        <v>StatusDistict(DotDamageRate, 350)</v>
      </c>
      <c r="O277" s="130">
        <v>0</v>
      </c>
      <c r="P277" s="130">
        <v>0</v>
      </c>
      <c r="Q277" s="130"/>
      <c r="R277" s="130" t="b">
        <v>1</v>
      </c>
    </row>
    <row r="278" spans="1:18" s="73" customFormat="1">
      <c r="A278" s="130" t="s">
        <v>1466</v>
      </c>
      <c r="B278" s="130"/>
      <c r="C278" s="130"/>
      <c r="D278" s="130">
        <v>0</v>
      </c>
      <c r="E278" s="130">
        <v>1</v>
      </c>
      <c r="F278" s="131" t="s">
        <v>197</v>
      </c>
      <c r="G278" s="131" t="s">
        <v>198</v>
      </c>
      <c r="H278" s="130"/>
      <c r="I278" s="131">
        <v>0</v>
      </c>
      <c r="J278" s="131" t="s">
        <v>1621</v>
      </c>
      <c r="K278" s="131" t="s">
        <v>4090</v>
      </c>
      <c r="L278" s="131">
        <v>400</v>
      </c>
      <c r="M278" s="131"/>
      <c r="N278" s="130" t="str">
        <f t="shared" ref="N278:N371" si="21">J278&amp;"("&amp;IF(K278="","",K278)&amp;IF(L278="","",", "&amp;L278)&amp;IF(M278="","",", "&amp;M278)&amp;")"</f>
        <v>StatusDistict(DotDamageRate, 400)</v>
      </c>
      <c r="O278" s="130">
        <v>0</v>
      </c>
      <c r="P278" s="130">
        <v>0</v>
      </c>
      <c r="Q278" s="130"/>
      <c r="R278" s="130" t="b">
        <v>1</v>
      </c>
    </row>
    <row r="279" spans="1:18" s="73" customFormat="1">
      <c r="A279" s="126" t="s">
        <v>5758</v>
      </c>
      <c r="B279" s="126"/>
      <c r="C279" s="126"/>
      <c r="D279" s="126">
        <v>0</v>
      </c>
      <c r="E279" s="126">
        <v>1</v>
      </c>
      <c r="F279" s="127" t="s">
        <v>197</v>
      </c>
      <c r="G279" s="127" t="s">
        <v>198</v>
      </c>
      <c r="H279" s="126"/>
      <c r="I279" s="127">
        <v>0</v>
      </c>
      <c r="J279" s="127" t="s">
        <v>1621</v>
      </c>
      <c r="K279" s="127" t="s">
        <v>839</v>
      </c>
      <c r="L279" s="127">
        <v>150</v>
      </c>
      <c r="M279" s="127"/>
      <c r="N279" s="126" t="str">
        <f t="shared" si="21"/>
        <v>StatusDistict(DamageDerate, 150)</v>
      </c>
      <c r="O279" s="126">
        <v>0</v>
      </c>
      <c r="P279" s="126">
        <v>0</v>
      </c>
      <c r="Q279" s="126"/>
      <c r="R279" s="126" t="b">
        <v>1</v>
      </c>
    </row>
    <row r="280" spans="1:18" s="73" customFormat="1">
      <c r="A280" s="126" t="s">
        <v>1467</v>
      </c>
      <c r="B280" s="126"/>
      <c r="C280" s="126"/>
      <c r="D280" s="126">
        <v>0</v>
      </c>
      <c r="E280" s="126">
        <v>1</v>
      </c>
      <c r="F280" s="127" t="s">
        <v>197</v>
      </c>
      <c r="G280" s="127" t="s">
        <v>198</v>
      </c>
      <c r="H280" s="126"/>
      <c r="I280" s="127">
        <v>0</v>
      </c>
      <c r="J280" s="127" t="s">
        <v>1621</v>
      </c>
      <c r="K280" s="127" t="s">
        <v>839</v>
      </c>
      <c r="L280" s="127">
        <v>200</v>
      </c>
      <c r="M280" s="127"/>
      <c r="N280" s="126" t="str">
        <f t="shared" si="21"/>
        <v>StatusDistict(DamageDerate, 200)</v>
      </c>
      <c r="O280" s="126">
        <v>0</v>
      </c>
      <c r="P280" s="126">
        <v>0</v>
      </c>
      <c r="Q280" s="126"/>
      <c r="R280" s="126" t="b">
        <v>1</v>
      </c>
    </row>
    <row r="281" spans="1:18" s="73" customFormat="1">
      <c r="A281" s="126" t="s">
        <v>1468</v>
      </c>
      <c r="B281" s="126"/>
      <c r="C281" s="126"/>
      <c r="D281" s="126">
        <v>0</v>
      </c>
      <c r="E281" s="126">
        <v>1</v>
      </c>
      <c r="F281" s="127" t="s">
        <v>197</v>
      </c>
      <c r="G281" s="127" t="s">
        <v>198</v>
      </c>
      <c r="H281" s="126"/>
      <c r="I281" s="127">
        <v>0</v>
      </c>
      <c r="J281" s="127" t="s">
        <v>1621</v>
      </c>
      <c r="K281" s="127" t="s">
        <v>839</v>
      </c>
      <c r="L281" s="127">
        <v>250</v>
      </c>
      <c r="M281" s="127"/>
      <c r="N281" s="126" t="str">
        <f t="shared" si="21"/>
        <v>StatusDistict(DamageDerate, 250)</v>
      </c>
      <c r="O281" s="126">
        <v>0</v>
      </c>
      <c r="P281" s="126">
        <v>0</v>
      </c>
      <c r="Q281" s="126"/>
      <c r="R281" s="126" t="b">
        <v>1</v>
      </c>
    </row>
    <row r="282" spans="1:18" s="73" customFormat="1">
      <c r="A282" s="126" t="s">
        <v>1469</v>
      </c>
      <c r="B282" s="126"/>
      <c r="C282" s="126"/>
      <c r="D282" s="126">
        <v>0</v>
      </c>
      <c r="E282" s="126">
        <v>1</v>
      </c>
      <c r="F282" s="127" t="s">
        <v>197</v>
      </c>
      <c r="G282" s="127" t="s">
        <v>198</v>
      </c>
      <c r="H282" s="126"/>
      <c r="I282" s="127">
        <v>0</v>
      </c>
      <c r="J282" s="127" t="s">
        <v>1621</v>
      </c>
      <c r="K282" s="127" t="s">
        <v>839</v>
      </c>
      <c r="L282" s="127">
        <v>300</v>
      </c>
      <c r="M282" s="127"/>
      <c r="N282" s="126" t="str">
        <f t="shared" si="21"/>
        <v>StatusDistict(DamageDerate, 300)</v>
      </c>
      <c r="O282" s="126">
        <v>0</v>
      </c>
      <c r="P282" s="126">
        <v>0</v>
      </c>
      <c r="Q282" s="126"/>
      <c r="R282" s="126" t="b">
        <v>1</v>
      </c>
    </row>
    <row r="283" spans="1:18" s="73" customFormat="1">
      <c r="A283" s="126" t="s">
        <v>1470</v>
      </c>
      <c r="B283" s="126"/>
      <c r="C283" s="126"/>
      <c r="D283" s="126">
        <v>0</v>
      </c>
      <c r="E283" s="126">
        <v>1</v>
      </c>
      <c r="F283" s="127" t="s">
        <v>197</v>
      </c>
      <c r="G283" s="127" t="s">
        <v>198</v>
      </c>
      <c r="H283" s="126"/>
      <c r="I283" s="127">
        <v>0</v>
      </c>
      <c r="J283" s="127" t="s">
        <v>1621</v>
      </c>
      <c r="K283" s="127" t="s">
        <v>839</v>
      </c>
      <c r="L283" s="127">
        <v>350</v>
      </c>
      <c r="M283" s="127"/>
      <c r="N283" s="126" t="str">
        <f t="shared" si="21"/>
        <v>StatusDistict(DamageDerate, 350)</v>
      </c>
      <c r="O283" s="126">
        <v>0</v>
      </c>
      <c r="P283" s="126">
        <v>0</v>
      </c>
      <c r="Q283" s="126"/>
      <c r="R283" s="126" t="b">
        <v>1</v>
      </c>
    </row>
    <row r="284" spans="1:18" s="73" customFormat="1">
      <c r="A284" s="130" t="s">
        <v>1685</v>
      </c>
      <c r="B284" s="130"/>
      <c r="C284" s="130"/>
      <c r="D284" s="130">
        <v>0</v>
      </c>
      <c r="E284" s="130">
        <v>1</v>
      </c>
      <c r="F284" s="131" t="s">
        <v>197</v>
      </c>
      <c r="G284" s="131" t="s">
        <v>198</v>
      </c>
      <c r="H284" s="130"/>
      <c r="I284" s="131">
        <v>0</v>
      </c>
      <c r="J284" s="131" t="s">
        <v>1621</v>
      </c>
      <c r="K284" s="131" t="s">
        <v>1337</v>
      </c>
      <c r="L284" s="131">
        <v>200</v>
      </c>
      <c r="M284" s="131"/>
      <c r="N284" s="130" t="str">
        <f t="shared" si="21"/>
        <v>StatusDistict(SingleAreaDamageDerate, 200)</v>
      </c>
      <c r="O284" s="130">
        <v>0</v>
      </c>
      <c r="P284" s="130">
        <v>0</v>
      </c>
      <c r="Q284" s="130"/>
      <c r="R284" s="130" t="b">
        <v>1</v>
      </c>
    </row>
    <row r="285" spans="1:18" s="73" customFormat="1">
      <c r="A285" s="130" t="s">
        <v>1471</v>
      </c>
      <c r="B285" s="130"/>
      <c r="C285" s="130"/>
      <c r="D285" s="130">
        <v>0</v>
      </c>
      <c r="E285" s="130">
        <v>1</v>
      </c>
      <c r="F285" s="131" t="s">
        <v>197</v>
      </c>
      <c r="G285" s="131" t="s">
        <v>198</v>
      </c>
      <c r="H285" s="130"/>
      <c r="I285" s="131">
        <v>0</v>
      </c>
      <c r="J285" s="131" t="s">
        <v>1621</v>
      </c>
      <c r="K285" s="131" t="s">
        <v>1337</v>
      </c>
      <c r="L285" s="131">
        <v>250</v>
      </c>
      <c r="M285" s="131"/>
      <c r="N285" s="130" t="str">
        <f t="shared" si="21"/>
        <v>StatusDistict(SingleAreaDamageDerate, 250)</v>
      </c>
      <c r="O285" s="130">
        <v>0</v>
      </c>
      <c r="P285" s="130">
        <v>0</v>
      </c>
      <c r="Q285" s="130"/>
      <c r="R285" s="130" t="b">
        <v>1</v>
      </c>
    </row>
    <row r="286" spans="1:18" s="73" customFormat="1">
      <c r="A286" s="130" t="s">
        <v>1472</v>
      </c>
      <c r="B286" s="130"/>
      <c r="C286" s="130"/>
      <c r="D286" s="130">
        <v>0</v>
      </c>
      <c r="E286" s="130">
        <v>1</v>
      </c>
      <c r="F286" s="131" t="s">
        <v>197</v>
      </c>
      <c r="G286" s="131" t="s">
        <v>198</v>
      </c>
      <c r="H286" s="130"/>
      <c r="I286" s="131">
        <v>0</v>
      </c>
      <c r="J286" s="131" t="s">
        <v>1621</v>
      </c>
      <c r="K286" s="131" t="s">
        <v>1337</v>
      </c>
      <c r="L286" s="131">
        <v>300</v>
      </c>
      <c r="M286" s="131"/>
      <c r="N286" s="130" t="str">
        <f t="shared" si="21"/>
        <v>StatusDistict(SingleAreaDamageDerate, 300)</v>
      </c>
      <c r="O286" s="130">
        <v>0</v>
      </c>
      <c r="P286" s="130">
        <v>0</v>
      </c>
      <c r="Q286" s="130"/>
      <c r="R286" s="130" t="b">
        <v>1</v>
      </c>
    </row>
    <row r="287" spans="1:18" s="73" customFormat="1">
      <c r="A287" s="130" t="s">
        <v>1473</v>
      </c>
      <c r="B287" s="130"/>
      <c r="C287" s="130"/>
      <c r="D287" s="130">
        <v>0</v>
      </c>
      <c r="E287" s="130">
        <v>1</v>
      </c>
      <c r="F287" s="131" t="s">
        <v>197</v>
      </c>
      <c r="G287" s="131" t="s">
        <v>198</v>
      </c>
      <c r="H287" s="130"/>
      <c r="I287" s="131">
        <v>0</v>
      </c>
      <c r="J287" s="131" t="s">
        <v>1621</v>
      </c>
      <c r="K287" s="131" t="s">
        <v>1337</v>
      </c>
      <c r="L287" s="131">
        <v>350</v>
      </c>
      <c r="M287" s="131"/>
      <c r="N287" s="130" t="str">
        <f t="shared" si="21"/>
        <v>StatusDistict(SingleAreaDamageDerate, 350)</v>
      </c>
      <c r="O287" s="130">
        <v>0</v>
      </c>
      <c r="P287" s="130">
        <v>0</v>
      </c>
      <c r="Q287" s="130"/>
      <c r="R287" s="130" t="b">
        <v>1</v>
      </c>
    </row>
    <row r="288" spans="1:18" s="73" customFormat="1">
      <c r="A288" s="130" t="s">
        <v>1474</v>
      </c>
      <c r="B288" s="130"/>
      <c r="C288" s="130"/>
      <c r="D288" s="130">
        <v>0</v>
      </c>
      <c r="E288" s="130">
        <v>1</v>
      </c>
      <c r="F288" s="131" t="s">
        <v>197</v>
      </c>
      <c r="G288" s="131" t="s">
        <v>198</v>
      </c>
      <c r="H288" s="130"/>
      <c r="I288" s="131">
        <v>0</v>
      </c>
      <c r="J288" s="131" t="s">
        <v>1621</v>
      </c>
      <c r="K288" s="131" t="s">
        <v>1337</v>
      </c>
      <c r="L288" s="131">
        <v>400</v>
      </c>
      <c r="M288" s="131"/>
      <c r="N288" s="130" t="str">
        <f t="shared" si="21"/>
        <v>StatusDistict(SingleAreaDamageDerate, 400)</v>
      </c>
      <c r="O288" s="130">
        <v>0</v>
      </c>
      <c r="P288" s="130">
        <v>0</v>
      </c>
      <c r="Q288" s="130"/>
      <c r="R288" s="130" t="b">
        <v>1</v>
      </c>
    </row>
    <row r="289" spans="1:18" s="73" customFormat="1">
      <c r="A289" s="126" t="s">
        <v>1686</v>
      </c>
      <c r="B289" s="126"/>
      <c r="C289" s="126"/>
      <c r="D289" s="126">
        <v>0</v>
      </c>
      <c r="E289" s="126">
        <v>1</v>
      </c>
      <c r="F289" s="127" t="s">
        <v>197</v>
      </c>
      <c r="G289" s="127" t="s">
        <v>198</v>
      </c>
      <c r="H289" s="126"/>
      <c r="I289" s="127">
        <v>0</v>
      </c>
      <c r="J289" s="127" t="s">
        <v>1621</v>
      </c>
      <c r="K289" s="127" t="s">
        <v>1221</v>
      </c>
      <c r="L289" s="127">
        <v>200</v>
      </c>
      <c r="M289" s="127"/>
      <c r="N289" s="126" t="str">
        <f t="shared" si="21"/>
        <v>StatusDistict(AreaDamageDerate, 200)</v>
      </c>
      <c r="O289" s="126">
        <v>0</v>
      </c>
      <c r="P289" s="126">
        <v>0</v>
      </c>
      <c r="Q289" s="126"/>
      <c r="R289" s="126" t="b">
        <v>1</v>
      </c>
    </row>
    <row r="290" spans="1:18" s="73" customFormat="1">
      <c r="A290" s="126" t="s">
        <v>1475</v>
      </c>
      <c r="B290" s="126"/>
      <c r="C290" s="126"/>
      <c r="D290" s="126">
        <v>0</v>
      </c>
      <c r="E290" s="126">
        <v>1</v>
      </c>
      <c r="F290" s="127" t="s">
        <v>197</v>
      </c>
      <c r="G290" s="127" t="s">
        <v>198</v>
      </c>
      <c r="H290" s="126"/>
      <c r="I290" s="127">
        <v>0</v>
      </c>
      <c r="J290" s="127" t="s">
        <v>1621</v>
      </c>
      <c r="K290" s="127" t="s">
        <v>1221</v>
      </c>
      <c r="L290" s="127">
        <v>250</v>
      </c>
      <c r="M290" s="127"/>
      <c r="N290" s="126" t="str">
        <f t="shared" si="21"/>
        <v>StatusDistict(AreaDamageDerate, 250)</v>
      </c>
      <c r="O290" s="126">
        <v>0</v>
      </c>
      <c r="P290" s="126">
        <v>0</v>
      </c>
      <c r="Q290" s="126"/>
      <c r="R290" s="126" t="b">
        <v>1</v>
      </c>
    </row>
    <row r="291" spans="1:18" s="73" customFormat="1">
      <c r="A291" s="126" t="s">
        <v>1476</v>
      </c>
      <c r="B291" s="126"/>
      <c r="C291" s="126"/>
      <c r="D291" s="126">
        <v>0</v>
      </c>
      <c r="E291" s="126">
        <v>1</v>
      </c>
      <c r="F291" s="127" t="s">
        <v>197</v>
      </c>
      <c r="G291" s="127" t="s">
        <v>198</v>
      </c>
      <c r="H291" s="126"/>
      <c r="I291" s="127">
        <v>0</v>
      </c>
      <c r="J291" s="127" t="s">
        <v>1621</v>
      </c>
      <c r="K291" s="127" t="s">
        <v>1221</v>
      </c>
      <c r="L291" s="127">
        <v>300</v>
      </c>
      <c r="M291" s="127"/>
      <c r="N291" s="126" t="str">
        <f t="shared" si="21"/>
        <v>StatusDistict(AreaDamageDerate, 300)</v>
      </c>
      <c r="O291" s="126">
        <v>0</v>
      </c>
      <c r="P291" s="126">
        <v>0</v>
      </c>
      <c r="Q291" s="126"/>
      <c r="R291" s="126" t="b">
        <v>1</v>
      </c>
    </row>
    <row r="292" spans="1:18" s="73" customFormat="1">
      <c r="A292" s="126" t="s">
        <v>1477</v>
      </c>
      <c r="B292" s="126"/>
      <c r="C292" s="126"/>
      <c r="D292" s="126">
        <v>0</v>
      </c>
      <c r="E292" s="126">
        <v>1</v>
      </c>
      <c r="F292" s="127" t="s">
        <v>197</v>
      </c>
      <c r="G292" s="127" t="s">
        <v>198</v>
      </c>
      <c r="H292" s="126"/>
      <c r="I292" s="127">
        <v>0</v>
      </c>
      <c r="J292" s="127" t="s">
        <v>1621</v>
      </c>
      <c r="K292" s="127" t="s">
        <v>1221</v>
      </c>
      <c r="L292" s="127">
        <v>350</v>
      </c>
      <c r="M292" s="127"/>
      <c r="N292" s="126" t="str">
        <f t="shared" si="21"/>
        <v>StatusDistict(AreaDamageDerate, 350)</v>
      </c>
      <c r="O292" s="126">
        <v>0</v>
      </c>
      <c r="P292" s="126">
        <v>0</v>
      </c>
      <c r="Q292" s="126"/>
      <c r="R292" s="126" t="b">
        <v>1</v>
      </c>
    </row>
    <row r="293" spans="1:18" s="73" customFormat="1">
      <c r="A293" s="126" t="s">
        <v>1478</v>
      </c>
      <c r="B293" s="126"/>
      <c r="C293" s="126"/>
      <c r="D293" s="126">
        <v>0</v>
      </c>
      <c r="E293" s="126">
        <v>1</v>
      </c>
      <c r="F293" s="127" t="s">
        <v>197</v>
      </c>
      <c r="G293" s="127" t="s">
        <v>198</v>
      </c>
      <c r="H293" s="126"/>
      <c r="I293" s="127">
        <v>0</v>
      </c>
      <c r="J293" s="127" t="s">
        <v>1621</v>
      </c>
      <c r="K293" s="127" t="s">
        <v>1221</v>
      </c>
      <c r="L293" s="127">
        <v>400</v>
      </c>
      <c r="M293" s="127"/>
      <c r="N293" s="126" t="str">
        <f t="shared" si="21"/>
        <v>StatusDistict(AreaDamageDerate, 400)</v>
      </c>
      <c r="O293" s="126">
        <v>0</v>
      </c>
      <c r="P293" s="126">
        <v>0</v>
      </c>
      <c r="Q293" s="126"/>
      <c r="R293" s="126" t="b">
        <v>1</v>
      </c>
    </row>
    <row r="294" spans="1:18" s="73" customFormat="1">
      <c r="A294" s="130" t="s">
        <v>1687</v>
      </c>
      <c r="B294" s="130"/>
      <c r="C294" s="130"/>
      <c r="D294" s="130">
        <v>0</v>
      </c>
      <c r="E294" s="130">
        <v>1</v>
      </c>
      <c r="F294" s="131" t="s">
        <v>197</v>
      </c>
      <c r="G294" s="131" t="s">
        <v>198</v>
      </c>
      <c r="H294" s="130"/>
      <c r="I294" s="131">
        <v>0</v>
      </c>
      <c r="J294" s="131" t="s">
        <v>1621</v>
      </c>
      <c r="K294" s="131" t="s">
        <v>1363</v>
      </c>
      <c r="L294" s="131">
        <v>200</v>
      </c>
      <c r="M294" s="131"/>
      <c r="N294" s="130" t="str">
        <f t="shared" si="21"/>
        <v>StatusDistict(MeleeDamageDerate, 200)</v>
      </c>
      <c r="O294" s="130">
        <v>0</v>
      </c>
      <c r="P294" s="130">
        <v>0</v>
      </c>
      <c r="Q294" s="130"/>
      <c r="R294" s="130" t="b">
        <v>1</v>
      </c>
    </row>
    <row r="295" spans="1:18" s="73" customFormat="1">
      <c r="A295" s="130" t="s">
        <v>1479</v>
      </c>
      <c r="B295" s="130"/>
      <c r="C295" s="130"/>
      <c r="D295" s="130">
        <v>0</v>
      </c>
      <c r="E295" s="130">
        <v>1</v>
      </c>
      <c r="F295" s="131" t="s">
        <v>197</v>
      </c>
      <c r="G295" s="131" t="s">
        <v>198</v>
      </c>
      <c r="H295" s="130"/>
      <c r="I295" s="131">
        <v>0</v>
      </c>
      <c r="J295" s="131" t="s">
        <v>1621</v>
      </c>
      <c r="K295" s="131" t="s">
        <v>1363</v>
      </c>
      <c r="L295" s="131">
        <v>250</v>
      </c>
      <c r="M295" s="131"/>
      <c r="N295" s="130" t="str">
        <f t="shared" si="21"/>
        <v>StatusDistict(MeleeDamageDerate, 250)</v>
      </c>
      <c r="O295" s="130">
        <v>0</v>
      </c>
      <c r="P295" s="130">
        <v>0</v>
      </c>
      <c r="Q295" s="130"/>
      <c r="R295" s="130" t="b">
        <v>1</v>
      </c>
    </row>
    <row r="296" spans="1:18" s="73" customFormat="1">
      <c r="A296" s="130" t="s">
        <v>1480</v>
      </c>
      <c r="B296" s="130"/>
      <c r="C296" s="130"/>
      <c r="D296" s="130">
        <v>0</v>
      </c>
      <c r="E296" s="130">
        <v>1</v>
      </c>
      <c r="F296" s="131" t="s">
        <v>197</v>
      </c>
      <c r="G296" s="131" t="s">
        <v>198</v>
      </c>
      <c r="H296" s="130"/>
      <c r="I296" s="131">
        <v>0</v>
      </c>
      <c r="J296" s="131" t="s">
        <v>1621</v>
      </c>
      <c r="K296" s="131" t="s">
        <v>1363</v>
      </c>
      <c r="L296" s="131">
        <v>300</v>
      </c>
      <c r="M296" s="131"/>
      <c r="N296" s="130" t="str">
        <f t="shared" si="21"/>
        <v>StatusDistict(MeleeDamageDerate, 300)</v>
      </c>
      <c r="O296" s="130">
        <v>0</v>
      </c>
      <c r="P296" s="130">
        <v>0</v>
      </c>
      <c r="Q296" s="130"/>
      <c r="R296" s="130" t="b">
        <v>1</v>
      </c>
    </row>
    <row r="297" spans="1:18" s="73" customFormat="1">
      <c r="A297" s="130" t="s">
        <v>1481</v>
      </c>
      <c r="B297" s="130"/>
      <c r="C297" s="130"/>
      <c r="D297" s="130">
        <v>0</v>
      </c>
      <c r="E297" s="130">
        <v>1</v>
      </c>
      <c r="F297" s="131" t="s">
        <v>197</v>
      </c>
      <c r="G297" s="131" t="s">
        <v>198</v>
      </c>
      <c r="H297" s="130"/>
      <c r="I297" s="131">
        <v>0</v>
      </c>
      <c r="J297" s="131" t="s">
        <v>1621</v>
      </c>
      <c r="K297" s="131" t="s">
        <v>1363</v>
      </c>
      <c r="L297" s="131">
        <v>350</v>
      </c>
      <c r="M297" s="131"/>
      <c r="N297" s="130" t="str">
        <f t="shared" si="21"/>
        <v>StatusDistict(MeleeDamageDerate, 350)</v>
      </c>
      <c r="O297" s="130">
        <v>0</v>
      </c>
      <c r="P297" s="130">
        <v>0</v>
      </c>
      <c r="Q297" s="130"/>
      <c r="R297" s="130" t="b">
        <v>1</v>
      </c>
    </row>
    <row r="298" spans="1:18" s="73" customFormat="1">
      <c r="A298" s="130" t="s">
        <v>1482</v>
      </c>
      <c r="B298" s="130"/>
      <c r="C298" s="130"/>
      <c r="D298" s="130">
        <v>0</v>
      </c>
      <c r="E298" s="130">
        <v>1</v>
      </c>
      <c r="F298" s="131" t="s">
        <v>197</v>
      </c>
      <c r="G298" s="131" t="s">
        <v>198</v>
      </c>
      <c r="H298" s="130"/>
      <c r="I298" s="131">
        <v>0</v>
      </c>
      <c r="J298" s="131" t="s">
        <v>1621</v>
      </c>
      <c r="K298" s="131" t="s">
        <v>1363</v>
      </c>
      <c r="L298" s="131">
        <v>400</v>
      </c>
      <c r="M298" s="131"/>
      <c r="N298" s="130" t="str">
        <f t="shared" si="21"/>
        <v>StatusDistict(MeleeDamageDerate, 400)</v>
      </c>
      <c r="O298" s="130">
        <v>0</v>
      </c>
      <c r="P298" s="130">
        <v>0</v>
      </c>
      <c r="Q298" s="130"/>
      <c r="R298" s="130" t="b">
        <v>1</v>
      </c>
    </row>
    <row r="299" spans="1:18" s="73" customFormat="1">
      <c r="A299" s="126" t="s">
        <v>1688</v>
      </c>
      <c r="B299" s="126"/>
      <c r="C299" s="126"/>
      <c r="D299" s="126">
        <v>0</v>
      </c>
      <c r="E299" s="126">
        <v>1</v>
      </c>
      <c r="F299" s="127" t="s">
        <v>197</v>
      </c>
      <c r="G299" s="127" t="s">
        <v>198</v>
      </c>
      <c r="H299" s="126"/>
      <c r="I299" s="127">
        <v>0</v>
      </c>
      <c r="J299" s="127" t="s">
        <v>1621</v>
      </c>
      <c r="K299" s="127" t="s">
        <v>904</v>
      </c>
      <c r="L299" s="127">
        <v>200</v>
      </c>
      <c r="M299" s="127"/>
      <c r="N299" s="126" t="str">
        <f t="shared" si="21"/>
        <v>StatusDistict(RangeDamageDerate, 200)</v>
      </c>
      <c r="O299" s="126">
        <v>0</v>
      </c>
      <c r="P299" s="126">
        <v>0</v>
      </c>
      <c r="Q299" s="126"/>
      <c r="R299" s="126" t="b">
        <v>1</v>
      </c>
    </row>
    <row r="300" spans="1:18" s="73" customFormat="1">
      <c r="A300" s="126" t="s">
        <v>1483</v>
      </c>
      <c r="B300" s="126"/>
      <c r="C300" s="126"/>
      <c r="D300" s="126">
        <v>0</v>
      </c>
      <c r="E300" s="126">
        <v>1</v>
      </c>
      <c r="F300" s="127" t="s">
        <v>197</v>
      </c>
      <c r="G300" s="127" t="s">
        <v>198</v>
      </c>
      <c r="H300" s="126"/>
      <c r="I300" s="127">
        <v>0</v>
      </c>
      <c r="J300" s="127" t="s">
        <v>1621</v>
      </c>
      <c r="K300" s="127" t="s">
        <v>904</v>
      </c>
      <c r="L300" s="127">
        <v>250</v>
      </c>
      <c r="M300" s="127"/>
      <c r="N300" s="126" t="str">
        <f t="shared" si="21"/>
        <v>StatusDistict(RangeDamageDerate, 250)</v>
      </c>
      <c r="O300" s="126">
        <v>0</v>
      </c>
      <c r="P300" s="126">
        <v>0</v>
      </c>
      <c r="Q300" s="126"/>
      <c r="R300" s="126" t="b">
        <v>1</v>
      </c>
    </row>
    <row r="301" spans="1:18" s="73" customFormat="1">
      <c r="A301" s="126" t="s">
        <v>1484</v>
      </c>
      <c r="B301" s="126"/>
      <c r="C301" s="126"/>
      <c r="D301" s="126">
        <v>0</v>
      </c>
      <c r="E301" s="126">
        <v>1</v>
      </c>
      <c r="F301" s="127" t="s">
        <v>197</v>
      </c>
      <c r="G301" s="127" t="s">
        <v>198</v>
      </c>
      <c r="H301" s="126"/>
      <c r="I301" s="127">
        <v>0</v>
      </c>
      <c r="J301" s="127" t="s">
        <v>1621</v>
      </c>
      <c r="K301" s="127" t="s">
        <v>904</v>
      </c>
      <c r="L301" s="127">
        <v>300</v>
      </c>
      <c r="M301" s="127"/>
      <c r="N301" s="126" t="str">
        <f t="shared" si="21"/>
        <v>StatusDistict(RangeDamageDerate, 300)</v>
      </c>
      <c r="O301" s="126">
        <v>0</v>
      </c>
      <c r="P301" s="126">
        <v>0</v>
      </c>
      <c r="Q301" s="126"/>
      <c r="R301" s="126" t="b">
        <v>1</v>
      </c>
    </row>
    <row r="302" spans="1:18" s="73" customFormat="1">
      <c r="A302" s="126" t="s">
        <v>1485</v>
      </c>
      <c r="B302" s="126"/>
      <c r="C302" s="126"/>
      <c r="D302" s="126">
        <v>0</v>
      </c>
      <c r="E302" s="126">
        <v>1</v>
      </c>
      <c r="F302" s="127" t="s">
        <v>197</v>
      </c>
      <c r="G302" s="127" t="s">
        <v>198</v>
      </c>
      <c r="H302" s="126"/>
      <c r="I302" s="127">
        <v>0</v>
      </c>
      <c r="J302" s="127" t="s">
        <v>1621</v>
      </c>
      <c r="K302" s="127" t="s">
        <v>904</v>
      </c>
      <c r="L302" s="127">
        <v>350</v>
      </c>
      <c r="M302" s="127"/>
      <c r="N302" s="126" t="str">
        <f t="shared" si="21"/>
        <v>StatusDistict(RangeDamageDerate, 350)</v>
      </c>
      <c r="O302" s="126">
        <v>0</v>
      </c>
      <c r="P302" s="126">
        <v>0</v>
      </c>
      <c r="Q302" s="126"/>
      <c r="R302" s="126" t="b">
        <v>1</v>
      </c>
    </row>
    <row r="303" spans="1:18" s="73" customFormat="1">
      <c r="A303" s="126" t="s">
        <v>1486</v>
      </c>
      <c r="B303" s="126"/>
      <c r="C303" s="126"/>
      <c r="D303" s="126">
        <v>0</v>
      </c>
      <c r="E303" s="126">
        <v>1</v>
      </c>
      <c r="F303" s="127" t="s">
        <v>197</v>
      </c>
      <c r="G303" s="127" t="s">
        <v>198</v>
      </c>
      <c r="H303" s="126"/>
      <c r="I303" s="127">
        <v>0</v>
      </c>
      <c r="J303" s="127" t="s">
        <v>1621</v>
      </c>
      <c r="K303" s="127" t="s">
        <v>904</v>
      </c>
      <c r="L303" s="127">
        <v>400</v>
      </c>
      <c r="M303" s="127"/>
      <c r="N303" s="126" t="str">
        <f t="shared" si="21"/>
        <v>StatusDistict(RangeDamageDerate, 400)</v>
      </c>
      <c r="O303" s="126">
        <v>0</v>
      </c>
      <c r="P303" s="126">
        <v>0</v>
      </c>
      <c r="Q303" s="126"/>
      <c r="R303" s="126" t="b">
        <v>1</v>
      </c>
    </row>
    <row r="304" spans="1:18" s="73" customFormat="1">
      <c r="A304" s="130" t="s">
        <v>1689</v>
      </c>
      <c r="B304" s="130"/>
      <c r="C304" s="130"/>
      <c r="D304" s="130">
        <v>0</v>
      </c>
      <c r="E304" s="130">
        <v>1</v>
      </c>
      <c r="F304" s="131" t="s">
        <v>197</v>
      </c>
      <c r="G304" s="131" t="s">
        <v>198</v>
      </c>
      <c r="H304" s="130"/>
      <c r="I304" s="131">
        <v>0</v>
      </c>
      <c r="J304" s="131" t="s">
        <v>1621</v>
      </c>
      <c r="K304" s="131" t="s">
        <v>839</v>
      </c>
      <c r="L304" s="131">
        <v>200</v>
      </c>
      <c r="M304" s="131"/>
      <c r="N304" s="130" t="str">
        <f t="shared" si="21"/>
        <v>StatusDistict(DamageDerate, 200)</v>
      </c>
      <c r="O304" s="130">
        <v>0</v>
      </c>
      <c r="P304" s="130">
        <v>0</v>
      </c>
      <c r="Q304" s="130"/>
      <c r="R304" s="130" t="b">
        <v>1</v>
      </c>
    </row>
    <row r="305" spans="1:18" s="73" customFormat="1">
      <c r="A305" s="130" t="s">
        <v>1487</v>
      </c>
      <c r="B305" s="130"/>
      <c r="C305" s="130"/>
      <c r="D305" s="130">
        <v>0</v>
      </c>
      <c r="E305" s="130">
        <v>1</v>
      </c>
      <c r="F305" s="131" t="s">
        <v>197</v>
      </c>
      <c r="G305" s="131" t="s">
        <v>198</v>
      </c>
      <c r="H305" s="130"/>
      <c r="I305" s="131">
        <v>0</v>
      </c>
      <c r="J305" s="131" t="s">
        <v>1621</v>
      </c>
      <c r="K305" s="131" t="s">
        <v>839</v>
      </c>
      <c r="L305" s="131">
        <v>250</v>
      </c>
      <c r="M305" s="131"/>
      <c r="N305" s="130" t="str">
        <f t="shared" si="21"/>
        <v>StatusDistict(DamageDerate, 250)</v>
      </c>
      <c r="O305" s="130">
        <v>0</v>
      </c>
      <c r="P305" s="130">
        <v>0</v>
      </c>
      <c r="Q305" s="130"/>
      <c r="R305" s="130" t="b">
        <v>1</v>
      </c>
    </row>
    <row r="306" spans="1:18" s="73" customFormat="1">
      <c r="A306" s="130" t="s">
        <v>1488</v>
      </c>
      <c r="B306" s="130"/>
      <c r="C306" s="130"/>
      <c r="D306" s="130">
        <v>0</v>
      </c>
      <c r="E306" s="130">
        <v>1</v>
      </c>
      <c r="F306" s="131" t="s">
        <v>197</v>
      </c>
      <c r="G306" s="131" t="s">
        <v>198</v>
      </c>
      <c r="H306" s="130"/>
      <c r="I306" s="131">
        <v>0</v>
      </c>
      <c r="J306" s="131" t="s">
        <v>1621</v>
      </c>
      <c r="K306" s="131" t="s">
        <v>839</v>
      </c>
      <c r="L306" s="131">
        <v>300</v>
      </c>
      <c r="M306" s="131"/>
      <c r="N306" s="130" t="str">
        <f t="shared" si="21"/>
        <v>StatusDistict(DamageDerate, 300)</v>
      </c>
      <c r="O306" s="130">
        <v>0</v>
      </c>
      <c r="P306" s="130">
        <v>0</v>
      </c>
      <c r="Q306" s="130"/>
      <c r="R306" s="130" t="b">
        <v>1</v>
      </c>
    </row>
    <row r="307" spans="1:18" s="73" customFormat="1">
      <c r="A307" s="130" t="s">
        <v>1489</v>
      </c>
      <c r="B307" s="130"/>
      <c r="C307" s="130"/>
      <c r="D307" s="130">
        <v>0</v>
      </c>
      <c r="E307" s="130">
        <v>1</v>
      </c>
      <c r="F307" s="131" t="s">
        <v>197</v>
      </c>
      <c r="G307" s="131" t="s">
        <v>198</v>
      </c>
      <c r="H307" s="130"/>
      <c r="I307" s="131">
        <v>0</v>
      </c>
      <c r="J307" s="131" t="s">
        <v>1621</v>
      </c>
      <c r="K307" s="131" t="s">
        <v>839</v>
      </c>
      <c r="L307" s="131">
        <v>350</v>
      </c>
      <c r="M307" s="131"/>
      <c r="N307" s="130" t="str">
        <f t="shared" si="21"/>
        <v>StatusDistict(DamageDerate, 350)</v>
      </c>
      <c r="O307" s="130">
        <v>0</v>
      </c>
      <c r="P307" s="130">
        <v>0</v>
      </c>
      <c r="Q307" s="130"/>
      <c r="R307" s="130" t="b">
        <v>1</v>
      </c>
    </row>
    <row r="308" spans="1:18" s="73" customFormat="1">
      <c r="A308" s="130" t="s">
        <v>1490</v>
      </c>
      <c r="B308" s="130"/>
      <c r="C308" s="130"/>
      <c r="D308" s="130">
        <v>0</v>
      </c>
      <c r="E308" s="130">
        <v>1</v>
      </c>
      <c r="F308" s="131" t="s">
        <v>197</v>
      </c>
      <c r="G308" s="131" t="s">
        <v>198</v>
      </c>
      <c r="H308" s="130"/>
      <c r="I308" s="131">
        <v>0</v>
      </c>
      <c r="J308" s="131" t="s">
        <v>1621</v>
      </c>
      <c r="K308" s="131" t="s">
        <v>839</v>
      </c>
      <c r="L308" s="131">
        <v>400</v>
      </c>
      <c r="M308" s="131"/>
      <c r="N308" s="130" t="str">
        <f t="shared" si="21"/>
        <v>StatusDistict(DamageDerate, 400)</v>
      </c>
      <c r="O308" s="130">
        <v>0</v>
      </c>
      <c r="P308" s="130">
        <v>0</v>
      </c>
      <c r="Q308" s="130"/>
      <c r="R308" s="130" t="b">
        <v>1</v>
      </c>
    </row>
    <row r="309" spans="1:18" s="73" customFormat="1">
      <c r="A309" s="126" t="s">
        <v>1690</v>
      </c>
      <c r="B309" s="126"/>
      <c r="C309" s="126"/>
      <c r="D309" s="126">
        <v>0</v>
      </c>
      <c r="E309" s="126">
        <v>1</v>
      </c>
      <c r="F309" s="127" t="s">
        <v>197</v>
      </c>
      <c r="G309" s="127" t="s">
        <v>198</v>
      </c>
      <c r="H309" s="126"/>
      <c r="I309" s="127">
        <v>0</v>
      </c>
      <c r="J309" s="127" t="s">
        <v>1621</v>
      </c>
      <c r="K309" s="127" t="s">
        <v>871</v>
      </c>
      <c r="L309" s="127">
        <v>120</v>
      </c>
      <c r="M309" s="127"/>
      <c r="N309" s="126" t="str">
        <f t="shared" si="21"/>
        <v>StatusDistict(GuardRate, 120)</v>
      </c>
      <c r="O309" s="126">
        <v>0</v>
      </c>
      <c r="P309" s="126">
        <v>0</v>
      </c>
      <c r="Q309" s="126"/>
      <c r="R309" s="126" t="b">
        <v>1</v>
      </c>
    </row>
    <row r="310" spans="1:18" s="73" customFormat="1">
      <c r="A310" s="126" t="s">
        <v>1491</v>
      </c>
      <c r="B310" s="126"/>
      <c r="C310" s="126"/>
      <c r="D310" s="126">
        <v>0</v>
      </c>
      <c r="E310" s="126">
        <v>1</v>
      </c>
      <c r="F310" s="127" t="s">
        <v>197</v>
      </c>
      <c r="G310" s="127" t="s">
        <v>198</v>
      </c>
      <c r="H310" s="126"/>
      <c r="I310" s="127">
        <v>0</v>
      </c>
      <c r="J310" s="127" t="s">
        <v>1621</v>
      </c>
      <c r="K310" s="127" t="s">
        <v>871</v>
      </c>
      <c r="L310" s="127">
        <v>150</v>
      </c>
      <c r="M310" s="127"/>
      <c r="N310" s="126" t="str">
        <f t="shared" si="21"/>
        <v>StatusDistict(GuardRate, 150)</v>
      </c>
      <c r="O310" s="126">
        <v>0</v>
      </c>
      <c r="P310" s="126">
        <v>0</v>
      </c>
      <c r="Q310" s="126"/>
      <c r="R310" s="126" t="b">
        <v>1</v>
      </c>
    </row>
    <row r="311" spans="1:18" s="73" customFormat="1">
      <c r="A311" s="126" t="s">
        <v>1492</v>
      </c>
      <c r="B311" s="126"/>
      <c r="C311" s="126"/>
      <c r="D311" s="126">
        <v>0</v>
      </c>
      <c r="E311" s="126">
        <v>1</v>
      </c>
      <c r="F311" s="127" t="s">
        <v>197</v>
      </c>
      <c r="G311" s="127" t="s">
        <v>198</v>
      </c>
      <c r="H311" s="126"/>
      <c r="I311" s="127">
        <v>0</v>
      </c>
      <c r="J311" s="127" t="s">
        <v>1621</v>
      </c>
      <c r="K311" s="127" t="s">
        <v>871</v>
      </c>
      <c r="L311" s="127">
        <v>180</v>
      </c>
      <c r="M311" s="127"/>
      <c r="N311" s="126" t="str">
        <f t="shared" si="21"/>
        <v>StatusDistict(GuardRate, 180)</v>
      </c>
      <c r="O311" s="126">
        <v>0</v>
      </c>
      <c r="P311" s="126">
        <v>0</v>
      </c>
      <c r="Q311" s="126"/>
      <c r="R311" s="126" t="b">
        <v>1</v>
      </c>
    </row>
    <row r="312" spans="1:18" s="73" customFormat="1">
      <c r="A312" s="126" t="s">
        <v>1493</v>
      </c>
      <c r="B312" s="126"/>
      <c r="C312" s="126"/>
      <c r="D312" s="126">
        <v>0</v>
      </c>
      <c r="E312" s="126">
        <v>1</v>
      </c>
      <c r="F312" s="127" t="s">
        <v>197</v>
      </c>
      <c r="G312" s="127" t="s">
        <v>198</v>
      </c>
      <c r="H312" s="126"/>
      <c r="I312" s="127">
        <v>0</v>
      </c>
      <c r="J312" s="127" t="s">
        <v>1621</v>
      </c>
      <c r="K312" s="127" t="s">
        <v>871</v>
      </c>
      <c r="L312" s="127">
        <v>210</v>
      </c>
      <c r="M312" s="127"/>
      <c r="N312" s="126" t="str">
        <f t="shared" si="21"/>
        <v>StatusDistict(GuardRate, 210)</v>
      </c>
      <c r="O312" s="126">
        <v>0</v>
      </c>
      <c r="P312" s="126">
        <v>0</v>
      </c>
      <c r="Q312" s="126"/>
      <c r="R312" s="126" t="b">
        <v>1</v>
      </c>
    </row>
    <row r="313" spans="1:18" s="73" customFormat="1">
      <c r="A313" s="126" t="s">
        <v>1494</v>
      </c>
      <c r="B313" s="126"/>
      <c r="C313" s="126"/>
      <c r="D313" s="126">
        <v>0</v>
      </c>
      <c r="E313" s="126">
        <v>1</v>
      </c>
      <c r="F313" s="127" t="s">
        <v>197</v>
      </c>
      <c r="G313" s="127" t="s">
        <v>198</v>
      </c>
      <c r="H313" s="126"/>
      <c r="I313" s="127">
        <v>0</v>
      </c>
      <c r="J313" s="127" t="s">
        <v>1621</v>
      </c>
      <c r="K313" s="127" t="s">
        <v>871</v>
      </c>
      <c r="L313" s="127">
        <v>240</v>
      </c>
      <c r="M313" s="127"/>
      <c r="N313" s="126" t="str">
        <f t="shared" si="21"/>
        <v>StatusDistict(GuardRate, 240)</v>
      </c>
      <c r="O313" s="126">
        <v>0</v>
      </c>
      <c r="P313" s="126">
        <v>0</v>
      </c>
      <c r="Q313" s="126"/>
      <c r="R313" s="126" t="b">
        <v>1</v>
      </c>
    </row>
    <row r="314" spans="1:18" s="73" customFormat="1">
      <c r="A314" s="130" t="s">
        <v>1691</v>
      </c>
      <c r="B314" s="130"/>
      <c r="C314" s="130"/>
      <c r="D314" s="130">
        <v>0</v>
      </c>
      <c r="E314" s="130">
        <v>1</v>
      </c>
      <c r="F314" s="131" t="s">
        <v>197</v>
      </c>
      <c r="G314" s="131" t="s">
        <v>198</v>
      </c>
      <c r="H314" s="130"/>
      <c r="I314" s="131">
        <v>0</v>
      </c>
      <c r="J314" s="131" t="s">
        <v>1621</v>
      </c>
      <c r="K314" s="131" t="s">
        <v>1617</v>
      </c>
      <c r="L314" s="131">
        <v>150</v>
      </c>
      <c r="M314" s="131"/>
      <c r="N314" s="130" t="str">
        <f t="shared" si="21"/>
        <v>StatusDistict(GuardReduceRate, 150)</v>
      </c>
      <c r="O314" s="130">
        <v>0</v>
      </c>
      <c r="P314" s="130">
        <v>0</v>
      </c>
      <c r="Q314" s="130"/>
      <c r="R314" s="130" t="b">
        <v>1</v>
      </c>
    </row>
    <row r="315" spans="1:18" s="73" customFormat="1">
      <c r="A315" s="130" t="s">
        <v>1495</v>
      </c>
      <c r="B315" s="130"/>
      <c r="C315" s="130"/>
      <c r="D315" s="130">
        <v>0</v>
      </c>
      <c r="E315" s="130">
        <v>1</v>
      </c>
      <c r="F315" s="131" t="s">
        <v>197</v>
      </c>
      <c r="G315" s="131" t="s">
        <v>198</v>
      </c>
      <c r="H315" s="130"/>
      <c r="I315" s="131">
        <v>0</v>
      </c>
      <c r="J315" s="131" t="s">
        <v>1621</v>
      </c>
      <c r="K315" s="131" t="s">
        <v>1617</v>
      </c>
      <c r="L315" s="131">
        <v>200</v>
      </c>
      <c r="M315" s="131"/>
      <c r="N315" s="130" t="str">
        <f t="shared" si="21"/>
        <v>StatusDistict(GuardReduceRate, 200)</v>
      </c>
      <c r="O315" s="130">
        <v>0</v>
      </c>
      <c r="P315" s="130">
        <v>0</v>
      </c>
      <c r="Q315" s="130"/>
      <c r="R315" s="130" t="b">
        <v>1</v>
      </c>
    </row>
    <row r="316" spans="1:18" s="73" customFormat="1">
      <c r="A316" s="130" t="s">
        <v>1496</v>
      </c>
      <c r="B316" s="130"/>
      <c r="C316" s="130"/>
      <c r="D316" s="130">
        <v>0</v>
      </c>
      <c r="E316" s="130">
        <v>1</v>
      </c>
      <c r="F316" s="131" t="s">
        <v>197</v>
      </c>
      <c r="G316" s="131" t="s">
        <v>198</v>
      </c>
      <c r="H316" s="130"/>
      <c r="I316" s="131">
        <v>0</v>
      </c>
      <c r="J316" s="131" t="s">
        <v>1621</v>
      </c>
      <c r="K316" s="131" t="s">
        <v>1617</v>
      </c>
      <c r="L316" s="131">
        <v>250</v>
      </c>
      <c r="M316" s="131"/>
      <c r="N316" s="130" t="str">
        <f t="shared" si="21"/>
        <v>StatusDistict(GuardReduceRate, 250)</v>
      </c>
      <c r="O316" s="130">
        <v>0</v>
      </c>
      <c r="P316" s="130">
        <v>0</v>
      </c>
      <c r="Q316" s="130"/>
      <c r="R316" s="130" t="b">
        <v>1</v>
      </c>
    </row>
    <row r="317" spans="1:18" s="73" customFormat="1">
      <c r="A317" s="130" t="s">
        <v>1497</v>
      </c>
      <c r="B317" s="130"/>
      <c r="C317" s="130"/>
      <c r="D317" s="130">
        <v>0</v>
      </c>
      <c r="E317" s="130">
        <v>1</v>
      </c>
      <c r="F317" s="131" t="s">
        <v>197</v>
      </c>
      <c r="G317" s="131" t="s">
        <v>198</v>
      </c>
      <c r="H317" s="130"/>
      <c r="I317" s="131">
        <v>0</v>
      </c>
      <c r="J317" s="131" t="s">
        <v>1621</v>
      </c>
      <c r="K317" s="131" t="s">
        <v>1617</v>
      </c>
      <c r="L317" s="131">
        <v>300</v>
      </c>
      <c r="M317" s="131"/>
      <c r="N317" s="130" t="str">
        <f t="shared" si="21"/>
        <v>StatusDistict(GuardReduceRate, 300)</v>
      </c>
      <c r="O317" s="130">
        <v>0</v>
      </c>
      <c r="P317" s="130">
        <v>0</v>
      </c>
      <c r="Q317" s="130"/>
      <c r="R317" s="130" t="b">
        <v>1</v>
      </c>
    </row>
    <row r="318" spans="1:18" s="73" customFormat="1">
      <c r="A318" s="130" t="s">
        <v>1498</v>
      </c>
      <c r="B318" s="130"/>
      <c r="C318" s="130"/>
      <c r="D318" s="130">
        <v>0</v>
      </c>
      <c r="E318" s="130">
        <v>1</v>
      </c>
      <c r="F318" s="131" t="s">
        <v>197</v>
      </c>
      <c r="G318" s="131" t="s">
        <v>198</v>
      </c>
      <c r="H318" s="130"/>
      <c r="I318" s="131">
        <v>0</v>
      </c>
      <c r="J318" s="131" t="s">
        <v>1621</v>
      </c>
      <c r="K318" s="131" t="s">
        <v>1617</v>
      </c>
      <c r="L318" s="131">
        <v>350</v>
      </c>
      <c r="M318" s="131"/>
      <c r="N318" s="130" t="str">
        <f t="shared" si="21"/>
        <v>StatusDistict(GuardReduceRate, 350)</v>
      </c>
      <c r="O318" s="130">
        <v>0</v>
      </c>
      <c r="P318" s="130">
        <v>0</v>
      </c>
      <c r="Q318" s="130"/>
      <c r="R318" s="130" t="b">
        <v>1</v>
      </c>
    </row>
    <row r="319" spans="1:18" s="73" customFormat="1">
      <c r="A319" s="126" t="s">
        <v>1692</v>
      </c>
      <c r="B319" s="126"/>
      <c r="C319" s="126"/>
      <c r="D319" s="126">
        <v>0</v>
      </c>
      <c r="E319" s="126">
        <v>1</v>
      </c>
      <c r="F319" s="127" t="s">
        <v>197</v>
      </c>
      <c r="G319" s="127" t="s">
        <v>198</v>
      </c>
      <c r="H319" s="126"/>
      <c r="I319" s="127">
        <v>0</v>
      </c>
      <c r="J319" s="127" t="s">
        <v>1621</v>
      </c>
      <c r="K319" s="127" t="s">
        <v>1618</v>
      </c>
      <c r="L319" s="127">
        <v>80</v>
      </c>
      <c r="M319" s="127"/>
      <c r="N319" s="126" t="str">
        <f t="shared" si="21"/>
        <v>StatusDistict(CriticalDerate, 80)</v>
      </c>
      <c r="O319" s="126">
        <v>0</v>
      </c>
      <c r="P319" s="126">
        <v>0</v>
      </c>
      <c r="Q319" s="126"/>
      <c r="R319" s="126" t="b">
        <v>1</v>
      </c>
    </row>
    <row r="320" spans="1:18" s="73" customFormat="1">
      <c r="A320" s="126" t="s">
        <v>1499</v>
      </c>
      <c r="B320" s="126"/>
      <c r="C320" s="126"/>
      <c r="D320" s="126">
        <v>0</v>
      </c>
      <c r="E320" s="126">
        <v>1</v>
      </c>
      <c r="F320" s="127" t="s">
        <v>197</v>
      </c>
      <c r="G320" s="127" t="s">
        <v>198</v>
      </c>
      <c r="H320" s="126"/>
      <c r="I320" s="127">
        <v>0</v>
      </c>
      <c r="J320" s="127" t="s">
        <v>1621</v>
      </c>
      <c r="K320" s="127" t="s">
        <v>1618</v>
      </c>
      <c r="L320" s="127">
        <v>110</v>
      </c>
      <c r="M320" s="127"/>
      <c r="N320" s="126" t="str">
        <f t="shared" si="21"/>
        <v>StatusDistict(CriticalDerate, 110)</v>
      </c>
      <c r="O320" s="126">
        <v>0</v>
      </c>
      <c r="P320" s="126">
        <v>0</v>
      </c>
      <c r="Q320" s="126"/>
      <c r="R320" s="126" t="b">
        <v>1</v>
      </c>
    </row>
    <row r="321" spans="1:18" s="73" customFormat="1">
      <c r="A321" s="126" t="s">
        <v>1500</v>
      </c>
      <c r="B321" s="126"/>
      <c r="C321" s="126"/>
      <c r="D321" s="126">
        <v>0</v>
      </c>
      <c r="E321" s="126">
        <v>1</v>
      </c>
      <c r="F321" s="127" t="s">
        <v>197</v>
      </c>
      <c r="G321" s="127" t="s">
        <v>198</v>
      </c>
      <c r="H321" s="126"/>
      <c r="I321" s="127">
        <v>0</v>
      </c>
      <c r="J321" s="127" t="s">
        <v>1621</v>
      </c>
      <c r="K321" s="127" t="s">
        <v>1619</v>
      </c>
      <c r="L321" s="127">
        <v>140</v>
      </c>
      <c r="M321" s="127"/>
      <c r="N321" s="126" t="str">
        <f t="shared" si="21"/>
        <v>StatusDistict(CriticalDerate, 140)</v>
      </c>
      <c r="O321" s="126">
        <v>0</v>
      </c>
      <c r="P321" s="126">
        <v>0</v>
      </c>
      <c r="Q321" s="126"/>
      <c r="R321" s="126" t="b">
        <v>1</v>
      </c>
    </row>
    <row r="322" spans="1:18" s="73" customFormat="1">
      <c r="A322" s="126" t="s">
        <v>1501</v>
      </c>
      <c r="B322" s="126"/>
      <c r="C322" s="126"/>
      <c r="D322" s="126">
        <v>0</v>
      </c>
      <c r="E322" s="126">
        <v>1</v>
      </c>
      <c r="F322" s="127" t="s">
        <v>197</v>
      </c>
      <c r="G322" s="127" t="s">
        <v>198</v>
      </c>
      <c r="H322" s="126"/>
      <c r="I322" s="127">
        <v>0</v>
      </c>
      <c r="J322" s="127" t="s">
        <v>1621</v>
      </c>
      <c r="K322" s="127" t="s">
        <v>1618</v>
      </c>
      <c r="L322" s="127">
        <v>170</v>
      </c>
      <c r="M322" s="127"/>
      <c r="N322" s="126" t="str">
        <f t="shared" si="21"/>
        <v>StatusDistict(CriticalDerate, 170)</v>
      </c>
      <c r="O322" s="126">
        <v>0</v>
      </c>
      <c r="P322" s="126">
        <v>0</v>
      </c>
      <c r="Q322" s="126"/>
      <c r="R322" s="126" t="b">
        <v>1</v>
      </c>
    </row>
    <row r="323" spans="1:18" s="73" customFormat="1">
      <c r="A323" s="126" t="s">
        <v>1502</v>
      </c>
      <c r="B323" s="126"/>
      <c r="C323" s="126"/>
      <c r="D323" s="126">
        <v>0</v>
      </c>
      <c r="E323" s="126">
        <v>1</v>
      </c>
      <c r="F323" s="127" t="s">
        <v>197</v>
      </c>
      <c r="G323" s="127" t="s">
        <v>198</v>
      </c>
      <c r="H323" s="126"/>
      <c r="I323" s="127">
        <v>0</v>
      </c>
      <c r="J323" s="127" t="s">
        <v>1621</v>
      </c>
      <c r="K323" s="127" t="s">
        <v>1618</v>
      </c>
      <c r="L323" s="127">
        <v>200</v>
      </c>
      <c r="M323" s="127"/>
      <c r="N323" s="126" t="str">
        <f t="shared" si="21"/>
        <v>StatusDistict(CriticalDerate, 200)</v>
      </c>
      <c r="O323" s="126">
        <v>0</v>
      </c>
      <c r="P323" s="126">
        <v>0</v>
      </c>
      <c r="Q323" s="126"/>
      <c r="R323" s="126" t="b">
        <v>1</v>
      </c>
    </row>
    <row r="324" spans="1:18" s="73" customFormat="1">
      <c r="A324" s="130" t="s">
        <v>1693</v>
      </c>
      <c r="B324" s="130"/>
      <c r="C324" s="130"/>
      <c r="D324" s="130">
        <v>0</v>
      </c>
      <c r="E324" s="130">
        <v>1</v>
      </c>
      <c r="F324" s="131" t="s">
        <v>197</v>
      </c>
      <c r="G324" s="131" t="s">
        <v>198</v>
      </c>
      <c r="H324" s="130"/>
      <c r="I324" s="131">
        <v>0</v>
      </c>
      <c r="J324" s="131" t="s">
        <v>1621</v>
      </c>
      <c r="K324" s="131" t="s">
        <v>873</v>
      </c>
      <c r="L324" s="131">
        <v>300</v>
      </c>
      <c r="M324" s="131"/>
      <c r="N324" s="130" t="str">
        <f t="shared" si="21"/>
        <v>StatusDistict(RecoveryRate, 300)</v>
      </c>
      <c r="O324" s="130">
        <v>0</v>
      </c>
      <c r="P324" s="130">
        <v>0</v>
      </c>
      <c r="Q324" s="130"/>
      <c r="R324" s="130" t="b">
        <v>1</v>
      </c>
    </row>
    <row r="325" spans="1:18" s="73" customFormat="1">
      <c r="A325" s="130" t="s">
        <v>1503</v>
      </c>
      <c r="B325" s="130"/>
      <c r="C325" s="130"/>
      <c r="D325" s="130">
        <v>0</v>
      </c>
      <c r="E325" s="130">
        <v>1</v>
      </c>
      <c r="F325" s="131" t="s">
        <v>197</v>
      </c>
      <c r="G325" s="131" t="s">
        <v>198</v>
      </c>
      <c r="H325" s="130"/>
      <c r="I325" s="131">
        <v>0</v>
      </c>
      <c r="J325" s="131" t="s">
        <v>1621</v>
      </c>
      <c r="K325" s="131" t="s">
        <v>873</v>
      </c>
      <c r="L325" s="131">
        <v>350</v>
      </c>
      <c r="M325" s="131"/>
      <c r="N325" s="130" t="str">
        <f t="shared" si="21"/>
        <v>StatusDistict(RecoveryRate, 350)</v>
      </c>
      <c r="O325" s="130">
        <v>0</v>
      </c>
      <c r="P325" s="130">
        <v>0</v>
      </c>
      <c r="Q325" s="130"/>
      <c r="R325" s="130" t="b">
        <v>1</v>
      </c>
    </row>
    <row r="326" spans="1:18" s="73" customFormat="1">
      <c r="A326" s="130" t="s">
        <v>1504</v>
      </c>
      <c r="B326" s="130"/>
      <c r="C326" s="130"/>
      <c r="D326" s="130">
        <v>0</v>
      </c>
      <c r="E326" s="130">
        <v>1</v>
      </c>
      <c r="F326" s="131" t="s">
        <v>197</v>
      </c>
      <c r="G326" s="131" t="s">
        <v>198</v>
      </c>
      <c r="H326" s="130"/>
      <c r="I326" s="131">
        <v>0</v>
      </c>
      <c r="J326" s="131" t="s">
        <v>1621</v>
      </c>
      <c r="K326" s="131" t="s">
        <v>873</v>
      </c>
      <c r="L326" s="131">
        <v>400</v>
      </c>
      <c r="M326" s="131"/>
      <c r="N326" s="130" t="str">
        <f t="shared" si="21"/>
        <v>StatusDistict(RecoveryRate, 400)</v>
      </c>
      <c r="O326" s="130">
        <v>0</v>
      </c>
      <c r="P326" s="130">
        <v>0</v>
      </c>
      <c r="Q326" s="130"/>
      <c r="R326" s="130" t="b">
        <v>1</v>
      </c>
    </row>
    <row r="327" spans="1:18" s="73" customFormat="1">
      <c r="A327" s="130" t="s">
        <v>1505</v>
      </c>
      <c r="B327" s="130"/>
      <c r="C327" s="130"/>
      <c r="D327" s="130">
        <v>0</v>
      </c>
      <c r="E327" s="130">
        <v>1</v>
      </c>
      <c r="F327" s="131" t="s">
        <v>197</v>
      </c>
      <c r="G327" s="131" t="s">
        <v>198</v>
      </c>
      <c r="H327" s="130"/>
      <c r="I327" s="131">
        <v>0</v>
      </c>
      <c r="J327" s="131" t="s">
        <v>1621</v>
      </c>
      <c r="K327" s="131" t="s">
        <v>873</v>
      </c>
      <c r="L327" s="131">
        <v>450</v>
      </c>
      <c r="M327" s="131"/>
      <c r="N327" s="130" t="str">
        <f t="shared" si="21"/>
        <v>StatusDistict(RecoveryRate, 450)</v>
      </c>
      <c r="O327" s="130">
        <v>0</v>
      </c>
      <c r="P327" s="130">
        <v>0</v>
      </c>
      <c r="Q327" s="130"/>
      <c r="R327" s="130" t="b">
        <v>1</v>
      </c>
    </row>
    <row r="328" spans="1:18" s="73" customFormat="1">
      <c r="A328" s="130" t="s">
        <v>1506</v>
      </c>
      <c r="B328" s="130"/>
      <c r="C328" s="130"/>
      <c r="D328" s="130">
        <v>0</v>
      </c>
      <c r="E328" s="130">
        <v>1</v>
      </c>
      <c r="F328" s="131" t="s">
        <v>197</v>
      </c>
      <c r="G328" s="131" t="s">
        <v>198</v>
      </c>
      <c r="H328" s="130"/>
      <c r="I328" s="131">
        <v>0</v>
      </c>
      <c r="J328" s="131" t="s">
        <v>1621</v>
      </c>
      <c r="K328" s="131" t="s">
        <v>873</v>
      </c>
      <c r="L328" s="131">
        <v>500</v>
      </c>
      <c r="M328" s="131"/>
      <c r="N328" s="130" t="str">
        <f t="shared" si="21"/>
        <v>StatusDistict(RecoveryRate, 500)</v>
      </c>
      <c r="O328" s="130">
        <v>0</v>
      </c>
      <c r="P328" s="130">
        <v>0</v>
      </c>
      <c r="Q328" s="130"/>
      <c r="R328" s="130" t="b">
        <v>1</v>
      </c>
    </row>
    <row r="329" spans="1:18" s="73" customFormat="1">
      <c r="A329" s="126" t="s">
        <v>1694</v>
      </c>
      <c r="B329" s="126"/>
      <c r="C329" s="126"/>
      <c r="D329" s="126">
        <v>0</v>
      </c>
      <c r="E329" s="126">
        <v>1</v>
      </c>
      <c r="F329" s="127" t="s">
        <v>197</v>
      </c>
      <c r="G329" s="127" t="s">
        <v>198</v>
      </c>
      <c r="H329" s="126"/>
      <c r="I329" s="127">
        <v>0</v>
      </c>
      <c r="J329" s="127" t="s">
        <v>1621</v>
      </c>
      <c r="K329" s="127" t="s">
        <v>874</v>
      </c>
      <c r="L329" s="127">
        <v>300</v>
      </c>
      <c r="M329" s="127"/>
      <c r="N329" s="126" t="str">
        <f t="shared" si="21"/>
        <v>StatusDistict(ReceiveRecoveryRate, 300)</v>
      </c>
      <c r="O329" s="126">
        <v>0</v>
      </c>
      <c r="P329" s="126">
        <v>0</v>
      </c>
      <c r="Q329" s="126"/>
      <c r="R329" s="126" t="b">
        <v>1</v>
      </c>
    </row>
    <row r="330" spans="1:18" s="73" customFormat="1">
      <c r="A330" s="126" t="s">
        <v>1507</v>
      </c>
      <c r="B330" s="126"/>
      <c r="C330" s="126"/>
      <c r="D330" s="126">
        <v>0</v>
      </c>
      <c r="E330" s="126">
        <v>1</v>
      </c>
      <c r="F330" s="127" t="s">
        <v>197</v>
      </c>
      <c r="G330" s="127" t="s">
        <v>198</v>
      </c>
      <c r="H330" s="126"/>
      <c r="I330" s="127">
        <v>0</v>
      </c>
      <c r="J330" s="127" t="s">
        <v>4767</v>
      </c>
      <c r="K330" s="127" t="s">
        <v>874</v>
      </c>
      <c r="L330" s="127">
        <v>350</v>
      </c>
      <c r="M330" s="127"/>
      <c r="N330" s="126" t="str">
        <f t="shared" si="21"/>
        <v>StatusDistict(ReceiveRecoveryRate, 350)</v>
      </c>
      <c r="O330" s="126">
        <v>0</v>
      </c>
      <c r="P330" s="126">
        <v>0</v>
      </c>
      <c r="Q330" s="126"/>
      <c r="R330" s="126" t="b">
        <v>1</v>
      </c>
    </row>
    <row r="331" spans="1:18" s="73" customFormat="1">
      <c r="A331" s="126" t="s">
        <v>1508</v>
      </c>
      <c r="B331" s="126"/>
      <c r="C331" s="126"/>
      <c r="D331" s="126">
        <v>0</v>
      </c>
      <c r="E331" s="126">
        <v>1</v>
      </c>
      <c r="F331" s="127" t="s">
        <v>197</v>
      </c>
      <c r="G331" s="127" t="s">
        <v>198</v>
      </c>
      <c r="H331" s="126"/>
      <c r="I331" s="127">
        <v>0</v>
      </c>
      <c r="J331" s="127" t="s">
        <v>1621</v>
      </c>
      <c r="K331" s="127" t="s">
        <v>874</v>
      </c>
      <c r="L331" s="127">
        <v>400</v>
      </c>
      <c r="M331" s="127"/>
      <c r="N331" s="126" t="str">
        <f t="shared" si="21"/>
        <v>StatusDistict(ReceiveRecoveryRate, 400)</v>
      </c>
      <c r="O331" s="126">
        <v>0</v>
      </c>
      <c r="P331" s="126">
        <v>0</v>
      </c>
      <c r="Q331" s="126"/>
      <c r="R331" s="126" t="b">
        <v>1</v>
      </c>
    </row>
    <row r="332" spans="1:18" s="73" customFormat="1">
      <c r="A332" s="126" t="s">
        <v>1509</v>
      </c>
      <c r="B332" s="126"/>
      <c r="C332" s="126"/>
      <c r="D332" s="126">
        <v>0</v>
      </c>
      <c r="E332" s="126">
        <v>1</v>
      </c>
      <c r="F332" s="127" t="s">
        <v>197</v>
      </c>
      <c r="G332" s="127" t="s">
        <v>198</v>
      </c>
      <c r="H332" s="126"/>
      <c r="I332" s="127">
        <v>0</v>
      </c>
      <c r="J332" s="127" t="s">
        <v>1621</v>
      </c>
      <c r="K332" s="127" t="s">
        <v>874</v>
      </c>
      <c r="L332" s="127">
        <v>450</v>
      </c>
      <c r="M332" s="127"/>
      <c r="N332" s="126" t="str">
        <f t="shared" si="21"/>
        <v>StatusDistict(ReceiveRecoveryRate, 450)</v>
      </c>
      <c r="O332" s="126">
        <v>0</v>
      </c>
      <c r="P332" s="126">
        <v>0</v>
      </c>
      <c r="Q332" s="126"/>
      <c r="R332" s="126" t="b">
        <v>1</v>
      </c>
    </row>
    <row r="333" spans="1:18" s="73" customFormat="1">
      <c r="A333" s="126" t="s">
        <v>1510</v>
      </c>
      <c r="B333" s="126"/>
      <c r="C333" s="126"/>
      <c r="D333" s="126">
        <v>0</v>
      </c>
      <c r="E333" s="126">
        <v>1</v>
      </c>
      <c r="F333" s="127" t="s">
        <v>197</v>
      </c>
      <c r="G333" s="127" t="s">
        <v>198</v>
      </c>
      <c r="H333" s="126"/>
      <c r="I333" s="127">
        <v>0</v>
      </c>
      <c r="J333" s="127" t="s">
        <v>1621</v>
      </c>
      <c r="K333" s="127" t="s">
        <v>874</v>
      </c>
      <c r="L333" s="127">
        <v>500</v>
      </c>
      <c r="M333" s="127"/>
      <c r="N333" s="126" t="str">
        <f t="shared" si="21"/>
        <v>StatusDistict(ReceiveRecoveryRate, 500)</v>
      </c>
      <c r="O333" s="126">
        <v>0</v>
      </c>
      <c r="P333" s="126">
        <v>0</v>
      </c>
      <c r="Q333" s="126"/>
      <c r="R333" s="126" t="b">
        <v>1</v>
      </c>
    </row>
    <row r="334" spans="1:18" s="73" customFormat="1">
      <c r="A334" s="130" t="s">
        <v>1695</v>
      </c>
      <c r="B334" s="130"/>
      <c r="C334" s="130"/>
      <c r="D334" s="130">
        <v>0</v>
      </c>
      <c r="E334" s="130">
        <v>1</v>
      </c>
      <c r="F334" s="131" t="s">
        <v>197</v>
      </c>
      <c r="G334" s="131" t="s">
        <v>198</v>
      </c>
      <c r="H334" s="130"/>
      <c r="I334" s="131">
        <v>0</v>
      </c>
      <c r="J334" s="131" t="s">
        <v>1621</v>
      </c>
      <c r="K334" s="131" t="s">
        <v>3349</v>
      </c>
      <c r="L334" s="131">
        <v>180</v>
      </c>
      <c r="M334" s="131"/>
      <c r="N334" s="130" t="str">
        <f t="shared" si="21"/>
        <v>StatusDistict(AddEnergyRate, 180)</v>
      </c>
      <c r="O334" s="130">
        <v>0</v>
      </c>
      <c r="P334" s="130">
        <v>0</v>
      </c>
      <c r="Q334" s="130"/>
      <c r="R334" s="130" t="b">
        <v>1</v>
      </c>
    </row>
    <row r="335" spans="1:18" s="73" customFormat="1">
      <c r="A335" s="130" t="s">
        <v>1511</v>
      </c>
      <c r="B335" s="130"/>
      <c r="C335" s="130"/>
      <c r="D335" s="130">
        <v>0</v>
      </c>
      <c r="E335" s="130">
        <v>1</v>
      </c>
      <c r="F335" s="131" t="s">
        <v>197</v>
      </c>
      <c r="G335" s="131" t="s">
        <v>198</v>
      </c>
      <c r="H335" s="130"/>
      <c r="I335" s="131">
        <v>0</v>
      </c>
      <c r="J335" s="131" t="s">
        <v>1621</v>
      </c>
      <c r="K335" s="131" t="s">
        <v>925</v>
      </c>
      <c r="L335" s="131">
        <v>240</v>
      </c>
      <c r="M335" s="131"/>
      <c r="N335" s="130" t="str">
        <f t="shared" si="21"/>
        <v>StatusDistict(AddEnergyRate, 240)</v>
      </c>
      <c r="O335" s="130">
        <v>0</v>
      </c>
      <c r="P335" s="130">
        <v>0</v>
      </c>
      <c r="Q335" s="130"/>
      <c r="R335" s="130" t="b">
        <v>1</v>
      </c>
    </row>
    <row r="336" spans="1:18" s="73" customFormat="1">
      <c r="A336" s="130" t="s">
        <v>1512</v>
      </c>
      <c r="B336" s="130"/>
      <c r="C336" s="130"/>
      <c r="D336" s="130">
        <v>0</v>
      </c>
      <c r="E336" s="130">
        <v>1</v>
      </c>
      <c r="F336" s="131" t="s">
        <v>197</v>
      </c>
      <c r="G336" s="131" t="s">
        <v>198</v>
      </c>
      <c r="H336" s="130"/>
      <c r="I336" s="131">
        <v>0</v>
      </c>
      <c r="J336" s="131" t="s">
        <v>1621</v>
      </c>
      <c r="K336" s="131" t="s">
        <v>925</v>
      </c>
      <c r="L336" s="131">
        <v>300</v>
      </c>
      <c r="M336" s="131"/>
      <c r="N336" s="130" t="str">
        <f t="shared" si="21"/>
        <v>StatusDistict(AddEnergyRate, 300)</v>
      </c>
      <c r="O336" s="130">
        <v>0</v>
      </c>
      <c r="P336" s="130">
        <v>0</v>
      </c>
      <c r="Q336" s="130"/>
      <c r="R336" s="130" t="b">
        <v>1</v>
      </c>
    </row>
    <row r="337" spans="1:18" s="73" customFormat="1">
      <c r="A337" s="130" t="s">
        <v>1513</v>
      </c>
      <c r="B337" s="130"/>
      <c r="C337" s="130"/>
      <c r="D337" s="130">
        <v>0</v>
      </c>
      <c r="E337" s="130">
        <v>1</v>
      </c>
      <c r="F337" s="131" t="s">
        <v>197</v>
      </c>
      <c r="G337" s="131" t="s">
        <v>198</v>
      </c>
      <c r="H337" s="130"/>
      <c r="I337" s="131">
        <v>0</v>
      </c>
      <c r="J337" s="131" t="s">
        <v>1621</v>
      </c>
      <c r="K337" s="131" t="s">
        <v>925</v>
      </c>
      <c r="L337" s="131">
        <v>360</v>
      </c>
      <c r="M337" s="131"/>
      <c r="N337" s="130" t="str">
        <f t="shared" si="21"/>
        <v>StatusDistict(AddEnergyRate, 360)</v>
      </c>
      <c r="O337" s="130">
        <v>0</v>
      </c>
      <c r="P337" s="130">
        <v>0</v>
      </c>
      <c r="Q337" s="130"/>
      <c r="R337" s="130" t="b">
        <v>1</v>
      </c>
    </row>
    <row r="338" spans="1:18" s="73" customFormat="1">
      <c r="A338" s="130" t="s">
        <v>1514</v>
      </c>
      <c r="B338" s="130"/>
      <c r="C338" s="130"/>
      <c r="D338" s="130">
        <v>0</v>
      </c>
      <c r="E338" s="130">
        <v>1</v>
      </c>
      <c r="F338" s="131" t="s">
        <v>197</v>
      </c>
      <c r="G338" s="131" t="s">
        <v>198</v>
      </c>
      <c r="H338" s="130"/>
      <c r="I338" s="131">
        <v>0</v>
      </c>
      <c r="J338" s="131" t="s">
        <v>1621</v>
      </c>
      <c r="K338" s="131" t="s">
        <v>925</v>
      </c>
      <c r="L338" s="131">
        <v>420</v>
      </c>
      <c r="M338" s="131"/>
      <c r="N338" s="130" t="str">
        <f t="shared" si="21"/>
        <v>StatusDistict(AddEnergyRate, 420)</v>
      </c>
      <c r="O338" s="130">
        <v>0</v>
      </c>
      <c r="P338" s="130">
        <v>0</v>
      </c>
      <c r="Q338" s="130"/>
      <c r="R338" s="130" t="b">
        <v>1</v>
      </c>
    </row>
    <row r="339" spans="1:18" s="73" customFormat="1">
      <c r="A339" s="126" t="s">
        <v>3257</v>
      </c>
      <c r="B339" s="126"/>
      <c r="C339" s="126"/>
      <c r="D339" s="126">
        <v>0</v>
      </c>
      <c r="E339" s="126">
        <v>1</v>
      </c>
      <c r="F339" s="127" t="s">
        <v>197</v>
      </c>
      <c r="G339" s="127" t="s">
        <v>198</v>
      </c>
      <c r="H339" s="126"/>
      <c r="I339" s="127">
        <v>0</v>
      </c>
      <c r="J339" s="127" t="s">
        <v>7504</v>
      </c>
      <c r="K339" s="127">
        <v>100</v>
      </c>
      <c r="L339" s="127"/>
      <c r="M339" s="127"/>
      <c r="N339" s="126" t="str">
        <f t="shared" ref="N339:N348" si="22">J339&amp;"("&amp;IF(K339="","",K339)&amp;IF(L339="","",", "&amp;L339)&amp;IF(M339="","",", "&amp;M339)&amp;")"</f>
        <v>AccelerationSkillTime(100)</v>
      </c>
      <c r="O339" s="126">
        <v>0</v>
      </c>
      <c r="P339" s="126">
        <v>0</v>
      </c>
      <c r="Q339" s="126"/>
      <c r="R339" s="126" t="b">
        <v>1</v>
      </c>
    </row>
    <row r="340" spans="1:18" s="73" customFormat="1">
      <c r="A340" s="126" t="s">
        <v>3258</v>
      </c>
      <c r="B340" s="126"/>
      <c r="C340" s="126"/>
      <c r="D340" s="126">
        <v>0</v>
      </c>
      <c r="E340" s="126">
        <v>1</v>
      </c>
      <c r="F340" s="127" t="s">
        <v>197</v>
      </c>
      <c r="G340" s="127" t="s">
        <v>198</v>
      </c>
      <c r="H340" s="126"/>
      <c r="I340" s="127">
        <v>0</v>
      </c>
      <c r="J340" s="127" t="s">
        <v>2327</v>
      </c>
      <c r="K340" s="127">
        <v>200</v>
      </c>
      <c r="L340" s="127"/>
      <c r="M340" s="127"/>
      <c r="N340" s="126" t="str">
        <f t="shared" si="22"/>
        <v>AccelerationSkillTime(200)</v>
      </c>
      <c r="O340" s="126">
        <v>0</v>
      </c>
      <c r="P340" s="126">
        <v>0</v>
      </c>
      <c r="Q340" s="126"/>
      <c r="R340" s="126" t="b">
        <v>1</v>
      </c>
    </row>
    <row r="341" spans="1:18" s="73" customFormat="1">
      <c r="A341" s="126" t="s">
        <v>3262</v>
      </c>
      <c r="B341" s="126"/>
      <c r="C341" s="126"/>
      <c r="D341" s="126">
        <v>0</v>
      </c>
      <c r="E341" s="126">
        <v>1</v>
      </c>
      <c r="F341" s="127" t="s">
        <v>197</v>
      </c>
      <c r="G341" s="127" t="s">
        <v>198</v>
      </c>
      <c r="H341" s="126"/>
      <c r="I341" s="127">
        <v>0</v>
      </c>
      <c r="J341" s="127" t="s">
        <v>2327</v>
      </c>
      <c r="K341" s="127">
        <v>300</v>
      </c>
      <c r="L341" s="127"/>
      <c r="M341" s="127"/>
      <c r="N341" s="126" t="str">
        <f t="shared" si="22"/>
        <v>AccelerationSkillTime(300)</v>
      </c>
      <c r="O341" s="126">
        <v>0</v>
      </c>
      <c r="P341" s="126">
        <v>0</v>
      </c>
      <c r="Q341" s="126"/>
      <c r="R341" s="126" t="b">
        <v>1</v>
      </c>
    </row>
    <row r="342" spans="1:18" s="73" customFormat="1">
      <c r="A342" s="126" t="s">
        <v>3260</v>
      </c>
      <c r="B342" s="126"/>
      <c r="C342" s="126"/>
      <c r="D342" s="126">
        <v>0</v>
      </c>
      <c r="E342" s="126">
        <v>1</v>
      </c>
      <c r="F342" s="127" t="s">
        <v>197</v>
      </c>
      <c r="G342" s="127" t="s">
        <v>198</v>
      </c>
      <c r="H342" s="126"/>
      <c r="I342" s="127">
        <v>0</v>
      </c>
      <c r="J342" s="127" t="s">
        <v>2327</v>
      </c>
      <c r="K342" s="127">
        <v>400</v>
      </c>
      <c r="L342" s="127"/>
      <c r="M342" s="127"/>
      <c r="N342" s="126" t="str">
        <f t="shared" si="22"/>
        <v>AccelerationSkillTime(400)</v>
      </c>
      <c r="O342" s="126">
        <v>0</v>
      </c>
      <c r="P342" s="126">
        <v>0</v>
      </c>
      <c r="Q342" s="126"/>
      <c r="R342" s="126" t="b">
        <v>1</v>
      </c>
    </row>
    <row r="343" spans="1:18" s="73" customFormat="1">
      <c r="A343" s="126" t="s">
        <v>3261</v>
      </c>
      <c r="B343" s="126"/>
      <c r="C343" s="126"/>
      <c r="D343" s="126">
        <v>0</v>
      </c>
      <c r="E343" s="126">
        <v>1</v>
      </c>
      <c r="F343" s="127" t="s">
        <v>197</v>
      </c>
      <c r="G343" s="127" t="s">
        <v>198</v>
      </c>
      <c r="H343" s="126"/>
      <c r="I343" s="127">
        <v>0</v>
      </c>
      <c r="J343" s="127" t="s">
        <v>2327</v>
      </c>
      <c r="K343" s="127">
        <v>500</v>
      </c>
      <c r="L343" s="127"/>
      <c r="M343" s="127"/>
      <c r="N343" s="126" t="str">
        <f t="shared" si="22"/>
        <v>AccelerationSkillTime(500)</v>
      </c>
      <c r="O343" s="126">
        <v>0</v>
      </c>
      <c r="P343" s="126">
        <v>0</v>
      </c>
      <c r="Q343" s="126"/>
      <c r="R343" s="126" t="b">
        <v>1</v>
      </c>
    </row>
    <row r="344" spans="1:18" s="73" customFormat="1">
      <c r="A344" s="130" t="s">
        <v>3324</v>
      </c>
      <c r="B344" s="130"/>
      <c r="C344" s="130"/>
      <c r="D344" s="130">
        <v>0</v>
      </c>
      <c r="E344" s="130">
        <v>1</v>
      </c>
      <c r="F344" s="131" t="s">
        <v>197</v>
      </c>
      <c r="G344" s="131" t="s">
        <v>198</v>
      </c>
      <c r="H344" s="130"/>
      <c r="I344" s="131">
        <v>0</v>
      </c>
      <c r="J344" s="131" t="s">
        <v>1621</v>
      </c>
      <c r="K344" s="131" t="s">
        <v>3351</v>
      </c>
      <c r="L344" s="131">
        <v>250</v>
      </c>
      <c r="M344" s="131"/>
      <c r="N344" s="130" t="str">
        <f t="shared" si="22"/>
        <v>StatusDistict(NormalDamageRate, 250)</v>
      </c>
      <c r="O344" s="130">
        <v>0</v>
      </c>
      <c r="P344" s="130">
        <v>0</v>
      </c>
      <c r="Q344" s="130"/>
      <c r="R344" s="130" t="b">
        <v>1</v>
      </c>
    </row>
    <row r="345" spans="1:18" s="73" customFormat="1">
      <c r="A345" s="130" t="s">
        <v>3325</v>
      </c>
      <c r="B345" s="130"/>
      <c r="C345" s="130"/>
      <c r="D345" s="130">
        <v>0</v>
      </c>
      <c r="E345" s="130">
        <v>1</v>
      </c>
      <c r="F345" s="131" t="s">
        <v>197</v>
      </c>
      <c r="G345" s="131" t="s">
        <v>198</v>
      </c>
      <c r="H345" s="130"/>
      <c r="I345" s="131">
        <v>0</v>
      </c>
      <c r="J345" s="131" t="s">
        <v>1621</v>
      </c>
      <c r="K345" s="131" t="s">
        <v>2328</v>
      </c>
      <c r="L345" s="131">
        <v>500</v>
      </c>
      <c r="M345" s="131"/>
      <c r="N345" s="130" t="str">
        <f t="shared" si="22"/>
        <v>StatusDistict(NormalDamageRate, 500)</v>
      </c>
      <c r="O345" s="130">
        <v>0</v>
      </c>
      <c r="P345" s="130">
        <v>0</v>
      </c>
      <c r="Q345" s="130"/>
      <c r="R345" s="130" t="b">
        <v>1</v>
      </c>
    </row>
    <row r="346" spans="1:18" s="73" customFormat="1">
      <c r="A346" s="130" t="s">
        <v>3326</v>
      </c>
      <c r="B346" s="130"/>
      <c r="C346" s="130"/>
      <c r="D346" s="130">
        <v>0</v>
      </c>
      <c r="E346" s="130">
        <v>1</v>
      </c>
      <c r="F346" s="131" t="s">
        <v>197</v>
      </c>
      <c r="G346" s="131" t="s">
        <v>198</v>
      </c>
      <c r="H346" s="130"/>
      <c r="I346" s="131">
        <v>0</v>
      </c>
      <c r="J346" s="131" t="s">
        <v>1621</v>
      </c>
      <c r="K346" s="131" t="s">
        <v>2328</v>
      </c>
      <c r="L346" s="131">
        <v>750</v>
      </c>
      <c r="M346" s="131"/>
      <c r="N346" s="130" t="str">
        <f t="shared" si="22"/>
        <v>StatusDistict(NormalDamageRate, 750)</v>
      </c>
      <c r="O346" s="130">
        <v>0</v>
      </c>
      <c r="P346" s="130">
        <v>0</v>
      </c>
      <c r="Q346" s="130"/>
      <c r="R346" s="130" t="b">
        <v>1</v>
      </c>
    </row>
    <row r="347" spans="1:18" s="73" customFormat="1">
      <c r="A347" s="130" t="s">
        <v>3327</v>
      </c>
      <c r="B347" s="130"/>
      <c r="C347" s="130"/>
      <c r="D347" s="130">
        <v>0</v>
      </c>
      <c r="E347" s="130">
        <v>1</v>
      </c>
      <c r="F347" s="131" t="s">
        <v>197</v>
      </c>
      <c r="G347" s="131" t="s">
        <v>198</v>
      </c>
      <c r="H347" s="130"/>
      <c r="I347" s="131">
        <v>0</v>
      </c>
      <c r="J347" s="131" t="s">
        <v>1621</v>
      </c>
      <c r="K347" s="131" t="s">
        <v>2328</v>
      </c>
      <c r="L347" s="131">
        <v>1000</v>
      </c>
      <c r="M347" s="131"/>
      <c r="N347" s="130" t="str">
        <f t="shared" si="22"/>
        <v>StatusDistict(NormalDamageRate, 1000)</v>
      </c>
      <c r="O347" s="130">
        <v>0</v>
      </c>
      <c r="P347" s="130">
        <v>0</v>
      </c>
      <c r="Q347" s="130"/>
      <c r="R347" s="130" t="b">
        <v>1</v>
      </c>
    </row>
    <row r="348" spans="1:18" s="73" customFormat="1">
      <c r="A348" s="130" t="s">
        <v>3328</v>
      </c>
      <c r="B348" s="130"/>
      <c r="C348" s="130"/>
      <c r="D348" s="130">
        <v>0</v>
      </c>
      <c r="E348" s="130">
        <v>1</v>
      </c>
      <c r="F348" s="131" t="s">
        <v>197</v>
      </c>
      <c r="G348" s="131" t="s">
        <v>198</v>
      </c>
      <c r="H348" s="130"/>
      <c r="I348" s="131">
        <v>0</v>
      </c>
      <c r="J348" s="131" t="s">
        <v>1621</v>
      </c>
      <c r="K348" s="131" t="s">
        <v>2328</v>
      </c>
      <c r="L348" s="131">
        <v>1250</v>
      </c>
      <c r="M348" s="131"/>
      <c r="N348" s="130" t="str">
        <f t="shared" si="22"/>
        <v>StatusDistict(NormalDamageRate, 1250)</v>
      </c>
      <c r="O348" s="130">
        <v>0</v>
      </c>
      <c r="P348" s="130">
        <v>0</v>
      </c>
      <c r="Q348" s="130"/>
      <c r="R348" s="130" t="b">
        <v>1</v>
      </c>
    </row>
    <row r="349" spans="1:18" s="73" customFormat="1">
      <c r="A349" s="130" t="s">
        <v>4013</v>
      </c>
      <c r="B349" s="130"/>
      <c r="C349" s="130"/>
      <c r="D349" s="130">
        <v>0</v>
      </c>
      <c r="E349" s="130">
        <v>1</v>
      </c>
      <c r="F349" s="131" t="s">
        <v>197</v>
      </c>
      <c r="G349" s="131" t="s">
        <v>198</v>
      </c>
      <c r="H349" s="130"/>
      <c r="I349" s="131">
        <v>0</v>
      </c>
      <c r="J349" s="131" t="s">
        <v>1621</v>
      </c>
      <c r="K349" s="131" t="s">
        <v>3351</v>
      </c>
      <c r="L349" s="131">
        <v>1500</v>
      </c>
      <c r="M349" s="131"/>
      <c r="N349" s="130" t="str">
        <f t="shared" ref="N349:N363" si="23">J349&amp;"("&amp;IF(K349="","",K349)&amp;IF(L349="","",", "&amp;L349)&amp;IF(M349="","",", "&amp;M349)&amp;")"</f>
        <v>StatusDistict(NormalDamageRate, 1500)</v>
      </c>
      <c r="O349" s="130">
        <v>0</v>
      </c>
      <c r="P349" s="130">
        <v>0</v>
      </c>
      <c r="Q349" s="130"/>
      <c r="R349" s="130" t="b">
        <v>1</v>
      </c>
    </row>
    <row r="350" spans="1:18" s="73" customFormat="1">
      <c r="A350" s="130" t="s">
        <v>4014</v>
      </c>
      <c r="B350" s="130"/>
      <c r="C350" s="130"/>
      <c r="D350" s="130">
        <v>0</v>
      </c>
      <c r="E350" s="130">
        <v>1</v>
      </c>
      <c r="F350" s="131" t="s">
        <v>197</v>
      </c>
      <c r="G350" s="131" t="s">
        <v>198</v>
      </c>
      <c r="H350" s="130"/>
      <c r="I350" s="131">
        <v>0</v>
      </c>
      <c r="J350" s="131" t="s">
        <v>1621</v>
      </c>
      <c r="K350" s="131" t="s">
        <v>2328</v>
      </c>
      <c r="L350" s="131">
        <v>1750</v>
      </c>
      <c r="M350" s="131"/>
      <c r="N350" s="130" t="str">
        <f t="shared" si="23"/>
        <v>StatusDistict(NormalDamageRate, 1750)</v>
      </c>
      <c r="O350" s="130">
        <v>0</v>
      </c>
      <c r="P350" s="130">
        <v>0</v>
      </c>
      <c r="Q350" s="130"/>
      <c r="R350" s="130" t="b">
        <v>1</v>
      </c>
    </row>
    <row r="351" spans="1:18" s="73" customFormat="1">
      <c r="A351" s="130" t="s">
        <v>4015</v>
      </c>
      <c r="B351" s="130"/>
      <c r="C351" s="130"/>
      <c r="D351" s="130">
        <v>0</v>
      </c>
      <c r="E351" s="130">
        <v>1</v>
      </c>
      <c r="F351" s="131" t="s">
        <v>197</v>
      </c>
      <c r="G351" s="131" t="s">
        <v>198</v>
      </c>
      <c r="H351" s="130"/>
      <c r="I351" s="131">
        <v>0</v>
      </c>
      <c r="J351" s="131" t="s">
        <v>1621</v>
      </c>
      <c r="K351" s="131" t="s">
        <v>2328</v>
      </c>
      <c r="L351" s="131">
        <v>2000</v>
      </c>
      <c r="M351" s="131"/>
      <c r="N351" s="130" t="str">
        <f t="shared" si="23"/>
        <v>StatusDistict(NormalDamageRate, 2000)</v>
      </c>
      <c r="O351" s="130">
        <v>0</v>
      </c>
      <c r="P351" s="130">
        <v>0</v>
      </c>
      <c r="Q351" s="130"/>
      <c r="R351" s="130" t="b">
        <v>1</v>
      </c>
    </row>
    <row r="352" spans="1:18" s="73" customFormat="1">
      <c r="A352" s="130" t="s">
        <v>4016</v>
      </c>
      <c r="B352" s="130"/>
      <c r="C352" s="130"/>
      <c r="D352" s="130">
        <v>0</v>
      </c>
      <c r="E352" s="130">
        <v>1</v>
      </c>
      <c r="F352" s="131" t="s">
        <v>197</v>
      </c>
      <c r="G352" s="131" t="s">
        <v>198</v>
      </c>
      <c r="H352" s="130"/>
      <c r="I352" s="131">
        <v>0</v>
      </c>
      <c r="J352" s="131" t="s">
        <v>1621</v>
      </c>
      <c r="K352" s="131" t="s">
        <v>2328</v>
      </c>
      <c r="L352" s="131">
        <v>2250</v>
      </c>
      <c r="M352" s="131"/>
      <c r="N352" s="130" t="str">
        <f t="shared" si="23"/>
        <v>StatusDistict(NormalDamageRate, 2250)</v>
      </c>
      <c r="O352" s="130">
        <v>0</v>
      </c>
      <c r="P352" s="130">
        <v>0</v>
      </c>
      <c r="Q352" s="130"/>
      <c r="R352" s="130" t="b">
        <v>1</v>
      </c>
    </row>
    <row r="353" spans="1:18" s="73" customFormat="1">
      <c r="A353" s="130" t="s">
        <v>4017</v>
      </c>
      <c r="B353" s="130"/>
      <c r="C353" s="130"/>
      <c r="D353" s="130">
        <v>0</v>
      </c>
      <c r="E353" s="130">
        <v>1</v>
      </c>
      <c r="F353" s="131" t="s">
        <v>197</v>
      </c>
      <c r="G353" s="131" t="s">
        <v>198</v>
      </c>
      <c r="H353" s="130"/>
      <c r="I353" s="131">
        <v>0</v>
      </c>
      <c r="J353" s="131" t="s">
        <v>1621</v>
      </c>
      <c r="K353" s="131" t="s">
        <v>2328</v>
      </c>
      <c r="L353" s="131">
        <v>2500</v>
      </c>
      <c r="M353" s="131"/>
      <c r="N353" s="130" t="str">
        <f t="shared" si="23"/>
        <v>StatusDistict(NormalDamageRate, 2500)</v>
      </c>
      <c r="O353" s="130">
        <v>0</v>
      </c>
      <c r="P353" s="130">
        <v>0</v>
      </c>
      <c r="Q353" s="130"/>
      <c r="R353" s="130" t="b">
        <v>1</v>
      </c>
    </row>
    <row r="354" spans="1:18" s="73" customFormat="1">
      <c r="A354" s="126" t="s">
        <v>4486</v>
      </c>
      <c r="B354" s="126"/>
      <c r="C354" s="126"/>
      <c r="D354" s="126">
        <v>0</v>
      </c>
      <c r="E354" s="126">
        <v>1</v>
      </c>
      <c r="F354" s="127" t="s">
        <v>197</v>
      </c>
      <c r="G354" s="127" t="s">
        <v>198</v>
      </c>
      <c r="H354" s="126"/>
      <c r="I354" s="127">
        <v>0</v>
      </c>
      <c r="J354" s="127" t="s">
        <v>1621</v>
      </c>
      <c r="K354" s="127" t="s">
        <v>4490</v>
      </c>
      <c r="L354" s="127">
        <v>80</v>
      </c>
      <c r="M354" s="127"/>
      <c r="N354" s="126" t="str">
        <f t="shared" si="23"/>
        <v>StatusDistict(GuardDerate, 80)</v>
      </c>
      <c r="O354" s="126">
        <v>0</v>
      </c>
      <c r="P354" s="126">
        <v>0</v>
      </c>
      <c r="Q354" s="126"/>
      <c r="R354" s="126" t="b">
        <v>1</v>
      </c>
    </row>
    <row r="355" spans="1:18" s="73" customFormat="1">
      <c r="A355" s="126" t="s">
        <v>4487</v>
      </c>
      <c r="B355" s="126"/>
      <c r="C355" s="126"/>
      <c r="D355" s="126">
        <v>0</v>
      </c>
      <c r="E355" s="126">
        <v>1</v>
      </c>
      <c r="F355" s="127" t="s">
        <v>197</v>
      </c>
      <c r="G355" s="127" t="s">
        <v>198</v>
      </c>
      <c r="H355" s="126"/>
      <c r="I355" s="127">
        <v>0</v>
      </c>
      <c r="J355" s="127" t="s">
        <v>1621</v>
      </c>
      <c r="K355" s="127" t="s">
        <v>4490</v>
      </c>
      <c r="L355" s="127">
        <v>160</v>
      </c>
      <c r="M355" s="127"/>
      <c r="N355" s="126" t="str">
        <f t="shared" si="23"/>
        <v>StatusDistict(GuardDerate, 160)</v>
      </c>
      <c r="O355" s="126">
        <v>0</v>
      </c>
      <c r="P355" s="126">
        <v>0</v>
      </c>
      <c r="Q355" s="126"/>
      <c r="R355" s="126" t="b">
        <v>1</v>
      </c>
    </row>
    <row r="356" spans="1:18" s="73" customFormat="1">
      <c r="A356" s="126" t="s">
        <v>4488</v>
      </c>
      <c r="B356" s="126"/>
      <c r="C356" s="126"/>
      <c r="D356" s="126">
        <v>0</v>
      </c>
      <c r="E356" s="126">
        <v>1</v>
      </c>
      <c r="F356" s="127" t="s">
        <v>197</v>
      </c>
      <c r="G356" s="127" t="s">
        <v>198</v>
      </c>
      <c r="H356" s="126"/>
      <c r="I356" s="127">
        <v>0</v>
      </c>
      <c r="J356" s="127" t="s">
        <v>1621</v>
      </c>
      <c r="K356" s="127" t="s">
        <v>4490</v>
      </c>
      <c r="L356" s="127">
        <v>240</v>
      </c>
      <c r="M356" s="127"/>
      <c r="N356" s="126" t="str">
        <f t="shared" si="23"/>
        <v>StatusDistict(GuardDerate, 240)</v>
      </c>
      <c r="O356" s="126">
        <v>0</v>
      </c>
      <c r="P356" s="126">
        <v>0</v>
      </c>
      <c r="Q356" s="126"/>
      <c r="R356" s="126" t="b">
        <v>1</v>
      </c>
    </row>
    <row r="357" spans="1:18" s="73" customFormat="1">
      <c r="A357" s="126" t="s">
        <v>4489</v>
      </c>
      <c r="B357" s="126"/>
      <c r="C357" s="126"/>
      <c r="D357" s="126">
        <v>0</v>
      </c>
      <c r="E357" s="126">
        <v>1</v>
      </c>
      <c r="F357" s="127" t="s">
        <v>197</v>
      </c>
      <c r="G357" s="127" t="s">
        <v>198</v>
      </c>
      <c r="H357" s="126"/>
      <c r="I357" s="127">
        <v>0</v>
      </c>
      <c r="J357" s="127" t="s">
        <v>1621</v>
      </c>
      <c r="K357" s="127" t="s">
        <v>4490</v>
      </c>
      <c r="L357" s="127">
        <v>320</v>
      </c>
      <c r="M357" s="127"/>
      <c r="N357" s="126" t="str">
        <f t="shared" si="23"/>
        <v>StatusDistict(GuardDerate, 320)</v>
      </c>
      <c r="O357" s="126">
        <v>0</v>
      </c>
      <c r="P357" s="126">
        <v>0</v>
      </c>
      <c r="Q357" s="126"/>
      <c r="R357" s="126" t="b">
        <v>1</v>
      </c>
    </row>
    <row r="358" spans="1:18" s="73" customFormat="1">
      <c r="A358" s="126" t="s">
        <v>4491</v>
      </c>
      <c r="B358" s="126"/>
      <c r="C358" s="126"/>
      <c r="D358" s="126">
        <v>0</v>
      </c>
      <c r="E358" s="126">
        <v>1</v>
      </c>
      <c r="F358" s="127" t="s">
        <v>197</v>
      </c>
      <c r="G358" s="127" t="s">
        <v>198</v>
      </c>
      <c r="H358" s="126"/>
      <c r="I358" s="127">
        <v>0</v>
      </c>
      <c r="J358" s="127" t="s">
        <v>1621</v>
      </c>
      <c r="K358" s="127" t="s">
        <v>4490</v>
      </c>
      <c r="L358" s="127">
        <v>400</v>
      </c>
      <c r="M358" s="127"/>
      <c r="N358" s="126" t="str">
        <f t="shared" si="23"/>
        <v>StatusDistict(GuardDerate, 400)</v>
      </c>
      <c r="O358" s="126">
        <v>0</v>
      </c>
      <c r="P358" s="126">
        <v>0</v>
      </c>
      <c r="Q358" s="126"/>
      <c r="R358" s="126" t="b">
        <v>1</v>
      </c>
    </row>
    <row r="359" spans="1:18" s="73" customFormat="1">
      <c r="A359" s="130" t="s">
        <v>4501</v>
      </c>
      <c r="B359" s="130"/>
      <c r="C359" s="130"/>
      <c r="D359" s="130">
        <v>0</v>
      </c>
      <c r="E359" s="130">
        <v>1</v>
      </c>
      <c r="F359" s="131" t="s">
        <v>197</v>
      </c>
      <c r="G359" s="131" t="s">
        <v>198</v>
      </c>
      <c r="H359" s="130"/>
      <c r="I359" s="131">
        <v>0</v>
      </c>
      <c r="J359" s="131" t="s">
        <v>1621</v>
      </c>
      <c r="K359" s="131" t="s">
        <v>4494</v>
      </c>
      <c r="L359" s="131">
        <v>250</v>
      </c>
      <c r="M359" s="131"/>
      <c r="N359" s="130" t="str">
        <f t="shared" si="23"/>
        <v>StatusDistict(ActiveDamageRate, 250)</v>
      </c>
      <c r="O359" s="130">
        <v>0</v>
      </c>
      <c r="P359" s="130">
        <v>0</v>
      </c>
      <c r="Q359" s="130"/>
      <c r="R359" s="130" t="b">
        <v>1</v>
      </c>
    </row>
    <row r="360" spans="1:18" s="73" customFormat="1">
      <c r="A360" s="130" t="s">
        <v>4502</v>
      </c>
      <c r="B360" s="130"/>
      <c r="C360" s="130"/>
      <c r="D360" s="130">
        <v>0</v>
      </c>
      <c r="E360" s="130">
        <v>1</v>
      </c>
      <c r="F360" s="131" t="s">
        <v>197</v>
      </c>
      <c r="G360" s="131" t="s">
        <v>198</v>
      </c>
      <c r="H360" s="130"/>
      <c r="I360" s="131">
        <v>0</v>
      </c>
      <c r="J360" s="131" t="s">
        <v>1621</v>
      </c>
      <c r="K360" s="131" t="s">
        <v>4494</v>
      </c>
      <c r="L360" s="131">
        <v>500</v>
      </c>
      <c r="M360" s="131"/>
      <c r="N360" s="130" t="str">
        <f t="shared" si="23"/>
        <v>StatusDistict(ActiveDamageRate, 500)</v>
      </c>
      <c r="O360" s="130">
        <v>0</v>
      </c>
      <c r="P360" s="130">
        <v>0</v>
      </c>
      <c r="Q360" s="130"/>
      <c r="R360" s="130" t="b">
        <v>1</v>
      </c>
    </row>
    <row r="361" spans="1:18" s="73" customFormat="1">
      <c r="A361" s="130" t="s">
        <v>4503</v>
      </c>
      <c r="B361" s="130"/>
      <c r="C361" s="130"/>
      <c r="D361" s="130">
        <v>0</v>
      </c>
      <c r="E361" s="130">
        <v>1</v>
      </c>
      <c r="F361" s="131" t="s">
        <v>197</v>
      </c>
      <c r="G361" s="131" t="s">
        <v>198</v>
      </c>
      <c r="H361" s="130"/>
      <c r="I361" s="131">
        <v>0</v>
      </c>
      <c r="J361" s="131" t="s">
        <v>1621</v>
      </c>
      <c r="K361" s="131" t="s">
        <v>4494</v>
      </c>
      <c r="L361" s="131">
        <v>750</v>
      </c>
      <c r="M361" s="131"/>
      <c r="N361" s="130" t="str">
        <f t="shared" si="23"/>
        <v>StatusDistict(ActiveDamageRate, 750)</v>
      </c>
      <c r="O361" s="130">
        <v>0</v>
      </c>
      <c r="P361" s="130">
        <v>0</v>
      </c>
      <c r="Q361" s="130"/>
      <c r="R361" s="130" t="b">
        <v>1</v>
      </c>
    </row>
    <row r="362" spans="1:18" s="73" customFormat="1">
      <c r="A362" s="130" t="s">
        <v>4504</v>
      </c>
      <c r="B362" s="130"/>
      <c r="C362" s="130"/>
      <c r="D362" s="130">
        <v>0</v>
      </c>
      <c r="E362" s="130">
        <v>1</v>
      </c>
      <c r="F362" s="131" t="s">
        <v>197</v>
      </c>
      <c r="G362" s="131" t="s">
        <v>198</v>
      </c>
      <c r="H362" s="130"/>
      <c r="I362" s="131">
        <v>0</v>
      </c>
      <c r="J362" s="131" t="s">
        <v>1621</v>
      </c>
      <c r="K362" s="131" t="s">
        <v>4494</v>
      </c>
      <c r="L362" s="131">
        <v>1000</v>
      </c>
      <c r="M362" s="131"/>
      <c r="N362" s="130" t="str">
        <f t="shared" si="23"/>
        <v>StatusDistict(ActiveDamageRate, 1000)</v>
      </c>
      <c r="O362" s="130">
        <v>0</v>
      </c>
      <c r="P362" s="130">
        <v>0</v>
      </c>
      <c r="Q362" s="130"/>
      <c r="R362" s="130" t="b">
        <v>1</v>
      </c>
    </row>
    <row r="363" spans="1:18" s="73" customFormat="1">
      <c r="A363" s="130" t="s">
        <v>4505</v>
      </c>
      <c r="B363" s="130"/>
      <c r="C363" s="130"/>
      <c r="D363" s="130">
        <v>0</v>
      </c>
      <c r="E363" s="130">
        <v>1</v>
      </c>
      <c r="F363" s="131" t="s">
        <v>197</v>
      </c>
      <c r="G363" s="131" t="s">
        <v>198</v>
      </c>
      <c r="H363" s="130"/>
      <c r="I363" s="131">
        <v>0</v>
      </c>
      <c r="J363" s="131" t="s">
        <v>1621</v>
      </c>
      <c r="K363" s="131" t="s">
        <v>4499</v>
      </c>
      <c r="L363" s="131">
        <v>1250</v>
      </c>
      <c r="M363" s="131"/>
      <c r="N363" s="130" t="str">
        <f t="shared" si="23"/>
        <v>StatusDistict(ActiveDamageRate, 1250)</v>
      </c>
      <c r="O363" s="130">
        <v>0</v>
      </c>
      <c r="P363" s="130">
        <v>0</v>
      </c>
      <c r="Q363" s="130"/>
      <c r="R363" s="130" t="b">
        <v>1</v>
      </c>
    </row>
    <row r="364" spans="1:18" s="73" customFormat="1">
      <c r="A364" s="126" t="s">
        <v>4500</v>
      </c>
      <c r="B364" s="126"/>
      <c r="C364" s="126"/>
      <c r="D364" s="126">
        <v>0</v>
      </c>
      <c r="E364" s="126">
        <v>1</v>
      </c>
      <c r="F364" s="127" t="s">
        <v>197</v>
      </c>
      <c r="G364" s="127" t="s">
        <v>198</v>
      </c>
      <c r="H364" s="126"/>
      <c r="I364" s="127">
        <v>0</v>
      </c>
      <c r="J364" s="127" t="s">
        <v>1621</v>
      </c>
      <c r="K364" s="127" t="s">
        <v>7718</v>
      </c>
      <c r="L364" s="127">
        <v>250</v>
      </c>
      <c r="M364" s="127"/>
      <c r="N364" s="126" t="str">
        <f t="shared" ref="N364:N368" si="24">J364&amp;"("&amp;IF(K364="","",K364)&amp;IF(L364="","",", "&amp;L364)&amp;IF(M364="","",", "&amp;M364)&amp;")"</f>
        <v>StatusDistict(UltimateDamageRate, 250)</v>
      </c>
      <c r="O364" s="126">
        <v>0</v>
      </c>
      <c r="P364" s="126">
        <v>0</v>
      </c>
      <c r="Q364" s="126"/>
      <c r="R364" s="126" t="b">
        <v>1</v>
      </c>
    </row>
    <row r="365" spans="1:18" s="73" customFormat="1">
      <c r="A365" s="126" t="s">
        <v>4495</v>
      </c>
      <c r="B365" s="126"/>
      <c r="C365" s="126"/>
      <c r="D365" s="126">
        <v>0</v>
      </c>
      <c r="E365" s="126">
        <v>1</v>
      </c>
      <c r="F365" s="127" t="s">
        <v>197</v>
      </c>
      <c r="G365" s="127" t="s">
        <v>198</v>
      </c>
      <c r="H365" s="126"/>
      <c r="I365" s="127">
        <v>0</v>
      </c>
      <c r="J365" s="127" t="s">
        <v>1621</v>
      </c>
      <c r="K365" s="127" t="s">
        <v>3348</v>
      </c>
      <c r="L365" s="127">
        <v>500</v>
      </c>
      <c r="M365" s="127"/>
      <c r="N365" s="126" t="str">
        <f t="shared" si="24"/>
        <v>StatusDistict(UltimateDamageRate, 500)</v>
      </c>
      <c r="O365" s="126">
        <v>0</v>
      </c>
      <c r="P365" s="126">
        <v>0</v>
      </c>
      <c r="Q365" s="126"/>
      <c r="R365" s="126" t="b">
        <v>1</v>
      </c>
    </row>
    <row r="366" spans="1:18" s="73" customFormat="1">
      <c r="A366" s="126" t="s">
        <v>4496</v>
      </c>
      <c r="B366" s="126"/>
      <c r="C366" s="126"/>
      <c r="D366" s="126">
        <v>0</v>
      </c>
      <c r="E366" s="126">
        <v>1</v>
      </c>
      <c r="F366" s="127" t="s">
        <v>197</v>
      </c>
      <c r="G366" s="127" t="s">
        <v>198</v>
      </c>
      <c r="H366" s="126"/>
      <c r="I366" s="127">
        <v>0</v>
      </c>
      <c r="J366" s="127" t="s">
        <v>1621</v>
      </c>
      <c r="K366" s="127" t="s">
        <v>3348</v>
      </c>
      <c r="L366" s="127">
        <v>750</v>
      </c>
      <c r="M366" s="127"/>
      <c r="N366" s="126" t="str">
        <f t="shared" si="24"/>
        <v>StatusDistict(UltimateDamageRate, 750)</v>
      </c>
      <c r="O366" s="126">
        <v>0</v>
      </c>
      <c r="P366" s="126">
        <v>0</v>
      </c>
      <c r="Q366" s="126"/>
      <c r="R366" s="126" t="b">
        <v>1</v>
      </c>
    </row>
    <row r="367" spans="1:18" s="73" customFormat="1">
      <c r="A367" s="126" t="s">
        <v>4497</v>
      </c>
      <c r="B367" s="126"/>
      <c r="C367" s="126"/>
      <c r="D367" s="126">
        <v>0</v>
      </c>
      <c r="E367" s="126">
        <v>1</v>
      </c>
      <c r="F367" s="127" t="s">
        <v>197</v>
      </c>
      <c r="G367" s="127" t="s">
        <v>198</v>
      </c>
      <c r="H367" s="126"/>
      <c r="I367" s="127">
        <v>0</v>
      </c>
      <c r="J367" s="127" t="s">
        <v>1621</v>
      </c>
      <c r="K367" s="127" t="s">
        <v>3348</v>
      </c>
      <c r="L367" s="127">
        <v>1000</v>
      </c>
      <c r="M367" s="127"/>
      <c r="N367" s="126" t="str">
        <f t="shared" si="24"/>
        <v>StatusDistict(UltimateDamageRate, 1000)</v>
      </c>
      <c r="O367" s="126">
        <v>0</v>
      </c>
      <c r="P367" s="126">
        <v>0</v>
      </c>
      <c r="Q367" s="126"/>
      <c r="R367" s="126" t="b">
        <v>1</v>
      </c>
    </row>
    <row r="368" spans="1:18" s="73" customFormat="1">
      <c r="A368" s="126" t="s">
        <v>4498</v>
      </c>
      <c r="B368" s="126"/>
      <c r="C368" s="126"/>
      <c r="D368" s="126">
        <v>0</v>
      </c>
      <c r="E368" s="126">
        <v>1</v>
      </c>
      <c r="F368" s="127" t="s">
        <v>197</v>
      </c>
      <c r="G368" s="127" t="s">
        <v>198</v>
      </c>
      <c r="H368" s="126"/>
      <c r="I368" s="127">
        <v>0</v>
      </c>
      <c r="J368" s="127" t="s">
        <v>1621</v>
      </c>
      <c r="K368" s="127" t="s">
        <v>3348</v>
      </c>
      <c r="L368" s="127">
        <v>1250</v>
      </c>
      <c r="M368" s="127"/>
      <c r="N368" s="126" t="str">
        <f t="shared" si="24"/>
        <v>StatusDistict(UltimateDamageRate, 1250)</v>
      </c>
      <c r="O368" s="126">
        <v>0</v>
      </c>
      <c r="P368" s="126">
        <v>0</v>
      </c>
      <c r="Q368" s="126"/>
      <c r="R368" s="126" t="b">
        <v>1</v>
      </c>
    </row>
    <row r="369" spans="1:18" s="73" customFormat="1">
      <c r="A369" s="126"/>
      <c r="B369" s="126"/>
      <c r="C369" s="126"/>
      <c r="D369" s="126"/>
      <c r="E369" s="126"/>
      <c r="F369" s="127"/>
      <c r="G369" s="127"/>
      <c r="H369" s="126"/>
      <c r="I369" s="127"/>
      <c r="J369" s="127"/>
      <c r="K369" s="127"/>
      <c r="L369" s="127"/>
      <c r="M369" s="127"/>
      <c r="N369" s="126"/>
      <c r="O369" s="126"/>
      <c r="P369" s="126"/>
      <c r="Q369" s="126"/>
      <c r="R369" s="126"/>
    </row>
    <row r="370" spans="1:18" s="73" customFormat="1">
      <c r="A370" s="130" t="s">
        <v>1696</v>
      </c>
      <c r="B370" s="130"/>
      <c r="C370" s="130"/>
      <c r="D370" s="130">
        <v>0</v>
      </c>
      <c r="E370" s="130">
        <v>1</v>
      </c>
      <c r="F370" s="131" t="s">
        <v>197</v>
      </c>
      <c r="G370" s="131" t="s">
        <v>198</v>
      </c>
      <c r="H370" s="130"/>
      <c r="I370" s="131">
        <v>0</v>
      </c>
      <c r="J370" s="131" t="s">
        <v>1621</v>
      </c>
      <c r="K370" s="131" t="s">
        <v>908</v>
      </c>
      <c r="L370" s="131">
        <v>-40</v>
      </c>
      <c r="M370" s="131"/>
      <c r="N370" s="130" t="str">
        <f t="shared" si="21"/>
        <v>StatusDistict(AttackRatio, -40)</v>
      </c>
      <c r="O370" s="130">
        <v>0</v>
      </c>
      <c r="P370" s="130">
        <v>0</v>
      </c>
      <c r="Q370" s="130"/>
      <c r="R370" s="130" t="b">
        <v>1</v>
      </c>
    </row>
    <row r="371" spans="1:18" s="73" customFormat="1">
      <c r="A371" s="130" t="s">
        <v>1515</v>
      </c>
      <c r="B371" s="130"/>
      <c r="C371" s="130"/>
      <c r="D371" s="130">
        <v>0</v>
      </c>
      <c r="E371" s="130">
        <v>1</v>
      </c>
      <c r="F371" s="131" t="s">
        <v>197</v>
      </c>
      <c r="G371" s="131" t="s">
        <v>198</v>
      </c>
      <c r="H371" s="130"/>
      <c r="I371" s="131">
        <v>0</v>
      </c>
      <c r="J371" s="131" t="s">
        <v>1621</v>
      </c>
      <c r="K371" s="131" t="s">
        <v>908</v>
      </c>
      <c r="L371" s="131">
        <v>-80</v>
      </c>
      <c r="M371" s="131"/>
      <c r="N371" s="130" t="str">
        <f t="shared" si="21"/>
        <v>StatusDistict(AttackRatio, -80)</v>
      </c>
      <c r="O371" s="130">
        <v>0</v>
      </c>
      <c r="P371" s="130">
        <v>0</v>
      </c>
      <c r="Q371" s="130"/>
      <c r="R371" s="130" t="b">
        <v>1</v>
      </c>
    </row>
    <row r="372" spans="1:18" s="73" customFormat="1">
      <c r="A372" s="130" t="s">
        <v>1516</v>
      </c>
      <c r="B372" s="130"/>
      <c r="C372" s="130"/>
      <c r="D372" s="130">
        <v>0</v>
      </c>
      <c r="E372" s="130">
        <v>1</v>
      </c>
      <c r="F372" s="131" t="s">
        <v>197</v>
      </c>
      <c r="G372" s="131" t="s">
        <v>198</v>
      </c>
      <c r="H372" s="130"/>
      <c r="I372" s="131">
        <v>0</v>
      </c>
      <c r="J372" s="131" t="s">
        <v>1621</v>
      </c>
      <c r="K372" s="131" t="s">
        <v>908</v>
      </c>
      <c r="L372" s="131">
        <v>-120</v>
      </c>
      <c r="M372" s="131"/>
      <c r="N372" s="130" t="str">
        <f t="shared" ref="N372:N435" si="25">J372&amp;"("&amp;IF(K372="","",K372)&amp;IF(L372="","",", "&amp;L372)&amp;IF(M372="","",", "&amp;M372)&amp;")"</f>
        <v>StatusDistict(AttackRatio, -120)</v>
      </c>
      <c r="O372" s="130">
        <v>0</v>
      </c>
      <c r="P372" s="130">
        <v>0</v>
      </c>
      <c r="Q372" s="130"/>
      <c r="R372" s="130" t="b">
        <v>1</v>
      </c>
    </row>
    <row r="373" spans="1:18" s="73" customFormat="1">
      <c r="A373" s="130" t="s">
        <v>1517</v>
      </c>
      <c r="B373" s="130"/>
      <c r="C373" s="130"/>
      <c r="D373" s="130">
        <v>0</v>
      </c>
      <c r="E373" s="130">
        <v>1</v>
      </c>
      <c r="F373" s="131" t="s">
        <v>197</v>
      </c>
      <c r="G373" s="131" t="s">
        <v>198</v>
      </c>
      <c r="H373" s="130"/>
      <c r="I373" s="131">
        <v>0</v>
      </c>
      <c r="J373" s="131" t="s">
        <v>1621</v>
      </c>
      <c r="K373" s="131" t="s">
        <v>908</v>
      </c>
      <c r="L373" s="131">
        <v>-160</v>
      </c>
      <c r="M373" s="131"/>
      <c r="N373" s="130" t="str">
        <f t="shared" si="25"/>
        <v>StatusDistict(AttackRatio, -160)</v>
      </c>
      <c r="O373" s="130">
        <v>0</v>
      </c>
      <c r="P373" s="130">
        <v>0</v>
      </c>
      <c r="Q373" s="130"/>
      <c r="R373" s="130" t="b">
        <v>1</v>
      </c>
    </row>
    <row r="374" spans="1:18" s="73" customFormat="1">
      <c r="A374" s="130" t="s">
        <v>1518</v>
      </c>
      <c r="B374" s="130"/>
      <c r="C374" s="130"/>
      <c r="D374" s="130">
        <v>0</v>
      </c>
      <c r="E374" s="130">
        <v>1</v>
      </c>
      <c r="F374" s="131" t="s">
        <v>197</v>
      </c>
      <c r="G374" s="131" t="s">
        <v>198</v>
      </c>
      <c r="H374" s="130"/>
      <c r="I374" s="131">
        <v>0</v>
      </c>
      <c r="J374" s="131" t="s">
        <v>1621</v>
      </c>
      <c r="K374" s="131" t="s">
        <v>908</v>
      </c>
      <c r="L374" s="131">
        <v>-200</v>
      </c>
      <c r="M374" s="131"/>
      <c r="N374" s="130" t="str">
        <f t="shared" si="25"/>
        <v>StatusDistict(AttackRatio, -200)</v>
      </c>
      <c r="O374" s="130">
        <v>0</v>
      </c>
      <c r="P374" s="130">
        <v>0</v>
      </c>
      <c r="Q374" s="130"/>
      <c r="R374" s="130" t="b">
        <v>1</v>
      </c>
    </row>
    <row r="375" spans="1:18" s="73" customFormat="1">
      <c r="A375" s="126" t="s">
        <v>4398</v>
      </c>
      <c r="B375" s="126"/>
      <c r="C375" s="126"/>
      <c r="D375" s="126">
        <v>0</v>
      </c>
      <c r="E375" s="126">
        <v>1</v>
      </c>
      <c r="F375" s="127" t="s">
        <v>197</v>
      </c>
      <c r="G375" s="127" t="s">
        <v>198</v>
      </c>
      <c r="H375" s="126"/>
      <c r="I375" s="127">
        <v>0</v>
      </c>
      <c r="J375" s="127" t="s">
        <v>1621</v>
      </c>
      <c r="K375" s="127" t="s">
        <v>7275</v>
      </c>
      <c r="L375" s="127">
        <v>-150</v>
      </c>
      <c r="M375" s="127"/>
      <c r="N375" s="126" t="str">
        <f t="shared" si="25"/>
        <v>StatusDistict(DefenseRatio, -150)</v>
      </c>
      <c r="O375" s="126">
        <v>0</v>
      </c>
      <c r="P375" s="126">
        <v>0</v>
      </c>
      <c r="Q375" s="126"/>
      <c r="R375" s="126" t="b">
        <v>1</v>
      </c>
    </row>
    <row r="376" spans="1:18" s="73" customFormat="1">
      <c r="A376" s="126" t="s">
        <v>1519</v>
      </c>
      <c r="B376" s="126"/>
      <c r="C376" s="126"/>
      <c r="D376" s="126">
        <v>0</v>
      </c>
      <c r="E376" s="126">
        <v>1</v>
      </c>
      <c r="F376" s="127" t="s">
        <v>197</v>
      </c>
      <c r="G376" s="127" t="s">
        <v>198</v>
      </c>
      <c r="H376" s="126"/>
      <c r="I376" s="127">
        <v>0</v>
      </c>
      <c r="J376" s="127" t="s">
        <v>1621</v>
      </c>
      <c r="K376" s="127" t="s">
        <v>897</v>
      </c>
      <c r="L376" s="127">
        <v>-300</v>
      </c>
      <c r="M376" s="127"/>
      <c r="N376" s="126" t="str">
        <f t="shared" si="25"/>
        <v>StatusDistict(DefenseRatio, -300)</v>
      </c>
      <c r="O376" s="126">
        <v>0</v>
      </c>
      <c r="P376" s="126">
        <v>0</v>
      </c>
      <c r="Q376" s="126"/>
      <c r="R376" s="126" t="b">
        <v>1</v>
      </c>
    </row>
    <row r="377" spans="1:18" s="73" customFormat="1">
      <c r="A377" s="126" t="s">
        <v>1520</v>
      </c>
      <c r="B377" s="126"/>
      <c r="C377" s="126"/>
      <c r="D377" s="126">
        <v>0</v>
      </c>
      <c r="E377" s="126">
        <v>1</v>
      </c>
      <c r="F377" s="127" t="s">
        <v>197</v>
      </c>
      <c r="G377" s="127" t="s">
        <v>198</v>
      </c>
      <c r="H377" s="126"/>
      <c r="I377" s="127">
        <v>0</v>
      </c>
      <c r="J377" s="127" t="s">
        <v>1621</v>
      </c>
      <c r="K377" s="127" t="s">
        <v>897</v>
      </c>
      <c r="L377" s="127">
        <v>-450</v>
      </c>
      <c r="M377" s="127"/>
      <c r="N377" s="126" t="str">
        <f t="shared" si="25"/>
        <v>StatusDistict(DefenseRatio, -450)</v>
      </c>
      <c r="O377" s="126">
        <v>0</v>
      </c>
      <c r="P377" s="126">
        <v>0</v>
      </c>
      <c r="Q377" s="126"/>
      <c r="R377" s="126" t="b">
        <v>1</v>
      </c>
    </row>
    <row r="378" spans="1:18" s="73" customFormat="1">
      <c r="A378" s="126" t="s">
        <v>1521</v>
      </c>
      <c r="B378" s="126"/>
      <c r="C378" s="126"/>
      <c r="D378" s="126">
        <v>0</v>
      </c>
      <c r="E378" s="126">
        <v>1</v>
      </c>
      <c r="F378" s="127" t="s">
        <v>197</v>
      </c>
      <c r="G378" s="127" t="s">
        <v>198</v>
      </c>
      <c r="H378" s="126"/>
      <c r="I378" s="127">
        <v>0</v>
      </c>
      <c r="J378" s="127" t="s">
        <v>1621</v>
      </c>
      <c r="K378" s="127" t="s">
        <v>897</v>
      </c>
      <c r="L378" s="127">
        <v>-600</v>
      </c>
      <c r="M378" s="127"/>
      <c r="N378" s="126" t="str">
        <f t="shared" si="25"/>
        <v>StatusDistict(DefenseRatio, -600)</v>
      </c>
      <c r="O378" s="126">
        <v>0</v>
      </c>
      <c r="P378" s="126">
        <v>0</v>
      </c>
      <c r="Q378" s="126"/>
      <c r="R378" s="126" t="b">
        <v>1</v>
      </c>
    </row>
    <row r="379" spans="1:18" s="73" customFormat="1">
      <c r="A379" s="126" t="s">
        <v>3631</v>
      </c>
      <c r="B379" s="126"/>
      <c r="C379" s="126"/>
      <c r="D379" s="126">
        <v>0</v>
      </c>
      <c r="E379" s="126">
        <v>1</v>
      </c>
      <c r="F379" s="127" t="s">
        <v>197</v>
      </c>
      <c r="G379" s="127" t="s">
        <v>198</v>
      </c>
      <c r="H379" s="126"/>
      <c r="I379" s="127">
        <v>0</v>
      </c>
      <c r="J379" s="127" t="s">
        <v>1621</v>
      </c>
      <c r="K379" s="127" t="s">
        <v>897</v>
      </c>
      <c r="L379" s="127">
        <v>-750</v>
      </c>
      <c r="M379" s="127"/>
      <c r="N379" s="126" t="str">
        <f t="shared" si="25"/>
        <v>StatusDistict(DefenseRatio, -750)</v>
      </c>
      <c r="O379" s="126">
        <v>0</v>
      </c>
      <c r="P379" s="126">
        <v>0</v>
      </c>
      <c r="Q379" s="126"/>
      <c r="R379" s="126" t="b">
        <v>1</v>
      </c>
    </row>
    <row r="380" spans="1:18" s="73" customFormat="1">
      <c r="A380" s="130" t="s">
        <v>1697</v>
      </c>
      <c r="B380" s="130"/>
      <c r="C380" s="130"/>
      <c r="D380" s="130">
        <v>0</v>
      </c>
      <c r="E380" s="130">
        <v>1</v>
      </c>
      <c r="F380" s="131" t="s">
        <v>197</v>
      </c>
      <c r="G380" s="131" t="s">
        <v>198</v>
      </c>
      <c r="H380" s="130"/>
      <c r="I380" s="131">
        <v>0</v>
      </c>
      <c r="J380" s="131" t="s">
        <v>1621</v>
      </c>
      <c r="K380" s="131" t="s">
        <v>867</v>
      </c>
      <c r="L380" s="131">
        <v>-80</v>
      </c>
      <c r="M380" s="131"/>
      <c r="N380" s="130" t="str">
        <f t="shared" si="25"/>
        <v>StatusDistict(CriticalRate, -80)</v>
      </c>
      <c r="O380" s="130">
        <v>0</v>
      </c>
      <c r="P380" s="130">
        <v>0</v>
      </c>
      <c r="Q380" s="130"/>
      <c r="R380" s="130" t="b">
        <v>1</v>
      </c>
    </row>
    <row r="381" spans="1:18" s="73" customFormat="1">
      <c r="A381" s="130" t="s">
        <v>1523</v>
      </c>
      <c r="B381" s="130"/>
      <c r="C381" s="130"/>
      <c r="D381" s="130">
        <v>0</v>
      </c>
      <c r="E381" s="130">
        <v>1</v>
      </c>
      <c r="F381" s="131" t="s">
        <v>197</v>
      </c>
      <c r="G381" s="131" t="s">
        <v>198</v>
      </c>
      <c r="H381" s="130"/>
      <c r="I381" s="131">
        <v>0</v>
      </c>
      <c r="J381" s="131" t="s">
        <v>1621</v>
      </c>
      <c r="K381" s="131" t="s">
        <v>867</v>
      </c>
      <c r="L381" s="131">
        <v>-110</v>
      </c>
      <c r="M381" s="131"/>
      <c r="N381" s="130" t="str">
        <f t="shared" si="25"/>
        <v>StatusDistict(CriticalRate, -110)</v>
      </c>
      <c r="O381" s="130">
        <v>0</v>
      </c>
      <c r="P381" s="130">
        <v>0</v>
      </c>
      <c r="Q381" s="130"/>
      <c r="R381" s="130" t="b">
        <v>1</v>
      </c>
    </row>
    <row r="382" spans="1:18" s="73" customFormat="1">
      <c r="A382" s="130" t="s">
        <v>1524</v>
      </c>
      <c r="B382" s="130"/>
      <c r="C382" s="130"/>
      <c r="D382" s="130">
        <v>0</v>
      </c>
      <c r="E382" s="130">
        <v>1</v>
      </c>
      <c r="F382" s="131" t="s">
        <v>197</v>
      </c>
      <c r="G382" s="131" t="s">
        <v>198</v>
      </c>
      <c r="H382" s="130"/>
      <c r="I382" s="131">
        <v>0</v>
      </c>
      <c r="J382" s="131" t="s">
        <v>1621</v>
      </c>
      <c r="K382" s="131" t="s">
        <v>867</v>
      </c>
      <c r="L382" s="131">
        <v>-140</v>
      </c>
      <c r="M382" s="131"/>
      <c r="N382" s="130" t="str">
        <f t="shared" si="25"/>
        <v>StatusDistict(CriticalRate, -140)</v>
      </c>
      <c r="O382" s="130">
        <v>0</v>
      </c>
      <c r="P382" s="130">
        <v>0</v>
      </c>
      <c r="Q382" s="130"/>
      <c r="R382" s="130" t="b">
        <v>1</v>
      </c>
    </row>
    <row r="383" spans="1:18" s="73" customFormat="1">
      <c r="A383" s="130" t="s">
        <v>1525</v>
      </c>
      <c r="B383" s="130"/>
      <c r="C383" s="130"/>
      <c r="D383" s="130">
        <v>0</v>
      </c>
      <c r="E383" s="130">
        <v>1</v>
      </c>
      <c r="F383" s="131" t="s">
        <v>197</v>
      </c>
      <c r="G383" s="131" t="s">
        <v>198</v>
      </c>
      <c r="H383" s="130"/>
      <c r="I383" s="131">
        <v>0</v>
      </c>
      <c r="J383" s="131" t="s">
        <v>1621</v>
      </c>
      <c r="K383" s="131" t="s">
        <v>867</v>
      </c>
      <c r="L383" s="131">
        <v>-170</v>
      </c>
      <c r="M383" s="131"/>
      <c r="N383" s="130" t="str">
        <f t="shared" si="25"/>
        <v>StatusDistict(CriticalRate, -170)</v>
      </c>
      <c r="O383" s="130">
        <v>0</v>
      </c>
      <c r="P383" s="130">
        <v>0</v>
      </c>
      <c r="Q383" s="130"/>
      <c r="R383" s="130" t="b">
        <v>1</v>
      </c>
    </row>
    <row r="384" spans="1:18" s="73" customFormat="1">
      <c r="A384" s="130" t="s">
        <v>1526</v>
      </c>
      <c r="B384" s="130"/>
      <c r="C384" s="130"/>
      <c r="D384" s="130">
        <v>0</v>
      </c>
      <c r="E384" s="130">
        <v>1</v>
      </c>
      <c r="F384" s="131" t="s">
        <v>197</v>
      </c>
      <c r="G384" s="131" t="s">
        <v>198</v>
      </c>
      <c r="H384" s="130"/>
      <c r="I384" s="131">
        <v>0</v>
      </c>
      <c r="J384" s="131" t="s">
        <v>1621</v>
      </c>
      <c r="K384" s="131" t="s">
        <v>867</v>
      </c>
      <c r="L384" s="131">
        <v>-200</v>
      </c>
      <c r="M384" s="131"/>
      <c r="N384" s="130" t="str">
        <f t="shared" si="25"/>
        <v>StatusDistict(CriticalRate, -200)</v>
      </c>
      <c r="O384" s="130">
        <v>0</v>
      </c>
      <c r="P384" s="130">
        <v>0</v>
      </c>
      <c r="Q384" s="130"/>
      <c r="R384" s="130" t="b">
        <v>1</v>
      </c>
    </row>
    <row r="385" spans="1:18" s="73" customFormat="1">
      <c r="A385" s="126" t="s">
        <v>1698</v>
      </c>
      <c r="B385" s="126"/>
      <c r="C385" s="126"/>
      <c r="D385" s="126">
        <v>0</v>
      </c>
      <c r="E385" s="126">
        <v>1</v>
      </c>
      <c r="F385" s="127" t="s">
        <v>197</v>
      </c>
      <c r="G385" s="127" t="s">
        <v>198</v>
      </c>
      <c r="H385" s="126"/>
      <c r="I385" s="127">
        <v>0</v>
      </c>
      <c r="J385" s="127" t="s">
        <v>1621</v>
      </c>
      <c r="K385" s="127" t="s">
        <v>926</v>
      </c>
      <c r="L385" s="127">
        <v>-240</v>
      </c>
      <c r="M385" s="127"/>
      <c r="N385" s="126" t="str">
        <f t="shared" si="25"/>
        <v>StatusDistict(CriticalDamageRate, -240)</v>
      </c>
      <c r="O385" s="126">
        <v>0</v>
      </c>
      <c r="P385" s="126">
        <v>0</v>
      </c>
      <c r="Q385" s="126"/>
      <c r="R385" s="126" t="b">
        <v>1</v>
      </c>
    </row>
    <row r="386" spans="1:18" s="73" customFormat="1">
      <c r="A386" s="126" t="s">
        <v>1527</v>
      </c>
      <c r="B386" s="126"/>
      <c r="C386" s="126"/>
      <c r="D386" s="126">
        <v>0</v>
      </c>
      <c r="E386" s="126">
        <v>1</v>
      </c>
      <c r="F386" s="127" t="s">
        <v>197</v>
      </c>
      <c r="G386" s="127" t="s">
        <v>198</v>
      </c>
      <c r="H386" s="126"/>
      <c r="I386" s="127">
        <v>0</v>
      </c>
      <c r="J386" s="127" t="s">
        <v>1621</v>
      </c>
      <c r="K386" s="127" t="s">
        <v>926</v>
      </c>
      <c r="L386" s="127">
        <v>-300</v>
      </c>
      <c r="M386" s="127"/>
      <c r="N386" s="126" t="str">
        <f t="shared" si="25"/>
        <v>StatusDistict(CriticalDamageRate, -300)</v>
      </c>
      <c r="O386" s="126">
        <v>0</v>
      </c>
      <c r="P386" s="126">
        <v>0</v>
      </c>
      <c r="Q386" s="126"/>
      <c r="R386" s="126" t="b">
        <v>1</v>
      </c>
    </row>
    <row r="387" spans="1:18" s="73" customFormat="1">
      <c r="A387" s="126" t="s">
        <v>1528</v>
      </c>
      <c r="B387" s="126"/>
      <c r="C387" s="126"/>
      <c r="D387" s="126">
        <v>0</v>
      </c>
      <c r="E387" s="126">
        <v>1</v>
      </c>
      <c r="F387" s="127" t="s">
        <v>197</v>
      </c>
      <c r="G387" s="127" t="s">
        <v>198</v>
      </c>
      <c r="H387" s="126"/>
      <c r="I387" s="127">
        <v>0</v>
      </c>
      <c r="J387" s="127" t="s">
        <v>1621</v>
      </c>
      <c r="K387" s="127" t="s">
        <v>926</v>
      </c>
      <c r="L387" s="127">
        <v>-360</v>
      </c>
      <c r="M387" s="127"/>
      <c r="N387" s="126" t="str">
        <f t="shared" si="25"/>
        <v>StatusDistict(CriticalDamageRate, -360)</v>
      </c>
      <c r="O387" s="126">
        <v>0</v>
      </c>
      <c r="P387" s="126">
        <v>0</v>
      </c>
      <c r="Q387" s="126"/>
      <c r="R387" s="126" t="b">
        <v>1</v>
      </c>
    </row>
    <row r="388" spans="1:18" s="73" customFormat="1">
      <c r="A388" s="126" t="s">
        <v>1529</v>
      </c>
      <c r="B388" s="126"/>
      <c r="C388" s="126"/>
      <c r="D388" s="126">
        <v>0</v>
      </c>
      <c r="E388" s="126">
        <v>1</v>
      </c>
      <c r="F388" s="127" t="s">
        <v>197</v>
      </c>
      <c r="G388" s="127" t="s">
        <v>198</v>
      </c>
      <c r="H388" s="126"/>
      <c r="I388" s="127">
        <v>0</v>
      </c>
      <c r="J388" s="127" t="s">
        <v>1621</v>
      </c>
      <c r="K388" s="127" t="s">
        <v>926</v>
      </c>
      <c r="L388" s="127">
        <v>-420</v>
      </c>
      <c r="M388" s="127"/>
      <c r="N388" s="126" t="str">
        <f t="shared" si="25"/>
        <v>StatusDistict(CriticalDamageRate, -420)</v>
      </c>
      <c r="O388" s="126">
        <v>0</v>
      </c>
      <c r="P388" s="126">
        <v>0</v>
      </c>
      <c r="Q388" s="126"/>
      <c r="R388" s="126" t="b">
        <v>1</v>
      </c>
    </row>
    <row r="389" spans="1:18" s="73" customFormat="1">
      <c r="A389" s="126" t="s">
        <v>1530</v>
      </c>
      <c r="B389" s="126"/>
      <c r="C389" s="126"/>
      <c r="D389" s="126">
        <v>0</v>
      </c>
      <c r="E389" s="126">
        <v>1</v>
      </c>
      <c r="F389" s="127" t="s">
        <v>197</v>
      </c>
      <c r="G389" s="127" t="s">
        <v>198</v>
      </c>
      <c r="H389" s="126"/>
      <c r="I389" s="127">
        <v>0</v>
      </c>
      <c r="J389" s="127" t="s">
        <v>1621</v>
      </c>
      <c r="K389" s="127" t="s">
        <v>926</v>
      </c>
      <c r="L389" s="127">
        <v>-480</v>
      </c>
      <c r="M389" s="127"/>
      <c r="N389" s="126" t="str">
        <f t="shared" si="25"/>
        <v>StatusDistict(CriticalDamageRate, -480)</v>
      </c>
      <c r="O389" s="126">
        <v>0</v>
      </c>
      <c r="P389" s="126">
        <v>0</v>
      </c>
      <c r="Q389" s="126"/>
      <c r="R389" s="126" t="b">
        <v>1</v>
      </c>
    </row>
    <row r="390" spans="1:18" s="73" customFormat="1">
      <c r="A390" s="130" t="s">
        <v>4243</v>
      </c>
      <c r="B390" s="130"/>
      <c r="C390" s="130"/>
      <c r="D390" s="130">
        <v>0</v>
      </c>
      <c r="E390" s="130">
        <v>1</v>
      </c>
      <c r="F390" s="131" t="s">
        <v>197</v>
      </c>
      <c r="G390" s="131" t="s">
        <v>198</v>
      </c>
      <c r="H390" s="130"/>
      <c r="I390" s="131">
        <v>0</v>
      </c>
      <c r="J390" s="131" t="s">
        <v>1621</v>
      </c>
      <c r="K390" s="131" t="s">
        <v>3352</v>
      </c>
      <c r="L390" s="131">
        <v>-80</v>
      </c>
      <c r="M390" s="131"/>
      <c r="N390" s="130" t="str">
        <f t="shared" si="25"/>
        <v>StatusDistict(AttackSpeedRate, -80)</v>
      </c>
      <c r="O390" s="130">
        <v>0</v>
      </c>
      <c r="P390" s="130">
        <v>0</v>
      </c>
      <c r="Q390" s="130"/>
      <c r="R390" s="130" t="b">
        <v>1</v>
      </c>
    </row>
    <row r="391" spans="1:18" s="73" customFormat="1">
      <c r="A391" s="130" t="s">
        <v>1531</v>
      </c>
      <c r="B391" s="130"/>
      <c r="C391" s="130"/>
      <c r="D391" s="130">
        <v>0</v>
      </c>
      <c r="E391" s="130">
        <v>1</v>
      </c>
      <c r="F391" s="131" t="s">
        <v>197</v>
      </c>
      <c r="G391" s="131" t="s">
        <v>198</v>
      </c>
      <c r="H391" s="130"/>
      <c r="I391" s="131">
        <v>0</v>
      </c>
      <c r="J391" s="131" t="s">
        <v>1621</v>
      </c>
      <c r="K391" s="131" t="s">
        <v>918</v>
      </c>
      <c r="L391" s="131">
        <v>-120</v>
      </c>
      <c r="M391" s="131"/>
      <c r="N391" s="130" t="str">
        <f t="shared" si="25"/>
        <v>StatusDistict(AttackSpeedRate, -120)</v>
      </c>
      <c r="O391" s="130">
        <v>0</v>
      </c>
      <c r="P391" s="130">
        <v>0</v>
      </c>
      <c r="Q391" s="130"/>
      <c r="R391" s="130" t="b">
        <v>1</v>
      </c>
    </row>
    <row r="392" spans="1:18" s="73" customFormat="1">
      <c r="A392" s="130" t="s">
        <v>1532</v>
      </c>
      <c r="B392" s="130"/>
      <c r="C392" s="130"/>
      <c r="D392" s="130">
        <v>0</v>
      </c>
      <c r="E392" s="130">
        <v>1</v>
      </c>
      <c r="F392" s="131" t="s">
        <v>197</v>
      </c>
      <c r="G392" s="131" t="s">
        <v>198</v>
      </c>
      <c r="H392" s="130"/>
      <c r="I392" s="131">
        <v>0</v>
      </c>
      <c r="J392" s="131" t="s">
        <v>1621</v>
      </c>
      <c r="K392" s="131" t="s">
        <v>918</v>
      </c>
      <c r="L392" s="131">
        <v>-160</v>
      </c>
      <c r="M392" s="131"/>
      <c r="N392" s="130" t="str">
        <f t="shared" si="25"/>
        <v>StatusDistict(AttackSpeedRate, -160)</v>
      </c>
      <c r="O392" s="130">
        <v>0</v>
      </c>
      <c r="P392" s="130">
        <v>0</v>
      </c>
      <c r="Q392" s="130"/>
      <c r="R392" s="130" t="b">
        <v>1</v>
      </c>
    </row>
    <row r="393" spans="1:18" s="73" customFormat="1">
      <c r="A393" s="130" t="s">
        <v>1533</v>
      </c>
      <c r="B393" s="130"/>
      <c r="C393" s="130"/>
      <c r="D393" s="130">
        <v>0</v>
      </c>
      <c r="E393" s="130">
        <v>1</v>
      </c>
      <c r="F393" s="131" t="s">
        <v>197</v>
      </c>
      <c r="G393" s="131" t="s">
        <v>198</v>
      </c>
      <c r="H393" s="130"/>
      <c r="I393" s="131">
        <v>0</v>
      </c>
      <c r="J393" s="131" t="s">
        <v>1621</v>
      </c>
      <c r="K393" s="131" t="s">
        <v>918</v>
      </c>
      <c r="L393" s="131">
        <v>-200</v>
      </c>
      <c r="M393" s="131"/>
      <c r="N393" s="130" t="str">
        <f t="shared" si="25"/>
        <v>StatusDistict(AttackSpeedRate, -200)</v>
      </c>
      <c r="O393" s="130">
        <v>0</v>
      </c>
      <c r="P393" s="130">
        <v>0</v>
      </c>
      <c r="Q393" s="130"/>
      <c r="R393" s="130" t="b">
        <v>1</v>
      </c>
    </row>
    <row r="394" spans="1:18" s="73" customFormat="1">
      <c r="A394" s="130" t="s">
        <v>1534</v>
      </c>
      <c r="B394" s="130"/>
      <c r="C394" s="130"/>
      <c r="D394" s="130">
        <v>0</v>
      </c>
      <c r="E394" s="130">
        <v>1</v>
      </c>
      <c r="F394" s="131" t="s">
        <v>197</v>
      </c>
      <c r="G394" s="131" t="s">
        <v>198</v>
      </c>
      <c r="H394" s="130"/>
      <c r="I394" s="131">
        <v>0</v>
      </c>
      <c r="J394" s="131" t="s">
        <v>1621</v>
      </c>
      <c r="K394" s="131" t="s">
        <v>918</v>
      </c>
      <c r="L394" s="131">
        <v>-240</v>
      </c>
      <c r="M394" s="131"/>
      <c r="N394" s="130" t="str">
        <f t="shared" si="25"/>
        <v>StatusDistict(AttackSpeedRate, -240)</v>
      </c>
      <c r="O394" s="130">
        <v>0</v>
      </c>
      <c r="P394" s="130">
        <v>0</v>
      </c>
      <c r="Q394" s="130"/>
      <c r="R394" s="130" t="b">
        <v>1</v>
      </c>
    </row>
    <row r="395" spans="1:18" s="73" customFormat="1">
      <c r="A395" s="126" t="s">
        <v>4686</v>
      </c>
      <c r="B395" s="126"/>
      <c r="C395" s="126"/>
      <c r="D395" s="126">
        <v>0</v>
      </c>
      <c r="E395" s="126">
        <v>1</v>
      </c>
      <c r="F395" s="127" t="s">
        <v>197</v>
      </c>
      <c r="G395" s="127" t="s">
        <v>198</v>
      </c>
      <c r="H395" s="126"/>
      <c r="I395" s="127">
        <v>0</v>
      </c>
      <c r="J395" s="127" t="s">
        <v>1621</v>
      </c>
      <c r="K395" s="127" t="s">
        <v>5913</v>
      </c>
      <c r="L395" s="127">
        <v>-60</v>
      </c>
      <c r="M395" s="127"/>
      <c r="N395" s="126" t="str">
        <f t="shared" si="25"/>
        <v>StatusDistict(AccuracyRate, -60)</v>
      </c>
      <c r="O395" s="126">
        <v>0</v>
      </c>
      <c r="P395" s="126">
        <v>0</v>
      </c>
      <c r="Q395" s="126"/>
      <c r="R395" s="126" t="b">
        <v>1</v>
      </c>
    </row>
    <row r="396" spans="1:18" s="73" customFormat="1">
      <c r="A396" s="126" t="s">
        <v>1535</v>
      </c>
      <c r="B396" s="126"/>
      <c r="C396" s="126"/>
      <c r="D396" s="126">
        <v>0</v>
      </c>
      <c r="E396" s="126">
        <v>1</v>
      </c>
      <c r="F396" s="127" t="s">
        <v>197</v>
      </c>
      <c r="G396" s="127" t="s">
        <v>198</v>
      </c>
      <c r="H396" s="126"/>
      <c r="I396" s="127">
        <v>0</v>
      </c>
      <c r="J396" s="127" t="s">
        <v>1621</v>
      </c>
      <c r="K396" s="127" t="s">
        <v>870</v>
      </c>
      <c r="L396" s="127">
        <v>-120</v>
      </c>
      <c r="M396" s="127"/>
      <c r="N396" s="126" t="str">
        <f t="shared" si="25"/>
        <v>StatusDistict(AccuracyRate, -120)</v>
      </c>
      <c r="O396" s="126">
        <v>0</v>
      </c>
      <c r="P396" s="126">
        <v>0</v>
      </c>
      <c r="Q396" s="126"/>
      <c r="R396" s="126" t="b">
        <v>1</v>
      </c>
    </row>
    <row r="397" spans="1:18" s="73" customFormat="1">
      <c r="A397" s="126" t="s">
        <v>1536</v>
      </c>
      <c r="B397" s="126"/>
      <c r="C397" s="126"/>
      <c r="D397" s="126">
        <v>0</v>
      </c>
      <c r="E397" s="126">
        <v>1</v>
      </c>
      <c r="F397" s="127" t="s">
        <v>197</v>
      </c>
      <c r="G397" s="127" t="s">
        <v>198</v>
      </c>
      <c r="H397" s="126"/>
      <c r="I397" s="127">
        <v>0</v>
      </c>
      <c r="J397" s="127" t="s">
        <v>1621</v>
      </c>
      <c r="K397" s="127" t="s">
        <v>870</v>
      </c>
      <c r="L397" s="127">
        <v>-180</v>
      </c>
      <c r="M397" s="127"/>
      <c r="N397" s="126" t="str">
        <f t="shared" si="25"/>
        <v>StatusDistict(AccuracyRate, -180)</v>
      </c>
      <c r="O397" s="126">
        <v>0</v>
      </c>
      <c r="P397" s="126">
        <v>0</v>
      </c>
      <c r="Q397" s="126"/>
      <c r="R397" s="126" t="b">
        <v>1</v>
      </c>
    </row>
    <row r="398" spans="1:18" s="73" customFormat="1">
      <c r="A398" s="126" t="s">
        <v>1537</v>
      </c>
      <c r="B398" s="126"/>
      <c r="C398" s="126"/>
      <c r="D398" s="126">
        <v>0</v>
      </c>
      <c r="E398" s="126">
        <v>1</v>
      </c>
      <c r="F398" s="127" t="s">
        <v>197</v>
      </c>
      <c r="G398" s="127" t="s">
        <v>198</v>
      </c>
      <c r="H398" s="126"/>
      <c r="I398" s="127">
        <v>0</v>
      </c>
      <c r="J398" s="127" t="s">
        <v>1621</v>
      </c>
      <c r="K398" s="127" t="s">
        <v>870</v>
      </c>
      <c r="L398" s="127">
        <v>-240</v>
      </c>
      <c r="M398" s="127"/>
      <c r="N398" s="126" t="str">
        <f t="shared" si="25"/>
        <v>StatusDistict(AccuracyRate, -240)</v>
      </c>
      <c r="O398" s="126">
        <v>0</v>
      </c>
      <c r="P398" s="126">
        <v>0</v>
      </c>
      <c r="Q398" s="126"/>
      <c r="R398" s="126" t="b">
        <v>1</v>
      </c>
    </row>
    <row r="399" spans="1:18" s="73" customFormat="1">
      <c r="A399" s="126" t="s">
        <v>1538</v>
      </c>
      <c r="B399" s="126"/>
      <c r="C399" s="126"/>
      <c r="D399" s="126">
        <v>0</v>
      </c>
      <c r="E399" s="126">
        <v>1</v>
      </c>
      <c r="F399" s="127" t="s">
        <v>197</v>
      </c>
      <c r="G399" s="127" t="s">
        <v>198</v>
      </c>
      <c r="H399" s="126"/>
      <c r="I399" s="127">
        <v>0</v>
      </c>
      <c r="J399" s="127" t="s">
        <v>1621</v>
      </c>
      <c r="K399" s="127" t="s">
        <v>870</v>
      </c>
      <c r="L399" s="127">
        <v>-300</v>
      </c>
      <c r="M399" s="127"/>
      <c r="N399" s="126" t="str">
        <f t="shared" si="25"/>
        <v>StatusDistict(AccuracyRate, -300)</v>
      </c>
      <c r="O399" s="126">
        <v>0</v>
      </c>
      <c r="P399" s="126">
        <v>0</v>
      </c>
      <c r="Q399" s="126"/>
      <c r="R399" s="126" t="b">
        <v>1</v>
      </c>
    </row>
    <row r="400" spans="1:18" s="73" customFormat="1">
      <c r="A400" s="130" t="s">
        <v>1699</v>
      </c>
      <c r="B400" s="130"/>
      <c r="C400" s="130"/>
      <c r="D400" s="130">
        <v>0</v>
      </c>
      <c r="E400" s="130">
        <v>1</v>
      </c>
      <c r="F400" s="131" t="s">
        <v>197</v>
      </c>
      <c r="G400" s="131" t="s">
        <v>198</v>
      </c>
      <c r="H400" s="130"/>
      <c r="I400" s="131">
        <v>0</v>
      </c>
      <c r="J400" s="131" t="s">
        <v>1621</v>
      </c>
      <c r="K400" s="131" t="s">
        <v>869</v>
      </c>
      <c r="L400" s="131">
        <v>-60</v>
      </c>
      <c r="M400" s="131"/>
      <c r="N400" s="130" t="str">
        <f t="shared" si="25"/>
        <v>StatusDistict(AccuracyDerate, -60)</v>
      </c>
      <c r="O400" s="130">
        <v>0</v>
      </c>
      <c r="P400" s="130">
        <v>0</v>
      </c>
      <c r="Q400" s="130"/>
      <c r="R400" s="130" t="b">
        <v>1</v>
      </c>
    </row>
    <row r="401" spans="1:18" s="73" customFormat="1">
      <c r="A401" s="130" t="s">
        <v>1539</v>
      </c>
      <c r="B401" s="130"/>
      <c r="C401" s="130"/>
      <c r="D401" s="130">
        <v>0</v>
      </c>
      <c r="E401" s="130">
        <v>1</v>
      </c>
      <c r="F401" s="131" t="s">
        <v>197</v>
      </c>
      <c r="G401" s="131" t="s">
        <v>198</v>
      </c>
      <c r="H401" s="130"/>
      <c r="I401" s="131">
        <v>0</v>
      </c>
      <c r="J401" s="131" t="s">
        <v>1621</v>
      </c>
      <c r="K401" s="131" t="s">
        <v>869</v>
      </c>
      <c r="L401" s="131">
        <v>-120</v>
      </c>
      <c r="M401" s="131"/>
      <c r="N401" s="130" t="str">
        <f t="shared" si="25"/>
        <v>StatusDistict(AccuracyDerate, -120)</v>
      </c>
      <c r="O401" s="130">
        <v>0</v>
      </c>
      <c r="P401" s="130">
        <v>0</v>
      </c>
      <c r="Q401" s="130"/>
      <c r="R401" s="130" t="b">
        <v>1</v>
      </c>
    </row>
    <row r="402" spans="1:18" s="73" customFormat="1">
      <c r="A402" s="130" t="s">
        <v>1540</v>
      </c>
      <c r="B402" s="130"/>
      <c r="C402" s="130"/>
      <c r="D402" s="130">
        <v>0</v>
      </c>
      <c r="E402" s="130">
        <v>1</v>
      </c>
      <c r="F402" s="131" t="s">
        <v>197</v>
      </c>
      <c r="G402" s="131" t="s">
        <v>198</v>
      </c>
      <c r="H402" s="130"/>
      <c r="I402" s="131">
        <v>0</v>
      </c>
      <c r="J402" s="131" t="s">
        <v>1621</v>
      </c>
      <c r="K402" s="131" t="s">
        <v>869</v>
      </c>
      <c r="L402" s="131">
        <v>-180</v>
      </c>
      <c r="M402" s="131"/>
      <c r="N402" s="130" t="str">
        <f t="shared" si="25"/>
        <v>StatusDistict(AccuracyDerate, -180)</v>
      </c>
      <c r="O402" s="130">
        <v>0</v>
      </c>
      <c r="P402" s="130">
        <v>0</v>
      </c>
      <c r="Q402" s="130"/>
      <c r="R402" s="130" t="b">
        <v>1</v>
      </c>
    </row>
    <row r="403" spans="1:18" s="73" customFormat="1">
      <c r="A403" s="130" t="s">
        <v>1541</v>
      </c>
      <c r="B403" s="130"/>
      <c r="C403" s="130"/>
      <c r="D403" s="130">
        <v>0</v>
      </c>
      <c r="E403" s="130">
        <v>1</v>
      </c>
      <c r="F403" s="131" t="s">
        <v>197</v>
      </c>
      <c r="G403" s="131" t="s">
        <v>198</v>
      </c>
      <c r="H403" s="130"/>
      <c r="I403" s="131">
        <v>0</v>
      </c>
      <c r="J403" s="131" t="s">
        <v>1621</v>
      </c>
      <c r="K403" s="131" t="s">
        <v>869</v>
      </c>
      <c r="L403" s="131">
        <v>-240</v>
      </c>
      <c r="M403" s="131"/>
      <c r="N403" s="130" t="str">
        <f t="shared" si="25"/>
        <v>StatusDistict(AccuracyDerate, -240)</v>
      </c>
      <c r="O403" s="130">
        <v>0</v>
      </c>
      <c r="P403" s="130">
        <v>0</v>
      </c>
      <c r="Q403" s="130"/>
      <c r="R403" s="130" t="b">
        <v>1</v>
      </c>
    </row>
    <row r="404" spans="1:18" s="73" customFormat="1">
      <c r="A404" s="130" t="s">
        <v>1542</v>
      </c>
      <c r="B404" s="130"/>
      <c r="C404" s="130"/>
      <c r="D404" s="130">
        <v>0</v>
      </c>
      <c r="E404" s="130">
        <v>1</v>
      </c>
      <c r="F404" s="131" t="s">
        <v>197</v>
      </c>
      <c r="G404" s="131" t="s">
        <v>198</v>
      </c>
      <c r="H404" s="130"/>
      <c r="I404" s="131">
        <v>0</v>
      </c>
      <c r="J404" s="131" t="s">
        <v>1621</v>
      </c>
      <c r="K404" s="131" t="s">
        <v>869</v>
      </c>
      <c r="L404" s="131">
        <v>-300</v>
      </c>
      <c r="M404" s="131"/>
      <c r="N404" s="130" t="str">
        <f t="shared" si="25"/>
        <v>StatusDistict(AccuracyDerate, -300)</v>
      </c>
      <c r="O404" s="130">
        <v>0</v>
      </c>
      <c r="P404" s="130">
        <v>0</v>
      </c>
      <c r="Q404" s="130"/>
      <c r="R404" s="130" t="b">
        <v>1</v>
      </c>
    </row>
    <row r="405" spans="1:18" s="73" customFormat="1">
      <c r="A405" s="126" t="s">
        <v>1700</v>
      </c>
      <c r="B405" s="126"/>
      <c r="C405" s="126"/>
      <c r="D405" s="126">
        <v>0</v>
      </c>
      <c r="E405" s="126">
        <v>1</v>
      </c>
      <c r="F405" s="127" t="s">
        <v>197</v>
      </c>
      <c r="G405" s="127" t="s">
        <v>198</v>
      </c>
      <c r="H405" s="126"/>
      <c r="I405" s="127">
        <v>0</v>
      </c>
      <c r="J405" s="127" t="s">
        <v>1621</v>
      </c>
      <c r="K405" s="127" t="s">
        <v>905</v>
      </c>
      <c r="L405" s="127">
        <v>-150</v>
      </c>
      <c r="M405" s="127"/>
      <c r="N405" s="126" t="str">
        <f t="shared" si="25"/>
        <v>StatusDistict(DamageRate, -150)</v>
      </c>
      <c r="O405" s="126">
        <v>0</v>
      </c>
      <c r="P405" s="126">
        <v>0</v>
      </c>
      <c r="Q405" s="126"/>
      <c r="R405" s="126" t="b">
        <v>1</v>
      </c>
    </row>
    <row r="406" spans="1:18" s="73" customFormat="1">
      <c r="A406" s="126" t="s">
        <v>1543</v>
      </c>
      <c r="B406" s="126"/>
      <c r="C406" s="126"/>
      <c r="D406" s="126">
        <v>0</v>
      </c>
      <c r="E406" s="126">
        <v>1</v>
      </c>
      <c r="F406" s="127" t="s">
        <v>197</v>
      </c>
      <c r="G406" s="127" t="s">
        <v>198</v>
      </c>
      <c r="H406" s="126"/>
      <c r="I406" s="127">
        <v>0</v>
      </c>
      <c r="J406" s="127" t="s">
        <v>1621</v>
      </c>
      <c r="K406" s="127" t="s">
        <v>905</v>
      </c>
      <c r="L406" s="127">
        <v>-200</v>
      </c>
      <c r="M406" s="127"/>
      <c r="N406" s="126" t="str">
        <f t="shared" si="25"/>
        <v>StatusDistict(DamageRate, -200)</v>
      </c>
      <c r="O406" s="126">
        <v>0</v>
      </c>
      <c r="P406" s="126">
        <v>0</v>
      </c>
      <c r="Q406" s="126"/>
      <c r="R406" s="126" t="b">
        <v>1</v>
      </c>
    </row>
    <row r="407" spans="1:18" s="73" customFormat="1">
      <c r="A407" s="126" t="s">
        <v>1544</v>
      </c>
      <c r="B407" s="126"/>
      <c r="C407" s="126"/>
      <c r="D407" s="126">
        <v>0</v>
      </c>
      <c r="E407" s="126">
        <v>1</v>
      </c>
      <c r="F407" s="127" t="s">
        <v>197</v>
      </c>
      <c r="G407" s="127" t="s">
        <v>198</v>
      </c>
      <c r="H407" s="126"/>
      <c r="I407" s="127">
        <v>0</v>
      </c>
      <c r="J407" s="127" t="s">
        <v>1621</v>
      </c>
      <c r="K407" s="127" t="s">
        <v>905</v>
      </c>
      <c r="L407" s="127">
        <v>-250</v>
      </c>
      <c r="M407" s="127"/>
      <c r="N407" s="126" t="str">
        <f t="shared" si="25"/>
        <v>StatusDistict(DamageRate, -250)</v>
      </c>
      <c r="O407" s="126">
        <v>0</v>
      </c>
      <c r="P407" s="126">
        <v>0</v>
      </c>
      <c r="Q407" s="126"/>
      <c r="R407" s="126" t="b">
        <v>1</v>
      </c>
    </row>
    <row r="408" spans="1:18" s="73" customFormat="1">
      <c r="A408" s="126" t="s">
        <v>1545</v>
      </c>
      <c r="B408" s="126"/>
      <c r="C408" s="126"/>
      <c r="D408" s="126">
        <v>0</v>
      </c>
      <c r="E408" s="126">
        <v>1</v>
      </c>
      <c r="F408" s="127" t="s">
        <v>197</v>
      </c>
      <c r="G408" s="127" t="s">
        <v>198</v>
      </c>
      <c r="H408" s="126"/>
      <c r="I408" s="127">
        <v>0</v>
      </c>
      <c r="J408" s="127" t="s">
        <v>1621</v>
      </c>
      <c r="K408" s="127" t="s">
        <v>905</v>
      </c>
      <c r="L408" s="127">
        <v>-300</v>
      </c>
      <c r="M408" s="127"/>
      <c r="N408" s="126" t="str">
        <f t="shared" si="25"/>
        <v>StatusDistict(DamageRate, -300)</v>
      </c>
      <c r="O408" s="126">
        <v>0</v>
      </c>
      <c r="P408" s="126">
        <v>0</v>
      </c>
      <c r="Q408" s="126"/>
      <c r="R408" s="126" t="b">
        <v>1</v>
      </c>
    </row>
    <row r="409" spans="1:18" s="73" customFormat="1">
      <c r="A409" s="126" t="s">
        <v>1546</v>
      </c>
      <c r="B409" s="126"/>
      <c r="C409" s="126"/>
      <c r="D409" s="126">
        <v>0</v>
      </c>
      <c r="E409" s="126">
        <v>1</v>
      </c>
      <c r="F409" s="127" t="s">
        <v>197</v>
      </c>
      <c r="G409" s="127" t="s">
        <v>198</v>
      </c>
      <c r="H409" s="126"/>
      <c r="I409" s="127">
        <v>0</v>
      </c>
      <c r="J409" s="127" t="s">
        <v>1621</v>
      </c>
      <c r="K409" s="127" t="s">
        <v>905</v>
      </c>
      <c r="L409" s="127">
        <v>-350</v>
      </c>
      <c r="M409" s="127"/>
      <c r="N409" s="126" t="str">
        <f t="shared" si="25"/>
        <v>StatusDistict(DamageRate, -350)</v>
      </c>
      <c r="O409" s="126">
        <v>0</v>
      </c>
      <c r="P409" s="126">
        <v>0</v>
      </c>
      <c r="Q409" s="126"/>
      <c r="R409" s="126" t="b">
        <v>1</v>
      </c>
    </row>
    <row r="410" spans="1:18" s="73" customFormat="1">
      <c r="A410" s="130" t="s">
        <v>1701</v>
      </c>
      <c r="B410" s="130"/>
      <c r="C410" s="130"/>
      <c r="D410" s="130">
        <v>0</v>
      </c>
      <c r="E410" s="130">
        <v>1</v>
      </c>
      <c r="F410" s="131" t="s">
        <v>197</v>
      </c>
      <c r="G410" s="131" t="s">
        <v>198</v>
      </c>
      <c r="H410" s="130"/>
      <c r="I410" s="131">
        <v>0</v>
      </c>
      <c r="J410" s="131" t="s">
        <v>1621</v>
      </c>
      <c r="K410" s="131" t="s">
        <v>1614</v>
      </c>
      <c r="L410" s="131">
        <v>-200</v>
      </c>
      <c r="M410" s="131"/>
      <c r="N410" s="130" t="str">
        <f t="shared" si="25"/>
        <v>StatusDistict(SingleAreaDamageRate, -200)</v>
      </c>
      <c r="O410" s="130">
        <v>0</v>
      </c>
      <c r="P410" s="130">
        <v>0</v>
      </c>
      <c r="Q410" s="130"/>
      <c r="R410" s="130" t="b">
        <v>1</v>
      </c>
    </row>
    <row r="411" spans="1:18" s="73" customFormat="1">
      <c r="A411" s="130" t="s">
        <v>1547</v>
      </c>
      <c r="B411" s="130"/>
      <c r="C411" s="130"/>
      <c r="D411" s="130">
        <v>0</v>
      </c>
      <c r="E411" s="130">
        <v>1</v>
      </c>
      <c r="F411" s="131" t="s">
        <v>197</v>
      </c>
      <c r="G411" s="131" t="s">
        <v>198</v>
      </c>
      <c r="H411" s="130"/>
      <c r="I411" s="131">
        <v>0</v>
      </c>
      <c r="J411" s="131" t="s">
        <v>1621</v>
      </c>
      <c r="K411" s="131" t="s">
        <v>1614</v>
      </c>
      <c r="L411" s="131">
        <v>-250</v>
      </c>
      <c r="M411" s="131"/>
      <c r="N411" s="130" t="str">
        <f t="shared" si="25"/>
        <v>StatusDistict(SingleAreaDamageRate, -250)</v>
      </c>
      <c r="O411" s="130">
        <v>0</v>
      </c>
      <c r="P411" s="130">
        <v>0</v>
      </c>
      <c r="Q411" s="130"/>
      <c r="R411" s="130" t="b">
        <v>1</v>
      </c>
    </row>
    <row r="412" spans="1:18" s="73" customFormat="1">
      <c r="A412" s="130" t="s">
        <v>1548</v>
      </c>
      <c r="B412" s="130"/>
      <c r="C412" s="130"/>
      <c r="D412" s="130">
        <v>0</v>
      </c>
      <c r="E412" s="130">
        <v>1</v>
      </c>
      <c r="F412" s="131" t="s">
        <v>197</v>
      </c>
      <c r="G412" s="131" t="s">
        <v>198</v>
      </c>
      <c r="H412" s="130"/>
      <c r="I412" s="131">
        <v>0</v>
      </c>
      <c r="J412" s="131" t="s">
        <v>1621</v>
      </c>
      <c r="K412" s="131" t="s">
        <v>1614</v>
      </c>
      <c r="L412" s="131">
        <v>-300</v>
      </c>
      <c r="M412" s="131"/>
      <c r="N412" s="130" t="str">
        <f t="shared" si="25"/>
        <v>StatusDistict(SingleAreaDamageRate, -300)</v>
      </c>
      <c r="O412" s="130">
        <v>0</v>
      </c>
      <c r="P412" s="130">
        <v>0</v>
      </c>
      <c r="Q412" s="130"/>
      <c r="R412" s="130" t="b">
        <v>1</v>
      </c>
    </row>
    <row r="413" spans="1:18" s="73" customFormat="1">
      <c r="A413" s="130" t="s">
        <v>1549</v>
      </c>
      <c r="B413" s="130"/>
      <c r="C413" s="130"/>
      <c r="D413" s="130">
        <v>0</v>
      </c>
      <c r="E413" s="130">
        <v>1</v>
      </c>
      <c r="F413" s="131" t="s">
        <v>197</v>
      </c>
      <c r="G413" s="131" t="s">
        <v>198</v>
      </c>
      <c r="H413" s="130"/>
      <c r="I413" s="131">
        <v>0</v>
      </c>
      <c r="J413" s="131" t="s">
        <v>1621</v>
      </c>
      <c r="K413" s="131" t="s">
        <v>1614</v>
      </c>
      <c r="L413" s="131">
        <v>-350</v>
      </c>
      <c r="M413" s="131"/>
      <c r="N413" s="130" t="str">
        <f t="shared" si="25"/>
        <v>StatusDistict(SingleAreaDamageRate, -350)</v>
      </c>
      <c r="O413" s="130">
        <v>0</v>
      </c>
      <c r="P413" s="130">
        <v>0</v>
      </c>
      <c r="Q413" s="130"/>
      <c r="R413" s="130" t="b">
        <v>1</v>
      </c>
    </row>
    <row r="414" spans="1:18" s="73" customFormat="1">
      <c r="A414" s="130" t="s">
        <v>1550</v>
      </c>
      <c r="B414" s="130"/>
      <c r="C414" s="130"/>
      <c r="D414" s="130">
        <v>0</v>
      </c>
      <c r="E414" s="130">
        <v>1</v>
      </c>
      <c r="F414" s="131" t="s">
        <v>197</v>
      </c>
      <c r="G414" s="131" t="s">
        <v>198</v>
      </c>
      <c r="H414" s="130"/>
      <c r="I414" s="131">
        <v>0</v>
      </c>
      <c r="J414" s="131" t="s">
        <v>1621</v>
      </c>
      <c r="K414" s="131" t="s">
        <v>1614</v>
      </c>
      <c r="L414" s="131">
        <v>-400</v>
      </c>
      <c r="M414" s="131"/>
      <c r="N414" s="130" t="str">
        <f t="shared" si="25"/>
        <v>StatusDistict(SingleAreaDamageRate, -400)</v>
      </c>
      <c r="O414" s="130">
        <v>0</v>
      </c>
      <c r="P414" s="130">
        <v>0</v>
      </c>
      <c r="Q414" s="130"/>
      <c r="R414" s="130" t="b">
        <v>1</v>
      </c>
    </row>
    <row r="415" spans="1:18" s="73" customFormat="1">
      <c r="A415" s="126" t="s">
        <v>1702</v>
      </c>
      <c r="B415" s="126"/>
      <c r="C415" s="126"/>
      <c r="D415" s="126">
        <v>0</v>
      </c>
      <c r="E415" s="126">
        <v>1</v>
      </c>
      <c r="F415" s="127" t="s">
        <v>197</v>
      </c>
      <c r="G415" s="127" t="s">
        <v>198</v>
      </c>
      <c r="H415" s="126"/>
      <c r="I415" s="127">
        <v>0</v>
      </c>
      <c r="J415" s="127" t="s">
        <v>1621</v>
      </c>
      <c r="K415" s="127" t="s">
        <v>935</v>
      </c>
      <c r="L415" s="127">
        <v>-200</v>
      </c>
      <c r="M415" s="127"/>
      <c r="N415" s="126" t="str">
        <f t="shared" si="25"/>
        <v>StatusDistict(AreaDamageRate, -200)</v>
      </c>
      <c r="O415" s="126">
        <v>0</v>
      </c>
      <c r="P415" s="126">
        <v>0</v>
      </c>
      <c r="Q415" s="126"/>
      <c r="R415" s="126" t="b">
        <v>1</v>
      </c>
    </row>
    <row r="416" spans="1:18" s="73" customFormat="1">
      <c r="A416" s="126" t="s">
        <v>1551</v>
      </c>
      <c r="B416" s="126"/>
      <c r="C416" s="126"/>
      <c r="D416" s="126">
        <v>0</v>
      </c>
      <c r="E416" s="126">
        <v>1</v>
      </c>
      <c r="F416" s="127" t="s">
        <v>197</v>
      </c>
      <c r="G416" s="127" t="s">
        <v>198</v>
      </c>
      <c r="H416" s="126"/>
      <c r="I416" s="127">
        <v>0</v>
      </c>
      <c r="J416" s="127" t="s">
        <v>1621</v>
      </c>
      <c r="K416" s="127" t="s">
        <v>935</v>
      </c>
      <c r="L416" s="127">
        <v>-250</v>
      </c>
      <c r="M416" s="127"/>
      <c r="N416" s="126" t="str">
        <f t="shared" si="25"/>
        <v>StatusDistict(AreaDamageRate, -250)</v>
      </c>
      <c r="O416" s="126">
        <v>0</v>
      </c>
      <c r="P416" s="126">
        <v>0</v>
      </c>
      <c r="Q416" s="126"/>
      <c r="R416" s="126" t="b">
        <v>1</v>
      </c>
    </row>
    <row r="417" spans="1:18" s="73" customFormat="1">
      <c r="A417" s="126" t="s">
        <v>1552</v>
      </c>
      <c r="B417" s="126"/>
      <c r="C417" s="126"/>
      <c r="D417" s="126">
        <v>0</v>
      </c>
      <c r="E417" s="126">
        <v>1</v>
      </c>
      <c r="F417" s="127" t="s">
        <v>197</v>
      </c>
      <c r="G417" s="127" t="s">
        <v>198</v>
      </c>
      <c r="H417" s="126"/>
      <c r="I417" s="127">
        <v>0</v>
      </c>
      <c r="J417" s="127" t="s">
        <v>1621</v>
      </c>
      <c r="K417" s="127" t="s">
        <v>935</v>
      </c>
      <c r="L417" s="127">
        <v>-300</v>
      </c>
      <c r="M417" s="127"/>
      <c r="N417" s="126" t="str">
        <f t="shared" si="25"/>
        <v>StatusDistict(AreaDamageRate, -300)</v>
      </c>
      <c r="O417" s="126">
        <v>0</v>
      </c>
      <c r="P417" s="126">
        <v>0</v>
      </c>
      <c r="Q417" s="126"/>
      <c r="R417" s="126" t="b">
        <v>1</v>
      </c>
    </row>
    <row r="418" spans="1:18" s="73" customFormat="1">
      <c r="A418" s="126" t="s">
        <v>1553</v>
      </c>
      <c r="B418" s="126"/>
      <c r="C418" s="126"/>
      <c r="D418" s="126">
        <v>0</v>
      </c>
      <c r="E418" s="126">
        <v>1</v>
      </c>
      <c r="F418" s="127" t="s">
        <v>197</v>
      </c>
      <c r="G418" s="127" t="s">
        <v>198</v>
      </c>
      <c r="H418" s="126"/>
      <c r="I418" s="127">
        <v>0</v>
      </c>
      <c r="J418" s="127" t="s">
        <v>1621</v>
      </c>
      <c r="K418" s="127" t="s">
        <v>935</v>
      </c>
      <c r="L418" s="127">
        <v>-350</v>
      </c>
      <c r="M418" s="127"/>
      <c r="N418" s="126" t="str">
        <f t="shared" si="25"/>
        <v>StatusDistict(AreaDamageRate, -350)</v>
      </c>
      <c r="O418" s="126">
        <v>0</v>
      </c>
      <c r="P418" s="126">
        <v>0</v>
      </c>
      <c r="Q418" s="126"/>
      <c r="R418" s="126" t="b">
        <v>1</v>
      </c>
    </row>
    <row r="419" spans="1:18" s="73" customFormat="1">
      <c r="A419" s="126" t="s">
        <v>1554</v>
      </c>
      <c r="B419" s="126"/>
      <c r="C419" s="126"/>
      <c r="D419" s="126">
        <v>0</v>
      </c>
      <c r="E419" s="126">
        <v>1</v>
      </c>
      <c r="F419" s="127" t="s">
        <v>197</v>
      </c>
      <c r="G419" s="127" t="s">
        <v>198</v>
      </c>
      <c r="H419" s="126"/>
      <c r="I419" s="127">
        <v>0</v>
      </c>
      <c r="J419" s="127" t="s">
        <v>1621</v>
      </c>
      <c r="K419" s="127" t="s">
        <v>935</v>
      </c>
      <c r="L419" s="127">
        <v>-400</v>
      </c>
      <c r="M419" s="127"/>
      <c r="N419" s="126" t="str">
        <f t="shared" si="25"/>
        <v>StatusDistict(AreaDamageRate, -400)</v>
      </c>
      <c r="O419" s="126">
        <v>0</v>
      </c>
      <c r="P419" s="126">
        <v>0</v>
      </c>
      <c r="Q419" s="126"/>
      <c r="R419" s="126" t="b">
        <v>1</v>
      </c>
    </row>
    <row r="420" spans="1:18" s="73" customFormat="1">
      <c r="A420" s="130" t="s">
        <v>1703</v>
      </c>
      <c r="B420" s="130"/>
      <c r="C420" s="130"/>
      <c r="D420" s="130">
        <v>0</v>
      </c>
      <c r="E420" s="130">
        <v>1</v>
      </c>
      <c r="F420" s="131" t="s">
        <v>197</v>
      </c>
      <c r="G420" s="131" t="s">
        <v>198</v>
      </c>
      <c r="H420" s="130"/>
      <c r="I420" s="131">
        <v>0</v>
      </c>
      <c r="J420" s="131" t="s">
        <v>1621</v>
      </c>
      <c r="K420" s="131" t="s">
        <v>1615</v>
      </c>
      <c r="L420" s="131">
        <v>-200</v>
      </c>
      <c r="M420" s="131"/>
      <c r="N420" s="130" t="str">
        <f t="shared" si="25"/>
        <v>StatusDistict(MeleeDamageRate, -200)</v>
      </c>
      <c r="O420" s="130">
        <v>0</v>
      </c>
      <c r="P420" s="130">
        <v>0</v>
      </c>
      <c r="Q420" s="130"/>
      <c r="R420" s="130" t="b">
        <v>1</v>
      </c>
    </row>
    <row r="421" spans="1:18" s="73" customFormat="1">
      <c r="A421" s="130" t="s">
        <v>1555</v>
      </c>
      <c r="B421" s="130"/>
      <c r="C421" s="130"/>
      <c r="D421" s="130">
        <v>0</v>
      </c>
      <c r="E421" s="130">
        <v>1</v>
      </c>
      <c r="F421" s="131" t="s">
        <v>197</v>
      </c>
      <c r="G421" s="131" t="s">
        <v>198</v>
      </c>
      <c r="H421" s="130"/>
      <c r="I421" s="131">
        <v>0</v>
      </c>
      <c r="J421" s="131" t="s">
        <v>1621</v>
      </c>
      <c r="K421" s="131" t="s">
        <v>1615</v>
      </c>
      <c r="L421" s="131">
        <v>-250</v>
      </c>
      <c r="M421" s="131"/>
      <c r="N421" s="130" t="str">
        <f t="shared" si="25"/>
        <v>StatusDistict(MeleeDamageRate, -250)</v>
      </c>
      <c r="O421" s="130">
        <v>0</v>
      </c>
      <c r="P421" s="130">
        <v>0</v>
      </c>
      <c r="Q421" s="130"/>
      <c r="R421" s="130" t="b">
        <v>1</v>
      </c>
    </row>
    <row r="422" spans="1:18" s="73" customFormat="1">
      <c r="A422" s="130" t="s">
        <v>7276</v>
      </c>
      <c r="B422" s="130"/>
      <c r="C422" s="130"/>
      <c r="D422" s="130">
        <v>0</v>
      </c>
      <c r="E422" s="130">
        <v>1</v>
      </c>
      <c r="F422" s="131" t="s">
        <v>197</v>
      </c>
      <c r="G422" s="131" t="s">
        <v>198</v>
      </c>
      <c r="H422" s="130"/>
      <c r="I422" s="131">
        <v>0</v>
      </c>
      <c r="J422" s="131" t="s">
        <v>1621</v>
      </c>
      <c r="K422" s="131" t="s">
        <v>1615</v>
      </c>
      <c r="L422" s="131">
        <v>-300</v>
      </c>
      <c r="M422" s="131"/>
      <c r="N422" s="130" t="str">
        <f t="shared" si="25"/>
        <v>StatusDistict(MeleeDamageRate, -300)</v>
      </c>
      <c r="O422" s="130">
        <v>0</v>
      </c>
      <c r="P422" s="130">
        <v>0</v>
      </c>
      <c r="Q422" s="130"/>
      <c r="R422" s="130" t="b">
        <v>1</v>
      </c>
    </row>
    <row r="423" spans="1:18" s="73" customFormat="1">
      <c r="A423" s="130" t="s">
        <v>1557</v>
      </c>
      <c r="B423" s="130"/>
      <c r="C423" s="130"/>
      <c r="D423" s="130">
        <v>0</v>
      </c>
      <c r="E423" s="130">
        <v>1</v>
      </c>
      <c r="F423" s="131" t="s">
        <v>197</v>
      </c>
      <c r="G423" s="131" t="s">
        <v>198</v>
      </c>
      <c r="H423" s="130"/>
      <c r="I423" s="131">
        <v>0</v>
      </c>
      <c r="J423" s="131" t="s">
        <v>1621</v>
      </c>
      <c r="K423" s="131" t="s">
        <v>1615</v>
      </c>
      <c r="L423" s="131">
        <v>-350</v>
      </c>
      <c r="M423" s="131"/>
      <c r="N423" s="130" t="str">
        <f t="shared" si="25"/>
        <v>StatusDistict(MeleeDamageRate, -350)</v>
      </c>
      <c r="O423" s="130">
        <v>0</v>
      </c>
      <c r="P423" s="130">
        <v>0</v>
      </c>
      <c r="Q423" s="130"/>
      <c r="R423" s="130" t="b">
        <v>1</v>
      </c>
    </row>
    <row r="424" spans="1:18" s="73" customFormat="1">
      <c r="A424" s="130" t="s">
        <v>1558</v>
      </c>
      <c r="B424" s="130"/>
      <c r="C424" s="130"/>
      <c r="D424" s="130">
        <v>0</v>
      </c>
      <c r="E424" s="130">
        <v>1</v>
      </c>
      <c r="F424" s="131" t="s">
        <v>197</v>
      </c>
      <c r="G424" s="131" t="s">
        <v>198</v>
      </c>
      <c r="H424" s="130"/>
      <c r="I424" s="131">
        <v>0</v>
      </c>
      <c r="J424" s="131" t="s">
        <v>1621</v>
      </c>
      <c r="K424" s="131" t="s">
        <v>1615</v>
      </c>
      <c r="L424" s="131">
        <v>-400</v>
      </c>
      <c r="M424" s="131"/>
      <c r="N424" s="130" t="str">
        <f t="shared" si="25"/>
        <v>StatusDistict(MeleeDamageRate, -400)</v>
      </c>
      <c r="O424" s="130">
        <v>0</v>
      </c>
      <c r="P424" s="130">
        <v>0</v>
      </c>
      <c r="Q424" s="130"/>
      <c r="R424" s="130" t="b">
        <v>1</v>
      </c>
    </row>
    <row r="425" spans="1:18" s="73" customFormat="1">
      <c r="A425" s="126" t="s">
        <v>1704</v>
      </c>
      <c r="B425" s="126"/>
      <c r="C425" s="126"/>
      <c r="D425" s="126">
        <v>0</v>
      </c>
      <c r="E425" s="126">
        <v>1</v>
      </c>
      <c r="F425" s="127" t="s">
        <v>197</v>
      </c>
      <c r="G425" s="127" t="s">
        <v>198</v>
      </c>
      <c r="H425" s="126"/>
      <c r="I425" s="127">
        <v>0</v>
      </c>
      <c r="J425" s="127" t="s">
        <v>1621</v>
      </c>
      <c r="K425" s="127" t="s">
        <v>1616</v>
      </c>
      <c r="L425" s="127">
        <v>-200</v>
      </c>
      <c r="M425" s="127"/>
      <c r="N425" s="126" t="str">
        <f t="shared" si="25"/>
        <v>StatusDistict(RangeDamageRate, -200)</v>
      </c>
      <c r="O425" s="126">
        <v>0</v>
      </c>
      <c r="P425" s="126">
        <v>0</v>
      </c>
      <c r="Q425" s="126"/>
      <c r="R425" s="126" t="b">
        <v>1</v>
      </c>
    </row>
    <row r="426" spans="1:18" s="73" customFormat="1">
      <c r="A426" s="126" t="s">
        <v>1559</v>
      </c>
      <c r="B426" s="126"/>
      <c r="C426" s="126"/>
      <c r="D426" s="126">
        <v>0</v>
      </c>
      <c r="E426" s="126">
        <v>1</v>
      </c>
      <c r="F426" s="127" t="s">
        <v>197</v>
      </c>
      <c r="G426" s="127" t="s">
        <v>198</v>
      </c>
      <c r="H426" s="126"/>
      <c r="I426" s="127">
        <v>0</v>
      </c>
      <c r="J426" s="127" t="s">
        <v>1621</v>
      </c>
      <c r="K426" s="127" t="s">
        <v>1616</v>
      </c>
      <c r="L426" s="127">
        <v>-250</v>
      </c>
      <c r="M426" s="127"/>
      <c r="N426" s="126" t="str">
        <f t="shared" si="25"/>
        <v>StatusDistict(RangeDamageRate, -250)</v>
      </c>
      <c r="O426" s="126">
        <v>0</v>
      </c>
      <c r="P426" s="126">
        <v>0</v>
      </c>
      <c r="Q426" s="126"/>
      <c r="R426" s="126" t="b">
        <v>1</v>
      </c>
    </row>
    <row r="427" spans="1:18" s="73" customFormat="1">
      <c r="A427" s="126" t="s">
        <v>1560</v>
      </c>
      <c r="B427" s="126"/>
      <c r="C427" s="126"/>
      <c r="D427" s="126">
        <v>0</v>
      </c>
      <c r="E427" s="126">
        <v>1</v>
      </c>
      <c r="F427" s="127" t="s">
        <v>197</v>
      </c>
      <c r="G427" s="127" t="s">
        <v>198</v>
      </c>
      <c r="H427" s="126"/>
      <c r="I427" s="127">
        <v>0</v>
      </c>
      <c r="J427" s="127" t="s">
        <v>1621</v>
      </c>
      <c r="K427" s="127" t="s">
        <v>1616</v>
      </c>
      <c r="L427" s="127">
        <v>-300</v>
      </c>
      <c r="M427" s="127"/>
      <c r="N427" s="126" t="str">
        <f t="shared" si="25"/>
        <v>StatusDistict(RangeDamageRate, -300)</v>
      </c>
      <c r="O427" s="126">
        <v>0</v>
      </c>
      <c r="P427" s="126">
        <v>0</v>
      </c>
      <c r="Q427" s="126"/>
      <c r="R427" s="126" t="b">
        <v>1</v>
      </c>
    </row>
    <row r="428" spans="1:18" s="73" customFormat="1">
      <c r="A428" s="126" t="s">
        <v>1561</v>
      </c>
      <c r="B428" s="126"/>
      <c r="C428" s="126"/>
      <c r="D428" s="126">
        <v>0</v>
      </c>
      <c r="E428" s="126">
        <v>1</v>
      </c>
      <c r="F428" s="127" t="s">
        <v>197</v>
      </c>
      <c r="G428" s="127" t="s">
        <v>198</v>
      </c>
      <c r="H428" s="126"/>
      <c r="I428" s="127">
        <v>0</v>
      </c>
      <c r="J428" s="127" t="s">
        <v>1621</v>
      </c>
      <c r="K428" s="127" t="s">
        <v>1616</v>
      </c>
      <c r="L428" s="127">
        <v>-350</v>
      </c>
      <c r="M428" s="127"/>
      <c r="N428" s="126" t="str">
        <f t="shared" si="25"/>
        <v>StatusDistict(RangeDamageRate, -350)</v>
      </c>
      <c r="O428" s="126">
        <v>0</v>
      </c>
      <c r="P428" s="126">
        <v>0</v>
      </c>
      <c r="Q428" s="126"/>
      <c r="R428" s="126" t="b">
        <v>1</v>
      </c>
    </row>
    <row r="429" spans="1:18" s="73" customFormat="1">
      <c r="A429" s="126" t="s">
        <v>1562</v>
      </c>
      <c r="B429" s="126"/>
      <c r="C429" s="126"/>
      <c r="D429" s="126">
        <v>0</v>
      </c>
      <c r="E429" s="126">
        <v>1</v>
      </c>
      <c r="F429" s="127" t="s">
        <v>197</v>
      </c>
      <c r="G429" s="127" t="s">
        <v>198</v>
      </c>
      <c r="H429" s="126"/>
      <c r="I429" s="127">
        <v>0</v>
      </c>
      <c r="J429" s="127" t="s">
        <v>1621</v>
      </c>
      <c r="K429" s="127" t="s">
        <v>1616</v>
      </c>
      <c r="L429" s="127">
        <v>-400</v>
      </c>
      <c r="M429" s="127"/>
      <c r="N429" s="126" t="str">
        <f t="shared" si="25"/>
        <v>StatusDistict(RangeDamageRate, -400)</v>
      </c>
      <c r="O429" s="126">
        <v>0</v>
      </c>
      <c r="P429" s="126">
        <v>0</v>
      </c>
      <c r="Q429" s="126"/>
      <c r="R429" s="126" t="b">
        <v>1</v>
      </c>
    </row>
    <row r="430" spans="1:18" s="73" customFormat="1">
      <c r="A430" s="130" t="s">
        <v>1705</v>
      </c>
      <c r="B430" s="130"/>
      <c r="C430" s="130"/>
      <c r="D430" s="130">
        <v>0</v>
      </c>
      <c r="E430" s="130">
        <v>1</v>
      </c>
      <c r="F430" s="131" t="s">
        <v>197</v>
      </c>
      <c r="G430" s="131" t="s">
        <v>198</v>
      </c>
      <c r="H430" s="130"/>
      <c r="I430" s="131">
        <v>0</v>
      </c>
      <c r="J430" s="131" t="s">
        <v>1621</v>
      </c>
      <c r="K430" s="131" t="s">
        <v>4599</v>
      </c>
      <c r="L430" s="131">
        <v>-200</v>
      </c>
      <c r="M430" s="131"/>
      <c r="N430" s="130" t="str">
        <f t="shared" si="25"/>
        <v>StatusDistict(DotDamageRate, -200)</v>
      </c>
      <c r="O430" s="130">
        <v>0</v>
      </c>
      <c r="P430" s="130">
        <v>0</v>
      </c>
      <c r="Q430" s="130"/>
      <c r="R430" s="130" t="b">
        <v>1</v>
      </c>
    </row>
    <row r="431" spans="1:18" s="73" customFormat="1">
      <c r="A431" s="130" t="s">
        <v>1563</v>
      </c>
      <c r="B431" s="130"/>
      <c r="C431" s="130"/>
      <c r="D431" s="130">
        <v>0</v>
      </c>
      <c r="E431" s="130">
        <v>1</v>
      </c>
      <c r="F431" s="131" t="s">
        <v>197</v>
      </c>
      <c r="G431" s="131" t="s">
        <v>198</v>
      </c>
      <c r="H431" s="130"/>
      <c r="I431" s="131">
        <v>0</v>
      </c>
      <c r="J431" s="131" t="s">
        <v>1621</v>
      </c>
      <c r="K431" s="131" t="s">
        <v>4090</v>
      </c>
      <c r="L431" s="131">
        <v>-250</v>
      </c>
      <c r="M431" s="131"/>
      <c r="N431" s="130" t="str">
        <f t="shared" si="25"/>
        <v>StatusDistict(DotDamageRate, -250)</v>
      </c>
      <c r="O431" s="130">
        <v>0</v>
      </c>
      <c r="P431" s="130">
        <v>0</v>
      </c>
      <c r="Q431" s="130"/>
      <c r="R431" s="130" t="b">
        <v>1</v>
      </c>
    </row>
    <row r="432" spans="1:18" s="73" customFormat="1">
      <c r="A432" s="130" t="s">
        <v>1564</v>
      </c>
      <c r="B432" s="130"/>
      <c r="C432" s="130"/>
      <c r="D432" s="130">
        <v>0</v>
      </c>
      <c r="E432" s="130">
        <v>1</v>
      </c>
      <c r="F432" s="131" t="s">
        <v>197</v>
      </c>
      <c r="G432" s="131" t="s">
        <v>198</v>
      </c>
      <c r="H432" s="130"/>
      <c r="I432" s="131">
        <v>0</v>
      </c>
      <c r="J432" s="131" t="s">
        <v>1621</v>
      </c>
      <c r="K432" s="131" t="s">
        <v>4090</v>
      </c>
      <c r="L432" s="131">
        <v>-300</v>
      </c>
      <c r="M432" s="131"/>
      <c r="N432" s="130" t="str">
        <f t="shared" si="25"/>
        <v>StatusDistict(DotDamageRate, -300)</v>
      </c>
      <c r="O432" s="130">
        <v>0</v>
      </c>
      <c r="P432" s="130">
        <v>0</v>
      </c>
      <c r="Q432" s="130"/>
      <c r="R432" s="130" t="b">
        <v>1</v>
      </c>
    </row>
    <row r="433" spans="1:18" s="73" customFormat="1">
      <c r="A433" s="130" t="s">
        <v>1565</v>
      </c>
      <c r="B433" s="130"/>
      <c r="C433" s="130"/>
      <c r="D433" s="130">
        <v>0</v>
      </c>
      <c r="E433" s="130">
        <v>1</v>
      </c>
      <c r="F433" s="131" t="s">
        <v>197</v>
      </c>
      <c r="G433" s="131" t="s">
        <v>198</v>
      </c>
      <c r="H433" s="130"/>
      <c r="I433" s="131">
        <v>0</v>
      </c>
      <c r="J433" s="131" t="s">
        <v>1621</v>
      </c>
      <c r="K433" s="131" t="s">
        <v>4090</v>
      </c>
      <c r="L433" s="131">
        <v>-350</v>
      </c>
      <c r="M433" s="131"/>
      <c r="N433" s="130" t="str">
        <f t="shared" si="25"/>
        <v>StatusDistict(DotDamageRate, -350)</v>
      </c>
      <c r="O433" s="130">
        <v>0</v>
      </c>
      <c r="P433" s="130">
        <v>0</v>
      </c>
      <c r="Q433" s="130"/>
      <c r="R433" s="130" t="b">
        <v>1</v>
      </c>
    </row>
    <row r="434" spans="1:18" s="73" customFormat="1">
      <c r="A434" s="130" t="s">
        <v>1566</v>
      </c>
      <c r="B434" s="130"/>
      <c r="C434" s="130"/>
      <c r="D434" s="130">
        <v>0</v>
      </c>
      <c r="E434" s="130">
        <v>1</v>
      </c>
      <c r="F434" s="131" t="s">
        <v>197</v>
      </c>
      <c r="G434" s="131" t="s">
        <v>198</v>
      </c>
      <c r="H434" s="130"/>
      <c r="I434" s="131">
        <v>0</v>
      </c>
      <c r="J434" s="131" t="s">
        <v>1621</v>
      </c>
      <c r="K434" s="131" t="s">
        <v>4090</v>
      </c>
      <c r="L434" s="131">
        <v>-400</v>
      </c>
      <c r="M434" s="131"/>
      <c r="N434" s="130" t="str">
        <f t="shared" si="25"/>
        <v>StatusDistict(DotDamageRate, -400)</v>
      </c>
      <c r="O434" s="130">
        <v>0</v>
      </c>
      <c r="P434" s="130">
        <v>0</v>
      </c>
      <c r="Q434" s="130"/>
      <c r="R434" s="130" t="b">
        <v>1</v>
      </c>
    </row>
    <row r="435" spans="1:18" s="73" customFormat="1">
      <c r="A435" s="126" t="s">
        <v>1706</v>
      </c>
      <c r="B435" s="126"/>
      <c r="C435" s="126"/>
      <c r="D435" s="126">
        <v>0</v>
      </c>
      <c r="E435" s="126">
        <v>1</v>
      </c>
      <c r="F435" s="127" t="s">
        <v>197</v>
      </c>
      <c r="G435" s="127" t="s">
        <v>198</v>
      </c>
      <c r="H435" s="126"/>
      <c r="I435" s="127">
        <v>0</v>
      </c>
      <c r="J435" s="127" t="s">
        <v>1621</v>
      </c>
      <c r="K435" s="127" t="s">
        <v>839</v>
      </c>
      <c r="L435" s="127">
        <v>-100</v>
      </c>
      <c r="M435" s="127"/>
      <c r="N435" s="126" t="str">
        <f t="shared" si="25"/>
        <v>StatusDistict(DamageDerate, -100)</v>
      </c>
      <c r="O435" s="126">
        <v>0</v>
      </c>
      <c r="P435" s="126">
        <v>0</v>
      </c>
      <c r="Q435" s="126"/>
      <c r="R435" s="126" t="b">
        <v>1</v>
      </c>
    </row>
    <row r="436" spans="1:18" s="73" customFormat="1">
      <c r="A436" s="126" t="s">
        <v>1567</v>
      </c>
      <c r="B436" s="126"/>
      <c r="C436" s="126"/>
      <c r="D436" s="126">
        <v>0</v>
      </c>
      <c r="E436" s="126">
        <v>1</v>
      </c>
      <c r="F436" s="127" t="s">
        <v>197</v>
      </c>
      <c r="G436" s="127" t="s">
        <v>198</v>
      </c>
      <c r="H436" s="126"/>
      <c r="I436" s="127">
        <v>0</v>
      </c>
      <c r="J436" s="127" t="s">
        <v>1621</v>
      </c>
      <c r="K436" s="127" t="s">
        <v>839</v>
      </c>
      <c r="L436" s="127">
        <v>-200</v>
      </c>
      <c r="M436" s="127"/>
      <c r="N436" s="126" t="str">
        <f t="shared" ref="N436:N520" si="26">J436&amp;"("&amp;IF(K436="","",K436)&amp;IF(L436="","",", "&amp;L436)&amp;IF(M436="","",", "&amp;M436)&amp;")"</f>
        <v>StatusDistict(DamageDerate, -200)</v>
      </c>
      <c r="O436" s="126">
        <v>0</v>
      </c>
      <c r="P436" s="126">
        <v>0</v>
      </c>
      <c r="Q436" s="126"/>
      <c r="R436" s="126" t="b">
        <v>1</v>
      </c>
    </row>
    <row r="437" spans="1:18" s="73" customFormat="1">
      <c r="A437" s="126" t="s">
        <v>1568</v>
      </c>
      <c r="B437" s="126"/>
      <c r="C437" s="126"/>
      <c r="D437" s="126">
        <v>0</v>
      </c>
      <c r="E437" s="126">
        <v>1</v>
      </c>
      <c r="F437" s="127" t="s">
        <v>197</v>
      </c>
      <c r="G437" s="127" t="s">
        <v>198</v>
      </c>
      <c r="H437" s="126"/>
      <c r="I437" s="127">
        <v>0</v>
      </c>
      <c r="J437" s="127" t="s">
        <v>1621</v>
      </c>
      <c r="K437" s="127" t="s">
        <v>839</v>
      </c>
      <c r="L437" s="127">
        <v>-300</v>
      </c>
      <c r="M437" s="127"/>
      <c r="N437" s="126" t="str">
        <f t="shared" si="26"/>
        <v>StatusDistict(DamageDerate, -300)</v>
      </c>
      <c r="O437" s="126">
        <v>0</v>
      </c>
      <c r="P437" s="126">
        <v>0</v>
      </c>
      <c r="Q437" s="126"/>
      <c r="R437" s="126" t="b">
        <v>1</v>
      </c>
    </row>
    <row r="438" spans="1:18" s="73" customFormat="1">
      <c r="A438" s="126" t="s">
        <v>1569</v>
      </c>
      <c r="B438" s="126"/>
      <c r="C438" s="126"/>
      <c r="D438" s="126">
        <v>0</v>
      </c>
      <c r="E438" s="126">
        <v>1</v>
      </c>
      <c r="F438" s="127" t="s">
        <v>197</v>
      </c>
      <c r="G438" s="127" t="s">
        <v>198</v>
      </c>
      <c r="H438" s="126"/>
      <c r="I438" s="127">
        <v>0</v>
      </c>
      <c r="J438" s="127" t="s">
        <v>1621</v>
      </c>
      <c r="K438" s="127" t="s">
        <v>839</v>
      </c>
      <c r="L438" s="127">
        <v>-400</v>
      </c>
      <c r="M438" s="127"/>
      <c r="N438" s="126" t="str">
        <f t="shared" si="26"/>
        <v>StatusDistict(DamageDerate, -400)</v>
      </c>
      <c r="O438" s="126">
        <v>0</v>
      </c>
      <c r="P438" s="126">
        <v>0</v>
      </c>
      <c r="Q438" s="126"/>
      <c r="R438" s="126" t="b">
        <v>1</v>
      </c>
    </row>
    <row r="439" spans="1:18" s="73" customFormat="1">
      <c r="A439" s="126" t="s">
        <v>1570</v>
      </c>
      <c r="B439" s="126"/>
      <c r="C439" s="126"/>
      <c r="D439" s="126">
        <v>0</v>
      </c>
      <c r="E439" s="126">
        <v>1</v>
      </c>
      <c r="F439" s="127" t="s">
        <v>197</v>
      </c>
      <c r="G439" s="127" t="s">
        <v>198</v>
      </c>
      <c r="H439" s="126"/>
      <c r="I439" s="127">
        <v>0</v>
      </c>
      <c r="J439" s="127" t="s">
        <v>1621</v>
      </c>
      <c r="K439" s="127" t="s">
        <v>839</v>
      </c>
      <c r="L439" s="127">
        <v>-500</v>
      </c>
      <c r="M439" s="127"/>
      <c r="N439" s="126" t="str">
        <f t="shared" si="26"/>
        <v>StatusDistict(DamageDerate, -500)</v>
      </c>
      <c r="O439" s="126">
        <v>0</v>
      </c>
      <c r="P439" s="126">
        <v>0</v>
      </c>
      <c r="Q439" s="126"/>
      <c r="R439" s="126" t="b">
        <v>1</v>
      </c>
    </row>
    <row r="440" spans="1:18" s="73" customFormat="1">
      <c r="A440" s="130" t="s">
        <v>4348</v>
      </c>
      <c r="B440" s="130"/>
      <c r="C440" s="130"/>
      <c r="D440" s="130">
        <v>0</v>
      </c>
      <c r="E440" s="130">
        <v>1</v>
      </c>
      <c r="F440" s="131" t="s">
        <v>197</v>
      </c>
      <c r="G440" s="131" t="s">
        <v>198</v>
      </c>
      <c r="H440" s="130"/>
      <c r="I440" s="131">
        <v>0</v>
      </c>
      <c r="J440" s="131" t="s">
        <v>1621</v>
      </c>
      <c r="K440" s="131" t="s">
        <v>1337</v>
      </c>
      <c r="L440" s="131">
        <v>-120</v>
      </c>
      <c r="M440" s="131"/>
      <c r="N440" s="130" t="str">
        <f t="shared" si="26"/>
        <v>StatusDistict(SingleAreaDamageDerate, -120)</v>
      </c>
      <c r="O440" s="130">
        <v>0</v>
      </c>
      <c r="P440" s="130">
        <v>0</v>
      </c>
      <c r="Q440" s="130"/>
      <c r="R440" s="130" t="b">
        <v>1</v>
      </c>
    </row>
    <row r="441" spans="1:18" s="73" customFormat="1">
      <c r="A441" s="130" t="s">
        <v>1571</v>
      </c>
      <c r="B441" s="130"/>
      <c r="C441" s="130"/>
      <c r="D441" s="130">
        <v>0</v>
      </c>
      <c r="E441" s="130">
        <v>1</v>
      </c>
      <c r="F441" s="131" t="s">
        <v>197</v>
      </c>
      <c r="G441" s="131" t="s">
        <v>198</v>
      </c>
      <c r="H441" s="130"/>
      <c r="I441" s="131">
        <v>0</v>
      </c>
      <c r="J441" s="131" t="s">
        <v>1621</v>
      </c>
      <c r="K441" s="131" t="s">
        <v>1337</v>
      </c>
      <c r="L441" s="131">
        <v>-240</v>
      </c>
      <c r="M441" s="131"/>
      <c r="N441" s="130" t="str">
        <f t="shared" si="26"/>
        <v>StatusDistict(SingleAreaDamageDerate, -240)</v>
      </c>
      <c r="O441" s="130">
        <v>0</v>
      </c>
      <c r="P441" s="130">
        <v>0</v>
      </c>
      <c r="Q441" s="130"/>
      <c r="R441" s="130" t="b">
        <v>1</v>
      </c>
    </row>
    <row r="442" spans="1:18" s="73" customFormat="1">
      <c r="A442" s="130" t="s">
        <v>1572</v>
      </c>
      <c r="B442" s="130"/>
      <c r="C442" s="130"/>
      <c r="D442" s="130">
        <v>0</v>
      </c>
      <c r="E442" s="130">
        <v>1</v>
      </c>
      <c r="F442" s="131" t="s">
        <v>197</v>
      </c>
      <c r="G442" s="131" t="s">
        <v>198</v>
      </c>
      <c r="H442" s="130"/>
      <c r="I442" s="131">
        <v>0</v>
      </c>
      <c r="J442" s="131" t="s">
        <v>1621</v>
      </c>
      <c r="K442" s="131" t="s">
        <v>1337</v>
      </c>
      <c r="L442" s="131">
        <v>-360</v>
      </c>
      <c r="M442" s="131"/>
      <c r="N442" s="130" t="str">
        <f t="shared" si="26"/>
        <v>StatusDistict(SingleAreaDamageDerate, -360)</v>
      </c>
      <c r="O442" s="130">
        <v>0</v>
      </c>
      <c r="P442" s="130">
        <v>0</v>
      </c>
      <c r="Q442" s="130"/>
      <c r="R442" s="130" t="b">
        <v>1</v>
      </c>
    </row>
    <row r="443" spans="1:18" s="73" customFormat="1">
      <c r="A443" s="130" t="s">
        <v>1573</v>
      </c>
      <c r="B443" s="130"/>
      <c r="C443" s="130"/>
      <c r="D443" s="130">
        <v>0</v>
      </c>
      <c r="E443" s="130">
        <v>1</v>
      </c>
      <c r="F443" s="131" t="s">
        <v>197</v>
      </c>
      <c r="G443" s="131" t="s">
        <v>198</v>
      </c>
      <c r="H443" s="130"/>
      <c r="I443" s="131">
        <v>0</v>
      </c>
      <c r="J443" s="131" t="s">
        <v>1621</v>
      </c>
      <c r="K443" s="131" t="s">
        <v>1337</v>
      </c>
      <c r="L443" s="131">
        <v>-480</v>
      </c>
      <c r="M443" s="131"/>
      <c r="N443" s="130" t="str">
        <f t="shared" si="26"/>
        <v>StatusDistict(SingleAreaDamageDerate, -480)</v>
      </c>
      <c r="O443" s="130">
        <v>0</v>
      </c>
      <c r="P443" s="130">
        <v>0</v>
      </c>
      <c r="Q443" s="130"/>
      <c r="R443" s="130" t="b">
        <v>1</v>
      </c>
    </row>
    <row r="444" spans="1:18" s="73" customFormat="1">
      <c r="A444" s="130" t="s">
        <v>1574</v>
      </c>
      <c r="B444" s="130"/>
      <c r="C444" s="130"/>
      <c r="D444" s="130">
        <v>0</v>
      </c>
      <c r="E444" s="130">
        <v>1</v>
      </c>
      <c r="F444" s="131" t="s">
        <v>197</v>
      </c>
      <c r="G444" s="131" t="s">
        <v>198</v>
      </c>
      <c r="H444" s="130"/>
      <c r="I444" s="131">
        <v>0</v>
      </c>
      <c r="J444" s="131" t="s">
        <v>1621</v>
      </c>
      <c r="K444" s="131" t="s">
        <v>1337</v>
      </c>
      <c r="L444" s="131">
        <v>-600</v>
      </c>
      <c r="M444" s="131"/>
      <c r="N444" s="130" t="str">
        <f t="shared" si="26"/>
        <v>StatusDistict(SingleAreaDamageDerate, -600)</v>
      </c>
      <c r="O444" s="130">
        <v>0</v>
      </c>
      <c r="P444" s="130">
        <v>0</v>
      </c>
      <c r="Q444" s="130"/>
      <c r="R444" s="130" t="b">
        <v>1</v>
      </c>
    </row>
    <row r="445" spans="1:18" s="73" customFormat="1">
      <c r="A445" s="126" t="s">
        <v>4349</v>
      </c>
      <c r="B445" s="126"/>
      <c r="C445" s="126"/>
      <c r="D445" s="126">
        <v>0</v>
      </c>
      <c r="E445" s="126">
        <v>1</v>
      </c>
      <c r="F445" s="127" t="s">
        <v>197</v>
      </c>
      <c r="G445" s="127" t="s">
        <v>198</v>
      </c>
      <c r="H445" s="126"/>
      <c r="I445" s="127">
        <v>0</v>
      </c>
      <c r="J445" s="127" t="s">
        <v>1621</v>
      </c>
      <c r="K445" s="127" t="s">
        <v>4354</v>
      </c>
      <c r="L445" s="127">
        <v>-120</v>
      </c>
      <c r="M445" s="127"/>
      <c r="N445" s="126" t="str">
        <f t="shared" si="26"/>
        <v>StatusDistict(ActiveDamageDerate, -120)</v>
      </c>
      <c r="O445" s="126">
        <v>0</v>
      </c>
      <c r="P445" s="126">
        <v>0</v>
      </c>
      <c r="Q445" s="126"/>
      <c r="R445" s="126" t="b">
        <v>1</v>
      </c>
    </row>
    <row r="446" spans="1:18" s="73" customFormat="1">
      <c r="A446" s="126" t="s">
        <v>4350</v>
      </c>
      <c r="B446" s="126"/>
      <c r="C446" s="126"/>
      <c r="D446" s="126">
        <v>0</v>
      </c>
      <c r="E446" s="126">
        <v>1</v>
      </c>
      <c r="F446" s="127" t="s">
        <v>197</v>
      </c>
      <c r="G446" s="127" t="s">
        <v>198</v>
      </c>
      <c r="H446" s="126"/>
      <c r="I446" s="127">
        <v>0</v>
      </c>
      <c r="J446" s="127" t="s">
        <v>1621</v>
      </c>
      <c r="K446" s="127" t="s">
        <v>4354</v>
      </c>
      <c r="L446" s="127">
        <v>-240</v>
      </c>
      <c r="M446" s="127"/>
      <c r="N446" s="126" t="str">
        <f t="shared" ref="N446:N454" si="27">J446&amp;"("&amp;IF(K446="","",K446)&amp;IF(L446="","",", "&amp;L446)&amp;IF(M446="","",", "&amp;M446)&amp;")"</f>
        <v>StatusDistict(ActiveDamageDerate, -240)</v>
      </c>
      <c r="O446" s="126">
        <v>0</v>
      </c>
      <c r="P446" s="126">
        <v>0</v>
      </c>
      <c r="Q446" s="126"/>
      <c r="R446" s="126" t="b">
        <v>1</v>
      </c>
    </row>
    <row r="447" spans="1:18" s="73" customFormat="1">
      <c r="A447" s="126" t="s">
        <v>4351</v>
      </c>
      <c r="B447" s="126"/>
      <c r="C447" s="126"/>
      <c r="D447" s="126">
        <v>0</v>
      </c>
      <c r="E447" s="126">
        <v>1</v>
      </c>
      <c r="F447" s="127" t="s">
        <v>197</v>
      </c>
      <c r="G447" s="127" t="s">
        <v>198</v>
      </c>
      <c r="H447" s="126"/>
      <c r="I447" s="127">
        <v>0</v>
      </c>
      <c r="J447" s="127" t="s">
        <v>1621</v>
      </c>
      <c r="K447" s="127" t="s">
        <v>4354</v>
      </c>
      <c r="L447" s="127">
        <v>-360</v>
      </c>
      <c r="M447" s="127"/>
      <c r="N447" s="126" t="str">
        <f t="shared" si="27"/>
        <v>StatusDistict(ActiveDamageDerate, -360)</v>
      </c>
      <c r="O447" s="126">
        <v>0</v>
      </c>
      <c r="P447" s="126">
        <v>0</v>
      </c>
      <c r="Q447" s="126"/>
      <c r="R447" s="126" t="b">
        <v>1</v>
      </c>
    </row>
    <row r="448" spans="1:18" s="73" customFormat="1">
      <c r="A448" s="126" t="s">
        <v>4352</v>
      </c>
      <c r="B448" s="126"/>
      <c r="C448" s="126"/>
      <c r="D448" s="126">
        <v>0</v>
      </c>
      <c r="E448" s="126">
        <v>1</v>
      </c>
      <c r="F448" s="127" t="s">
        <v>197</v>
      </c>
      <c r="G448" s="127" t="s">
        <v>198</v>
      </c>
      <c r="H448" s="126"/>
      <c r="I448" s="127">
        <v>0</v>
      </c>
      <c r="J448" s="127" t="s">
        <v>1621</v>
      </c>
      <c r="K448" s="127" t="s">
        <v>4354</v>
      </c>
      <c r="L448" s="127">
        <v>-480</v>
      </c>
      <c r="M448" s="127"/>
      <c r="N448" s="126" t="str">
        <f t="shared" si="27"/>
        <v>StatusDistict(ActiveDamageDerate, -480)</v>
      </c>
      <c r="O448" s="126">
        <v>0</v>
      </c>
      <c r="P448" s="126">
        <v>0</v>
      </c>
      <c r="Q448" s="126"/>
      <c r="R448" s="126" t="b">
        <v>1</v>
      </c>
    </row>
    <row r="449" spans="1:18" s="73" customFormat="1">
      <c r="A449" s="126" t="s">
        <v>4353</v>
      </c>
      <c r="B449" s="126"/>
      <c r="C449" s="126"/>
      <c r="D449" s="126">
        <v>0</v>
      </c>
      <c r="E449" s="126">
        <v>1</v>
      </c>
      <c r="F449" s="127" t="s">
        <v>197</v>
      </c>
      <c r="G449" s="127" t="s">
        <v>198</v>
      </c>
      <c r="H449" s="126"/>
      <c r="I449" s="127">
        <v>0</v>
      </c>
      <c r="J449" s="127" t="s">
        <v>1621</v>
      </c>
      <c r="K449" s="127" t="s">
        <v>4354</v>
      </c>
      <c r="L449" s="127">
        <v>-600</v>
      </c>
      <c r="M449" s="127"/>
      <c r="N449" s="126" t="str">
        <f t="shared" si="27"/>
        <v>StatusDistict(ActiveDamageDerate, -600)</v>
      </c>
      <c r="O449" s="126">
        <v>0</v>
      </c>
      <c r="P449" s="126">
        <v>0</v>
      </c>
      <c r="Q449" s="126"/>
      <c r="R449" s="126" t="b">
        <v>1</v>
      </c>
    </row>
    <row r="450" spans="1:18" s="73" customFormat="1">
      <c r="A450" s="130" t="s">
        <v>4355</v>
      </c>
      <c r="B450" s="130"/>
      <c r="C450" s="130"/>
      <c r="D450" s="130">
        <v>0</v>
      </c>
      <c r="E450" s="130">
        <v>1</v>
      </c>
      <c r="F450" s="131" t="s">
        <v>197</v>
      </c>
      <c r="G450" s="131" t="s">
        <v>198</v>
      </c>
      <c r="H450" s="130"/>
      <c r="I450" s="131">
        <v>0</v>
      </c>
      <c r="J450" s="131" t="s">
        <v>1621</v>
      </c>
      <c r="K450" s="131" t="s">
        <v>6388</v>
      </c>
      <c r="L450" s="131">
        <v>-250</v>
      </c>
      <c r="M450" s="131"/>
      <c r="N450" s="130" t="str">
        <f t="shared" si="27"/>
        <v>StatusDistict(UltimateDamageDerate, -250)</v>
      </c>
      <c r="O450" s="130">
        <v>0</v>
      </c>
      <c r="P450" s="130">
        <v>0</v>
      </c>
      <c r="Q450" s="130"/>
      <c r="R450" s="130" t="b">
        <v>1</v>
      </c>
    </row>
    <row r="451" spans="1:18" s="73" customFormat="1">
      <c r="A451" s="130" t="s">
        <v>4356</v>
      </c>
      <c r="B451" s="130"/>
      <c r="C451" s="130"/>
      <c r="D451" s="130">
        <v>0</v>
      </c>
      <c r="E451" s="130">
        <v>1</v>
      </c>
      <c r="F451" s="131" t="s">
        <v>197</v>
      </c>
      <c r="G451" s="131" t="s">
        <v>198</v>
      </c>
      <c r="H451" s="130"/>
      <c r="I451" s="131">
        <v>0</v>
      </c>
      <c r="J451" s="131" t="s">
        <v>1621</v>
      </c>
      <c r="K451" s="131" t="s">
        <v>4360</v>
      </c>
      <c r="L451" s="131">
        <v>-300</v>
      </c>
      <c r="M451" s="131"/>
      <c r="N451" s="130" t="str">
        <f t="shared" si="27"/>
        <v>StatusDistict(UltimateDamageDerate, -300)</v>
      </c>
      <c r="O451" s="130">
        <v>0</v>
      </c>
      <c r="P451" s="130">
        <v>0</v>
      </c>
      <c r="Q451" s="130"/>
      <c r="R451" s="130" t="b">
        <v>1</v>
      </c>
    </row>
    <row r="452" spans="1:18" s="73" customFormat="1">
      <c r="A452" s="130" t="s">
        <v>4357</v>
      </c>
      <c r="B452" s="130"/>
      <c r="C452" s="130"/>
      <c r="D452" s="130">
        <v>0</v>
      </c>
      <c r="E452" s="130">
        <v>1</v>
      </c>
      <c r="F452" s="131" t="s">
        <v>197</v>
      </c>
      <c r="G452" s="131" t="s">
        <v>198</v>
      </c>
      <c r="H452" s="130"/>
      <c r="I452" s="131">
        <v>0</v>
      </c>
      <c r="J452" s="131" t="s">
        <v>1621</v>
      </c>
      <c r="K452" s="131" t="s">
        <v>4360</v>
      </c>
      <c r="L452" s="131">
        <v>-350</v>
      </c>
      <c r="M452" s="131"/>
      <c r="N452" s="130" t="str">
        <f t="shared" si="27"/>
        <v>StatusDistict(UltimateDamageDerate, -350)</v>
      </c>
      <c r="O452" s="130">
        <v>0</v>
      </c>
      <c r="P452" s="130">
        <v>0</v>
      </c>
      <c r="Q452" s="130"/>
      <c r="R452" s="130" t="b">
        <v>1</v>
      </c>
    </row>
    <row r="453" spans="1:18" s="73" customFormat="1">
      <c r="A453" s="130" t="s">
        <v>4358</v>
      </c>
      <c r="B453" s="130"/>
      <c r="C453" s="130"/>
      <c r="D453" s="130">
        <v>0</v>
      </c>
      <c r="E453" s="130">
        <v>1</v>
      </c>
      <c r="F453" s="131" t="s">
        <v>197</v>
      </c>
      <c r="G453" s="131" t="s">
        <v>198</v>
      </c>
      <c r="H453" s="130"/>
      <c r="I453" s="131">
        <v>0</v>
      </c>
      <c r="J453" s="131" t="s">
        <v>1621</v>
      </c>
      <c r="K453" s="131" t="s">
        <v>4360</v>
      </c>
      <c r="L453" s="131">
        <v>-400</v>
      </c>
      <c r="M453" s="131"/>
      <c r="N453" s="130" t="str">
        <f t="shared" si="27"/>
        <v>StatusDistict(UltimateDamageDerate, -400)</v>
      </c>
      <c r="O453" s="130">
        <v>0</v>
      </c>
      <c r="P453" s="130">
        <v>0</v>
      </c>
      <c r="Q453" s="130"/>
      <c r="R453" s="130" t="b">
        <v>1</v>
      </c>
    </row>
    <row r="454" spans="1:18" s="73" customFormat="1">
      <c r="A454" s="130" t="s">
        <v>4359</v>
      </c>
      <c r="B454" s="130"/>
      <c r="C454" s="130"/>
      <c r="D454" s="130">
        <v>0</v>
      </c>
      <c r="E454" s="130">
        <v>1</v>
      </c>
      <c r="F454" s="131" t="s">
        <v>197</v>
      </c>
      <c r="G454" s="131" t="s">
        <v>198</v>
      </c>
      <c r="H454" s="130"/>
      <c r="I454" s="131">
        <v>0</v>
      </c>
      <c r="J454" s="131" t="s">
        <v>1621</v>
      </c>
      <c r="K454" s="131" t="s">
        <v>4360</v>
      </c>
      <c r="L454" s="131">
        <v>-450</v>
      </c>
      <c r="M454" s="131"/>
      <c r="N454" s="130" t="str">
        <f t="shared" si="27"/>
        <v>StatusDistict(UltimateDamageDerate, -450)</v>
      </c>
      <c r="O454" s="130">
        <v>0</v>
      </c>
      <c r="P454" s="130">
        <v>0</v>
      </c>
      <c r="Q454" s="130"/>
      <c r="R454" s="130" t="b">
        <v>1</v>
      </c>
    </row>
    <row r="455" spans="1:18" s="73" customFormat="1">
      <c r="A455" s="126" t="s">
        <v>1707</v>
      </c>
      <c r="B455" s="126"/>
      <c r="C455" s="126"/>
      <c r="D455" s="126">
        <v>0</v>
      </c>
      <c r="E455" s="126">
        <v>1</v>
      </c>
      <c r="F455" s="127" t="s">
        <v>197</v>
      </c>
      <c r="G455" s="127" t="s">
        <v>198</v>
      </c>
      <c r="H455" s="126"/>
      <c r="I455" s="127">
        <v>0</v>
      </c>
      <c r="J455" s="127" t="s">
        <v>1621</v>
      </c>
      <c r="K455" s="127" t="s">
        <v>1221</v>
      </c>
      <c r="L455" s="127">
        <v>-120</v>
      </c>
      <c r="M455" s="127"/>
      <c r="N455" s="126" t="str">
        <f t="shared" si="26"/>
        <v>StatusDistict(AreaDamageDerate, -120)</v>
      </c>
      <c r="O455" s="126">
        <v>0</v>
      </c>
      <c r="P455" s="126">
        <v>0</v>
      </c>
      <c r="Q455" s="126"/>
      <c r="R455" s="126" t="b">
        <v>1</v>
      </c>
    </row>
    <row r="456" spans="1:18" s="73" customFormat="1">
      <c r="A456" s="126" t="s">
        <v>1575</v>
      </c>
      <c r="B456" s="126"/>
      <c r="C456" s="126"/>
      <c r="D456" s="126">
        <v>0</v>
      </c>
      <c r="E456" s="126">
        <v>1</v>
      </c>
      <c r="F456" s="127" t="s">
        <v>197</v>
      </c>
      <c r="G456" s="127" t="s">
        <v>198</v>
      </c>
      <c r="H456" s="126"/>
      <c r="I456" s="127">
        <v>0</v>
      </c>
      <c r="J456" s="127" t="s">
        <v>1621</v>
      </c>
      <c r="K456" s="127" t="s">
        <v>1221</v>
      </c>
      <c r="L456" s="127">
        <v>-240</v>
      </c>
      <c r="M456" s="127"/>
      <c r="N456" s="126" t="str">
        <f t="shared" si="26"/>
        <v>StatusDistict(AreaDamageDerate, -240)</v>
      </c>
      <c r="O456" s="126">
        <v>0</v>
      </c>
      <c r="P456" s="126">
        <v>0</v>
      </c>
      <c r="Q456" s="126"/>
      <c r="R456" s="126" t="b">
        <v>1</v>
      </c>
    </row>
    <row r="457" spans="1:18" s="73" customFormat="1">
      <c r="A457" s="126" t="s">
        <v>1576</v>
      </c>
      <c r="B457" s="126"/>
      <c r="C457" s="126"/>
      <c r="D457" s="126">
        <v>0</v>
      </c>
      <c r="E457" s="126">
        <v>1</v>
      </c>
      <c r="F457" s="127" t="s">
        <v>197</v>
      </c>
      <c r="G457" s="127" t="s">
        <v>198</v>
      </c>
      <c r="H457" s="126"/>
      <c r="I457" s="127">
        <v>0</v>
      </c>
      <c r="J457" s="127" t="s">
        <v>1621</v>
      </c>
      <c r="K457" s="127" t="s">
        <v>1221</v>
      </c>
      <c r="L457" s="127">
        <v>-360</v>
      </c>
      <c r="M457" s="127"/>
      <c r="N457" s="126" t="str">
        <f t="shared" si="26"/>
        <v>StatusDistict(AreaDamageDerate, -360)</v>
      </c>
      <c r="O457" s="126">
        <v>0</v>
      </c>
      <c r="P457" s="126">
        <v>0</v>
      </c>
      <c r="Q457" s="126"/>
      <c r="R457" s="126" t="b">
        <v>1</v>
      </c>
    </row>
    <row r="458" spans="1:18" s="73" customFormat="1">
      <c r="A458" s="126" t="s">
        <v>1577</v>
      </c>
      <c r="B458" s="126"/>
      <c r="C458" s="126"/>
      <c r="D458" s="126">
        <v>0</v>
      </c>
      <c r="E458" s="126">
        <v>1</v>
      </c>
      <c r="F458" s="127" t="s">
        <v>197</v>
      </c>
      <c r="G458" s="127" t="s">
        <v>198</v>
      </c>
      <c r="H458" s="126"/>
      <c r="I458" s="127">
        <v>0</v>
      </c>
      <c r="J458" s="127" t="s">
        <v>1621</v>
      </c>
      <c r="K458" s="127" t="s">
        <v>1221</v>
      </c>
      <c r="L458" s="127">
        <v>-480</v>
      </c>
      <c r="M458" s="127"/>
      <c r="N458" s="126" t="str">
        <f t="shared" si="26"/>
        <v>StatusDistict(AreaDamageDerate, -480)</v>
      </c>
      <c r="O458" s="126">
        <v>0</v>
      </c>
      <c r="P458" s="126">
        <v>0</v>
      </c>
      <c r="Q458" s="126"/>
      <c r="R458" s="126" t="b">
        <v>1</v>
      </c>
    </row>
    <row r="459" spans="1:18" s="73" customFormat="1">
      <c r="A459" s="126" t="s">
        <v>1578</v>
      </c>
      <c r="B459" s="126"/>
      <c r="C459" s="126"/>
      <c r="D459" s="126">
        <v>0</v>
      </c>
      <c r="E459" s="126">
        <v>1</v>
      </c>
      <c r="F459" s="127" t="s">
        <v>197</v>
      </c>
      <c r="G459" s="127" t="s">
        <v>198</v>
      </c>
      <c r="H459" s="126"/>
      <c r="I459" s="127">
        <v>0</v>
      </c>
      <c r="J459" s="127" t="s">
        <v>1621</v>
      </c>
      <c r="K459" s="127" t="s">
        <v>1221</v>
      </c>
      <c r="L459" s="127">
        <v>-600</v>
      </c>
      <c r="M459" s="127"/>
      <c r="N459" s="126" t="str">
        <f t="shared" si="26"/>
        <v>StatusDistict(AreaDamageDerate, -600)</v>
      </c>
      <c r="O459" s="126">
        <v>0</v>
      </c>
      <c r="P459" s="126">
        <v>0</v>
      </c>
      <c r="Q459" s="126"/>
      <c r="R459" s="126" t="b">
        <v>1</v>
      </c>
    </row>
    <row r="460" spans="1:18" s="73" customFormat="1">
      <c r="A460" s="130" t="s">
        <v>1708</v>
      </c>
      <c r="B460" s="130"/>
      <c r="C460" s="130"/>
      <c r="D460" s="130">
        <v>0</v>
      </c>
      <c r="E460" s="130">
        <v>1</v>
      </c>
      <c r="F460" s="131" t="s">
        <v>197</v>
      </c>
      <c r="G460" s="131" t="s">
        <v>198</v>
      </c>
      <c r="H460" s="130"/>
      <c r="I460" s="131">
        <v>0</v>
      </c>
      <c r="J460" s="131" t="s">
        <v>1621</v>
      </c>
      <c r="K460" s="131" t="s">
        <v>1363</v>
      </c>
      <c r="L460" s="131">
        <v>-250</v>
      </c>
      <c r="M460" s="131"/>
      <c r="N460" s="130" t="str">
        <f t="shared" si="26"/>
        <v>StatusDistict(MeleeDamageDerate, -250)</v>
      </c>
      <c r="O460" s="130">
        <v>0</v>
      </c>
      <c r="P460" s="130">
        <v>0</v>
      </c>
      <c r="Q460" s="130"/>
      <c r="R460" s="130" t="b">
        <v>1</v>
      </c>
    </row>
    <row r="461" spans="1:18" s="73" customFormat="1">
      <c r="A461" s="130" t="s">
        <v>1579</v>
      </c>
      <c r="B461" s="130"/>
      <c r="C461" s="130"/>
      <c r="D461" s="130">
        <v>0</v>
      </c>
      <c r="E461" s="130">
        <v>1</v>
      </c>
      <c r="F461" s="131" t="s">
        <v>197</v>
      </c>
      <c r="G461" s="131" t="s">
        <v>198</v>
      </c>
      <c r="H461" s="130"/>
      <c r="I461" s="131">
        <v>0</v>
      </c>
      <c r="J461" s="131" t="s">
        <v>1621</v>
      </c>
      <c r="K461" s="131" t="s">
        <v>1363</v>
      </c>
      <c r="L461" s="131">
        <v>-300</v>
      </c>
      <c r="M461" s="131"/>
      <c r="N461" s="130" t="str">
        <f t="shared" si="26"/>
        <v>StatusDistict(MeleeDamageDerate, -300)</v>
      </c>
      <c r="O461" s="130">
        <v>0</v>
      </c>
      <c r="P461" s="130">
        <v>0</v>
      </c>
      <c r="Q461" s="130"/>
      <c r="R461" s="130" t="b">
        <v>1</v>
      </c>
    </row>
    <row r="462" spans="1:18" s="73" customFormat="1">
      <c r="A462" s="130" t="s">
        <v>1580</v>
      </c>
      <c r="B462" s="130"/>
      <c r="C462" s="130"/>
      <c r="D462" s="130">
        <v>0</v>
      </c>
      <c r="E462" s="130">
        <v>1</v>
      </c>
      <c r="F462" s="131" t="s">
        <v>197</v>
      </c>
      <c r="G462" s="131" t="s">
        <v>198</v>
      </c>
      <c r="H462" s="130"/>
      <c r="I462" s="131">
        <v>0</v>
      </c>
      <c r="J462" s="131" t="s">
        <v>1621</v>
      </c>
      <c r="K462" s="131" t="s">
        <v>1363</v>
      </c>
      <c r="L462" s="131">
        <v>-350</v>
      </c>
      <c r="M462" s="131"/>
      <c r="N462" s="130" t="str">
        <f t="shared" si="26"/>
        <v>StatusDistict(MeleeDamageDerate, -350)</v>
      </c>
      <c r="O462" s="130">
        <v>0</v>
      </c>
      <c r="P462" s="130">
        <v>0</v>
      </c>
      <c r="Q462" s="130"/>
      <c r="R462" s="130" t="b">
        <v>1</v>
      </c>
    </row>
    <row r="463" spans="1:18" s="73" customFormat="1">
      <c r="A463" s="130" t="s">
        <v>1581</v>
      </c>
      <c r="B463" s="130"/>
      <c r="C463" s="130"/>
      <c r="D463" s="130">
        <v>0</v>
      </c>
      <c r="E463" s="130">
        <v>1</v>
      </c>
      <c r="F463" s="131" t="s">
        <v>197</v>
      </c>
      <c r="G463" s="131" t="s">
        <v>198</v>
      </c>
      <c r="H463" s="130"/>
      <c r="I463" s="131">
        <v>0</v>
      </c>
      <c r="J463" s="131" t="s">
        <v>1621</v>
      </c>
      <c r="K463" s="131" t="s">
        <v>1363</v>
      </c>
      <c r="L463" s="131">
        <v>-400</v>
      </c>
      <c r="M463" s="131"/>
      <c r="N463" s="130" t="str">
        <f t="shared" si="26"/>
        <v>StatusDistict(MeleeDamageDerate, -400)</v>
      </c>
      <c r="O463" s="130">
        <v>0</v>
      </c>
      <c r="P463" s="130">
        <v>0</v>
      </c>
      <c r="Q463" s="130"/>
      <c r="R463" s="130" t="b">
        <v>1</v>
      </c>
    </row>
    <row r="464" spans="1:18" s="73" customFormat="1">
      <c r="A464" s="130" t="s">
        <v>1582</v>
      </c>
      <c r="B464" s="130"/>
      <c r="C464" s="130"/>
      <c r="D464" s="130">
        <v>0</v>
      </c>
      <c r="E464" s="130">
        <v>1</v>
      </c>
      <c r="F464" s="131" t="s">
        <v>197</v>
      </c>
      <c r="G464" s="131" t="s">
        <v>198</v>
      </c>
      <c r="H464" s="130"/>
      <c r="I464" s="131">
        <v>0</v>
      </c>
      <c r="J464" s="131" t="s">
        <v>1621</v>
      </c>
      <c r="K464" s="131" t="s">
        <v>1363</v>
      </c>
      <c r="L464" s="131">
        <v>-450</v>
      </c>
      <c r="M464" s="131"/>
      <c r="N464" s="130" t="str">
        <f t="shared" si="26"/>
        <v>StatusDistict(MeleeDamageDerate, -450)</v>
      </c>
      <c r="O464" s="130">
        <v>0</v>
      </c>
      <c r="P464" s="130">
        <v>0</v>
      </c>
      <c r="Q464" s="130"/>
      <c r="R464" s="130" t="b">
        <v>1</v>
      </c>
    </row>
    <row r="465" spans="1:18" s="73" customFormat="1">
      <c r="A465" s="126" t="s">
        <v>1709</v>
      </c>
      <c r="B465" s="126"/>
      <c r="C465" s="126"/>
      <c r="D465" s="126">
        <v>0</v>
      </c>
      <c r="E465" s="126">
        <v>1</v>
      </c>
      <c r="F465" s="127" t="s">
        <v>197</v>
      </c>
      <c r="G465" s="127" t="s">
        <v>198</v>
      </c>
      <c r="H465" s="126"/>
      <c r="I465" s="127">
        <v>0</v>
      </c>
      <c r="J465" s="127" t="s">
        <v>1621</v>
      </c>
      <c r="K465" s="127" t="s">
        <v>904</v>
      </c>
      <c r="L465" s="127">
        <v>-120</v>
      </c>
      <c r="M465" s="127"/>
      <c r="N465" s="126" t="str">
        <f t="shared" si="26"/>
        <v>StatusDistict(RangeDamageDerate, -120)</v>
      </c>
      <c r="O465" s="126">
        <v>0</v>
      </c>
      <c r="P465" s="126">
        <v>0</v>
      </c>
      <c r="Q465" s="126"/>
      <c r="R465" s="126" t="b">
        <v>1</v>
      </c>
    </row>
    <row r="466" spans="1:18" s="73" customFormat="1">
      <c r="A466" s="126" t="s">
        <v>1583</v>
      </c>
      <c r="B466" s="126"/>
      <c r="C466" s="126"/>
      <c r="D466" s="126">
        <v>0</v>
      </c>
      <c r="E466" s="126">
        <v>1</v>
      </c>
      <c r="F466" s="127" t="s">
        <v>197</v>
      </c>
      <c r="G466" s="127" t="s">
        <v>198</v>
      </c>
      <c r="H466" s="126"/>
      <c r="I466" s="127">
        <v>0</v>
      </c>
      <c r="J466" s="127" t="s">
        <v>1621</v>
      </c>
      <c r="K466" s="127" t="s">
        <v>904</v>
      </c>
      <c r="L466" s="127">
        <v>-240</v>
      </c>
      <c r="M466" s="127"/>
      <c r="N466" s="126" t="str">
        <f t="shared" si="26"/>
        <v>StatusDistict(RangeDamageDerate, -240)</v>
      </c>
      <c r="O466" s="126">
        <v>0</v>
      </c>
      <c r="P466" s="126">
        <v>0</v>
      </c>
      <c r="Q466" s="126"/>
      <c r="R466" s="126" t="b">
        <v>1</v>
      </c>
    </row>
    <row r="467" spans="1:18" s="73" customFormat="1">
      <c r="A467" s="126" t="s">
        <v>4680</v>
      </c>
      <c r="B467" s="126"/>
      <c r="C467" s="126"/>
      <c r="D467" s="126">
        <v>0</v>
      </c>
      <c r="E467" s="126">
        <v>1</v>
      </c>
      <c r="F467" s="127" t="s">
        <v>197</v>
      </c>
      <c r="G467" s="127" t="s">
        <v>198</v>
      </c>
      <c r="H467" s="126"/>
      <c r="I467" s="127">
        <v>0</v>
      </c>
      <c r="J467" s="127" t="s">
        <v>1621</v>
      </c>
      <c r="K467" s="127" t="s">
        <v>904</v>
      </c>
      <c r="L467" s="127">
        <v>-360</v>
      </c>
      <c r="M467" s="127"/>
      <c r="N467" s="126" t="str">
        <f t="shared" si="26"/>
        <v>StatusDistict(RangeDamageDerate, -360)</v>
      </c>
      <c r="O467" s="126">
        <v>0</v>
      </c>
      <c r="P467" s="126">
        <v>0</v>
      </c>
      <c r="Q467" s="126"/>
      <c r="R467" s="126" t="b">
        <v>1</v>
      </c>
    </row>
    <row r="468" spans="1:18" s="73" customFormat="1">
      <c r="A468" s="126" t="s">
        <v>1585</v>
      </c>
      <c r="B468" s="126"/>
      <c r="C468" s="126"/>
      <c r="D468" s="126">
        <v>0</v>
      </c>
      <c r="E468" s="126">
        <v>1</v>
      </c>
      <c r="F468" s="127" t="s">
        <v>197</v>
      </c>
      <c r="G468" s="127" t="s">
        <v>198</v>
      </c>
      <c r="H468" s="126"/>
      <c r="I468" s="127">
        <v>0</v>
      </c>
      <c r="J468" s="127" t="s">
        <v>1621</v>
      </c>
      <c r="K468" s="127" t="s">
        <v>904</v>
      </c>
      <c r="L468" s="127">
        <v>-480</v>
      </c>
      <c r="M468" s="127"/>
      <c r="N468" s="126" t="str">
        <f t="shared" si="26"/>
        <v>StatusDistict(RangeDamageDerate, -480)</v>
      </c>
      <c r="O468" s="126">
        <v>0</v>
      </c>
      <c r="P468" s="126">
        <v>0</v>
      </c>
      <c r="Q468" s="126"/>
      <c r="R468" s="126" t="b">
        <v>1</v>
      </c>
    </row>
    <row r="469" spans="1:18" s="73" customFormat="1">
      <c r="A469" s="126" t="s">
        <v>1586</v>
      </c>
      <c r="B469" s="126"/>
      <c r="C469" s="126"/>
      <c r="D469" s="126">
        <v>0</v>
      </c>
      <c r="E469" s="126">
        <v>1</v>
      </c>
      <c r="F469" s="127" t="s">
        <v>197</v>
      </c>
      <c r="G469" s="127" t="s">
        <v>198</v>
      </c>
      <c r="H469" s="126"/>
      <c r="I469" s="127">
        <v>0</v>
      </c>
      <c r="J469" s="127" t="s">
        <v>1621</v>
      </c>
      <c r="K469" s="127" t="s">
        <v>904</v>
      </c>
      <c r="L469" s="127">
        <v>-600</v>
      </c>
      <c r="M469" s="127"/>
      <c r="N469" s="126" t="str">
        <f t="shared" si="26"/>
        <v>StatusDistict(RangeDamageDerate, -600)</v>
      </c>
      <c r="O469" s="126">
        <v>0</v>
      </c>
      <c r="P469" s="126">
        <v>0</v>
      </c>
      <c r="Q469" s="126"/>
      <c r="R469" s="126" t="b">
        <v>1</v>
      </c>
    </row>
    <row r="470" spans="1:18" s="73" customFormat="1">
      <c r="A470" s="130" t="s">
        <v>1710</v>
      </c>
      <c r="B470" s="130"/>
      <c r="C470" s="130"/>
      <c r="D470" s="130">
        <v>0</v>
      </c>
      <c r="E470" s="130">
        <v>1</v>
      </c>
      <c r="F470" s="131" t="s">
        <v>197</v>
      </c>
      <c r="G470" s="131" t="s">
        <v>198</v>
      </c>
      <c r="H470" s="130"/>
      <c r="I470" s="131">
        <v>0</v>
      </c>
      <c r="J470" s="131" t="s">
        <v>1621</v>
      </c>
      <c r="K470" s="131" t="s">
        <v>4287</v>
      </c>
      <c r="L470" s="131">
        <v>-80</v>
      </c>
      <c r="M470" s="131"/>
      <c r="N470" s="130" t="str">
        <f t="shared" si="26"/>
        <v>StatusDistict(DotDamageDerate, -80)</v>
      </c>
      <c r="O470" s="130">
        <v>0</v>
      </c>
      <c r="P470" s="130">
        <v>0</v>
      </c>
      <c r="Q470" s="130"/>
      <c r="R470" s="130" t="b">
        <v>1</v>
      </c>
    </row>
    <row r="471" spans="1:18" s="73" customFormat="1">
      <c r="A471" s="130" t="s">
        <v>1587</v>
      </c>
      <c r="B471" s="130"/>
      <c r="C471" s="130"/>
      <c r="D471" s="130">
        <v>0</v>
      </c>
      <c r="E471" s="130">
        <v>1</v>
      </c>
      <c r="F471" s="131" t="s">
        <v>197</v>
      </c>
      <c r="G471" s="131" t="s">
        <v>198</v>
      </c>
      <c r="H471" s="130"/>
      <c r="I471" s="131">
        <v>0</v>
      </c>
      <c r="J471" s="131" t="s">
        <v>1621</v>
      </c>
      <c r="K471" s="131" t="s">
        <v>4287</v>
      </c>
      <c r="L471" s="131">
        <v>-160</v>
      </c>
      <c r="M471" s="131"/>
      <c r="N471" s="130" t="str">
        <f t="shared" si="26"/>
        <v>StatusDistict(DotDamageDerate, -160)</v>
      </c>
      <c r="O471" s="130">
        <v>0</v>
      </c>
      <c r="P471" s="130">
        <v>0</v>
      </c>
      <c r="Q471" s="130"/>
      <c r="R471" s="130" t="b">
        <v>1</v>
      </c>
    </row>
    <row r="472" spans="1:18" s="73" customFormat="1">
      <c r="A472" s="130" t="s">
        <v>1588</v>
      </c>
      <c r="B472" s="130"/>
      <c r="C472" s="130"/>
      <c r="D472" s="130">
        <v>0</v>
      </c>
      <c r="E472" s="130">
        <v>1</v>
      </c>
      <c r="F472" s="131" t="s">
        <v>197</v>
      </c>
      <c r="G472" s="131" t="s">
        <v>198</v>
      </c>
      <c r="H472" s="130"/>
      <c r="I472" s="131">
        <v>0</v>
      </c>
      <c r="J472" s="131" t="s">
        <v>1621</v>
      </c>
      <c r="K472" s="131" t="s">
        <v>4287</v>
      </c>
      <c r="L472" s="131">
        <v>-240</v>
      </c>
      <c r="M472" s="131"/>
      <c r="N472" s="130" t="str">
        <f t="shared" si="26"/>
        <v>StatusDistict(DotDamageDerate, -240)</v>
      </c>
      <c r="O472" s="130">
        <v>0</v>
      </c>
      <c r="P472" s="130">
        <v>0</v>
      </c>
      <c r="Q472" s="130"/>
      <c r="R472" s="130" t="b">
        <v>1</v>
      </c>
    </row>
    <row r="473" spans="1:18" s="73" customFormat="1">
      <c r="A473" s="130" t="s">
        <v>1589</v>
      </c>
      <c r="B473" s="130"/>
      <c r="C473" s="130"/>
      <c r="D473" s="130">
        <v>0</v>
      </c>
      <c r="E473" s="130">
        <v>1</v>
      </c>
      <c r="F473" s="131" t="s">
        <v>197</v>
      </c>
      <c r="G473" s="131" t="s">
        <v>198</v>
      </c>
      <c r="H473" s="130"/>
      <c r="I473" s="131">
        <v>0</v>
      </c>
      <c r="J473" s="131" t="s">
        <v>1621</v>
      </c>
      <c r="K473" s="131" t="s">
        <v>4287</v>
      </c>
      <c r="L473" s="131">
        <v>-320</v>
      </c>
      <c r="M473" s="131"/>
      <c r="N473" s="130" t="str">
        <f t="shared" si="26"/>
        <v>StatusDistict(DotDamageDerate, -320)</v>
      </c>
      <c r="O473" s="130">
        <v>0</v>
      </c>
      <c r="P473" s="130">
        <v>0</v>
      </c>
      <c r="Q473" s="130"/>
      <c r="R473" s="130" t="b">
        <v>1</v>
      </c>
    </row>
    <row r="474" spans="1:18" s="73" customFormat="1">
      <c r="A474" s="130" t="s">
        <v>1590</v>
      </c>
      <c r="B474" s="130"/>
      <c r="C474" s="130"/>
      <c r="D474" s="130">
        <v>0</v>
      </c>
      <c r="E474" s="130">
        <v>1</v>
      </c>
      <c r="F474" s="131" t="s">
        <v>197</v>
      </c>
      <c r="G474" s="131" t="s">
        <v>198</v>
      </c>
      <c r="H474" s="130"/>
      <c r="I474" s="131">
        <v>0</v>
      </c>
      <c r="J474" s="131" t="s">
        <v>1621</v>
      </c>
      <c r="K474" s="131" t="s">
        <v>4287</v>
      </c>
      <c r="L474" s="131">
        <v>-400</v>
      </c>
      <c r="M474" s="131"/>
      <c r="N474" s="130" t="str">
        <f t="shared" si="26"/>
        <v>StatusDistict(DotDamageDerate, -400)</v>
      </c>
      <c r="O474" s="130">
        <v>0</v>
      </c>
      <c r="P474" s="130">
        <v>0</v>
      </c>
      <c r="Q474" s="130"/>
      <c r="R474" s="130" t="b">
        <v>1</v>
      </c>
    </row>
    <row r="475" spans="1:18" s="73" customFormat="1">
      <c r="A475" s="130" t="s">
        <v>4519</v>
      </c>
      <c r="B475" s="130"/>
      <c r="C475" s="130"/>
      <c r="D475" s="130">
        <v>0</v>
      </c>
      <c r="E475" s="130">
        <v>1</v>
      </c>
      <c r="F475" s="131" t="s">
        <v>197</v>
      </c>
      <c r="G475" s="131" t="s">
        <v>198</v>
      </c>
      <c r="H475" s="130"/>
      <c r="I475" s="131">
        <v>0</v>
      </c>
      <c r="J475" s="131" t="s">
        <v>1621</v>
      </c>
      <c r="K475" s="131" t="s">
        <v>4287</v>
      </c>
      <c r="L475" s="131">
        <v>-480</v>
      </c>
      <c r="M475" s="131"/>
      <c r="N475" s="130" t="str">
        <f t="shared" ref="N475:N479" si="28">J475&amp;"("&amp;IF(K475="","",K475)&amp;IF(L475="","",", "&amp;L475)&amp;IF(M475="","",", "&amp;M475)&amp;")"</f>
        <v>StatusDistict(DotDamageDerate, -480)</v>
      </c>
      <c r="O475" s="130">
        <v>0</v>
      </c>
      <c r="P475" s="130">
        <v>0</v>
      </c>
      <c r="Q475" s="130"/>
      <c r="R475" s="130" t="b">
        <v>1</v>
      </c>
    </row>
    <row r="476" spans="1:18" s="73" customFormat="1">
      <c r="A476" s="130" t="s">
        <v>4520</v>
      </c>
      <c r="B476" s="130"/>
      <c r="C476" s="130"/>
      <c r="D476" s="130">
        <v>0</v>
      </c>
      <c r="E476" s="130">
        <v>1</v>
      </c>
      <c r="F476" s="131" t="s">
        <v>197</v>
      </c>
      <c r="G476" s="131" t="s">
        <v>198</v>
      </c>
      <c r="H476" s="130"/>
      <c r="I476" s="131">
        <v>0</v>
      </c>
      <c r="J476" s="131" t="s">
        <v>1621</v>
      </c>
      <c r="K476" s="131" t="s">
        <v>4287</v>
      </c>
      <c r="L476" s="131">
        <v>-560</v>
      </c>
      <c r="M476" s="131"/>
      <c r="N476" s="130" t="str">
        <f t="shared" si="28"/>
        <v>StatusDistict(DotDamageDerate, -560)</v>
      </c>
      <c r="O476" s="130">
        <v>0</v>
      </c>
      <c r="P476" s="130">
        <v>0</v>
      </c>
      <c r="Q476" s="130"/>
      <c r="R476" s="130" t="b">
        <v>1</v>
      </c>
    </row>
    <row r="477" spans="1:18" s="73" customFormat="1">
      <c r="A477" s="130" t="s">
        <v>4521</v>
      </c>
      <c r="B477" s="130"/>
      <c r="C477" s="130"/>
      <c r="D477" s="130">
        <v>0</v>
      </c>
      <c r="E477" s="130">
        <v>1</v>
      </c>
      <c r="F477" s="131" t="s">
        <v>197</v>
      </c>
      <c r="G477" s="131" t="s">
        <v>198</v>
      </c>
      <c r="H477" s="130"/>
      <c r="I477" s="131">
        <v>0</v>
      </c>
      <c r="J477" s="131" t="s">
        <v>1621</v>
      </c>
      <c r="K477" s="131" t="s">
        <v>4287</v>
      </c>
      <c r="L477" s="131">
        <v>-640</v>
      </c>
      <c r="M477" s="131"/>
      <c r="N477" s="130" t="str">
        <f t="shared" si="28"/>
        <v>StatusDistict(DotDamageDerate, -640)</v>
      </c>
      <c r="O477" s="130">
        <v>0</v>
      </c>
      <c r="P477" s="130">
        <v>0</v>
      </c>
      <c r="Q477" s="130"/>
      <c r="R477" s="130" t="b">
        <v>1</v>
      </c>
    </row>
    <row r="478" spans="1:18" s="73" customFormat="1">
      <c r="A478" s="130" t="s">
        <v>4522</v>
      </c>
      <c r="B478" s="130"/>
      <c r="C478" s="130"/>
      <c r="D478" s="130">
        <v>0</v>
      </c>
      <c r="E478" s="130">
        <v>1</v>
      </c>
      <c r="F478" s="131" t="s">
        <v>197</v>
      </c>
      <c r="G478" s="131" t="s">
        <v>198</v>
      </c>
      <c r="H478" s="130"/>
      <c r="I478" s="131">
        <v>0</v>
      </c>
      <c r="J478" s="131" t="s">
        <v>1621</v>
      </c>
      <c r="K478" s="131" t="s">
        <v>4287</v>
      </c>
      <c r="L478" s="131">
        <v>-720</v>
      </c>
      <c r="M478" s="131"/>
      <c r="N478" s="130" t="str">
        <f t="shared" si="28"/>
        <v>StatusDistict(DotDamageDerate, -720)</v>
      </c>
      <c r="O478" s="130">
        <v>0</v>
      </c>
      <c r="P478" s="130">
        <v>0</v>
      </c>
      <c r="Q478" s="130"/>
      <c r="R478" s="130" t="b">
        <v>1</v>
      </c>
    </row>
    <row r="479" spans="1:18" s="73" customFormat="1">
      <c r="A479" s="130" t="s">
        <v>4523</v>
      </c>
      <c r="B479" s="130"/>
      <c r="C479" s="130"/>
      <c r="D479" s="130">
        <v>0</v>
      </c>
      <c r="E479" s="130">
        <v>1</v>
      </c>
      <c r="F479" s="131" t="s">
        <v>197</v>
      </c>
      <c r="G479" s="131" t="s">
        <v>198</v>
      </c>
      <c r="H479" s="130"/>
      <c r="I479" s="131">
        <v>0</v>
      </c>
      <c r="J479" s="131" t="s">
        <v>1621</v>
      </c>
      <c r="K479" s="131" t="s">
        <v>4287</v>
      </c>
      <c r="L479" s="131">
        <v>-800</v>
      </c>
      <c r="M479" s="131"/>
      <c r="N479" s="130" t="str">
        <f t="shared" si="28"/>
        <v>StatusDistict(DotDamageDerate, -800)</v>
      </c>
      <c r="O479" s="130">
        <v>0</v>
      </c>
      <c r="P479" s="130">
        <v>0</v>
      </c>
      <c r="Q479" s="130"/>
      <c r="R479" s="130" t="b">
        <v>1</v>
      </c>
    </row>
    <row r="480" spans="1:18" s="73" customFormat="1">
      <c r="A480" s="126" t="s">
        <v>1711</v>
      </c>
      <c r="B480" s="126"/>
      <c r="C480" s="126"/>
      <c r="D480" s="126">
        <v>0</v>
      </c>
      <c r="E480" s="126">
        <v>1</v>
      </c>
      <c r="F480" s="127" t="s">
        <v>197</v>
      </c>
      <c r="G480" s="127" t="s">
        <v>198</v>
      </c>
      <c r="H480" s="126"/>
      <c r="I480" s="127">
        <v>0</v>
      </c>
      <c r="J480" s="127" t="s">
        <v>1621</v>
      </c>
      <c r="K480" s="127" t="s">
        <v>3734</v>
      </c>
      <c r="L480" s="127">
        <v>-80</v>
      </c>
      <c r="M480" s="127"/>
      <c r="N480" s="126" t="str">
        <f t="shared" si="26"/>
        <v>StatusDistict(GuardRate, -80)</v>
      </c>
      <c r="O480" s="126">
        <v>0</v>
      </c>
      <c r="P480" s="126">
        <v>0</v>
      </c>
      <c r="Q480" s="126"/>
      <c r="R480" s="126" t="b">
        <v>1</v>
      </c>
    </row>
    <row r="481" spans="1:18" s="73" customFormat="1">
      <c r="A481" s="126" t="s">
        <v>1591</v>
      </c>
      <c r="B481" s="126"/>
      <c r="C481" s="126"/>
      <c r="D481" s="126">
        <v>0</v>
      </c>
      <c r="E481" s="126">
        <v>1</v>
      </c>
      <c r="F481" s="127" t="s">
        <v>197</v>
      </c>
      <c r="G481" s="127" t="s">
        <v>198</v>
      </c>
      <c r="H481" s="126"/>
      <c r="I481" s="127">
        <v>0</v>
      </c>
      <c r="J481" s="127" t="s">
        <v>1621</v>
      </c>
      <c r="K481" s="127" t="s">
        <v>871</v>
      </c>
      <c r="L481" s="127">
        <v>-160</v>
      </c>
      <c r="M481" s="127"/>
      <c r="N481" s="126" t="str">
        <f t="shared" si="26"/>
        <v>StatusDistict(GuardRate, -160)</v>
      </c>
      <c r="O481" s="126">
        <v>0</v>
      </c>
      <c r="P481" s="126">
        <v>0</v>
      </c>
      <c r="Q481" s="126"/>
      <c r="R481" s="126" t="b">
        <v>1</v>
      </c>
    </row>
    <row r="482" spans="1:18" s="73" customFormat="1">
      <c r="A482" s="126" t="s">
        <v>1592</v>
      </c>
      <c r="B482" s="126"/>
      <c r="C482" s="126"/>
      <c r="D482" s="126">
        <v>0</v>
      </c>
      <c r="E482" s="126">
        <v>1</v>
      </c>
      <c r="F482" s="127" t="s">
        <v>197</v>
      </c>
      <c r="G482" s="127" t="s">
        <v>198</v>
      </c>
      <c r="H482" s="126"/>
      <c r="I482" s="127">
        <v>0</v>
      </c>
      <c r="J482" s="127" t="s">
        <v>1621</v>
      </c>
      <c r="K482" s="127" t="s">
        <v>871</v>
      </c>
      <c r="L482" s="127">
        <v>-240</v>
      </c>
      <c r="M482" s="127"/>
      <c r="N482" s="126" t="str">
        <f t="shared" si="26"/>
        <v>StatusDistict(GuardRate, -240)</v>
      </c>
      <c r="O482" s="126">
        <v>0</v>
      </c>
      <c r="P482" s="126">
        <v>0</v>
      </c>
      <c r="Q482" s="126"/>
      <c r="R482" s="126" t="b">
        <v>1</v>
      </c>
    </row>
    <row r="483" spans="1:18" s="73" customFormat="1">
      <c r="A483" s="126" t="s">
        <v>1593</v>
      </c>
      <c r="B483" s="126"/>
      <c r="C483" s="126"/>
      <c r="D483" s="126">
        <v>0</v>
      </c>
      <c r="E483" s="126">
        <v>1</v>
      </c>
      <c r="F483" s="127" t="s">
        <v>197</v>
      </c>
      <c r="G483" s="127" t="s">
        <v>198</v>
      </c>
      <c r="H483" s="126"/>
      <c r="I483" s="127">
        <v>0</v>
      </c>
      <c r="J483" s="127" t="s">
        <v>1621</v>
      </c>
      <c r="K483" s="127" t="s">
        <v>871</v>
      </c>
      <c r="L483" s="127">
        <v>-320</v>
      </c>
      <c r="M483" s="127"/>
      <c r="N483" s="126" t="str">
        <f t="shared" si="26"/>
        <v>StatusDistict(GuardRate, -320)</v>
      </c>
      <c r="O483" s="126">
        <v>0</v>
      </c>
      <c r="P483" s="126">
        <v>0</v>
      </c>
      <c r="Q483" s="126"/>
      <c r="R483" s="126" t="b">
        <v>1</v>
      </c>
    </row>
    <row r="484" spans="1:18" s="73" customFormat="1">
      <c r="A484" s="126" t="s">
        <v>1594</v>
      </c>
      <c r="B484" s="126"/>
      <c r="C484" s="126"/>
      <c r="D484" s="126">
        <v>0</v>
      </c>
      <c r="E484" s="126">
        <v>1</v>
      </c>
      <c r="F484" s="127" t="s">
        <v>197</v>
      </c>
      <c r="G484" s="127" t="s">
        <v>198</v>
      </c>
      <c r="H484" s="126"/>
      <c r="I484" s="127">
        <v>0</v>
      </c>
      <c r="J484" s="127" t="s">
        <v>1621</v>
      </c>
      <c r="K484" s="127" t="s">
        <v>871</v>
      </c>
      <c r="L484" s="127">
        <v>-400</v>
      </c>
      <c r="M484" s="127"/>
      <c r="N484" s="126" t="str">
        <f t="shared" si="26"/>
        <v>StatusDistict(GuardRate, -400)</v>
      </c>
      <c r="O484" s="126">
        <v>0</v>
      </c>
      <c r="P484" s="126">
        <v>0</v>
      </c>
      <c r="Q484" s="126"/>
      <c r="R484" s="126" t="b">
        <v>1</v>
      </c>
    </row>
    <row r="485" spans="1:18" s="73" customFormat="1">
      <c r="A485" s="130" t="s">
        <v>1712</v>
      </c>
      <c r="B485" s="130"/>
      <c r="C485" s="130"/>
      <c r="D485" s="130">
        <v>0</v>
      </c>
      <c r="E485" s="130">
        <v>1</v>
      </c>
      <c r="F485" s="131" t="s">
        <v>197</v>
      </c>
      <c r="G485" s="131" t="s">
        <v>198</v>
      </c>
      <c r="H485" s="130"/>
      <c r="I485" s="131">
        <v>0</v>
      </c>
      <c r="J485" s="131" t="s">
        <v>1621</v>
      </c>
      <c r="K485" s="131" t="s">
        <v>1617</v>
      </c>
      <c r="L485" s="131">
        <v>-120</v>
      </c>
      <c r="M485" s="131"/>
      <c r="N485" s="130" t="str">
        <f t="shared" si="26"/>
        <v>StatusDistict(GuardReduceRate, -120)</v>
      </c>
      <c r="O485" s="130">
        <v>0</v>
      </c>
      <c r="P485" s="130">
        <v>0</v>
      </c>
      <c r="Q485" s="130"/>
      <c r="R485" s="130" t="b">
        <v>1</v>
      </c>
    </row>
    <row r="486" spans="1:18" s="73" customFormat="1">
      <c r="A486" s="130" t="s">
        <v>1595</v>
      </c>
      <c r="B486" s="130"/>
      <c r="C486" s="130"/>
      <c r="D486" s="130">
        <v>0</v>
      </c>
      <c r="E486" s="130">
        <v>1</v>
      </c>
      <c r="F486" s="131" t="s">
        <v>197</v>
      </c>
      <c r="G486" s="131" t="s">
        <v>198</v>
      </c>
      <c r="H486" s="130"/>
      <c r="I486" s="131">
        <v>0</v>
      </c>
      <c r="J486" s="131" t="s">
        <v>1621</v>
      </c>
      <c r="K486" s="131" t="s">
        <v>1617</v>
      </c>
      <c r="L486" s="131">
        <v>-160</v>
      </c>
      <c r="M486" s="131"/>
      <c r="N486" s="130" t="str">
        <f t="shared" si="26"/>
        <v>StatusDistict(GuardReduceRate, -160)</v>
      </c>
      <c r="O486" s="130">
        <v>0</v>
      </c>
      <c r="P486" s="130">
        <v>0</v>
      </c>
      <c r="Q486" s="130"/>
      <c r="R486" s="130" t="b">
        <v>1</v>
      </c>
    </row>
    <row r="487" spans="1:18" s="73" customFormat="1">
      <c r="A487" s="130" t="s">
        <v>1596</v>
      </c>
      <c r="B487" s="130"/>
      <c r="C487" s="130"/>
      <c r="D487" s="130">
        <v>0</v>
      </c>
      <c r="E487" s="130">
        <v>1</v>
      </c>
      <c r="F487" s="131" t="s">
        <v>197</v>
      </c>
      <c r="G487" s="131" t="s">
        <v>198</v>
      </c>
      <c r="H487" s="130"/>
      <c r="I487" s="131">
        <v>0</v>
      </c>
      <c r="J487" s="131" t="s">
        <v>1621</v>
      </c>
      <c r="K487" s="131" t="s">
        <v>1617</v>
      </c>
      <c r="L487" s="131">
        <v>-200</v>
      </c>
      <c r="M487" s="131"/>
      <c r="N487" s="130" t="str">
        <f t="shared" si="26"/>
        <v>StatusDistict(GuardReduceRate, -200)</v>
      </c>
      <c r="O487" s="130">
        <v>0</v>
      </c>
      <c r="P487" s="130">
        <v>0</v>
      </c>
      <c r="Q487" s="130"/>
      <c r="R487" s="130" t="b">
        <v>1</v>
      </c>
    </row>
    <row r="488" spans="1:18" s="73" customFormat="1">
      <c r="A488" s="130" t="s">
        <v>1597</v>
      </c>
      <c r="B488" s="130"/>
      <c r="C488" s="130"/>
      <c r="D488" s="130">
        <v>0</v>
      </c>
      <c r="E488" s="130">
        <v>1</v>
      </c>
      <c r="F488" s="131" t="s">
        <v>197</v>
      </c>
      <c r="G488" s="131" t="s">
        <v>198</v>
      </c>
      <c r="H488" s="130"/>
      <c r="I488" s="131">
        <v>0</v>
      </c>
      <c r="J488" s="131" t="s">
        <v>1621</v>
      </c>
      <c r="K488" s="131" t="s">
        <v>1617</v>
      </c>
      <c r="L488" s="131">
        <v>-240</v>
      </c>
      <c r="M488" s="131"/>
      <c r="N488" s="130" t="str">
        <f t="shared" si="26"/>
        <v>StatusDistict(GuardReduceRate, -240)</v>
      </c>
      <c r="O488" s="130">
        <v>0</v>
      </c>
      <c r="P488" s="130">
        <v>0</v>
      </c>
      <c r="Q488" s="130"/>
      <c r="R488" s="130" t="b">
        <v>1</v>
      </c>
    </row>
    <row r="489" spans="1:18" s="73" customFormat="1">
      <c r="A489" s="130" t="s">
        <v>1598</v>
      </c>
      <c r="B489" s="130"/>
      <c r="C489" s="130"/>
      <c r="D489" s="130">
        <v>0</v>
      </c>
      <c r="E489" s="130">
        <v>1</v>
      </c>
      <c r="F489" s="131" t="s">
        <v>197</v>
      </c>
      <c r="G489" s="131" t="s">
        <v>198</v>
      </c>
      <c r="H489" s="130"/>
      <c r="I489" s="131">
        <v>0</v>
      </c>
      <c r="J489" s="131" t="s">
        <v>1621</v>
      </c>
      <c r="K489" s="131" t="s">
        <v>1617</v>
      </c>
      <c r="L489" s="131">
        <v>-280</v>
      </c>
      <c r="M489" s="131"/>
      <c r="N489" s="130" t="str">
        <f t="shared" si="26"/>
        <v>StatusDistict(GuardReduceRate, -280)</v>
      </c>
      <c r="O489" s="130">
        <v>0</v>
      </c>
      <c r="P489" s="130">
        <v>0</v>
      </c>
      <c r="Q489" s="130"/>
      <c r="R489" s="130" t="b">
        <v>1</v>
      </c>
    </row>
    <row r="490" spans="1:18" s="73" customFormat="1">
      <c r="A490" s="126" t="s">
        <v>1713</v>
      </c>
      <c r="B490" s="126"/>
      <c r="C490" s="126"/>
      <c r="D490" s="126">
        <v>0</v>
      </c>
      <c r="E490" s="126">
        <v>1</v>
      </c>
      <c r="F490" s="127" t="s">
        <v>197</v>
      </c>
      <c r="G490" s="127" t="s">
        <v>198</v>
      </c>
      <c r="H490" s="126"/>
      <c r="I490" s="127">
        <v>0</v>
      </c>
      <c r="J490" s="127" t="s">
        <v>1621</v>
      </c>
      <c r="K490" s="127" t="s">
        <v>1618</v>
      </c>
      <c r="L490" s="127">
        <v>-100</v>
      </c>
      <c r="M490" s="127"/>
      <c r="N490" s="126" t="str">
        <f t="shared" si="26"/>
        <v>StatusDistict(CriticalDerate, -100)</v>
      </c>
      <c r="O490" s="126">
        <v>0</v>
      </c>
      <c r="P490" s="126">
        <v>0</v>
      </c>
      <c r="Q490" s="126"/>
      <c r="R490" s="126" t="b">
        <v>1</v>
      </c>
    </row>
    <row r="491" spans="1:18" s="73" customFormat="1">
      <c r="A491" s="126" t="s">
        <v>1599</v>
      </c>
      <c r="B491" s="126"/>
      <c r="C491" s="126"/>
      <c r="D491" s="126">
        <v>0</v>
      </c>
      <c r="E491" s="126">
        <v>1</v>
      </c>
      <c r="F491" s="127" t="s">
        <v>197</v>
      </c>
      <c r="G491" s="127" t="s">
        <v>198</v>
      </c>
      <c r="H491" s="126"/>
      <c r="I491" s="127">
        <v>0</v>
      </c>
      <c r="J491" s="127" t="s">
        <v>1621</v>
      </c>
      <c r="K491" s="127" t="s">
        <v>1618</v>
      </c>
      <c r="L491" s="127">
        <v>-130</v>
      </c>
      <c r="M491" s="127"/>
      <c r="N491" s="126" t="str">
        <f t="shared" si="26"/>
        <v>StatusDistict(CriticalDerate, -130)</v>
      </c>
      <c r="O491" s="126">
        <v>0</v>
      </c>
      <c r="P491" s="126">
        <v>0</v>
      </c>
      <c r="Q491" s="126"/>
      <c r="R491" s="126" t="b">
        <v>1</v>
      </c>
    </row>
    <row r="492" spans="1:18" s="73" customFormat="1">
      <c r="A492" s="126" t="s">
        <v>1600</v>
      </c>
      <c r="B492" s="126"/>
      <c r="C492" s="126"/>
      <c r="D492" s="126">
        <v>0</v>
      </c>
      <c r="E492" s="126">
        <v>1</v>
      </c>
      <c r="F492" s="127" t="s">
        <v>197</v>
      </c>
      <c r="G492" s="127" t="s">
        <v>198</v>
      </c>
      <c r="H492" s="126"/>
      <c r="I492" s="127">
        <v>0</v>
      </c>
      <c r="J492" s="127" t="s">
        <v>1621</v>
      </c>
      <c r="K492" s="127" t="s">
        <v>1618</v>
      </c>
      <c r="L492" s="127">
        <v>-160</v>
      </c>
      <c r="M492" s="127"/>
      <c r="N492" s="126" t="str">
        <f t="shared" si="26"/>
        <v>StatusDistict(CriticalDerate, -160)</v>
      </c>
      <c r="O492" s="126">
        <v>0</v>
      </c>
      <c r="P492" s="126">
        <v>0</v>
      </c>
      <c r="Q492" s="126"/>
      <c r="R492" s="126" t="b">
        <v>1</v>
      </c>
    </row>
    <row r="493" spans="1:18" s="73" customFormat="1">
      <c r="A493" s="126" t="s">
        <v>1601</v>
      </c>
      <c r="B493" s="126"/>
      <c r="C493" s="126"/>
      <c r="D493" s="126">
        <v>0</v>
      </c>
      <c r="E493" s="126">
        <v>1</v>
      </c>
      <c r="F493" s="127" t="s">
        <v>197</v>
      </c>
      <c r="G493" s="127" t="s">
        <v>198</v>
      </c>
      <c r="H493" s="126"/>
      <c r="I493" s="127">
        <v>0</v>
      </c>
      <c r="J493" s="127" t="s">
        <v>1621</v>
      </c>
      <c r="K493" s="127" t="s">
        <v>1618</v>
      </c>
      <c r="L493" s="127">
        <v>-190</v>
      </c>
      <c r="M493" s="127"/>
      <c r="N493" s="126" t="str">
        <f t="shared" si="26"/>
        <v>StatusDistict(CriticalDerate, -190)</v>
      </c>
      <c r="O493" s="126">
        <v>0</v>
      </c>
      <c r="P493" s="126">
        <v>0</v>
      </c>
      <c r="Q493" s="126"/>
      <c r="R493" s="126" t="b">
        <v>1</v>
      </c>
    </row>
    <row r="494" spans="1:18" s="73" customFormat="1">
      <c r="A494" s="126" t="s">
        <v>1602</v>
      </c>
      <c r="B494" s="126"/>
      <c r="C494" s="126"/>
      <c r="D494" s="126">
        <v>0</v>
      </c>
      <c r="E494" s="126">
        <v>1</v>
      </c>
      <c r="F494" s="127" t="s">
        <v>197</v>
      </c>
      <c r="G494" s="127" t="s">
        <v>198</v>
      </c>
      <c r="H494" s="126"/>
      <c r="I494" s="127">
        <v>0</v>
      </c>
      <c r="J494" s="127" t="s">
        <v>1621</v>
      </c>
      <c r="K494" s="127" t="s">
        <v>1618</v>
      </c>
      <c r="L494" s="127">
        <v>-220</v>
      </c>
      <c r="M494" s="127"/>
      <c r="N494" s="126" t="str">
        <f t="shared" si="26"/>
        <v>StatusDistict(CriticalDerate, -220)</v>
      </c>
      <c r="O494" s="126">
        <v>0</v>
      </c>
      <c r="P494" s="126">
        <v>0</v>
      </c>
      <c r="Q494" s="126"/>
      <c r="R494" s="126" t="b">
        <v>1</v>
      </c>
    </row>
    <row r="495" spans="1:18" s="73" customFormat="1">
      <c r="A495" s="126" t="s">
        <v>2665</v>
      </c>
      <c r="B495" s="126"/>
      <c r="C495" s="126"/>
      <c r="D495" s="126">
        <v>0</v>
      </c>
      <c r="E495" s="126">
        <v>1</v>
      </c>
      <c r="F495" s="127" t="s">
        <v>197</v>
      </c>
      <c r="G495" s="127" t="s">
        <v>198</v>
      </c>
      <c r="H495" s="126"/>
      <c r="I495" s="127">
        <v>0</v>
      </c>
      <c r="J495" s="127" t="s">
        <v>1621</v>
      </c>
      <c r="K495" s="127" t="s">
        <v>1618</v>
      </c>
      <c r="L495" s="127">
        <v>-250</v>
      </c>
      <c r="M495" s="127"/>
      <c r="N495" s="126" t="str">
        <f t="shared" ref="N495:N499" si="29">J495&amp;"("&amp;IF(K495="","",K495)&amp;IF(L495="","",", "&amp;L495)&amp;IF(M495="","",", "&amp;M495)&amp;")"</f>
        <v>StatusDistict(CriticalDerate, -250)</v>
      </c>
      <c r="O495" s="126">
        <v>0</v>
      </c>
      <c r="P495" s="126">
        <v>0</v>
      </c>
      <c r="Q495" s="126"/>
      <c r="R495" s="126" t="b">
        <v>1</v>
      </c>
    </row>
    <row r="496" spans="1:18" s="73" customFormat="1">
      <c r="A496" s="126" t="s">
        <v>2666</v>
      </c>
      <c r="B496" s="126"/>
      <c r="C496" s="126"/>
      <c r="D496" s="126">
        <v>0</v>
      </c>
      <c r="E496" s="126">
        <v>1</v>
      </c>
      <c r="F496" s="127" t="s">
        <v>197</v>
      </c>
      <c r="G496" s="127" t="s">
        <v>198</v>
      </c>
      <c r="H496" s="126"/>
      <c r="I496" s="127">
        <v>0</v>
      </c>
      <c r="J496" s="127" t="s">
        <v>1621</v>
      </c>
      <c r="K496" s="127" t="s">
        <v>1618</v>
      </c>
      <c r="L496" s="127">
        <v>-280</v>
      </c>
      <c r="M496" s="127"/>
      <c r="N496" s="126" t="str">
        <f t="shared" si="29"/>
        <v>StatusDistict(CriticalDerate, -280)</v>
      </c>
      <c r="O496" s="126">
        <v>0</v>
      </c>
      <c r="P496" s="126">
        <v>0</v>
      </c>
      <c r="Q496" s="126"/>
      <c r="R496" s="126" t="b">
        <v>1</v>
      </c>
    </row>
    <row r="497" spans="1:18" s="73" customFormat="1">
      <c r="A497" s="126" t="s">
        <v>2667</v>
      </c>
      <c r="B497" s="126"/>
      <c r="C497" s="126"/>
      <c r="D497" s="126">
        <v>0</v>
      </c>
      <c r="E497" s="126">
        <v>1</v>
      </c>
      <c r="F497" s="127" t="s">
        <v>197</v>
      </c>
      <c r="G497" s="127" t="s">
        <v>198</v>
      </c>
      <c r="H497" s="126"/>
      <c r="I497" s="127">
        <v>0</v>
      </c>
      <c r="J497" s="127" t="s">
        <v>1621</v>
      </c>
      <c r="K497" s="127" t="s">
        <v>1618</v>
      </c>
      <c r="L497" s="127">
        <v>-310</v>
      </c>
      <c r="M497" s="127"/>
      <c r="N497" s="126" t="str">
        <f t="shared" si="29"/>
        <v>StatusDistict(CriticalDerate, -310)</v>
      </c>
      <c r="O497" s="126">
        <v>0</v>
      </c>
      <c r="P497" s="126">
        <v>0</v>
      </c>
      <c r="Q497" s="126"/>
      <c r="R497" s="126" t="b">
        <v>1</v>
      </c>
    </row>
    <row r="498" spans="1:18" s="73" customFormat="1">
      <c r="A498" s="126" t="s">
        <v>2668</v>
      </c>
      <c r="B498" s="126"/>
      <c r="C498" s="126"/>
      <c r="D498" s="126">
        <v>0</v>
      </c>
      <c r="E498" s="126">
        <v>1</v>
      </c>
      <c r="F498" s="127" t="s">
        <v>197</v>
      </c>
      <c r="G498" s="127" t="s">
        <v>198</v>
      </c>
      <c r="H498" s="126"/>
      <c r="I498" s="127">
        <v>0</v>
      </c>
      <c r="J498" s="127" t="s">
        <v>1621</v>
      </c>
      <c r="K498" s="127" t="s">
        <v>1618</v>
      </c>
      <c r="L498" s="127">
        <v>-340</v>
      </c>
      <c r="M498" s="127"/>
      <c r="N498" s="126" t="str">
        <f t="shared" si="29"/>
        <v>StatusDistict(CriticalDerate, -340)</v>
      </c>
      <c r="O498" s="126">
        <v>0</v>
      </c>
      <c r="P498" s="126">
        <v>0</v>
      </c>
      <c r="Q498" s="126"/>
      <c r="R498" s="126" t="b">
        <v>1</v>
      </c>
    </row>
    <row r="499" spans="1:18" s="73" customFormat="1">
      <c r="A499" s="126" t="s">
        <v>2669</v>
      </c>
      <c r="B499" s="126"/>
      <c r="C499" s="126"/>
      <c r="D499" s="126">
        <v>0</v>
      </c>
      <c r="E499" s="126">
        <v>1</v>
      </c>
      <c r="F499" s="127" t="s">
        <v>197</v>
      </c>
      <c r="G499" s="127" t="s">
        <v>198</v>
      </c>
      <c r="H499" s="126"/>
      <c r="I499" s="127">
        <v>0</v>
      </c>
      <c r="J499" s="127" t="s">
        <v>1621</v>
      </c>
      <c r="K499" s="127" t="s">
        <v>1618</v>
      </c>
      <c r="L499" s="127">
        <v>-370</v>
      </c>
      <c r="M499" s="127"/>
      <c r="N499" s="126" t="str">
        <f t="shared" si="29"/>
        <v>StatusDistict(CriticalDerate, -370)</v>
      </c>
      <c r="O499" s="126">
        <v>0</v>
      </c>
      <c r="P499" s="126">
        <v>0</v>
      </c>
      <c r="Q499" s="126"/>
      <c r="R499" s="126" t="b">
        <v>1</v>
      </c>
    </row>
    <row r="500" spans="1:18" s="73" customFormat="1">
      <c r="A500" s="130" t="s">
        <v>1714</v>
      </c>
      <c r="B500" s="130"/>
      <c r="C500" s="130"/>
      <c r="D500" s="130">
        <v>0</v>
      </c>
      <c r="E500" s="130">
        <v>1</v>
      </c>
      <c r="F500" s="131" t="s">
        <v>197</v>
      </c>
      <c r="G500" s="131" t="s">
        <v>198</v>
      </c>
      <c r="H500" s="130"/>
      <c r="I500" s="131">
        <v>0</v>
      </c>
      <c r="J500" s="131" t="s">
        <v>1621</v>
      </c>
      <c r="K500" s="131" t="s">
        <v>4554</v>
      </c>
      <c r="L500" s="131">
        <v>-250</v>
      </c>
      <c r="M500" s="131"/>
      <c r="N500" s="130" t="str">
        <f t="shared" si="26"/>
        <v>StatusDistict(RecoveryRate, -250)</v>
      </c>
      <c r="O500" s="130">
        <v>0</v>
      </c>
      <c r="P500" s="130">
        <v>0</v>
      </c>
      <c r="Q500" s="130"/>
      <c r="R500" s="130" t="b">
        <v>1</v>
      </c>
    </row>
    <row r="501" spans="1:18" s="73" customFormat="1">
      <c r="A501" s="130" t="s">
        <v>1603</v>
      </c>
      <c r="B501" s="130"/>
      <c r="C501" s="130"/>
      <c r="D501" s="130">
        <v>0</v>
      </c>
      <c r="E501" s="130">
        <v>1</v>
      </c>
      <c r="F501" s="131" t="s">
        <v>197</v>
      </c>
      <c r="G501" s="131" t="s">
        <v>198</v>
      </c>
      <c r="H501" s="130"/>
      <c r="I501" s="131">
        <v>0</v>
      </c>
      <c r="J501" s="131" t="s">
        <v>1621</v>
      </c>
      <c r="K501" s="131" t="s">
        <v>873</v>
      </c>
      <c r="L501" s="131">
        <v>-300</v>
      </c>
      <c r="M501" s="131"/>
      <c r="N501" s="130" t="str">
        <f t="shared" si="26"/>
        <v>StatusDistict(RecoveryRate, -300)</v>
      </c>
      <c r="O501" s="130">
        <v>0</v>
      </c>
      <c r="P501" s="130">
        <v>0</v>
      </c>
      <c r="Q501" s="130"/>
      <c r="R501" s="130" t="b">
        <v>1</v>
      </c>
    </row>
    <row r="502" spans="1:18" s="73" customFormat="1">
      <c r="A502" s="130" t="s">
        <v>1604</v>
      </c>
      <c r="B502" s="130"/>
      <c r="C502" s="130"/>
      <c r="D502" s="130">
        <v>0</v>
      </c>
      <c r="E502" s="130">
        <v>1</v>
      </c>
      <c r="F502" s="131" t="s">
        <v>197</v>
      </c>
      <c r="G502" s="131" t="s">
        <v>198</v>
      </c>
      <c r="H502" s="130"/>
      <c r="I502" s="131">
        <v>0</v>
      </c>
      <c r="J502" s="131" t="s">
        <v>1621</v>
      </c>
      <c r="K502" s="131" t="s">
        <v>873</v>
      </c>
      <c r="L502" s="131">
        <v>-350</v>
      </c>
      <c r="M502" s="131"/>
      <c r="N502" s="130" t="str">
        <f t="shared" si="26"/>
        <v>StatusDistict(RecoveryRate, -350)</v>
      </c>
      <c r="O502" s="130">
        <v>0</v>
      </c>
      <c r="P502" s="130">
        <v>0</v>
      </c>
      <c r="Q502" s="130"/>
      <c r="R502" s="130" t="b">
        <v>1</v>
      </c>
    </row>
    <row r="503" spans="1:18" s="73" customFormat="1">
      <c r="A503" s="130" t="s">
        <v>1605</v>
      </c>
      <c r="B503" s="130"/>
      <c r="C503" s="130"/>
      <c r="D503" s="130">
        <v>0</v>
      </c>
      <c r="E503" s="130">
        <v>1</v>
      </c>
      <c r="F503" s="131" t="s">
        <v>197</v>
      </c>
      <c r="G503" s="131" t="s">
        <v>198</v>
      </c>
      <c r="H503" s="130"/>
      <c r="I503" s="131">
        <v>0</v>
      </c>
      <c r="J503" s="131" t="s">
        <v>1621</v>
      </c>
      <c r="K503" s="131" t="s">
        <v>873</v>
      </c>
      <c r="L503" s="131">
        <v>-400</v>
      </c>
      <c r="M503" s="131"/>
      <c r="N503" s="130" t="str">
        <f t="shared" si="26"/>
        <v>StatusDistict(RecoveryRate, -400)</v>
      </c>
      <c r="O503" s="130">
        <v>0</v>
      </c>
      <c r="P503" s="130">
        <v>0</v>
      </c>
      <c r="Q503" s="130"/>
      <c r="R503" s="130" t="b">
        <v>1</v>
      </c>
    </row>
    <row r="504" spans="1:18" s="73" customFormat="1">
      <c r="A504" s="130" t="s">
        <v>1606</v>
      </c>
      <c r="B504" s="130"/>
      <c r="C504" s="130"/>
      <c r="D504" s="130">
        <v>0</v>
      </c>
      <c r="E504" s="130">
        <v>1</v>
      </c>
      <c r="F504" s="131" t="s">
        <v>197</v>
      </c>
      <c r="G504" s="131" t="s">
        <v>198</v>
      </c>
      <c r="H504" s="130"/>
      <c r="I504" s="131">
        <v>0</v>
      </c>
      <c r="J504" s="131" t="s">
        <v>1621</v>
      </c>
      <c r="K504" s="131" t="s">
        <v>4555</v>
      </c>
      <c r="L504" s="131">
        <v>-450</v>
      </c>
      <c r="M504" s="131"/>
      <c r="N504" s="130" t="str">
        <f t="shared" si="26"/>
        <v>StatusDistict(RecoveryRate, -450)</v>
      </c>
      <c r="O504" s="130">
        <v>0</v>
      </c>
      <c r="P504" s="130">
        <v>0</v>
      </c>
      <c r="Q504" s="130"/>
      <c r="R504" s="130" t="b">
        <v>1</v>
      </c>
    </row>
    <row r="505" spans="1:18" s="73" customFormat="1">
      <c r="A505" s="126" t="s">
        <v>1715</v>
      </c>
      <c r="B505" s="126"/>
      <c r="C505" s="126"/>
      <c r="D505" s="126">
        <v>0</v>
      </c>
      <c r="E505" s="126">
        <v>1</v>
      </c>
      <c r="F505" s="127" t="s">
        <v>197</v>
      </c>
      <c r="G505" s="127" t="s">
        <v>198</v>
      </c>
      <c r="H505" s="126"/>
      <c r="I505" s="127">
        <v>0</v>
      </c>
      <c r="J505" s="127" t="s">
        <v>1621</v>
      </c>
      <c r="K505" s="127" t="s">
        <v>4556</v>
      </c>
      <c r="L505" s="127">
        <v>-600</v>
      </c>
      <c r="M505" s="127"/>
      <c r="N505" s="126" t="str">
        <f t="shared" si="26"/>
        <v>StatusDistict(ReceiveRecoveryRate, -600)</v>
      </c>
      <c r="O505" s="126">
        <v>0</v>
      </c>
      <c r="P505" s="126">
        <v>0</v>
      </c>
      <c r="Q505" s="126"/>
      <c r="R505" s="126" t="b">
        <v>1</v>
      </c>
    </row>
    <row r="506" spans="1:18" s="73" customFormat="1">
      <c r="A506" s="126" t="s">
        <v>1607</v>
      </c>
      <c r="B506" s="126"/>
      <c r="C506" s="126"/>
      <c r="D506" s="126">
        <v>0</v>
      </c>
      <c r="E506" s="126">
        <v>1</v>
      </c>
      <c r="F506" s="127" t="s">
        <v>197</v>
      </c>
      <c r="G506" s="127" t="s">
        <v>198</v>
      </c>
      <c r="H506" s="126"/>
      <c r="I506" s="127">
        <v>0</v>
      </c>
      <c r="J506" s="127" t="s">
        <v>1621</v>
      </c>
      <c r="K506" s="127" t="s">
        <v>874</v>
      </c>
      <c r="L506" s="127">
        <v>-640</v>
      </c>
      <c r="M506" s="127"/>
      <c r="N506" s="126" t="str">
        <f t="shared" si="26"/>
        <v>StatusDistict(ReceiveRecoveryRate, -640)</v>
      </c>
      <c r="O506" s="126">
        <v>0</v>
      </c>
      <c r="P506" s="126">
        <v>0</v>
      </c>
      <c r="Q506" s="126"/>
      <c r="R506" s="126" t="b">
        <v>1</v>
      </c>
    </row>
    <row r="507" spans="1:18" s="73" customFormat="1">
      <c r="A507" s="126" t="s">
        <v>5790</v>
      </c>
      <c r="B507" s="126"/>
      <c r="C507" s="126"/>
      <c r="D507" s="126">
        <v>0</v>
      </c>
      <c r="E507" s="126">
        <v>1</v>
      </c>
      <c r="F507" s="127" t="s">
        <v>197</v>
      </c>
      <c r="G507" s="127" t="s">
        <v>198</v>
      </c>
      <c r="H507" s="126"/>
      <c r="I507" s="127">
        <v>0</v>
      </c>
      <c r="J507" s="127" t="s">
        <v>1621</v>
      </c>
      <c r="K507" s="127" t="s">
        <v>874</v>
      </c>
      <c r="L507" s="127">
        <v>-680</v>
      </c>
      <c r="M507" s="127"/>
      <c r="N507" s="126" t="str">
        <f t="shared" si="26"/>
        <v>StatusDistict(ReceiveRecoveryRate, -680)</v>
      </c>
      <c r="O507" s="126">
        <v>0</v>
      </c>
      <c r="P507" s="126">
        <v>0</v>
      </c>
      <c r="Q507" s="126"/>
      <c r="R507" s="126" t="b">
        <v>1</v>
      </c>
    </row>
    <row r="508" spans="1:18" s="73" customFormat="1">
      <c r="A508" s="126" t="s">
        <v>1608</v>
      </c>
      <c r="B508" s="126"/>
      <c r="C508" s="126"/>
      <c r="D508" s="126">
        <v>0</v>
      </c>
      <c r="E508" s="126">
        <v>1</v>
      </c>
      <c r="F508" s="127" t="s">
        <v>197</v>
      </c>
      <c r="G508" s="127" t="s">
        <v>198</v>
      </c>
      <c r="H508" s="126"/>
      <c r="I508" s="127">
        <v>0</v>
      </c>
      <c r="J508" s="127" t="s">
        <v>1621</v>
      </c>
      <c r="K508" s="127" t="s">
        <v>874</v>
      </c>
      <c r="L508" s="127">
        <v>-720</v>
      </c>
      <c r="M508" s="127"/>
      <c r="N508" s="126" t="str">
        <f t="shared" si="26"/>
        <v>StatusDistict(ReceiveRecoveryRate, -720)</v>
      </c>
      <c r="O508" s="126">
        <v>0</v>
      </c>
      <c r="P508" s="126">
        <v>0</v>
      </c>
      <c r="Q508" s="126"/>
      <c r="R508" s="126" t="b">
        <v>1</v>
      </c>
    </row>
    <row r="509" spans="1:18" s="73" customFormat="1">
      <c r="A509" s="126" t="s">
        <v>1609</v>
      </c>
      <c r="B509" s="126"/>
      <c r="C509" s="126"/>
      <c r="D509" s="126">
        <v>0</v>
      </c>
      <c r="E509" s="126">
        <v>1</v>
      </c>
      <c r="F509" s="127" t="s">
        <v>197</v>
      </c>
      <c r="G509" s="127" t="s">
        <v>198</v>
      </c>
      <c r="H509" s="126"/>
      <c r="I509" s="127">
        <v>0</v>
      </c>
      <c r="J509" s="127" t="s">
        <v>1621</v>
      </c>
      <c r="K509" s="127" t="s">
        <v>874</v>
      </c>
      <c r="L509" s="127">
        <v>-760</v>
      </c>
      <c r="M509" s="127"/>
      <c r="N509" s="126" t="str">
        <f t="shared" si="26"/>
        <v>StatusDistict(ReceiveRecoveryRate, -760)</v>
      </c>
      <c r="O509" s="126">
        <v>0</v>
      </c>
      <c r="P509" s="126">
        <v>0</v>
      </c>
      <c r="Q509" s="126"/>
      <c r="R509" s="126" t="b">
        <v>1</v>
      </c>
    </row>
    <row r="510" spans="1:18" s="73" customFormat="1">
      <c r="A510" s="126" t="s">
        <v>3826</v>
      </c>
      <c r="B510" s="126"/>
      <c r="C510" s="126"/>
      <c r="D510" s="126">
        <v>0</v>
      </c>
      <c r="E510" s="126">
        <v>1</v>
      </c>
      <c r="F510" s="127" t="s">
        <v>197</v>
      </c>
      <c r="G510" s="127" t="s">
        <v>198</v>
      </c>
      <c r="H510" s="126"/>
      <c r="I510" s="127">
        <v>0</v>
      </c>
      <c r="J510" s="127" t="s">
        <v>1621</v>
      </c>
      <c r="K510" s="127" t="s">
        <v>874</v>
      </c>
      <c r="L510" s="127">
        <v>-800</v>
      </c>
      <c r="M510" s="127"/>
      <c r="N510" s="126" t="str">
        <f t="shared" ref="N510:N514" si="30">J510&amp;"("&amp;IF(K510="","",K510)&amp;IF(L510="","",", "&amp;L510)&amp;IF(M510="","",", "&amp;M510)&amp;")"</f>
        <v>StatusDistict(ReceiveRecoveryRate, -800)</v>
      </c>
      <c r="O510" s="126">
        <v>0</v>
      </c>
      <c r="P510" s="126">
        <v>0</v>
      </c>
      <c r="Q510" s="126"/>
      <c r="R510" s="126" t="b">
        <v>1</v>
      </c>
    </row>
    <row r="511" spans="1:18" s="73" customFormat="1">
      <c r="A511" s="126" t="s">
        <v>3816</v>
      </c>
      <c r="B511" s="126"/>
      <c r="C511" s="126"/>
      <c r="D511" s="126">
        <v>0</v>
      </c>
      <c r="E511" s="126">
        <v>1</v>
      </c>
      <c r="F511" s="127" t="s">
        <v>197</v>
      </c>
      <c r="G511" s="127" t="s">
        <v>198</v>
      </c>
      <c r="H511" s="126"/>
      <c r="I511" s="127">
        <v>0</v>
      </c>
      <c r="J511" s="127" t="s">
        <v>1621</v>
      </c>
      <c r="K511" s="127" t="s">
        <v>874</v>
      </c>
      <c r="L511" s="127">
        <v>-840</v>
      </c>
      <c r="M511" s="127"/>
      <c r="N511" s="126" t="str">
        <f t="shared" si="30"/>
        <v>StatusDistict(ReceiveRecoveryRate, -840)</v>
      </c>
      <c r="O511" s="126">
        <v>0</v>
      </c>
      <c r="P511" s="126">
        <v>0</v>
      </c>
      <c r="Q511" s="126"/>
      <c r="R511" s="126" t="b">
        <v>1</v>
      </c>
    </row>
    <row r="512" spans="1:18" s="73" customFormat="1">
      <c r="A512" s="126" t="s">
        <v>3817</v>
      </c>
      <c r="B512" s="126"/>
      <c r="C512" s="126"/>
      <c r="D512" s="126">
        <v>0</v>
      </c>
      <c r="E512" s="126">
        <v>1</v>
      </c>
      <c r="F512" s="127" t="s">
        <v>197</v>
      </c>
      <c r="G512" s="127" t="s">
        <v>198</v>
      </c>
      <c r="H512" s="126"/>
      <c r="I512" s="127">
        <v>0</v>
      </c>
      <c r="J512" s="127" t="s">
        <v>1621</v>
      </c>
      <c r="K512" s="127" t="s">
        <v>874</v>
      </c>
      <c r="L512" s="127">
        <v>-880</v>
      </c>
      <c r="M512" s="127"/>
      <c r="N512" s="126" t="str">
        <f t="shared" si="30"/>
        <v>StatusDistict(ReceiveRecoveryRate, -880)</v>
      </c>
      <c r="O512" s="126">
        <v>0</v>
      </c>
      <c r="P512" s="126">
        <v>0</v>
      </c>
      <c r="Q512" s="126"/>
      <c r="R512" s="126" t="b">
        <v>1</v>
      </c>
    </row>
    <row r="513" spans="1:18" s="73" customFormat="1">
      <c r="A513" s="126" t="s">
        <v>3818</v>
      </c>
      <c r="B513" s="126"/>
      <c r="C513" s="126"/>
      <c r="D513" s="126">
        <v>0</v>
      </c>
      <c r="E513" s="126">
        <v>1</v>
      </c>
      <c r="F513" s="127" t="s">
        <v>197</v>
      </c>
      <c r="G513" s="127" t="s">
        <v>198</v>
      </c>
      <c r="H513" s="126"/>
      <c r="I513" s="127">
        <v>0</v>
      </c>
      <c r="J513" s="127" t="s">
        <v>1621</v>
      </c>
      <c r="K513" s="127" t="s">
        <v>874</v>
      </c>
      <c r="L513" s="127">
        <v>-920</v>
      </c>
      <c r="M513" s="127"/>
      <c r="N513" s="126" t="str">
        <f t="shared" si="30"/>
        <v>StatusDistict(ReceiveRecoveryRate, -920)</v>
      </c>
      <c r="O513" s="126">
        <v>0</v>
      </c>
      <c r="P513" s="126">
        <v>0</v>
      </c>
      <c r="Q513" s="126"/>
      <c r="R513" s="126" t="b">
        <v>1</v>
      </c>
    </row>
    <row r="514" spans="1:18" s="73" customFormat="1">
      <c r="A514" s="126" t="s">
        <v>3819</v>
      </c>
      <c r="B514" s="126"/>
      <c r="C514" s="126"/>
      <c r="D514" s="126">
        <v>0</v>
      </c>
      <c r="E514" s="126">
        <v>1</v>
      </c>
      <c r="F514" s="127" t="s">
        <v>197</v>
      </c>
      <c r="G514" s="127" t="s">
        <v>198</v>
      </c>
      <c r="H514" s="126"/>
      <c r="I514" s="127">
        <v>0</v>
      </c>
      <c r="J514" s="127" t="s">
        <v>1621</v>
      </c>
      <c r="K514" s="127" t="s">
        <v>874</v>
      </c>
      <c r="L514" s="127">
        <v>-960</v>
      </c>
      <c r="M514" s="127"/>
      <c r="N514" s="126" t="str">
        <f t="shared" si="30"/>
        <v>StatusDistict(ReceiveRecoveryRate, -960)</v>
      </c>
      <c r="O514" s="126">
        <v>0</v>
      </c>
      <c r="P514" s="126">
        <v>0</v>
      </c>
      <c r="Q514" s="126"/>
      <c r="R514" s="126" t="b">
        <v>1</v>
      </c>
    </row>
    <row r="515" spans="1:18" s="73" customFormat="1">
      <c r="A515" s="126" t="s">
        <v>4553</v>
      </c>
      <c r="B515" s="126"/>
      <c r="C515" s="126"/>
      <c r="D515" s="126">
        <v>0</v>
      </c>
      <c r="E515" s="126">
        <v>1</v>
      </c>
      <c r="F515" s="127" t="s">
        <v>197</v>
      </c>
      <c r="G515" s="127" t="s">
        <v>198</v>
      </c>
      <c r="H515" s="126"/>
      <c r="I515" s="127">
        <v>0</v>
      </c>
      <c r="J515" s="127" t="s">
        <v>1621</v>
      </c>
      <c r="K515" s="127" t="s">
        <v>4556</v>
      </c>
      <c r="L515" s="127">
        <v>-500</v>
      </c>
      <c r="M515" s="127"/>
      <c r="N515" s="126" t="str">
        <f t="shared" ref="N515" si="31">J515&amp;"("&amp;IF(K515="","",K515)&amp;IF(L515="","",", "&amp;L515)&amp;IF(M515="","",", "&amp;M515)&amp;")"</f>
        <v>StatusDistict(ReceiveRecoveryRate, -500)</v>
      </c>
      <c r="O515" s="126">
        <v>0</v>
      </c>
      <c r="P515" s="126">
        <v>0</v>
      </c>
      <c r="Q515" s="126"/>
      <c r="R515" s="126" t="b">
        <v>1</v>
      </c>
    </row>
    <row r="516" spans="1:18" s="73" customFormat="1">
      <c r="A516" s="130" t="s">
        <v>1716</v>
      </c>
      <c r="B516" s="130"/>
      <c r="C516" s="130"/>
      <c r="D516" s="130">
        <v>0</v>
      </c>
      <c r="E516" s="130">
        <v>1</v>
      </c>
      <c r="F516" s="131" t="s">
        <v>197</v>
      </c>
      <c r="G516" s="131" t="s">
        <v>198</v>
      </c>
      <c r="H516" s="130"/>
      <c r="I516" s="131">
        <v>0</v>
      </c>
      <c r="J516" s="131" t="s">
        <v>3825</v>
      </c>
      <c r="K516" s="131" t="s">
        <v>925</v>
      </c>
      <c r="L516" s="131">
        <v>-120</v>
      </c>
      <c r="M516" s="131"/>
      <c r="N516" s="130" t="str">
        <f t="shared" si="26"/>
        <v>StatusDistict(AddEnergyRate, -120)</v>
      </c>
      <c r="O516" s="130">
        <v>0</v>
      </c>
      <c r="P516" s="130">
        <v>0</v>
      </c>
      <c r="Q516" s="130"/>
      <c r="R516" s="130" t="b">
        <v>1</v>
      </c>
    </row>
    <row r="517" spans="1:18" s="73" customFormat="1">
      <c r="A517" s="130" t="s">
        <v>1610</v>
      </c>
      <c r="B517" s="130"/>
      <c r="C517" s="130"/>
      <c r="D517" s="130">
        <v>0</v>
      </c>
      <c r="E517" s="130">
        <v>1</v>
      </c>
      <c r="F517" s="131" t="s">
        <v>197</v>
      </c>
      <c r="G517" s="131" t="s">
        <v>198</v>
      </c>
      <c r="H517" s="130"/>
      <c r="I517" s="131">
        <v>0</v>
      </c>
      <c r="J517" s="131" t="s">
        <v>1621</v>
      </c>
      <c r="K517" s="131" t="s">
        <v>925</v>
      </c>
      <c r="L517" s="131">
        <v>-180</v>
      </c>
      <c r="M517" s="131"/>
      <c r="N517" s="130" t="str">
        <f t="shared" si="26"/>
        <v>StatusDistict(AddEnergyRate, -180)</v>
      </c>
      <c r="O517" s="130">
        <v>0</v>
      </c>
      <c r="P517" s="130">
        <v>0</v>
      </c>
      <c r="Q517" s="130"/>
      <c r="R517" s="130" t="b">
        <v>1</v>
      </c>
    </row>
    <row r="518" spans="1:18" s="73" customFormat="1">
      <c r="A518" s="130" t="s">
        <v>3807</v>
      </c>
      <c r="B518" s="130"/>
      <c r="C518" s="130"/>
      <c r="D518" s="130">
        <v>0</v>
      </c>
      <c r="E518" s="130">
        <v>1</v>
      </c>
      <c r="F518" s="131" t="s">
        <v>197</v>
      </c>
      <c r="G518" s="131" t="s">
        <v>198</v>
      </c>
      <c r="H518" s="130"/>
      <c r="I518" s="131">
        <v>0</v>
      </c>
      <c r="J518" s="131" t="s">
        <v>1621</v>
      </c>
      <c r="K518" s="131" t="s">
        <v>925</v>
      </c>
      <c r="L518" s="131">
        <v>-240</v>
      </c>
      <c r="M518" s="131"/>
      <c r="N518" s="130" t="str">
        <f t="shared" si="26"/>
        <v>StatusDistict(AddEnergyRate, -240)</v>
      </c>
      <c r="O518" s="130">
        <v>0</v>
      </c>
      <c r="P518" s="130">
        <v>0</v>
      </c>
      <c r="Q518" s="130"/>
      <c r="R518" s="130" t="b">
        <v>1</v>
      </c>
    </row>
    <row r="519" spans="1:18" s="73" customFormat="1">
      <c r="A519" s="130" t="s">
        <v>3204</v>
      </c>
      <c r="B519" s="130"/>
      <c r="C519" s="130"/>
      <c r="D519" s="130">
        <v>0</v>
      </c>
      <c r="E519" s="130">
        <v>1</v>
      </c>
      <c r="F519" s="131" t="s">
        <v>197</v>
      </c>
      <c r="G519" s="131" t="s">
        <v>198</v>
      </c>
      <c r="H519" s="130"/>
      <c r="I519" s="131">
        <v>0</v>
      </c>
      <c r="J519" s="131" t="s">
        <v>1621</v>
      </c>
      <c r="K519" s="131" t="s">
        <v>925</v>
      </c>
      <c r="L519" s="131">
        <v>-300</v>
      </c>
      <c r="M519" s="131"/>
      <c r="N519" s="130" t="str">
        <f t="shared" si="26"/>
        <v>StatusDistict(AddEnergyRate, -300)</v>
      </c>
      <c r="O519" s="130">
        <v>0</v>
      </c>
      <c r="P519" s="130">
        <v>0</v>
      </c>
      <c r="Q519" s="130"/>
      <c r="R519" s="130" t="b">
        <v>1</v>
      </c>
    </row>
    <row r="520" spans="1:18" s="73" customFormat="1">
      <c r="A520" s="130" t="s">
        <v>1613</v>
      </c>
      <c r="B520" s="130"/>
      <c r="C520" s="130"/>
      <c r="D520" s="130">
        <v>0</v>
      </c>
      <c r="E520" s="130">
        <v>1</v>
      </c>
      <c r="F520" s="131" t="s">
        <v>197</v>
      </c>
      <c r="G520" s="131" t="s">
        <v>198</v>
      </c>
      <c r="H520" s="130"/>
      <c r="I520" s="131">
        <v>0</v>
      </c>
      <c r="J520" s="131" t="s">
        <v>1621</v>
      </c>
      <c r="K520" s="131" t="s">
        <v>925</v>
      </c>
      <c r="L520" s="131">
        <v>-360</v>
      </c>
      <c r="M520" s="131"/>
      <c r="N520" s="130" t="str">
        <f t="shared" si="26"/>
        <v>StatusDistict(AddEnergyRate, -360)</v>
      </c>
      <c r="O520" s="130">
        <v>0</v>
      </c>
      <c r="P520" s="130">
        <v>0</v>
      </c>
      <c r="Q520" s="130"/>
      <c r="R520" s="130" t="b">
        <v>1</v>
      </c>
    </row>
    <row r="521" spans="1:18" s="73" customFormat="1">
      <c r="A521" s="126" t="s">
        <v>3679</v>
      </c>
      <c r="B521" s="126"/>
      <c r="C521" s="126"/>
      <c r="D521" s="126">
        <v>0</v>
      </c>
      <c r="E521" s="126">
        <v>1</v>
      </c>
      <c r="F521" s="127" t="s">
        <v>197</v>
      </c>
      <c r="G521" s="127" t="s">
        <v>198</v>
      </c>
      <c r="H521" s="126"/>
      <c r="I521" s="127">
        <v>0</v>
      </c>
      <c r="J521" s="127" t="s">
        <v>7504</v>
      </c>
      <c r="K521" s="127">
        <v>-100</v>
      </c>
      <c r="L521" s="127"/>
      <c r="M521" s="127"/>
      <c r="N521" s="126" t="str">
        <f t="shared" ref="N521:N565" si="32">J521&amp;"("&amp;IF(K521="","",K521)&amp;IF(L521="","",", "&amp;L521)&amp;IF(M521="","",", "&amp;M521)&amp;")"</f>
        <v>AccelerationSkillTime(-100)</v>
      </c>
      <c r="O521" s="126">
        <v>0</v>
      </c>
      <c r="P521" s="126">
        <v>0</v>
      </c>
      <c r="Q521" s="126"/>
      <c r="R521" s="126" t="b">
        <v>1</v>
      </c>
    </row>
    <row r="522" spans="1:18" s="73" customFormat="1">
      <c r="A522" s="126" t="s">
        <v>3708</v>
      </c>
      <c r="B522" s="126"/>
      <c r="C522" s="126"/>
      <c r="D522" s="126">
        <v>0</v>
      </c>
      <c r="E522" s="126">
        <v>1</v>
      </c>
      <c r="F522" s="127" t="s">
        <v>197</v>
      </c>
      <c r="G522" s="127" t="s">
        <v>198</v>
      </c>
      <c r="H522" s="126"/>
      <c r="I522" s="127">
        <v>0</v>
      </c>
      <c r="J522" s="127" t="s">
        <v>2327</v>
      </c>
      <c r="K522" s="127">
        <v>-200</v>
      </c>
      <c r="L522" s="127"/>
      <c r="M522" s="127"/>
      <c r="N522" s="126" t="str">
        <f t="shared" si="32"/>
        <v>AccelerationSkillTime(-200)</v>
      </c>
      <c r="O522" s="126">
        <v>0</v>
      </c>
      <c r="P522" s="126">
        <v>0</v>
      </c>
      <c r="Q522" s="126"/>
      <c r="R522" s="126" t="b">
        <v>1</v>
      </c>
    </row>
    <row r="523" spans="1:18" s="73" customFormat="1">
      <c r="A523" s="126" t="s">
        <v>3680</v>
      </c>
      <c r="B523" s="126"/>
      <c r="C523" s="126"/>
      <c r="D523" s="126">
        <v>0</v>
      </c>
      <c r="E523" s="126">
        <v>1</v>
      </c>
      <c r="F523" s="127" t="s">
        <v>197</v>
      </c>
      <c r="G523" s="127" t="s">
        <v>198</v>
      </c>
      <c r="H523" s="126"/>
      <c r="I523" s="127">
        <v>0</v>
      </c>
      <c r="J523" s="127" t="s">
        <v>2327</v>
      </c>
      <c r="K523" s="127">
        <v>-300</v>
      </c>
      <c r="L523" s="127"/>
      <c r="M523" s="127"/>
      <c r="N523" s="126" t="str">
        <f t="shared" si="32"/>
        <v>AccelerationSkillTime(-300)</v>
      </c>
      <c r="O523" s="126">
        <v>0</v>
      </c>
      <c r="P523" s="126">
        <v>0</v>
      </c>
      <c r="Q523" s="126"/>
      <c r="R523" s="126" t="b">
        <v>1</v>
      </c>
    </row>
    <row r="524" spans="1:18" s="73" customFormat="1">
      <c r="A524" s="126" t="s">
        <v>3681</v>
      </c>
      <c r="B524" s="126"/>
      <c r="C524" s="126"/>
      <c r="D524" s="126">
        <v>0</v>
      </c>
      <c r="E524" s="126">
        <v>1</v>
      </c>
      <c r="F524" s="127" t="s">
        <v>197</v>
      </c>
      <c r="G524" s="127" t="s">
        <v>198</v>
      </c>
      <c r="H524" s="126"/>
      <c r="I524" s="127">
        <v>0</v>
      </c>
      <c r="J524" s="127" t="s">
        <v>2327</v>
      </c>
      <c r="K524" s="127">
        <v>-400</v>
      </c>
      <c r="L524" s="127"/>
      <c r="M524" s="127"/>
      <c r="N524" s="126" t="str">
        <f t="shared" si="32"/>
        <v>AccelerationSkillTime(-400)</v>
      </c>
      <c r="O524" s="126">
        <v>0</v>
      </c>
      <c r="P524" s="126">
        <v>0</v>
      </c>
      <c r="Q524" s="126"/>
      <c r="R524" s="126" t="b">
        <v>1</v>
      </c>
    </row>
    <row r="525" spans="1:18" s="73" customFormat="1">
      <c r="A525" s="126" t="s">
        <v>3682</v>
      </c>
      <c r="B525" s="126"/>
      <c r="C525" s="126"/>
      <c r="D525" s="126">
        <v>0</v>
      </c>
      <c r="E525" s="126">
        <v>1</v>
      </c>
      <c r="F525" s="127" t="s">
        <v>197</v>
      </c>
      <c r="G525" s="127" t="s">
        <v>198</v>
      </c>
      <c r="H525" s="126"/>
      <c r="I525" s="127">
        <v>0</v>
      </c>
      <c r="J525" s="127" t="s">
        <v>2327</v>
      </c>
      <c r="K525" s="127">
        <v>-500</v>
      </c>
      <c r="L525" s="127"/>
      <c r="M525" s="127"/>
      <c r="N525" s="126" t="str">
        <f t="shared" si="32"/>
        <v>AccelerationSkillTime(-500)</v>
      </c>
      <c r="O525" s="126">
        <v>0</v>
      </c>
      <c r="P525" s="126">
        <v>0</v>
      </c>
      <c r="Q525" s="126"/>
      <c r="R525" s="126" t="b">
        <v>1</v>
      </c>
    </row>
    <row r="526" spans="1:18" s="73" customFormat="1">
      <c r="A526" s="130" t="s">
        <v>4275</v>
      </c>
      <c r="B526" s="130"/>
      <c r="C526" s="130"/>
      <c r="D526" s="130">
        <v>0</v>
      </c>
      <c r="E526" s="130">
        <v>1</v>
      </c>
      <c r="F526" s="131" t="s">
        <v>197</v>
      </c>
      <c r="G526" s="131" t="s">
        <v>198</v>
      </c>
      <c r="H526" s="130"/>
      <c r="I526" s="131">
        <v>0</v>
      </c>
      <c r="J526" s="131" t="s">
        <v>1621</v>
      </c>
      <c r="K526" s="131" t="s">
        <v>4284</v>
      </c>
      <c r="L526" s="131">
        <v>-250</v>
      </c>
      <c r="M526" s="131"/>
      <c r="N526" s="130" t="str">
        <f t="shared" si="32"/>
        <v>StatusDistict(NormalDamageDerate, -250)</v>
      </c>
      <c r="O526" s="130">
        <v>0</v>
      </c>
      <c r="P526" s="130">
        <v>0</v>
      </c>
      <c r="Q526" s="130"/>
      <c r="R526" s="130" t="b">
        <v>1</v>
      </c>
    </row>
    <row r="527" spans="1:18" s="73" customFormat="1">
      <c r="A527" s="130" t="s">
        <v>4285</v>
      </c>
      <c r="B527" s="130"/>
      <c r="C527" s="130"/>
      <c r="D527" s="130">
        <v>0</v>
      </c>
      <c r="E527" s="130">
        <v>1</v>
      </c>
      <c r="F527" s="131" t="s">
        <v>197</v>
      </c>
      <c r="G527" s="131" t="s">
        <v>198</v>
      </c>
      <c r="H527" s="130"/>
      <c r="I527" s="131">
        <v>0</v>
      </c>
      <c r="J527" s="131" t="s">
        <v>1621</v>
      </c>
      <c r="K527" s="131" t="s">
        <v>4284</v>
      </c>
      <c r="L527" s="131">
        <v>-500</v>
      </c>
      <c r="M527" s="131"/>
      <c r="N527" s="130" t="str">
        <f t="shared" si="32"/>
        <v>StatusDistict(NormalDamageDerate, -500)</v>
      </c>
      <c r="O527" s="130">
        <v>0</v>
      </c>
      <c r="P527" s="130">
        <v>0</v>
      </c>
      <c r="Q527" s="130"/>
      <c r="R527" s="130" t="b">
        <v>1</v>
      </c>
    </row>
    <row r="528" spans="1:18" s="73" customFormat="1">
      <c r="A528" s="130" t="s">
        <v>4276</v>
      </c>
      <c r="B528" s="130"/>
      <c r="C528" s="130"/>
      <c r="D528" s="130">
        <v>0</v>
      </c>
      <c r="E528" s="130">
        <v>1</v>
      </c>
      <c r="F528" s="131" t="s">
        <v>197</v>
      </c>
      <c r="G528" s="131" t="s">
        <v>198</v>
      </c>
      <c r="H528" s="130"/>
      <c r="I528" s="131">
        <v>0</v>
      </c>
      <c r="J528" s="131" t="s">
        <v>1621</v>
      </c>
      <c r="K528" s="131" t="s">
        <v>4284</v>
      </c>
      <c r="L528" s="131">
        <v>-750</v>
      </c>
      <c r="M528" s="131"/>
      <c r="N528" s="130" t="str">
        <f t="shared" si="32"/>
        <v>StatusDistict(NormalDamageDerate, -750)</v>
      </c>
      <c r="O528" s="130">
        <v>0</v>
      </c>
      <c r="P528" s="130">
        <v>0</v>
      </c>
      <c r="Q528" s="130"/>
      <c r="R528" s="130" t="b">
        <v>1</v>
      </c>
    </row>
    <row r="529" spans="1:18" s="73" customFormat="1">
      <c r="A529" s="130" t="s">
        <v>4277</v>
      </c>
      <c r="B529" s="130"/>
      <c r="C529" s="130"/>
      <c r="D529" s="130">
        <v>0</v>
      </c>
      <c r="E529" s="130">
        <v>1</v>
      </c>
      <c r="F529" s="131" t="s">
        <v>197</v>
      </c>
      <c r="G529" s="131" t="s">
        <v>198</v>
      </c>
      <c r="H529" s="130"/>
      <c r="I529" s="131">
        <v>0</v>
      </c>
      <c r="J529" s="131" t="s">
        <v>1621</v>
      </c>
      <c r="K529" s="131" t="s">
        <v>4284</v>
      </c>
      <c r="L529" s="131">
        <v>-1000</v>
      </c>
      <c r="M529" s="131"/>
      <c r="N529" s="130" t="str">
        <f t="shared" si="32"/>
        <v>StatusDistict(NormalDamageDerate, -1000)</v>
      </c>
      <c r="O529" s="130">
        <v>0</v>
      </c>
      <c r="P529" s="130">
        <v>0</v>
      </c>
      <c r="Q529" s="130"/>
      <c r="R529" s="130" t="b">
        <v>1</v>
      </c>
    </row>
    <row r="530" spans="1:18" s="73" customFormat="1">
      <c r="A530" s="130" t="s">
        <v>4278</v>
      </c>
      <c r="B530" s="130"/>
      <c r="C530" s="130"/>
      <c r="D530" s="130">
        <v>0</v>
      </c>
      <c r="E530" s="130">
        <v>1</v>
      </c>
      <c r="F530" s="131" t="s">
        <v>197</v>
      </c>
      <c r="G530" s="131" t="s">
        <v>198</v>
      </c>
      <c r="H530" s="130"/>
      <c r="I530" s="131">
        <v>0</v>
      </c>
      <c r="J530" s="131" t="s">
        <v>1621</v>
      </c>
      <c r="K530" s="131" t="s">
        <v>4284</v>
      </c>
      <c r="L530" s="131">
        <v>-1250</v>
      </c>
      <c r="M530" s="131"/>
      <c r="N530" s="130" t="str">
        <f t="shared" si="32"/>
        <v>StatusDistict(NormalDamageDerate, -1250)</v>
      </c>
      <c r="O530" s="130">
        <v>0</v>
      </c>
      <c r="P530" s="130">
        <v>0</v>
      </c>
      <c r="Q530" s="130"/>
      <c r="R530" s="130" t="b">
        <v>1</v>
      </c>
    </row>
    <row r="531" spans="1:18" s="73" customFormat="1">
      <c r="A531" s="130" t="s">
        <v>4279</v>
      </c>
      <c r="B531" s="130"/>
      <c r="C531" s="130"/>
      <c r="D531" s="130">
        <v>0</v>
      </c>
      <c r="E531" s="130">
        <v>1</v>
      </c>
      <c r="F531" s="131" t="s">
        <v>197</v>
      </c>
      <c r="G531" s="131" t="s">
        <v>198</v>
      </c>
      <c r="H531" s="130"/>
      <c r="I531" s="131">
        <v>0</v>
      </c>
      <c r="J531" s="131" t="s">
        <v>1621</v>
      </c>
      <c r="K531" s="131" t="s">
        <v>4284</v>
      </c>
      <c r="L531" s="131">
        <v>-1500</v>
      </c>
      <c r="M531" s="131"/>
      <c r="N531" s="130" t="str">
        <f t="shared" si="32"/>
        <v>StatusDistict(NormalDamageDerate, -1500)</v>
      </c>
      <c r="O531" s="130">
        <v>0</v>
      </c>
      <c r="P531" s="130">
        <v>0</v>
      </c>
      <c r="Q531" s="130"/>
      <c r="R531" s="130" t="b">
        <v>1</v>
      </c>
    </row>
    <row r="532" spans="1:18" s="73" customFormat="1">
      <c r="A532" s="130" t="s">
        <v>4280</v>
      </c>
      <c r="B532" s="130"/>
      <c r="C532" s="130"/>
      <c r="D532" s="130">
        <v>0</v>
      </c>
      <c r="E532" s="130">
        <v>1</v>
      </c>
      <c r="F532" s="131" t="s">
        <v>197</v>
      </c>
      <c r="G532" s="131" t="s">
        <v>198</v>
      </c>
      <c r="H532" s="130"/>
      <c r="I532" s="131">
        <v>0</v>
      </c>
      <c r="J532" s="131" t="s">
        <v>1621</v>
      </c>
      <c r="K532" s="131" t="s">
        <v>4284</v>
      </c>
      <c r="L532" s="131">
        <v>-1750</v>
      </c>
      <c r="M532" s="131"/>
      <c r="N532" s="130" t="str">
        <f t="shared" si="32"/>
        <v>StatusDistict(NormalDamageDerate, -1750)</v>
      </c>
      <c r="O532" s="130">
        <v>0</v>
      </c>
      <c r="P532" s="130">
        <v>0</v>
      </c>
      <c r="Q532" s="130"/>
      <c r="R532" s="130" t="b">
        <v>1</v>
      </c>
    </row>
    <row r="533" spans="1:18" s="73" customFormat="1">
      <c r="A533" s="130" t="s">
        <v>4281</v>
      </c>
      <c r="B533" s="130"/>
      <c r="C533" s="130"/>
      <c r="D533" s="130">
        <v>0</v>
      </c>
      <c r="E533" s="130">
        <v>1</v>
      </c>
      <c r="F533" s="131" t="s">
        <v>197</v>
      </c>
      <c r="G533" s="131" t="s">
        <v>198</v>
      </c>
      <c r="H533" s="130"/>
      <c r="I533" s="131">
        <v>0</v>
      </c>
      <c r="J533" s="131" t="s">
        <v>1621</v>
      </c>
      <c r="K533" s="131" t="s">
        <v>4284</v>
      </c>
      <c r="L533" s="131">
        <v>-2000</v>
      </c>
      <c r="M533" s="131"/>
      <c r="N533" s="130" t="str">
        <f t="shared" si="32"/>
        <v>StatusDistict(NormalDamageDerate, -2000)</v>
      </c>
      <c r="O533" s="130">
        <v>0</v>
      </c>
      <c r="P533" s="130">
        <v>0</v>
      </c>
      <c r="Q533" s="130"/>
      <c r="R533" s="130" t="b">
        <v>1</v>
      </c>
    </row>
    <row r="534" spans="1:18" s="73" customFormat="1">
      <c r="A534" s="130" t="s">
        <v>4282</v>
      </c>
      <c r="B534" s="130"/>
      <c r="C534" s="130"/>
      <c r="D534" s="130">
        <v>0</v>
      </c>
      <c r="E534" s="130">
        <v>1</v>
      </c>
      <c r="F534" s="131" t="s">
        <v>197</v>
      </c>
      <c r="G534" s="131" t="s">
        <v>198</v>
      </c>
      <c r="H534" s="130"/>
      <c r="I534" s="131">
        <v>0</v>
      </c>
      <c r="J534" s="131" t="s">
        <v>1621</v>
      </c>
      <c r="K534" s="131" t="s">
        <v>4284</v>
      </c>
      <c r="L534" s="131">
        <v>-2250</v>
      </c>
      <c r="M534" s="131"/>
      <c r="N534" s="130" t="str">
        <f t="shared" si="32"/>
        <v>StatusDistict(NormalDamageDerate, -2250)</v>
      </c>
      <c r="O534" s="130">
        <v>0</v>
      </c>
      <c r="P534" s="130">
        <v>0</v>
      </c>
      <c r="Q534" s="130"/>
      <c r="R534" s="130" t="b">
        <v>1</v>
      </c>
    </row>
    <row r="535" spans="1:18" s="73" customFormat="1">
      <c r="A535" s="130" t="s">
        <v>4283</v>
      </c>
      <c r="B535" s="130"/>
      <c r="C535" s="130"/>
      <c r="D535" s="130">
        <v>0</v>
      </c>
      <c r="E535" s="130">
        <v>1</v>
      </c>
      <c r="F535" s="131" t="s">
        <v>197</v>
      </c>
      <c r="G535" s="131" t="s">
        <v>198</v>
      </c>
      <c r="H535" s="130"/>
      <c r="I535" s="131">
        <v>0</v>
      </c>
      <c r="J535" s="131" t="s">
        <v>1621</v>
      </c>
      <c r="K535" s="131" t="s">
        <v>4284</v>
      </c>
      <c r="L535" s="131">
        <v>-2500</v>
      </c>
      <c r="M535" s="131"/>
      <c r="N535" s="130" t="str">
        <f t="shared" si="32"/>
        <v>StatusDistict(NormalDamageDerate, -2500)</v>
      </c>
      <c r="O535" s="130">
        <v>0</v>
      </c>
      <c r="P535" s="130">
        <v>0</v>
      </c>
      <c r="Q535" s="130"/>
      <c r="R535" s="130" t="b">
        <v>1</v>
      </c>
    </row>
    <row r="536" spans="1:18" s="73" customFormat="1">
      <c r="A536" s="126" t="s">
        <v>4493</v>
      </c>
      <c r="B536" s="126"/>
      <c r="C536" s="126"/>
      <c r="D536" s="126">
        <v>0</v>
      </c>
      <c r="E536" s="126">
        <v>1</v>
      </c>
      <c r="F536" s="127" t="s">
        <v>197</v>
      </c>
      <c r="G536" s="127" t="s">
        <v>198</v>
      </c>
      <c r="H536" s="126"/>
      <c r="I536" s="127">
        <v>0</v>
      </c>
      <c r="J536" s="127" t="s">
        <v>1621</v>
      </c>
      <c r="K536" s="127" t="s">
        <v>4291</v>
      </c>
      <c r="L536" s="127">
        <v>-150</v>
      </c>
      <c r="M536" s="127"/>
      <c r="N536" s="126" t="str">
        <f t="shared" si="32"/>
        <v>StatusDistict(CriticalDamageDerate, -150)</v>
      </c>
      <c r="O536" s="126">
        <v>0</v>
      </c>
      <c r="P536" s="126">
        <v>0</v>
      </c>
      <c r="Q536" s="126"/>
      <c r="R536" s="126" t="b">
        <v>1</v>
      </c>
    </row>
    <row r="537" spans="1:18" s="73" customFormat="1">
      <c r="A537" s="126" t="s">
        <v>4288</v>
      </c>
      <c r="B537" s="126"/>
      <c r="C537" s="126"/>
      <c r="D537" s="126">
        <v>0</v>
      </c>
      <c r="E537" s="126">
        <v>1</v>
      </c>
      <c r="F537" s="127" t="s">
        <v>197</v>
      </c>
      <c r="G537" s="127" t="s">
        <v>198</v>
      </c>
      <c r="H537" s="126"/>
      <c r="I537" s="127">
        <v>0</v>
      </c>
      <c r="J537" s="127" t="s">
        <v>1621</v>
      </c>
      <c r="K537" s="127" t="s">
        <v>4291</v>
      </c>
      <c r="L537" s="127">
        <v>-300</v>
      </c>
      <c r="M537" s="127"/>
      <c r="N537" s="126" t="str">
        <f t="shared" si="32"/>
        <v>StatusDistict(CriticalDamageDerate, -300)</v>
      </c>
      <c r="O537" s="126">
        <v>0</v>
      </c>
      <c r="P537" s="126">
        <v>0</v>
      </c>
      <c r="Q537" s="126"/>
      <c r="R537" s="126" t="b">
        <v>1</v>
      </c>
    </row>
    <row r="538" spans="1:18" s="73" customFormat="1">
      <c r="A538" s="126" t="s">
        <v>4485</v>
      </c>
      <c r="B538" s="126"/>
      <c r="C538" s="126"/>
      <c r="D538" s="126">
        <v>0</v>
      </c>
      <c r="E538" s="126">
        <v>1</v>
      </c>
      <c r="F538" s="127" t="s">
        <v>197</v>
      </c>
      <c r="G538" s="127" t="s">
        <v>198</v>
      </c>
      <c r="H538" s="126"/>
      <c r="I538" s="127">
        <v>0</v>
      </c>
      <c r="J538" s="127" t="s">
        <v>1621</v>
      </c>
      <c r="K538" s="127" t="s">
        <v>4291</v>
      </c>
      <c r="L538" s="127">
        <v>-450</v>
      </c>
      <c r="M538" s="127"/>
      <c r="N538" s="126" t="str">
        <f t="shared" si="32"/>
        <v>StatusDistict(CriticalDamageDerate, -450)</v>
      </c>
      <c r="O538" s="126">
        <v>0</v>
      </c>
      <c r="P538" s="126">
        <v>0</v>
      </c>
      <c r="Q538" s="126"/>
      <c r="R538" s="126" t="b">
        <v>1</v>
      </c>
    </row>
    <row r="539" spans="1:18" s="73" customFormat="1">
      <c r="A539" s="126" t="s">
        <v>4289</v>
      </c>
      <c r="B539" s="126"/>
      <c r="C539" s="126"/>
      <c r="D539" s="126">
        <v>0</v>
      </c>
      <c r="E539" s="126">
        <v>1</v>
      </c>
      <c r="F539" s="127" t="s">
        <v>197</v>
      </c>
      <c r="G539" s="127" t="s">
        <v>198</v>
      </c>
      <c r="H539" s="126"/>
      <c r="I539" s="127">
        <v>0</v>
      </c>
      <c r="J539" s="127" t="s">
        <v>1621</v>
      </c>
      <c r="K539" s="127" t="s">
        <v>4291</v>
      </c>
      <c r="L539" s="127">
        <v>-600</v>
      </c>
      <c r="M539" s="127"/>
      <c r="N539" s="126" t="str">
        <f t="shared" si="32"/>
        <v>StatusDistict(CriticalDamageDerate, -600)</v>
      </c>
      <c r="O539" s="126">
        <v>0</v>
      </c>
      <c r="P539" s="126">
        <v>0</v>
      </c>
      <c r="Q539" s="126"/>
      <c r="R539" s="126" t="b">
        <v>1</v>
      </c>
    </row>
    <row r="540" spans="1:18" s="73" customFormat="1">
      <c r="A540" s="126" t="s">
        <v>4290</v>
      </c>
      <c r="B540" s="126"/>
      <c r="C540" s="126"/>
      <c r="D540" s="126">
        <v>0</v>
      </c>
      <c r="E540" s="126">
        <v>1</v>
      </c>
      <c r="F540" s="127" t="s">
        <v>197</v>
      </c>
      <c r="G540" s="127" t="s">
        <v>198</v>
      </c>
      <c r="H540" s="126"/>
      <c r="I540" s="127">
        <v>0</v>
      </c>
      <c r="J540" s="127" t="s">
        <v>1621</v>
      </c>
      <c r="K540" s="127" t="s">
        <v>4291</v>
      </c>
      <c r="L540" s="127">
        <v>-750</v>
      </c>
      <c r="M540" s="127"/>
      <c r="N540" s="126" t="str">
        <f t="shared" si="32"/>
        <v>StatusDistict(CriticalDamageDerate, -750)</v>
      </c>
      <c r="O540" s="126">
        <v>0</v>
      </c>
      <c r="P540" s="126">
        <v>0</v>
      </c>
      <c r="Q540" s="126"/>
      <c r="R540" s="126" t="b">
        <v>1</v>
      </c>
    </row>
    <row r="541" spans="1:18" s="73" customFormat="1">
      <c r="A541" s="126" t="s">
        <v>6145</v>
      </c>
      <c r="B541" s="126"/>
      <c r="C541" s="126"/>
      <c r="D541" s="126">
        <v>0</v>
      </c>
      <c r="E541" s="126">
        <v>1</v>
      </c>
      <c r="F541" s="127" t="s">
        <v>197</v>
      </c>
      <c r="G541" s="127" t="s">
        <v>198</v>
      </c>
      <c r="H541" s="126"/>
      <c r="I541" s="127">
        <v>0</v>
      </c>
      <c r="J541" s="127" t="s">
        <v>1621</v>
      </c>
      <c r="K541" s="127" t="s">
        <v>4291</v>
      </c>
      <c r="L541" s="127">
        <v>-900</v>
      </c>
      <c r="M541" s="127"/>
      <c r="N541" s="126" t="str">
        <f t="shared" ref="N541:N545" si="33">J541&amp;"("&amp;IF(K541="","",K541)&amp;IF(L541="","",", "&amp;L541)&amp;IF(M541="","",", "&amp;M541)&amp;")"</f>
        <v>StatusDistict(CriticalDamageDerate, -900)</v>
      </c>
      <c r="O541" s="126">
        <v>0</v>
      </c>
      <c r="P541" s="126">
        <v>0</v>
      </c>
      <c r="Q541" s="126"/>
      <c r="R541" s="126" t="b">
        <v>1</v>
      </c>
    </row>
    <row r="542" spans="1:18" s="73" customFormat="1">
      <c r="A542" s="126" t="s">
        <v>6146</v>
      </c>
      <c r="B542" s="126"/>
      <c r="C542" s="126"/>
      <c r="D542" s="126">
        <v>0</v>
      </c>
      <c r="E542" s="126">
        <v>1</v>
      </c>
      <c r="F542" s="127" t="s">
        <v>197</v>
      </c>
      <c r="G542" s="127" t="s">
        <v>198</v>
      </c>
      <c r="H542" s="126"/>
      <c r="I542" s="127">
        <v>0</v>
      </c>
      <c r="J542" s="127" t="s">
        <v>1621</v>
      </c>
      <c r="K542" s="127" t="s">
        <v>4291</v>
      </c>
      <c r="L542" s="127">
        <v>-1050</v>
      </c>
      <c r="M542" s="127"/>
      <c r="N542" s="126" t="str">
        <f t="shared" si="33"/>
        <v>StatusDistict(CriticalDamageDerate, -1050)</v>
      </c>
      <c r="O542" s="126">
        <v>0</v>
      </c>
      <c r="P542" s="126">
        <v>0</v>
      </c>
      <c r="Q542" s="126"/>
      <c r="R542" s="126" t="b">
        <v>1</v>
      </c>
    </row>
    <row r="543" spans="1:18" s="73" customFormat="1">
      <c r="A543" s="126" t="s">
        <v>6147</v>
      </c>
      <c r="B543" s="126"/>
      <c r="C543" s="126"/>
      <c r="D543" s="126">
        <v>0</v>
      </c>
      <c r="E543" s="126">
        <v>1</v>
      </c>
      <c r="F543" s="127" t="s">
        <v>197</v>
      </c>
      <c r="G543" s="127" t="s">
        <v>198</v>
      </c>
      <c r="H543" s="126"/>
      <c r="I543" s="127">
        <v>0</v>
      </c>
      <c r="J543" s="127" t="s">
        <v>1621</v>
      </c>
      <c r="K543" s="127" t="s">
        <v>4291</v>
      </c>
      <c r="L543" s="127">
        <v>-1200</v>
      </c>
      <c r="M543" s="127"/>
      <c r="N543" s="126" t="str">
        <f t="shared" si="33"/>
        <v>StatusDistict(CriticalDamageDerate, -1200)</v>
      </c>
      <c r="O543" s="126">
        <v>0</v>
      </c>
      <c r="P543" s="126">
        <v>0</v>
      </c>
      <c r="Q543" s="126"/>
      <c r="R543" s="126" t="b">
        <v>1</v>
      </c>
    </row>
    <row r="544" spans="1:18" s="73" customFormat="1">
      <c r="A544" s="126" t="s">
        <v>6148</v>
      </c>
      <c r="B544" s="126"/>
      <c r="C544" s="126"/>
      <c r="D544" s="126">
        <v>0</v>
      </c>
      <c r="E544" s="126">
        <v>1</v>
      </c>
      <c r="F544" s="127" t="s">
        <v>197</v>
      </c>
      <c r="G544" s="127" t="s">
        <v>198</v>
      </c>
      <c r="H544" s="126"/>
      <c r="I544" s="127">
        <v>0</v>
      </c>
      <c r="J544" s="127" t="s">
        <v>1621</v>
      </c>
      <c r="K544" s="127" t="s">
        <v>4291</v>
      </c>
      <c r="L544" s="127">
        <v>-1350</v>
      </c>
      <c r="M544" s="127"/>
      <c r="N544" s="126" t="str">
        <f t="shared" si="33"/>
        <v>StatusDistict(CriticalDamageDerate, -1350)</v>
      </c>
      <c r="O544" s="126">
        <v>0</v>
      </c>
      <c r="P544" s="126">
        <v>0</v>
      </c>
      <c r="Q544" s="126"/>
      <c r="R544" s="126" t="b">
        <v>1</v>
      </c>
    </row>
    <row r="545" spans="1:18" s="73" customFormat="1">
      <c r="A545" s="126" t="s">
        <v>6149</v>
      </c>
      <c r="B545" s="126"/>
      <c r="C545" s="126"/>
      <c r="D545" s="126">
        <v>0</v>
      </c>
      <c r="E545" s="126">
        <v>1</v>
      </c>
      <c r="F545" s="127" t="s">
        <v>197</v>
      </c>
      <c r="G545" s="127" t="s">
        <v>198</v>
      </c>
      <c r="H545" s="126"/>
      <c r="I545" s="127">
        <v>0</v>
      </c>
      <c r="J545" s="127" t="s">
        <v>1621</v>
      </c>
      <c r="K545" s="127" t="s">
        <v>4291</v>
      </c>
      <c r="L545" s="127">
        <v>-1500</v>
      </c>
      <c r="M545" s="127"/>
      <c r="N545" s="126" t="str">
        <f t="shared" si="33"/>
        <v>StatusDistict(CriticalDamageDerate, -1500)</v>
      </c>
      <c r="O545" s="126">
        <v>0</v>
      </c>
      <c r="P545" s="126">
        <v>0</v>
      </c>
      <c r="Q545" s="126"/>
      <c r="R545" s="126" t="b">
        <v>1</v>
      </c>
    </row>
    <row r="546" spans="1:18" s="73" customFormat="1">
      <c r="A546" s="130" t="s">
        <v>4670</v>
      </c>
      <c r="B546" s="130"/>
      <c r="C546" s="130"/>
      <c r="D546" s="130">
        <v>0</v>
      </c>
      <c r="E546" s="130">
        <v>1</v>
      </c>
      <c r="F546" s="131" t="s">
        <v>197</v>
      </c>
      <c r="G546" s="131" t="s">
        <v>198</v>
      </c>
      <c r="H546" s="130"/>
      <c r="I546" s="131">
        <v>0</v>
      </c>
      <c r="J546" s="131" t="s">
        <v>1621</v>
      </c>
      <c r="K546" s="131" t="s">
        <v>3351</v>
      </c>
      <c r="L546" s="131">
        <v>-250</v>
      </c>
      <c r="M546" s="131"/>
      <c r="N546" s="130" t="str">
        <f t="shared" si="32"/>
        <v>StatusDistict(NormalDamageRate, -250)</v>
      </c>
      <c r="O546" s="130">
        <v>0</v>
      </c>
      <c r="P546" s="130">
        <v>0</v>
      </c>
      <c r="Q546" s="130"/>
      <c r="R546" s="130" t="b">
        <v>1</v>
      </c>
    </row>
    <row r="547" spans="1:18" s="73" customFormat="1">
      <c r="A547" s="130" t="s">
        <v>4671</v>
      </c>
      <c r="B547" s="130"/>
      <c r="C547" s="130"/>
      <c r="D547" s="130">
        <v>0</v>
      </c>
      <c r="E547" s="130">
        <v>1</v>
      </c>
      <c r="F547" s="131" t="s">
        <v>197</v>
      </c>
      <c r="G547" s="131" t="s">
        <v>198</v>
      </c>
      <c r="H547" s="130"/>
      <c r="I547" s="131">
        <v>0</v>
      </c>
      <c r="J547" s="131" t="s">
        <v>1621</v>
      </c>
      <c r="K547" s="131" t="s">
        <v>2328</v>
      </c>
      <c r="L547" s="131">
        <v>-500</v>
      </c>
      <c r="M547" s="131"/>
      <c r="N547" s="130" t="str">
        <f t="shared" si="32"/>
        <v>StatusDistict(NormalDamageRate, -500)</v>
      </c>
      <c r="O547" s="130">
        <v>0</v>
      </c>
      <c r="P547" s="130">
        <v>0</v>
      </c>
      <c r="Q547" s="130"/>
      <c r="R547" s="130" t="b">
        <v>1</v>
      </c>
    </row>
    <row r="548" spans="1:18" s="73" customFormat="1">
      <c r="A548" s="130" t="s">
        <v>4672</v>
      </c>
      <c r="B548" s="130"/>
      <c r="C548" s="130"/>
      <c r="D548" s="130">
        <v>0</v>
      </c>
      <c r="E548" s="130">
        <v>1</v>
      </c>
      <c r="F548" s="131" t="s">
        <v>197</v>
      </c>
      <c r="G548" s="131" t="s">
        <v>198</v>
      </c>
      <c r="H548" s="130"/>
      <c r="I548" s="131">
        <v>0</v>
      </c>
      <c r="J548" s="131" t="s">
        <v>1621</v>
      </c>
      <c r="K548" s="131" t="s">
        <v>2328</v>
      </c>
      <c r="L548" s="131">
        <v>-750</v>
      </c>
      <c r="M548" s="131"/>
      <c r="N548" s="130" t="str">
        <f t="shared" si="32"/>
        <v>StatusDistict(NormalDamageRate, -750)</v>
      </c>
      <c r="O548" s="130">
        <v>0</v>
      </c>
      <c r="P548" s="130">
        <v>0</v>
      </c>
      <c r="Q548" s="130"/>
      <c r="R548" s="130" t="b">
        <v>1</v>
      </c>
    </row>
    <row r="549" spans="1:18" s="73" customFormat="1">
      <c r="A549" s="130" t="s">
        <v>4673</v>
      </c>
      <c r="B549" s="130"/>
      <c r="C549" s="130"/>
      <c r="D549" s="130">
        <v>0</v>
      </c>
      <c r="E549" s="130">
        <v>1</v>
      </c>
      <c r="F549" s="131" t="s">
        <v>197</v>
      </c>
      <c r="G549" s="131" t="s">
        <v>198</v>
      </c>
      <c r="H549" s="130"/>
      <c r="I549" s="131">
        <v>0</v>
      </c>
      <c r="J549" s="131" t="s">
        <v>1621</v>
      </c>
      <c r="K549" s="131" t="s">
        <v>2328</v>
      </c>
      <c r="L549" s="131">
        <v>-1000</v>
      </c>
      <c r="M549" s="131"/>
      <c r="N549" s="130" t="str">
        <f t="shared" si="32"/>
        <v>StatusDistict(NormalDamageRate, -1000)</v>
      </c>
      <c r="O549" s="130">
        <v>0</v>
      </c>
      <c r="P549" s="130">
        <v>0</v>
      </c>
      <c r="Q549" s="130"/>
      <c r="R549" s="130" t="b">
        <v>1</v>
      </c>
    </row>
    <row r="550" spans="1:18" s="73" customFormat="1">
      <c r="A550" s="130" t="s">
        <v>4674</v>
      </c>
      <c r="B550" s="130"/>
      <c r="C550" s="130"/>
      <c r="D550" s="130">
        <v>0</v>
      </c>
      <c r="E550" s="130">
        <v>1</v>
      </c>
      <c r="F550" s="131" t="s">
        <v>197</v>
      </c>
      <c r="G550" s="131" t="s">
        <v>198</v>
      </c>
      <c r="H550" s="130"/>
      <c r="I550" s="131">
        <v>0</v>
      </c>
      <c r="J550" s="131" t="s">
        <v>1621</v>
      </c>
      <c r="K550" s="131" t="s">
        <v>2328</v>
      </c>
      <c r="L550" s="131">
        <v>-1250</v>
      </c>
      <c r="M550" s="131"/>
      <c r="N550" s="130" t="str">
        <f t="shared" si="32"/>
        <v>StatusDistict(NormalDamageRate, -1250)</v>
      </c>
      <c r="O550" s="130">
        <v>0</v>
      </c>
      <c r="P550" s="130">
        <v>0</v>
      </c>
      <c r="Q550" s="130"/>
      <c r="R550" s="130" t="b">
        <v>1</v>
      </c>
    </row>
    <row r="551" spans="1:18" s="73" customFormat="1">
      <c r="A551" s="130" t="s">
        <v>4675</v>
      </c>
      <c r="B551" s="130"/>
      <c r="C551" s="130"/>
      <c r="D551" s="130">
        <v>0</v>
      </c>
      <c r="E551" s="130">
        <v>1</v>
      </c>
      <c r="F551" s="131" t="s">
        <v>197</v>
      </c>
      <c r="G551" s="131" t="s">
        <v>198</v>
      </c>
      <c r="H551" s="130"/>
      <c r="I551" s="131">
        <v>0</v>
      </c>
      <c r="J551" s="131" t="s">
        <v>1621</v>
      </c>
      <c r="K551" s="131" t="s">
        <v>3351</v>
      </c>
      <c r="L551" s="131">
        <v>-1500</v>
      </c>
      <c r="M551" s="131"/>
      <c r="N551" s="130" t="str">
        <f t="shared" si="32"/>
        <v>StatusDistict(NormalDamageRate, -1500)</v>
      </c>
      <c r="O551" s="130">
        <v>0</v>
      </c>
      <c r="P551" s="130">
        <v>0</v>
      </c>
      <c r="Q551" s="130"/>
      <c r="R551" s="130" t="b">
        <v>1</v>
      </c>
    </row>
    <row r="552" spans="1:18" s="73" customFormat="1">
      <c r="A552" s="130" t="s">
        <v>4676</v>
      </c>
      <c r="B552" s="130"/>
      <c r="C552" s="130"/>
      <c r="D552" s="130">
        <v>0</v>
      </c>
      <c r="E552" s="130">
        <v>1</v>
      </c>
      <c r="F552" s="131" t="s">
        <v>197</v>
      </c>
      <c r="G552" s="131" t="s">
        <v>198</v>
      </c>
      <c r="H552" s="130"/>
      <c r="I552" s="131">
        <v>0</v>
      </c>
      <c r="J552" s="131" t="s">
        <v>1621</v>
      </c>
      <c r="K552" s="131" t="s">
        <v>2328</v>
      </c>
      <c r="L552" s="131">
        <v>-1750</v>
      </c>
      <c r="M552" s="131"/>
      <c r="N552" s="130" t="str">
        <f t="shared" si="32"/>
        <v>StatusDistict(NormalDamageRate, -1750)</v>
      </c>
      <c r="O552" s="130">
        <v>0</v>
      </c>
      <c r="P552" s="130">
        <v>0</v>
      </c>
      <c r="Q552" s="130"/>
      <c r="R552" s="130" t="b">
        <v>1</v>
      </c>
    </row>
    <row r="553" spans="1:18" s="73" customFormat="1">
      <c r="A553" s="130" t="s">
        <v>4677</v>
      </c>
      <c r="B553" s="130"/>
      <c r="C553" s="130"/>
      <c r="D553" s="130">
        <v>0</v>
      </c>
      <c r="E553" s="130">
        <v>1</v>
      </c>
      <c r="F553" s="131" t="s">
        <v>197</v>
      </c>
      <c r="G553" s="131" t="s">
        <v>198</v>
      </c>
      <c r="H553" s="130"/>
      <c r="I553" s="131">
        <v>0</v>
      </c>
      <c r="J553" s="131" t="s">
        <v>1621</v>
      </c>
      <c r="K553" s="131" t="s">
        <v>2328</v>
      </c>
      <c r="L553" s="131">
        <v>-2000</v>
      </c>
      <c r="M553" s="131"/>
      <c r="N553" s="130" t="str">
        <f t="shared" si="32"/>
        <v>StatusDistict(NormalDamageRate, -2000)</v>
      </c>
      <c r="O553" s="130">
        <v>0</v>
      </c>
      <c r="P553" s="130">
        <v>0</v>
      </c>
      <c r="Q553" s="130"/>
      <c r="R553" s="130" t="b">
        <v>1</v>
      </c>
    </row>
    <row r="554" spans="1:18" s="73" customFormat="1">
      <c r="A554" s="130" t="s">
        <v>4678</v>
      </c>
      <c r="B554" s="130"/>
      <c r="C554" s="130"/>
      <c r="D554" s="130">
        <v>0</v>
      </c>
      <c r="E554" s="130">
        <v>1</v>
      </c>
      <c r="F554" s="131" t="s">
        <v>197</v>
      </c>
      <c r="G554" s="131" t="s">
        <v>198</v>
      </c>
      <c r="H554" s="130"/>
      <c r="I554" s="131">
        <v>0</v>
      </c>
      <c r="J554" s="131" t="s">
        <v>1621</v>
      </c>
      <c r="K554" s="131" t="s">
        <v>2328</v>
      </c>
      <c r="L554" s="131">
        <v>-2250</v>
      </c>
      <c r="M554" s="131"/>
      <c r="N554" s="130" t="str">
        <f t="shared" si="32"/>
        <v>StatusDistict(NormalDamageRate, -2250)</v>
      </c>
      <c r="O554" s="130">
        <v>0</v>
      </c>
      <c r="P554" s="130">
        <v>0</v>
      </c>
      <c r="Q554" s="130"/>
      <c r="R554" s="130" t="b">
        <v>1</v>
      </c>
    </row>
    <row r="555" spans="1:18" s="73" customFormat="1">
      <c r="A555" s="130" t="s">
        <v>4679</v>
      </c>
      <c r="B555" s="130"/>
      <c r="C555" s="130"/>
      <c r="D555" s="130">
        <v>0</v>
      </c>
      <c r="E555" s="130">
        <v>1</v>
      </c>
      <c r="F555" s="131" t="s">
        <v>197</v>
      </c>
      <c r="G555" s="131" t="s">
        <v>198</v>
      </c>
      <c r="H555" s="130"/>
      <c r="I555" s="131">
        <v>0</v>
      </c>
      <c r="J555" s="131" t="s">
        <v>1621</v>
      </c>
      <c r="K555" s="131" t="s">
        <v>2328</v>
      </c>
      <c r="L555" s="131">
        <v>-2500</v>
      </c>
      <c r="M555" s="131"/>
      <c r="N555" s="130" t="str">
        <f t="shared" si="32"/>
        <v>StatusDistict(NormalDamageRate, -2500)</v>
      </c>
      <c r="O555" s="130">
        <v>0</v>
      </c>
      <c r="P555" s="130">
        <v>0</v>
      </c>
      <c r="Q555" s="130"/>
      <c r="R555" s="130" t="b">
        <v>1</v>
      </c>
    </row>
    <row r="556" spans="1:18" s="73" customFormat="1">
      <c r="A556" s="126" t="s">
        <v>6335</v>
      </c>
      <c r="B556" s="126"/>
      <c r="C556" s="126"/>
      <c r="D556" s="126">
        <v>0</v>
      </c>
      <c r="E556" s="126">
        <v>1</v>
      </c>
      <c r="F556" s="127" t="s">
        <v>197</v>
      </c>
      <c r="G556" s="127" t="s">
        <v>198</v>
      </c>
      <c r="H556" s="126"/>
      <c r="I556" s="127">
        <v>0</v>
      </c>
      <c r="J556" s="127" t="s">
        <v>1621</v>
      </c>
      <c r="K556" s="127" t="s">
        <v>4494</v>
      </c>
      <c r="L556" s="127">
        <v>-250</v>
      </c>
      <c r="M556" s="127"/>
      <c r="N556" s="126" t="str">
        <f t="shared" si="32"/>
        <v>StatusDistict(ActiveDamageRate, -250)</v>
      </c>
      <c r="O556" s="126">
        <v>0</v>
      </c>
      <c r="P556" s="126">
        <v>0</v>
      </c>
      <c r="Q556" s="126"/>
      <c r="R556" s="126" t="b">
        <v>1</v>
      </c>
    </row>
    <row r="557" spans="1:18" s="73" customFormat="1">
      <c r="A557" s="126" t="s">
        <v>6336</v>
      </c>
      <c r="B557" s="126"/>
      <c r="C557" s="126"/>
      <c r="D557" s="126">
        <v>0</v>
      </c>
      <c r="E557" s="126">
        <v>1</v>
      </c>
      <c r="F557" s="127" t="s">
        <v>197</v>
      </c>
      <c r="G557" s="127" t="s">
        <v>198</v>
      </c>
      <c r="H557" s="126"/>
      <c r="I557" s="127">
        <v>0</v>
      </c>
      <c r="J557" s="127" t="s">
        <v>1621</v>
      </c>
      <c r="K557" s="127" t="s">
        <v>4494</v>
      </c>
      <c r="L557" s="127">
        <v>-500</v>
      </c>
      <c r="M557" s="127"/>
      <c r="N557" s="126" t="str">
        <f t="shared" si="32"/>
        <v>StatusDistict(ActiveDamageRate, -500)</v>
      </c>
      <c r="O557" s="126">
        <v>0</v>
      </c>
      <c r="P557" s="126">
        <v>0</v>
      </c>
      <c r="Q557" s="126"/>
      <c r="R557" s="126" t="b">
        <v>1</v>
      </c>
    </row>
    <row r="558" spans="1:18" s="73" customFormat="1">
      <c r="A558" s="126" t="s">
        <v>6337</v>
      </c>
      <c r="B558" s="126"/>
      <c r="C558" s="126"/>
      <c r="D558" s="126">
        <v>0</v>
      </c>
      <c r="E558" s="126">
        <v>1</v>
      </c>
      <c r="F558" s="127" t="s">
        <v>197</v>
      </c>
      <c r="G558" s="127" t="s">
        <v>198</v>
      </c>
      <c r="H558" s="126"/>
      <c r="I558" s="127">
        <v>0</v>
      </c>
      <c r="J558" s="127" t="s">
        <v>1621</v>
      </c>
      <c r="K558" s="127" t="s">
        <v>4494</v>
      </c>
      <c r="L558" s="127">
        <v>-750</v>
      </c>
      <c r="M558" s="127"/>
      <c r="N558" s="126" t="str">
        <f t="shared" si="32"/>
        <v>StatusDistict(ActiveDamageRate, -750)</v>
      </c>
      <c r="O558" s="126">
        <v>0</v>
      </c>
      <c r="P558" s="126">
        <v>0</v>
      </c>
      <c r="Q558" s="126"/>
      <c r="R558" s="126" t="b">
        <v>1</v>
      </c>
    </row>
    <row r="559" spans="1:18" s="73" customFormat="1">
      <c r="A559" s="126" t="s">
        <v>6338</v>
      </c>
      <c r="B559" s="126"/>
      <c r="C559" s="126"/>
      <c r="D559" s="126">
        <v>0</v>
      </c>
      <c r="E559" s="126">
        <v>1</v>
      </c>
      <c r="F559" s="127" t="s">
        <v>197</v>
      </c>
      <c r="G559" s="127" t="s">
        <v>198</v>
      </c>
      <c r="H559" s="126"/>
      <c r="I559" s="127">
        <v>0</v>
      </c>
      <c r="J559" s="127" t="s">
        <v>1621</v>
      </c>
      <c r="K559" s="127" t="s">
        <v>4494</v>
      </c>
      <c r="L559" s="127">
        <v>-1000</v>
      </c>
      <c r="M559" s="127"/>
      <c r="N559" s="126" t="str">
        <f t="shared" si="32"/>
        <v>StatusDistict(ActiveDamageRate, -1000)</v>
      </c>
      <c r="O559" s="126">
        <v>0</v>
      </c>
      <c r="P559" s="126">
        <v>0</v>
      </c>
      <c r="Q559" s="126"/>
      <c r="R559" s="126" t="b">
        <v>1</v>
      </c>
    </row>
    <row r="560" spans="1:18" s="73" customFormat="1">
      <c r="A560" s="126" t="s">
        <v>6339</v>
      </c>
      <c r="B560" s="126"/>
      <c r="C560" s="126"/>
      <c r="D560" s="126">
        <v>0</v>
      </c>
      <c r="E560" s="126">
        <v>1</v>
      </c>
      <c r="F560" s="127" t="s">
        <v>197</v>
      </c>
      <c r="G560" s="127" t="s">
        <v>198</v>
      </c>
      <c r="H560" s="126"/>
      <c r="I560" s="127">
        <v>0</v>
      </c>
      <c r="J560" s="127" t="s">
        <v>1621</v>
      </c>
      <c r="K560" s="127" t="s">
        <v>4499</v>
      </c>
      <c r="L560" s="127">
        <v>-1250</v>
      </c>
      <c r="M560" s="127"/>
      <c r="N560" s="126" t="str">
        <f t="shared" si="32"/>
        <v>StatusDistict(ActiveDamageRate, -1250)</v>
      </c>
      <c r="O560" s="126">
        <v>0</v>
      </c>
      <c r="P560" s="126">
        <v>0</v>
      </c>
      <c r="Q560" s="126"/>
      <c r="R560" s="126" t="b">
        <v>1</v>
      </c>
    </row>
    <row r="561" spans="1:18" s="185" customFormat="1">
      <c r="A561" s="130" t="s">
        <v>6346</v>
      </c>
      <c r="B561" s="130"/>
      <c r="C561" s="130"/>
      <c r="D561" s="130">
        <v>0</v>
      </c>
      <c r="E561" s="130">
        <v>1</v>
      </c>
      <c r="F561" s="131" t="s">
        <v>197</v>
      </c>
      <c r="G561" s="131" t="s">
        <v>198</v>
      </c>
      <c r="H561" s="130"/>
      <c r="I561" s="131">
        <v>0</v>
      </c>
      <c r="J561" s="131" t="s">
        <v>1621</v>
      </c>
      <c r="K561" s="131" t="s">
        <v>4729</v>
      </c>
      <c r="L561" s="131">
        <v>-250</v>
      </c>
      <c r="M561" s="131"/>
      <c r="N561" s="130" t="str">
        <f t="shared" si="32"/>
        <v>StatusDistict(UltimateDamageRate, -250)</v>
      </c>
      <c r="O561" s="130">
        <v>0</v>
      </c>
      <c r="P561" s="130">
        <v>0</v>
      </c>
      <c r="Q561" s="130"/>
      <c r="R561" s="130" t="b">
        <v>1</v>
      </c>
    </row>
    <row r="562" spans="1:18" s="185" customFormat="1">
      <c r="A562" s="130" t="s">
        <v>6340</v>
      </c>
      <c r="B562" s="130"/>
      <c r="C562" s="130"/>
      <c r="D562" s="130">
        <v>0</v>
      </c>
      <c r="E562" s="130">
        <v>1</v>
      </c>
      <c r="F562" s="131" t="s">
        <v>197</v>
      </c>
      <c r="G562" s="131" t="s">
        <v>198</v>
      </c>
      <c r="H562" s="130"/>
      <c r="I562" s="131">
        <v>0</v>
      </c>
      <c r="J562" s="131" t="s">
        <v>1621</v>
      </c>
      <c r="K562" s="131" t="s">
        <v>3348</v>
      </c>
      <c r="L562" s="131">
        <v>-500</v>
      </c>
      <c r="M562" s="131"/>
      <c r="N562" s="130" t="str">
        <f t="shared" si="32"/>
        <v>StatusDistict(UltimateDamageRate, -500)</v>
      </c>
      <c r="O562" s="130">
        <v>0</v>
      </c>
      <c r="P562" s="130">
        <v>0</v>
      </c>
      <c r="Q562" s="130"/>
      <c r="R562" s="130" t="b">
        <v>1</v>
      </c>
    </row>
    <row r="563" spans="1:18" s="185" customFormat="1">
      <c r="A563" s="130" t="s">
        <v>6341</v>
      </c>
      <c r="B563" s="130"/>
      <c r="C563" s="130"/>
      <c r="D563" s="130">
        <v>0</v>
      </c>
      <c r="E563" s="130">
        <v>1</v>
      </c>
      <c r="F563" s="131" t="s">
        <v>197</v>
      </c>
      <c r="G563" s="131" t="s">
        <v>198</v>
      </c>
      <c r="H563" s="130"/>
      <c r="I563" s="131">
        <v>0</v>
      </c>
      <c r="J563" s="131" t="s">
        <v>1621</v>
      </c>
      <c r="K563" s="131" t="s">
        <v>3348</v>
      </c>
      <c r="L563" s="131">
        <v>-750</v>
      </c>
      <c r="M563" s="131"/>
      <c r="N563" s="130" t="str">
        <f t="shared" si="32"/>
        <v>StatusDistict(UltimateDamageRate, -750)</v>
      </c>
      <c r="O563" s="130">
        <v>0</v>
      </c>
      <c r="P563" s="130">
        <v>0</v>
      </c>
      <c r="Q563" s="130"/>
      <c r="R563" s="130" t="b">
        <v>1</v>
      </c>
    </row>
    <row r="564" spans="1:18" s="185" customFormat="1">
      <c r="A564" s="130" t="s">
        <v>6342</v>
      </c>
      <c r="B564" s="130"/>
      <c r="C564" s="130"/>
      <c r="D564" s="130">
        <v>0</v>
      </c>
      <c r="E564" s="130">
        <v>1</v>
      </c>
      <c r="F564" s="131" t="s">
        <v>197</v>
      </c>
      <c r="G564" s="131" t="s">
        <v>198</v>
      </c>
      <c r="H564" s="130"/>
      <c r="I564" s="131">
        <v>0</v>
      </c>
      <c r="J564" s="131" t="s">
        <v>1621</v>
      </c>
      <c r="K564" s="131" t="s">
        <v>3348</v>
      </c>
      <c r="L564" s="131">
        <v>-1000</v>
      </c>
      <c r="M564" s="131"/>
      <c r="N564" s="130" t="str">
        <f t="shared" si="32"/>
        <v>StatusDistict(UltimateDamageRate, -1000)</v>
      </c>
      <c r="O564" s="130">
        <v>0</v>
      </c>
      <c r="P564" s="130">
        <v>0</v>
      </c>
      <c r="Q564" s="130"/>
      <c r="R564" s="130" t="b">
        <v>1</v>
      </c>
    </row>
    <row r="565" spans="1:18" s="185" customFormat="1">
      <c r="A565" s="130" t="s">
        <v>6343</v>
      </c>
      <c r="B565" s="130"/>
      <c r="C565" s="130"/>
      <c r="D565" s="130">
        <v>0</v>
      </c>
      <c r="E565" s="130">
        <v>1</v>
      </c>
      <c r="F565" s="131" t="s">
        <v>197</v>
      </c>
      <c r="G565" s="131" t="s">
        <v>198</v>
      </c>
      <c r="H565" s="130"/>
      <c r="I565" s="131">
        <v>0</v>
      </c>
      <c r="J565" s="131" t="s">
        <v>1621</v>
      </c>
      <c r="K565" s="131" t="s">
        <v>3348</v>
      </c>
      <c r="L565" s="131">
        <v>-1250</v>
      </c>
      <c r="M565" s="131"/>
      <c r="N565" s="130" t="str">
        <f t="shared" si="32"/>
        <v>StatusDistict(UltimateDamageRate, -1250)</v>
      </c>
      <c r="O565" s="130">
        <v>0</v>
      </c>
      <c r="P565" s="130">
        <v>0</v>
      </c>
      <c r="Q565" s="130"/>
      <c r="R565" s="130" t="b">
        <v>1</v>
      </c>
    </row>
    <row r="566" spans="1:18" s="73" customFormat="1">
      <c r="A566" s="126"/>
      <c r="B566" s="126"/>
      <c r="C566" s="126"/>
      <c r="D566" s="126"/>
      <c r="E566" s="126"/>
      <c r="F566" s="127"/>
      <c r="G566" s="127"/>
      <c r="H566" s="126"/>
      <c r="I566" s="127"/>
      <c r="J566" s="127"/>
      <c r="K566" s="127"/>
      <c r="L566" s="127"/>
      <c r="M566" s="127"/>
      <c r="N566" s="126"/>
      <c r="O566" s="126"/>
      <c r="P566" s="126"/>
      <c r="Q566" s="126"/>
      <c r="R566" s="126"/>
    </row>
    <row r="567" spans="1:18" s="73" customFormat="1">
      <c r="A567" s="126" t="s">
        <v>4373</v>
      </c>
      <c r="B567" s="126"/>
      <c r="C567" s="126"/>
      <c r="D567" s="126">
        <v>0</v>
      </c>
      <c r="E567" s="126">
        <v>1</v>
      </c>
      <c r="F567" s="127" t="s">
        <v>197</v>
      </c>
      <c r="G567" s="127" t="s">
        <v>198</v>
      </c>
      <c r="H567" s="126"/>
      <c r="I567" s="127">
        <v>0</v>
      </c>
      <c r="J567" s="127" t="s">
        <v>863</v>
      </c>
      <c r="K567" s="127" t="s">
        <v>875</v>
      </c>
      <c r="L567" s="127">
        <v>60</v>
      </c>
      <c r="M567" s="127"/>
      <c r="N567" s="126" t="str">
        <f t="shared" ref="N567" si="34">J567&amp;"("&amp;IF(K567="","",K567)&amp;IF(L567="","",", "&amp;L567)&amp;IF(M567="","",", "&amp;M567)&amp;")"</f>
        <v>Burn(Attack, 60)</v>
      </c>
      <c r="O567" s="126">
        <v>0</v>
      </c>
      <c r="P567" s="126">
        <v>1000</v>
      </c>
      <c r="Q567" s="126"/>
      <c r="R567" s="126" t="b">
        <v>1</v>
      </c>
    </row>
    <row r="568" spans="1:18" s="73" customFormat="1">
      <c r="A568" s="126" t="s">
        <v>1623</v>
      </c>
      <c r="B568" s="126"/>
      <c r="C568" s="126"/>
      <c r="D568" s="126">
        <v>0</v>
      </c>
      <c r="E568" s="126">
        <v>1</v>
      </c>
      <c r="F568" s="127" t="s">
        <v>197</v>
      </c>
      <c r="G568" s="127" t="s">
        <v>198</v>
      </c>
      <c r="H568" s="126"/>
      <c r="I568" s="127">
        <v>0</v>
      </c>
      <c r="J568" s="127" t="s">
        <v>863</v>
      </c>
      <c r="K568" s="127" t="s">
        <v>875</v>
      </c>
      <c r="L568" s="127">
        <v>90</v>
      </c>
      <c r="M568" s="127"/>
      <c r="N568" s="126" t="str">
        <f t="shared" ref="N568:N626" si="35">J568&amp;"("&amp;IF(K568="","",K568)&amp;IF(L568="","",", "&amp;L568)&amp;IF(M568="","",", "&amp;M568)&amp;")"</f>
        <v>Burn(Attack, 90)</v>
      </c>
      <c r="O568" s="126">
        <v>0</v>
      </c>
      <c r="P568" s="126">
        <v>1000</v>
      </c>
      <c r="Q568" s="126"/>
      <c r="R568" s="126" t="b">
        <v>1</v>
      </c>
    </row>
    <row r="569" spans="1:18" s="73" customFormat="1">
      <c r="A569" s="126" t="s">
        <v>1624</v>
      </c>
      <c r="B569" s="126"/>
      <c r="C569" s="126"/>
      <c r="D569" s="126">
        <v>0</v>
      </c>
      <c r="E569" s="126">
        <v>1</v>
      </c>
      <c r="F569" s="127" t="s">
        <v>197</v>
      </c>
      <c r="G569" s="127" t="s">
        <v>198</v>
      </c>
      <c r="H569" s="126"/>
      <c r="I569" s="127">
        <v>0</v>
      </c>
      <c r="J569" s="127" t="s">
        <v>863</v>
      </c>
      <c r="K569" s="127" t="s">
        <v>875</v>
      </c>
      <c r="L569" s="127">
        <v>120</v>
      </c>
      <c r="M569" s="127"/>
      <c r="N569" s="126" t="str">
        <f t="shared" si="35"/>
        <v>Burn(Attack, 120)</v>
      </c>
      <c r="O569" s="126">
        <v>0</v>
      </c>
      <c r="P569" s="126">
        <v>1000</v>
      </c>
      <c r="Q569" s="126"/>
      <c r="R569" s="126" t="b">
        <v>1</v>
      </c>
    </row>
    <row r="570" spans="1:18" s="73" customFormat="1">
      <c r="A570" s="126" t="s">
        <v>1625</v>
      </c>
      <c r="B570" s="126"/>
      <c r="C570" s="126"/>
      <c r="D570" s="126">
        <v>0</v>
      </c>
      <c r="E570" s="126">
        <v>1</v>
      </c>
      <c r="F570" s="127" t="s">
        <v>197</v>
      </c>
      <c r="G570" s="127" t="s">
        <v>198</v>
      </c>
      <c r="H570" s="126"/>
      <c r="I570" s="127">
        <v>0</v>
      </c>
      <c r="J570" s="127" t="s">
        <v>863</v>
      </c>
      <c r="K570" s="127" t="s">
        <v>875</v>
      </c>
      <c r="L570" s="127">
        <v>150</v>
      </c>
      <c r="M570" s="127"/>
      <c r="N570" s="126" t="str">
        <f t="shared" si="35"/>
        <v>Burn(Attack, 150)</v>
      </c>
      <c r="O570" s="126">
        <v>0</v>
      </c>
      <c r="P570" s="126">
        <v>1000</v>
      </c>
      <c r="Q570" s="126"/>
      <c r="R570" s="126" t="b">
        <v>1</v>
      </c>
    </row>
    <row r="571" spans="1:18" s="73" customFormat="1">
      <c r="A571" s="126" t="s">
        <v>1626</v>
      </c>
      <c r="B571" s="126"/>
      <c r="C571" s="126"/>
      <c r="D571" s="126">
        <v>0</v>
      </c>
      <c r="E571" s="126">
        <v>1</v>
      </c>
      <c r="F571" s="127" t="s">
        <v>197</v>
      </c>
      <c r="G571" s="127" t="s">
        <v>198</v>
      </c>
      <c r="H571" s="126"/>
      <c r="I571" s="127">
        <v>0</v>
      </c>
      <c r="J571" s="127" t="s">
        <v>863</v>
      </c>
      <c r="K571" s="127" t="s">
        <v>875</v>
      </c>
      <c r="L571" s="127">
        <v>180</v>
      </c>
      <c r="M571" s="127"/>
      <c r="N571" s="126" t="str">
        <f t="shared" si="35"/>
        <v>Burn(Attack, 180)</v>
      </c>
      <c r="O571" s="126">
        <v>0</v>
      </c>
      <c r="P571" s="126">
        <v>1000</v>
      </c>
      <c r="Q571" s="126"/>
      <c r="R571" s="126" t="b">
        <v>1</v>
      </c>
    </row>
    <row r="572" spans="1:18" s="73" customFormat="1">
      <c r="A572" s="126" t="s">
        <v>5882</v>
      </c>
      <c r="B572" s="126"/>
      <c r="C572" s="126"/>
      <c r="D572" s="126">
        <v>0</v>
      </c>
      <c r="E572" s="126">
        <v>1</v>
      </c>
      <c r="F572" s="127" t="s">
        <v>197</v>
      </c>
      <c r="G572" s="127" t="s">
        <v>198</v>
      </c>
      <c r="H572" s="126"/>
      <c r="I572" s="127">
        <v>0</v>
      </c>
      <c r="J572" s="127" t="s">
        <v>863</v>
      </c>
      <c r="K572" s="127" t="s">
        <v>875</v>
      </c>
      <c r="L572" s="127">
        <v>210</v>
      </c>
      <c r="M572" s="127"/>
      <c r="N572" s="126" t="str">
        <f t="shared" si="35"/>
        <v>Burn(Attack, 210)</v>
      </c>
      <c r="O572" s="126">
        <v>0</v>
      </c>
      <c r="P572" s="126">
        <v>1000</v>
      </c>
      <c r="Q572" s="126"/>
      <c r="R572" s="126" t="b">
        <v>1</v>
      </c>
    </row>
    <row r="573" spans="1:18" s="73" customFormat="1">
      <c r="A573" s="126" t="s">
        <v>5883</v>
      </c>
      <c r="B573" s="126"/>
      <c r="C573" s="126"/>
      <c r="D573" s="126">
        <v>0</v>
      </c>
      <c r="E573" s="126">
        <v>1</v>
      </c>
      <c r="F573" s="127" t="s">
        <v>197</v>
      </c>
      <c r="G573" s="127" t="s">
        <v>198</v>
      </c>
      <c r="H573" s="126"/>
      <c r="I573" s="127">
        <v>0</v>
      </c>
      <c r="J573" s="127" t="s">
        <v>863</v>
      </c>
      <c r="K573" s="127" t="s">
        <v>875</v>
      </c>
      <c r="L573" s="127">
        <v>240</v>
      </c>
      <c r="M573" s="127"/>
      <c r="N573" s="126" t="str">
        <f t="shared" ref="N573:N576" si="36">J573&amp;"("&amp;IF(K573="","",K573)&amp;IF(L573="","",", "&amp;L573)&amp;IF(M573="","",", "&amp;M573)&amp;")"</f>
        <v>Burn(Attack, 240)</v>
      </c>
      <c r="O573" s="126">
        <v>0</v>
      </c>
      <c r="P573" s="126">
        <v>1000</v>
      </c>
      <c r="Q573" s="126"/>
      <c r="R573" s="126" t="b">
        <v>1</v>
      </c>
    </row>
    <row r="574" spans="1:18" s="73" customFormat="1">
      <c r="A574" s="126" t="s">
        <v>5884</v>
      </c>
      <c r="B574" s="126"/>
      <c r="C574" s="126"/>
      <c r="D574" s="126">
        <v>0</v>
      </c>
      <c r="E574" s="126">
        <v>1</v>
      </c>
      <c r="F574" s="127" t="s">
        <v>197</v>
      </c>
      <c r="G574" s="127" t="s">
        <v>198</v>
      </c>
      <c r="H574" s="126"/>
      <c r="I574" s="127">
        <v>0</v>
      </c>
      <c r="J574" s="127" t="s">
        <v>863</v>
      </c>
      <c r="K574" s="127" t="s">
        <v>875</v>
      </c>
      <c r="L574" s="127">
        <v>270</v>
      </c>
      <c r="M574" s="127"/>
      <c r="N574" s="126" t="str">
        <f t="shared" si="36"/>
        <v>Burn(Attack, 270)</v>
      </c>
      <c r="O574" s="126">
        <v>0</v>
      </c>
      <c r="P574" s="126">
        <v>1000</v>
      </c>
      <c r="Q574" s="126"/>
      <c r="R574" s="126" t="b">
        <v>1</v>
      </c>
    </row>
    <row r="575" spans="1:18" s="73" customFormat="1">
      <c r="A575" s="126" t="s">
        <v>5885</v>
      </c>
      <c r="B575" s="126"/>
      <c r="C575" s="126"/>
      <c r="D575" s="126">
        <v>0</v>
      </c>
      <c r="E575" s="126">
        <v>1</v>
      </c>
      <c r="F575" s="127" t="s">
        <v>197</v>
      </c>
      <c r="G575" s="127" t="s">
        <v>198</v>
      </c>
      <c r="H575" s="126"/>
      <c r="I575" s="127">
        <v>0</v>
      </c>
      <c r="J575" s="127" t="s">
        <v>863</v>
      </c>
      <c r="K575" s="127" t="s">
        <v>875</v>
      </c>
      <c r="L575" s="127">
        <v>300</v>
      </c>
      <c r="M575" s="127"/>
      <c r="N575" s="126" t="str">
        <f t="shared" si="36"/>
        <v>Burn(Attack, 300)</v>
      </c>
      <c r="O575" s="126">
        <v>0</v>
      </c>
      <c r="P575" s="126">
        <v>1000</v>
      </c>
      <c r="Q575" s="126"/>
      <c r="R575" s="126" t="b">
        <v>1</v>
      </c>
    </row>
    <row r="576" spans="1:18" s="73" customFormat="1">
      <c r="A576" s="126" t="s">
        <v>5886</v>
      </c>
      <c r="B576" s="126"/>
      <c r="C576" s="126"/>
      <c r="D576" s="126">
        <v>0</v>
      </c>
      <c r="E576" s="126">
        <v>1</v>
      </c>
      <c r="F576" s="127" t="s">
        <v>197</v>
      </c>
      <c r="G576" s="127" t="s">
        <v>198</v>
      </c>
      <c r="H576" s="126"/>
      <c r="I576" s="127">
        <v>0</v>
      </c>
      <c r="J576" s="127" t="s">
        <v>863</v>
      </c>
      <c r="K576" s="127" t="s">
        <v>875</v>
      </c>
      <c r="L576" s="127">
        <v>330</v>
      </c>
      <c r="M576" s="127"/>
      <c r="N576" s="126" t="str">
        <f t="shared" si="36"/>
        <v>Burn(Attack, 330)</v>
      </c>
      <c r="O576" s="126">
        <v>0</v>
      </c>
      <c r="P576" s="126">
        <v>1000</v>
      </c>
      <c r="Q576" s="126"/>
      <c r="R576" s="126" t="b">
        <v>1</v>
      </c>
    </row>
    <row r="577" spans="1:18" s="73" customFormat="1">
      <c r="A577" s="126" t="s">
        <v>5813</v>
      </c>
      <c r="B577" s="126"/>
      <c r="C577" s="126"/>
      <c r="D577" s="126">
        <v>0</v>
      </c>
      <c r="E577" s="126">
        <v>1</v>
      </c>
      <c r="F577" s="127" t="s">
        <v>197</v>
      </c>
      <c r="G577" s="127" t="s">
        <v>198</v>
      </c>
      <c r="H577" s="126"/>
      <c r="I577" s="127">
        <v>0</v>
      </c>
      <c r="J577" s="127" t="s">
        <v>1621</v>
      </c>
      <c r="K577" s="127" t="s">
        <v>4598</v>
      </c>
      <c r="L577" s="127">
        <v>-60</v>
      </c>
      <c r="M577" s="127"/>
      <c r="N577" s="126" t="str">
        <f t="shared" ref="N577" si="37">J577&amp;"("&amp;IF(K577="","",K577)&amp;IF(L577="","",", "&amp;L577)&amp;IF(M577="","",", "&amp;M577)&amp;")"</f>
        <v>StatusDistict(ReceiveRecoveryRate, -60)</v>
      </c>
      <c r="O577" s="126">
        <v>0</v>
      </c>
      <c r="P577" s="126">
        <v>1000</v>
      </c>
      <c r="Q577" s="126"/>
      <c r="R577" s="126" t="b">
        <v>1</v>
      </c>
    </row>
    <row r="578" spans="1:18" s="73" customFormat="1">
      <c r="A578" s="126" t="s">
        <v>5805</v>
      </c>
      <c r="B578" s="126"/>
      <c r="C578" s="126"/>
      <c r="D578" s="126">
        <v>0</v>
      </c>
      <c r="E578" s="126">
        <v>1</v>
      </c>
      <c r="F578" s="127" t="s">
        <v>197</v>
      </c>
      <c r="G578" s="127" t="s">
        <v>198</v>
      </c>
      <c r="H578" s="126"/>
      <c r="I578" s="127">
        <v>0</v>
      </c>
      <c r="J578" s="127" t="s">
        <v>1621</v>
      </c>
      <c r="K578" s="127" t="s">
        <v>4598</v>
      </c>
      <c r="L578" s="127">
        <v>-90</v>
      </c>
      <c r="M578" s="127"/>
      <c r="N578" s="126" t="str">
        <f t="shared" ref="N578:N582" si="38">J578&amp;"("&amp;IF(K578="","",K578)&amp;IF(L578="","",", "&amp;L578)&amp;IF(M578="","",", "&amp;M578)&amp;")"</f>
        <v>StatusDistict(ReceiveRecoveryRate, -90)</v>
      </c>
      <c r="O578" s="126">
        <v>0</v>
      </c>
      <c r="P578" s="126">
        <v>1000</v>
      </c>
      <c r="Q578" s="126"/>
      <c r="R578" s="126" t="b">
        <v>1</v>
      </c>
    </row>
    <row r="579" spans="1:18" s="73" customFormat="1">
      <c r="A579" s="126" t="s">
        <v>5806</v>
      </c>
      <c r="B579" s="126"/>
      <c r="C579" s="126"/>
      <c r="D579" s="126">
        <v>0</v>
      </c>
      <c r="E579" s="126">
        <v>1</v>
      </c>
      <c r="F579" s="127" t="s">
        <v>197</v>
      </c>
      <c r="G579" s="127" t="s">
        <v>198</v>
      </c>
      <c r="H579" s="126"/>
      <c r="I579" s="127">
        <v>0</v>
      </c>
      <c r="J579" s="127" t="s">
        <v>1621</v>
      </c>
      <c r="K579" s="127" t="s">
        <v>4598</v>
      </c>
      <c r="L579" s="127">
        <v>-120</v>
      </c>
      <c r="M579" s="127"/>
      <c r="N579" s="126" t="str">
        <f t="shared" si="38"/>
        <v>StatusDistict(ReceiveRecoveryRate, -120)</v>
      </c>
      <c r="O579" s="126">
        <v>0</v>
      </c>
      <c r="P579" s="126">
        <v>1000</v>
      </c>
      <c r="Q579" s="126"/>
      <c r="R579" s="126" t="b">
        <v>1</v>
      </c>
    </row>
    <row r="580" spans="1:18" s="73" customFormat="1">
      <c r="A580" s="126" t="s">
        <v>5807</v>
      </c>
      <c r="B580" s="126"/>
      <c r="C580" s="126"/>
      <c r="D580" s="126">
        <v>0</v>
      </c>
      <c r="E580" s="126">
        <v>1</v>
      </c>
      <c r="F580" s="127" t="s">
        <v>197</v>
      </c>
      <c r="G580" s="127" t="s">
        <v>198</v>
      </c>
      <c r="H580" s="126"/>
      <c r="I580" s="127">
        <v>0</v>
      </c>
      <c r="J580" s="127" t="s">
        <v>1621</v>
      </c>
      <c r="K580" s="127" t="s">
        <v>4598</v>
      </c>
      <c r="L580" s="127">
        <v>-150</v>
      </c>
      <c r="M580" s="127"/>
      <c r="N580" s="126" t="str">
        <f t="shared" si="38"/>
        <v>StatusDistict(ReceiveRecoveryRate, -150)</v>
      </c>
      <c r="O580" s="126">
        <v>0</v>
      </c>
      <c r="P580" s="126">
        <v>1000</v>
      </c>
      <c r="Q580" s="126"/>
      <c r="R580" s="126" t="b">
        <v>1</v>
      </c>
    </row>
    <row r="581" spans="1:18" s="73" customFormat="1">
      <c r="A581" s="126" t="s">
        <v>5808</v>
      </c>
      <c r="B581" s="126"/>
      <c r="C581" s="126"/>
      <c r="D581" s="126">
        <v>0</v>
      </c>
      <c r="E581" s="126">
        <v>1</v>
      </c>
      <c r="F581" s="127" t="s">
        <v>197</v>
      </c>
      <c r="G581" s="127" t="s">
        <v>198</v>
      </c>
      <c r="H581" s="126"/>
      <c r="I581" s="127">
        <v>0</v>
      </c>
      <c r="J581" s="127" t="s">
        <v>1621</v>
      </c>
      <c r="K581" s="127" t="s">
        <v>4598</v>
      </c>
      <c r="L581" s="127">
        <v>-180</v>
      </c>
      <c r="M581" s="127"/>
      <c r="N581" s="126" t="str">
        <f t="shared" si="38"/>
        <v>StatusDistict(ReceiveRecoveryRate, -180)</v>
      </c>
      <c r="O581" s="126">
        <v>0</v>
      </c>
      <c r="P581" s="126">
        <v>1000</v>
      </c>
      <c r="Q581" s="126"/>
      <c r="R581" s="126" t="b">
        <v>1</v>
      </c>
    </row>
    <row r="582" spans="1:18" s="73" customFormat="1">
      <c r="A582" s="126" t="s">
        <v>5887</v>
      </c>
      <c r="B582" s="126"/>
      <c r="C582" s="126"/>
      <c r="D582" s="126">
        <v>0</v>
      </c>
      <c r="E582" s="126">
        <v>1</v>
      </c>
      <c r="F582" s="127" t="s">
        <v>197</v>
      </c>
      <c r="G582" s="127" t="s">
        <v>198</v>
      </c>
      <c r="H582" s="126"/>
      <c r="I582" s="127">
        <v>0</v>
      </c>
      <c r="J582" s="127" t="s">
        <v>1621</v>
      </c>
      <c r="K582" s="127" t="s">
        <v>2183</v>
      </c>
      <c r="L582" s="127">
        <v>-210</v>
      </c>
      <c r="M582" s="127"/>
      <c r="N582" s="126" t="str">
        <f t="shared" si="38"/>
        <v>StatusDistict(ReceiveRecoveryRate, -210)</v>
      </c>
      <c r="O582" s="126">
        <v>0</v>
      </c>
      <c r="P582" s="126">
        <v>1000</v>
      </c>
      <c r="Q582" s="126"/>
      <c r="R582" s="126" t="b">
        <v>1</v>
      </c>
    </row>
    <row r="583" spans="1:18" s="73" customFormat="1">
      <c r="A583" s="126" t="s">
        <v>5888</v>
      </c>
      <c r="B583" s="126"/>
      <c r="C583" s="126"/>
      <c r="D583" s="126">
        <v>0</v>
      </c>
      <c r="E583" s="126">
        <v>1</v>
      </c>
      <c r="F583" s="127" t="s">
        <v>197</v>
      </c>
      <c r="G583" s="127" t="s">
        <v>198</v>
      </c>
      <c r="H583" s="126"/>
      <c r="I583" s="127">
        <v>0</v>
      </c>
      <c r="J583" s="127" t="s">
        <v>1621</v>
      </c>
      <c r="K583" s="127" t="s">
        <v>2183</v>
      </c>
      <c r="L583" s="127">
        <v>-240</v>
      </c>
      <c r="M583" s="127"/>
      <c r="N583" s="126" t="str">
        <f t="shared" ref="N583:N586" si="39">J583&amp;"("&amp;IF(K583="","",K583)&amp;IF(L583="","",", "&amp;L583)&amp;IF(M583="","",", "&amp;M583)&amp;")"</f>
        <v>StatusDistict(ReceiveRecoveryRate, -240)</v>
      </c>
      <c r="O583" s="126">
        <v>0</v>
      </c>
      <c r="P583" s="126">
        <v>1000</v>
      </c>
      <c r="Q583" s="126"/>
      <c r="R583" s="126" t="b">
        <v>1</v>
      </c>
    </row>
    <row r="584" spans="1:18" s="73" customFormat="1">
      <c r="A584" s="126" t="s">
        <v>5889</v>
      </c>
      <c r="B584" s="126"/>
      <c r="C584" s="126"/>
      <c r="D584" s="126">
        <v>0</v>
      </c>
      <c r="E584" s="126">
        <v>1</v>
      </c>
      <c r="F584" s="127" t="s">
        <v>197</v>
      </c>
      <c r="G584" s="127" t="s">
        <v>198</v>
      </c>
      <c r="H584" s="126"/>
      <c r="I584" s="127">
        <v>0</v>
      </c>
      <c r="J584" s="127" t="s">
        <v>1621</v>
      </c>
      <c r="K584" s="127" t="s">
        <v>2183</v>
      </c>
      <c r="L584" s="127">
        <v>-270</v>
      </c>
      <c r="M584" s="127"/>
      <c r="N584" s="126" t="str">
        <f t="shared" si="39"/>
        <v>StatusDistict(ReceiveRecoveryRate, -270)</v>
      </c>
      <c r="O584" s="126">
        <v>0</v>
      </c>
      <c r="P584" s="126">
        <v>1000</v>
      </c>
      <c r="Q584" s="126"/>
      <c r="R584" s="126" t="b">
        <v>1</v>
      </c>
    </row>
    <row r="585" spans="1:18" s="73" customFormat="1">
      <c r="A585" s="126" t="s">
        <v>5890</v>
      </c>
      <c r="B585" s="126"/>
      <c r="C585" s="126"/>
      <c r="D585" s="126">
        <v>0</v>
      </c>
      <c r="E585" s="126">
        <v>1</v>
      </c>
      <c r="F585" s="127" t="s">
        <v>197</v>
      </c>
      <c r="G585" s="127" t="s">
        <v>198</v>
      </c>
      <c r="H585" s="126"/>
      <c r="I585" s="127">
        <v>0</v>
      </c>
      <c r="J585" s="127" t="s">
        <v>1621</v>
      </c>
      <c r="K585" s="127" t="s">
        <v>2183</v>
      </c>
      <c r="L585" s="127">
        <v>-300</v>
      </c>
      <c r="M585" s="127"/>
      <c r="N585" s="126" t="str">
        <f t="shared" si="39"/>
        <v>StatusDistict(ReceiveRecoveryRate, -300)</v>
      </c>
      <c r="O585" s="126">
        <v>0</v>
      </c>
      <c r="P585" s="126">
        <v>1000</v>
      </c>
      <c r="Q585" s="126"/>
      <c r="R585" s="126" t="b">
        <v>1</v>
      </c>
    </row>
    <row r="586" spans="1:18" s="73" customFormat="1">
      <c r="A586" s="126" t="s">
        <v>5891</v>
      </c>
      <c r="B586" s="126"/>
      <c r="C586" s="126"/>
      <c r="D586" s="126">
        <v>0</v>
      </c>
      <c r="E586" s="126">
        <v>1</v>
      </c>
      <c r="F586" s="127" t="s">
        <v>197</v>
      </c>
      <c r="G586" s="127" t="s">
        <v>198</v>
      </c>
      <c r="H586" s="126"/>
      <c r="I586" s="127">
        <v>0</v>
      </c>
      <c r="J586" s="127" t="s">
        <v>1621</v>
      </c>
      <c r="K586" s="127" t="s">
        <v>2183</v>
      </c>
      <c r="L586" s="127">
        <v>-330</v>
      </c>
      <c r="M586" s="127"/>
      <c r="N586" s="126" t="str">
        <f t="shared" si="39"/>
        <v>StatusDistict(ReceiveRecoveryRate, -330)</v>
      </c>
      <c r="O586" s="126">
        <v>0</v>
      </c>
      <c r="P586" s="126">
        <v>1000</v>
      </c>
      <c r="Q586" s="126"/>
      <c r="R586" s="126" t="b">
        <v>1</v>
      </c>
    </row>
    <row r="587" spans="1:18" s="73" customFormat="1">
      <c r="A587" s="130" t="s">
        <v>1627</v>
      </c>
      <c r="B587" s="130"/>
      <c r="C587" s="130"/>
      <c r="D587" s="130">
        <v>0</v>
      </c>
      <c r="E587" s="130">
        <v>1</v>
      </c>
      <c r="F587" s="131" t="s">
        <v>197</v>
      </c>
      <c r="G587" s="131" t="s">
        <v>198</v>
      </c>
      <c r="H587" s="130"/>
      <c r="I587" s="131">
        <v>0</v>
      </c>
      <c r="J587" s="131" t="s">
        <v>2307</v>
      </c>
      <c r="K587" s="131" t="s">
        <v>875</v>
      </c>
      <c r="L587" s="131">
        <v>150</v>
      </c>
      <c r="M587" s="131"/>
      <c r="N587" s="130" t="str">
        <f t="shared" si="35"/>
        <v>Frost(Attack, 150)</v>
      </c>
      <c r="O587" s="130">
        <v>0</v>
      </c>
      <c r="P587" s="130">
        <v>1000</v>
      </c>
      <c r="Q587" s="130"/>
      <c r="R587" s="130" t="b">
        <v>1</v>
      </c>
    </row>
    <row r="588" spans="1:18" s="73" customFormat="1">
      <c r="A588" s="130" t="s">
        <v>1628</v>
      </c>
      <c r="B588" s="130"/>
      <c r="C588" s="130"/>
      <c r="D588" s="130">
        <v>0</v>
      </c>
      <c r="E588" s="130">
        <v>1</v>
      </c>
      <c r="F588" s="131" t="s">
        <v>197</v>
      </c>
      <c r="G588" s="131" t="s">
        <v>198</v>
      </c>
      <c r="H588" s="130"/>
      <c r="I588" s="131">
        <v>0</v>
      </c>
      <c r="J588" s="131" t="s">
        <v>2307</v>
      </c>
      <c r="K588" s="131" t="s">
        <v>875</v>
      </c>
      <c r="L588" s="131">
        <v>200</v>
      </c>
      <c r="M588" s="131"/>
      <c r="N588" s="130" t="str">
        <f t="shared" si="35"/>
        <v>Frost(Attack, 200)</v>
      </c>
      <c r="O588" s="130">
        <v>0</v>
      </c>
      <c r="P588" s="130">
        <v>1000</v>
      </c>
      <c r="Q588" s="130"/>
      <c r="R588" s="130" t="b">
        <v>1</v>
      </c>
    </row>
    <row r="589" spans="1:18" s="73" customFormat="1">
      <c r="A589" s="130" t="s">
        <v>1629</v>
      </c>
      <c r="B589" s="130"/>
      <c r="C589" s="130"/>
      <c r="D589" s="130">
        <v>0</v>
      </c>
      <c r="E589" s="130">
        <v>1</v>
      </c>
      <c r="F589" s="131" t="s">
        <v>197</v>
      </c>
      <c r="G589" s="131" t="s">
        <v>198</v>
      </c>
      <c r="H589" s="130"/>
      <c r="I589" s="131">
        <v>0</v>
      </c>
      <c r="J589" s="131" t="s">
        <v>2307</v>
      </c>
      <c r="K589" s="131" t="s">
        <v>875</v>
      </c>
      <c r="L589" s="131">
        <v>250</v>
      </c>
      <c r="M589" s="131"/>
      <c r="N589" s="130" t="str">
        <f t="shared" si="35"/>
        <v>Frost(Attack, 250)</v>
      </c>
      <c r="O589" s="130">
        <v>0</v>
      </c>
      <c r="P589" s="130">
        <v>1000</v>
      </c>
      <c r="Q589" s="130"/>
      <c r="R589" s="130" t="b">
        <v>1</v>
      </c>
    </row>
    <row r="590" spans="1:18" s="73" customFormat="1">
      <c r="A590" s="130" t="s">
        <v>1630</v>
      </c>
      <c r="B590" s="130"/>
      <c r="C590" s="130"/>
      <c r="D590" s="130">
        <v>0</v>
      </c>
      <c r="E590" s="130">
        <v>1</v>
      </c>
      <c r="F590" s="131" t="s">
        <v>197</v>
      </c>
      <c r="G590" s="131" t="s">
        <v>198</v>
      </c>
      <c r="H590" s="130"/>
      <c r="I590" s="131">
        <v>0</v>
      </c>
      <c r="J590" s="131" t="s">
        <v>2307</v>
      </c>
      <c r="K590" s="131" t="s">
        <v>875</v>
      </c>
      <c r="L590" s="131">
        <v>300</v>
      </c>
      <c r="M590" s="131"/>
      <c r="N590" s="130" t="str">
        <f t="shared" si="35"/>
        <v>Frost(Attack, 300)</v>
      </c>
      <c r="O590" s="130">
        <v>0</v>
      </c>
      <c r="P590" s="130">
        <v>1000</v>
      </c>
      <c r="Q590" s="130"/>
      <c r="R590" s="130" t="b">
        <v>1</v>
      </c>
    </row>
    <row r="591" spans="1:18" s="73" customFormat="1">
      <c r="A591" s="130" t="s">
        <v>1631</v>
      </c>
      <c r="B591" s="130"/>
      <c r="C591" s="130"/>
      <c r="D591" s="130">
        <v>0</v>
      </c>
      <c r="E591" s="130">
        <v>1</v>
      </c>
      <c r="F591" s="131" t="s">
        <v>197</v>
      </c>
      <c r="G591" s="131" t="s">
        <v>198</v>
      </c>
      <c r="H591" s="130"/>
      <c r="I591" s="131">
        <v>0</v>
      </c>
      <c r="J591" s="131" t="s">
        <v>2307</v>
      </c>
      <c r="K591" s="131" t="s">
        <v>875</v>
      </c>
      <c r="L591" s="131">
        <v>350</v>
      </c>
      <c r="M591" s="131"/>
      <c r="N591" s="130" t="str">
        <f t="shared" si="35"/>
        <v>Frost(Attack, 350)</v>
      </c>
      <c r="O591" s="130">
        <v>0</v>
      </c>
      <c r="P591" s="130">
        <v>1000</v>
      </c>
      <c r="Q591" s="130"/>
      <c r="R591" s="130" t="b">
        <v>1</v>
      </c>
    </row>
    <row r="592" spans="1:18" s="73" customFormat="1">
      <c r="A592" s="130" t="s">
        <v>5759</v>
      </c>
      <c r="B592" s="130"/>
      <c r="C592" s="130"/>
      <c r="D592" s="130">
        <v>0</v>
      </c>
      <c r="E592" s="130">
        <v>1</v>
      </c>
      <c r="F592" s="131" t="s">
        <v>197</v>
      </c>
      <c r="G592" s="131" t="s">
        <v>198</v>
      </c>
      <c r="H592" s="130"/>
      <c r="I592" s="131">
        <v>0</v>
      </c>
      <c r="J592" s="131" t="s">
        <v>2307</v>
      </c>
      <c r="K592" s="131" t="s">
        <v>875</v>
      </c>
      <c r="L592" s="131">
        <v>400</v>
      </c>
      <c r="M592" s="131"/>
      <c r="N592" s="130" t="str">
        <f t="shared" ref="N592:N596" si="40">J592&amp;"("&amp;IF(K592="","",K592)&amp;IF(L592="","",", "&amp;L592)&amp;IF(M592="","",", "&amp;M592)&amp;")"</f>
        <v>Frost(Attack, 400)</v>
      </c>
      <c r="O592" s="130">
        <v>0</v>
      </c>
      <c r="P592" s="130">
        <v>1000</v>
      </c>
      <c r="Q592" s="130"/>
      <c r="R592" s="130" t="b">
        <v>1</v>
      </c>
    </row>
    <row r="593" spans="1:18" s="73" customFormat="1">
      <c r="A593" s="130" t="s">
        <v>5760</v>
      </c>
      <c r="B593" s="130"/>
      <c r="C593" s="130"/>
      <c r="D593" s="130">
        <v>0</v>
      </c>
      <c r="E593" s="130">
        <v>1</v>
      </c>
      <c r="F593" s="131" t="s">
        <v>197</v>
      </c>
      <c r="G593" s="131" t="s">
        <v>198</v>
      </c>
      <c r="H593" s="130"/>
      <c r="I593" s="131">
        <v>0</v>
      </c>
      <c r="J593" s="131" t="s">
        <v>2307</v>
      </c>
      <c r="K593" s="131" t="s">
        <v>875</v>
      </c>
      <c r="L593" s="131">
        <v>450</v>
      </c>
      <c r="M593" s="131"/>
      <c r="N593" s="130" t="str">
        <f t="shared" si="40"/>
        <v>Frost(Attack, 450)</v>
      </c>
      <c r="O593" s="130">
        <v>0</v>
      </c>
      <c r="P593" s="130">
        <v>1000</v>
      </c>
      <c r="Q593" s="130"/>
      <c r="R593" s="130" t="b">
        <v>1</v>
      </c>
    </row>
    <row r="594" spans="1:18" s="73" customFormat="1">
      <c r="A594" s="130" t="s">
        <v>5761</v>
      </c>
      <c r="B594" s="130"/>
      <c r="C594" s="130"/>
      <c r="D594" s="130">
        <v>0</v>
      </c>
      <c r="E594" s="130">
        <v>1</v>
      </c>
      <c r="F594" s="131" t="s">
        <v>197</v>
      </c>
      <c r="G594" s="131" t="s">
        <v>198</v>
      </c>
      <c r="H594" s="130"/>
      <c r="I594" s="131">
        <v>0</v>
      </c>
      <c r="J594" s="131" t="s">
        <v>2307</v>
      </c>
      <c r="K594" s="131" t="s">
        <v>875</v>
      </c>
      <c r="L594" s="131">
        <v>500</v>
      </c>
      <c r="M594" s="131"/>
      <c r="N594" s="130" t="str">
        <f t="shared" si="40"/>
        <v>Frost(Attack, 500)</v>
      </c>
      <c r="O594" s="130">
        <v>0</v>
      </c>
      <c r="P594" s="130">
        <v>1000</v>
      </c>
      <c r="Q594" s="130"/>
      <c r="R594" s="130" t="b">
        <v>1</v>
      </c>
    </row>
    <row r="595" spans="1:18" s="73" customFormat="1">
      <c r="A595" s="130" t="s">
        <v>5762</v>
      </c>
      <c r="B595" s="130"/>
      <c r="C595" s="130"/>
      <c r="D595" s="130">
        <v>0</v>
      </c>
      <c r="E595" s="130">
        <v>1</v>
      </c>
      <c r="F595" s="131" t="s">
        <v>197</v>
      </c>
      <c r="G595" s="131" t="s">
        <v>198</v>
      </c>
      <c r="H595" s="130"/>
      <c r="I595" s="131">
        <v>0</v>
      </c>
      <c r="J595" s="131" t="s">
        <v>2307</v>
      </c>
      <c r="K595" s="131" t="s">
        <v>875</v>
      </c>
      <c r="L595" s="131">
        <v>550</v>
      </c>
      <c r="M595" s="131"/>
      <c r="N595" s="130" t="str">
        <f t="shared" si="40"/>
        <v>Frost(Attack, 550)</v>
      </c>
      <c r="O595" s="130">
        <v>0</v>
      </c>
      <c r="P595" s="130">
        <v>1000</v>
      </c>
      <c r="Q595" s="130"/>
      <c r="R595" s="130" t="b">
        <v>1</v>
      </c>
    </row>
    <row r="596" spans="1:18" s="73" customFormat="1">
      <c r="A596" s="130" t="s">
        <v>5763</v>
      </c>
      <c r="B596" s="130"/>
      <c r="C596" s="130"/>
      <c r="D596" s="130">
        <v>0</v>
      </c>
      <c r="E596" s="130">
        <v>1</v>
      </c>
      <c r="F596" s="131" t="s">
        <v>197</v>
      </c>
      <c r="G596" s="131" t="s">
        <v>198</v>
      </c>
      <c r="H596" s="130"/>
      <c r="I596" s="131">
        <v>0</v>
      </c>
      <c r="J596" s="131" t="s">
        <v>2307</v>
      </c>
      <c r="K596" s="131" t="s">
        <v>875</v>
      </c>
      <c r="L596" s="131">
        <v>600</v>
      </c>
      <c r="M596" s="131"/>
      <c r="N596" s="130" t="str">
        <f t="shared" si="40"/>
        <v>Frost(Attack, 600)</v>
      </c>
      <c r="O596" s="130">
        <v>0</v>
      </c>
      <c r="P596" s="130">
        <v>1000</v>
      </c>
      <c r="Q596" s="130"/>
      <c r="R596" s="130" t="b">
        <v>1</v>
      </c>
    </row>
    <row r="597" spans="1:18" s="73" customFormat="1">
      <c r="A597" s="126" t="s">
        <v>1632</v>
      </c>
      <c r="B597" s="126"/>
      <c r="C597" s="126"/>
      <c r="D597" s="126">
        <v>0</v>
      </c>
      <c r="E597" s="126">
        <v>1</v>
      </c>
      <c r="F597" s="127" t="s">
        <v>197</v>
      </c>
      <c r="G597" s="127" t="s">
        <v>198</v>
      </c>
      <c r="H597" s="126"/>
      <c r="I597" s="127">
        <v>0</v>
      </c>
      <c r="J597" s="127" t="s">
        <v>2308</v>
      </c>
      <c r="K597" s="127" t="s">
        <v>875</v>
      </c>
      <c r="L597" s="127">
        <v>50</v>
      </c>
      <c r="M597" s="127"/>
      <c r="N597" s="126" t="str">
        <f t="shared" si="35"/>
        <v>Poison(Attack, 50)</v>
      </c>
      <c r="O597" s="126">
        <v>0</v>
      </c>
      <c r="P597" s="126">
        <v>1000</v>
      </c>
      <c r="Q597" s="126"/>
      <c r="R597" s="126" t="b">
        <v>1</v>
      </c>
    </row>
    <row r="598" spans="1:18" s="73" customFormat="1">
      <c r="A598" s="126" t="s">
        <v>1633</v>
      </c>
      <c r="B598" s="126"/>
      <c r="C598" s="126"/>
      <c r="D598" s="126">
        <v>0</v>
      </c>
      <c r="E598" s="126">
        <v>1</v>
      </c>
      <c r="F598" s="127" t="s">
        <v>197</v>
      </c>
      <c r="G598" s="127" t="s">
        <v>198</v>
      </c>
      <c r="H598" s="126"/>
      <c r="I598" s="127">
        <v>0</v>
      </c>
      <c r="J598" s="127" t="s">
        <v>864</v>
      </c>
      <c r="K598" s="127" t="s">
        <v>875</v>
      </c>
      <c r="L598" s="127">
        <v>100</v>
      </c>
      <c r="M598" s="127"/>
      <c r="N598" s="126" t="str">
        <f t="shared" si="35"/>
        <v>Poison(Attack, 100)</v>
      </c>
      <c r="O598" s="126">
        <v>0</v>
      </c>
      <c r="P598" s="126">
        <v>1000</v>
      </c>
      <c r="Q598" s="126"/>
      <c r="R598" s="126" t="b">
        <v>1</v>
      </c>
    </row>
    <row r="599" spans="1:18" s="73" customFormat="1">
      <c r="A599" s="126" t="s">
        <v>1634</v>
      </c>
      <c r="B599" s="126"/>
      <c r="C599" s="126"/>
      <c r="D599" s="126">
        <v>0</v>
      </c>
      <c r="E599" s="126">
        <v>1</v>
      </c>
      <c r="F599" s="127" t="s">
        <v>197</v>
      </c>
      <c r="G599" s="127" t="s">
        <v>198</v>
      </c>
      <c r="H599" s="126"/>
      <c r="I599" s="127">
        <v>0</v>
      </c>
      <c r="J599" s="127" t="s">
        <v>864</v>
      </c>
      <c r="K599" s="127" t="s">
        <v>875</v>
      </c>
      <c r="L599" s="127">
        <v>150</v>
      </c>
      <c r="M599" s="127"/>
      <c r="N599" s="126" t="str">
        <f t="shared" si="35"/>
        <v>Poison(Attack, 150)</v>
      </c>
      <c r="O599" s="126">
        <v>0</v>
      </c>
      <c r="P599" s="126">
        <v>1000</v>
      </c>
      <c r="Q599" s="126"/>
      <c r="R599" s="126" t="b">
        <v>1</v>
      </c>
    </row>
    <row r="600" spans="1:18" s="73" customFormat="1">
      <c r="A600" s="126" t="s">
        <v>1635</v>
      </c>
      <c r="B600" s="126"/>
      <c r="C600" s="126"/>
      <c r="D600" s="126">
        <v>0</v>
      </c>
      <c r="E600" s="126">
        <v>1</v>
      </c>
      <c r="F600" s="127" t="s">
        <v>197</v>
      </c>
      <c r="G600" s="127" t="s">
        <v>198</v>
      </c>
      <c r="H600" s="126"/>
      <c r="I600" s="127">
        <v>0</v>
      </c>
      <c r="J600" s="127" t="s">
        <v>864</v>
      </c>
      <c r="K600" s="127" t="s">
        <v>875</v>
      </c>
      <c r="L600" s="127">
        <v>200</v>
      </c>
      <c r="M600" s="127"/>
      <c r="N600" s="126" t="str">
        <f t="shared" si="35"/>
        <v>Poison(Attack, 200)</v>
      </c>
      <c r="O600" s="126">
        <v>0</v>
      </c>
      <c r="P600" s="126">
        <v>1000</v>
      </c>
      <c r="Q600" s="126"/>
      <c r="R600" s="126" t="b">
        <v>1</v>
      </c>
    </row>
    <row r="601" spans="1:18" s="73" customFormat="1">
      <c r="A601" s="126" t="s">
        <v>1636</v>
      </c>
      <c r="B601" s="126"/>
      <c r="C601" s="126"/>
      <c r="D601" s="126">
        <v>0</v>
      </c>
      <c r="E601" s="126">
        <v>1</v>
      </c>
      <c r="F601" s="127" t="s">
        <v>197</v>
      </c>
      <c r="G601" s="127" t="s">
        <v>198</v>
      </c>
      <c r="H601" s="126"/>
      <c r="I601" s="127">
        <v>0</v>
      </c>
      <c r="J601" s="127" t="s">
        <v>864</v>
      </c>
      <c r="K601" s="127" t="s">
        <v>875</v>
      </c>
      <c r="L601" s="127">
        <v>250</v>
      </c>
      <c r="M601" s="127"/>
      <c r="N601" s="126" t="str">
        <f t="shared" si="35"/>
        <v>Poison(Attack, 250)</v>
      </c>
      <c r="O601" s="126">
        <v>0</v>
      </c>
      <c r="P601" s="126">
        <v>1000</v>
      </c>
      <c r="Q601" s="126"/>
      <c r="R601" s="126" t="b">
        <v>1</v>
      </c>
    </row>
    <row r="602" spans="1:18" s="73" customFormat="1">
      <c r="A602" s="126" t="s">
        <v>8522</v>
      </c>
      <c r="B602" s="126"/>
      <c r="C602" s="126"/>
      <c r="D602" s="126">
        <v>0</v>
      </c>
      <c r="E602" s="126">
        <v>1</v>
      </c>
      <c r="F602" s="127" t="s">
        <v>197</v>
      </c>
      <c r="G602" s="127" t="s">
        <v>198</v>
      </c>
      <c r="H602" s="126"/>
      <c r="I602" s="127">
        <v>0</v>
      </c>
      <c r="J602" s="127" t="s">
        <v>2308</v>
      </c>
      <c r="K602" s="127" t="s">
        <v>875</v>
      </c>
      <c r="L602" s="127">
        <v>300</v>
      </c>
      <c r="M602" s="127"/>
      <c r="N602" s="126" t="str">
        <f t="shared" ref="N602:N606" si="41">J602&amp;"("&amp;IF(K602="","",K602)&amp;IF(L602="","",", "&amp;L602)&amp;IF(M602="","",", "&amp;M602)&amp;")"</f>
        <v>Poison(Attack, 300)</v>
      </c>
      <c r="O602" s="126">
        <v>0</v>
      </c>
      <c r="P602" s="126">
        <v>1000</v>
      </c>
      <c r="Q602" s="126"/>
      <c r="R602" s="126" t="b">
        <v>1</v>
      </c>
    </row>
    <row r="603" spans="1:18" s="73" customFormat="1">
      <c r="A603" s="126" t="s">
        <v>8532</v>
      </c>
      <c r="B603" s="126"/>
      <c r="C603" s="126"/>
      <c r="D603" s="126">
        <v>0</v>
      </c>
      <c r="E603" s="126">
        <v>1</v>
      </c>
      <c r="F603" s="127" t="s">
        <v>197</v>
      </c>
      <c r="G603" s="127" t="s">
        <v>198</v>
      </c>
      <c r="H603" s="126"/>
      <c r="I603" s="127">
        <v>0</v>
      </c>
      <c r="J603" s="127" t="s">
        <v>864</v>
      </c>
      <c r="K603" s="127" t="s">
        <v>875</v>
      </c>
      <c r="L603" s="127">
        <v>350</v>
      </c>
      <c r="M603" s="127"/>
      <c r="N603" s="126" t="str">
        <f t="shared" si="41"/>
        <v>Poison(Attack, 350)</v>
      </c>
      <c r="O603" s="126">
        <v>0</v>
      </c>
      <c r="P603" s="126">
        <v>1000</v>
      </c>
      <c r="Q603" s="126"/>
      <c r="R603" s="126" t="b">
        <v>1</v>
      </c>
    </row>
    <row r="604" spans="1:18" s="73" customFormat="1">
      <c r="A604" s="126" t="s">
        <v>8524</v>
      </c>
      <c r="B604" s="126"/>
      <c r="C604" s="126"/>
      <c r="D604" s="126">
        <v>0</v>
      </c>
      <c r="E604" s="126">
        <v>1</v>
      </c>
      <c r="F604" s="127" t="s">
        <v>197</v>
      </c>
      <c r="G604" s="127" t="s">
        <v>198</v>
      </c>
      <c r="H604" s="126"/>
      <c r="I604" s="127">
        <v>0</v>
      </c>
      <c r="J604" s="127" t="s">
        <v>864</v>
      </c>
      <c r="K604" s="127" t="s">
        <v>875</v>
      </c>
      <c r="L604" s="127">
        <v>400</v>
      </c>
      <c r="M604" s="127"/>
      <c r="N604" s="126" t="str">
        <f t="shared" si="41"/>
        <v>Poison(Attack, 400)</v>
      </c>
      <c r="O604" s="126">
        <v>0</v>
      </c>
      <c r="P604" s="126">
        <v>1000</v>
      </c>
      <c r="Q604" s="126"/>
      <c r="R604" s="126" t="b">
        <v>1</v>
      </c>
    </row>
    <row r="605" spans="1:18" s="73" customFormat="1">
      <c r="A605" s="126" t="s">
        <v>8525</v>
      </c>
      <c r="B605" s="126"/>
      <c r="C605" s="126"/>
      <c r="D605" s="126">
        <v>0</v>
      </c>
      <c r="E605" s="126">
        <v>1</v>
      </c>
      <c r="F605" s="127" t="s">
        <v>197</v>
      </c>
      <c r="G605" s="127" t="s">
        <v>198</v>
      </c>
      <c r="H605" s="126"/>
      <c r="I605" s="127">
        <v>0</v>
      </c>
      <c r="J605" s="127" t="s">
        <v>864</v>
      </c>
      <c r="K605" s="127" t="s">
        <v>875</v>
      </c>
      <c r="L605" s="127">
        <v>450</v>
      </c>
      <c r="M605" s="127"/>
      <c r="N605" s="126" t="str">
        <f t="shared" si="41"/>
        <v>Poison(Attack, 450)</v>
      </c>
      <c r="O605" s="126">
        <v>0</v>
      </c>
      <c r="P605" s="126">
        <v>1000</v>
      </c>
      <c r="Q605" s="126"/>
      <c r="R605" s="126" t="b">
        <v>1</v>
      </c>
    </row>
    <row r="606" spans="1:18" s="73" customFormat="1">
      <c r="A606" s="126" t="s">
        <v>8526</v>
      </c>
      <c r="B606" s="126"/>
      <c r="C606" s="126"/>
      <c r="D606" s="126">
        <v>0</v>
      </c>
      <c r="E606" s="126">
        <v>1</v>
      </c>
      <c r="F606" s="127" t="s">
        <v>197</v>
      </c>
      <c r="G606" s="127" t="s">
        <v>198</v>
      </c>
      <c r="H606" s="126"/>
      <c r="I606" s="127">
        <v>0</v>
      </c>
      <c r="J606" s="127" t="s">
        <v>864</v>
      </c>
      <c r="K606" s="127" t="s">
        <v>875</v>
      </c>
      <c r="L606" s="127">
        <v>500</v>
      </c>
      <c r="M606" s="127"/>
      <c r="N606" s="126" t="str">
        <f t="shared" si="41"/>
        <v>Poison(Attack, 500)</v>
      </c>
      <c r="O606" s="126">
        <v>0</v>
      </c>
      <c r="P606" s="126">
        <v>1000</v>
      </c>
      <c r="Q606" s="126"/>
      <c r="R606" s="126" t="b">
        <v>1</v>
      </c>
    </row>
    <row r="607" spans="1:18" s="73" customFormat="1">
      <c r="A607" s="126" t="s">
        <v>8533</v>
      </c>
      <c r="B607" s="126"/>
      <c r="C607" s="126"/>
      <c r="D607" s="126">
        <v>0</v>
      </c>
      <c r="E607" s="126">
        <v>1</v>
      </c>
      <c r="F607" s="127" t="s">
        <v>197</v>
      </c>
      <c r="G607" s="127" t="s">
        <v>198</v>
      </c>
      <c r="H607" s="126"/>
      <c r="I607" s="127">
        <v>0</v>
      </c>
      <c r="J607" s="127" t="s">
        <v>2308</v>
      </c>
      <c r="K607" s="127" t="s">
        <v>875</v>
      </c>
      <c r="L607" s="127">
        <v>550</v>
      </c>
      <c r="M607" s="127"/>
      <c r="N607" s="126" t="str">
        <f t="shared" ref="N607:N611" si="42">J607&amp;"("&amp;IF(K607="","",K607)&amp;IF(L607="","",", "&amp;L607)&amp;IF(M607="","",", "&amp;M607)&amp;")"</f>
        <v>Poison(Attack, 550)</v>
      </c>
      <c r="O607" s="126">
        <v>0</v>
      </c>
      <c r="P607" s="126">
        <v>1000</v>
      </c>
      <c r="Q607" s="126"/>
      <c r="R607" s="126" t="b">
        <v>1</v>
      </c>
    </row>
    <row r="608" spans="1:18" s="73" customFormat="1">
      <c r="A608" s="126" t="s">
        <v>8528</v>
      </c>
      <c r="B608" s="126"/>
      <c r="C608" s="126"/>
      <c r="D608" s="126">
        <v>0</v>
      </c>
      <c r="E608" s="126">
        <v>1</v>
      </c>
      <c r="F608" s="127" t="s">
        <v>197</v>
      </c>
      <c r="G608" s="127" t="s">
        <v>198</v>
      </c>
      <c r="H608" s="126"/>
      <c r="I608" s="127">
        <v>0</v>
      </c>
      <c r="J608" s="127" t="s">
        <v>864</v>
      </c>
      <c r="K608" s="127" t="s">
        <v>875</v>
      </c>
      <c r="L608" s="127">
        <v>600</v>
      </c>
      <c r="M608" s="127"/>
      <c r="N608" s="126" t="str">
        <f t="shared" si="42"/>
        <v>Poison(Attack, 600)</v>
      </c>
      <c r="O608" s="126">
        <v>0</v>
      </c>
      <c r="P608" s="126">
        <v>1000</v>
      </c>
      <c r="Q608" s="126"/>
      <c r="R608" s="126" t="b">
        <v>1</v>
      </c>
    </row>
    <row r="609" spans="1:18" s="73" customFormat="1">
      <c r="A609" s="126" t="s">
        <v>8529</v>
      </c>
      <c r="B609" s="126"/>
      <c r="C609" s="126"/>
      <c r="D609" s="126">
        <v>0</v>
      </c>
      <c r="E609" s="126">
        <v>1</v>
      </c>
      <c r="F609" s="127" t="s">
        <v>197</v>
      </c>
      <c r="G609" s="127" t="s">
        <v>198</v>
      </c>
      <c r="H609" s="126"/>
      <c r="I609" s="127">
        <v>0</v>
      </c>
      <c r="J609" s="127" t="s">
        <v>864</v>
      </c>
      <c r="K609" s="127" t="s">
        <v>875</v>
      </c>
      <c r="L609" s="127">
        <v>650</v>
      </c>
      <c r="M609" s="127"/>
      <c r="N609" s="126" t="str">
        <f t="shared" si="42"/>
        <v>Poison(Attack, 650)</v>
      </c>
      <c r="O609" s="126">
        <v>0</v>
      </c>
      <c r="P609" s="126">
        <v>1000</v>
      </c>
      <c r="Q609" s="126"/>
      <c r="R609" s="126" t="b">
        <v>1</v>
      </c>
    </row>
    <row r="610" spans="1:18" s="73" customFormat="1">
      <c r="A610" s="126" t="s">
        <v>8530</v>
      </c>
      <c r="B610" s="126"/>
      <c r="C610" s="126"/>
      <c r="D610" s="126">
        <v>0</v>
      </c>
      <c r="E610" s="126">
        <v>1</v>
      </c>
      <c r="F610" s="127" t="s">
        <v>197</v>
      </c>
      <c r="G610" s="127" t="s">
        <v>198</v>
      </c>
      <c r="H610" s="126"/>
      <c r="I610" s="127">
        <v>0</v>
      </c>
      <c r="J610" s="127" t="s">
        <v>864</v>
      </c>
      <c r="K610" s="127" t="s">
        <v>875</v>
      </c>
      <c r="L610" s="127">
        <v>700</v>
      </c>
      <c r="M610" s="127"/>
      <c r="N610" s="126" t="str">
        <f t="shared" si="42"/>
        <v>Poison(Attack, 700)</v>
      </c>
      <c r="O610" s="126">
        <v>0</v>
      </c>
      <c r="P610" s="126">
        <v>1000</v>
      </c>
      <c r="Q610" s="126"/>
      <c r="R610" s="126" t="b">
        <v>1</v>
      </c>
    </row>
    <row r="611" spans="1:18" s="73" customFormat="1">
      <c r="A611" s="126" t="s">
        <v>8531</v>
      </c>
      <c r="B611" s="126"/>
      <c r="C611" s="126"/>
      <c r="D611" s="126">
        <v>0</v>
      </c>
      <c r="E611" s="126">
        <v>1</v>
      </c>
      <c r="F611" s="127" t="s">
        <v>197</v>
      </c>
      <c r="G611" s="127" t="s">
        <v>198</v>
      </c>
      <c r="H611" s="126"/>
      <c r="I611" s="127">
        <v>0</v>
      </c>
      <c r="J611" s="127" t="s">
        <v>864</v>
      </c>
      <c r="K611" s="127" t="s">
        <v>875</v>
      </c>
      <c r="L611" s="127">
        <v>750</v>
      </c>
      <c r="M611" s="127"/>
      <c r="N611" s="126" t="str">
        <f t="shared" si="42"/>
        <v>Poison(Attack, 750)</v>
      </c>
      <c r="O611" s="126">
        <v>0</v>
      </c>
      <c r="P611" s="126">
        <v>1000</v>
      </c>
      <c r="Q611" s="126"/>
      <c r="R611" s="126" t="b">
        <v>1</v>
      </c>
    </row>
    <row r="612" spans="1:18" s="73" customFormat="1">
      <c r="A612" s="126" t="s">
        <v>8555</v>
      </c>
      <c r="B612" s="126"/>
      <c r="C612" s="126"/>
      <c r="D612" s="126">
        <v>0</v>
      </c>
      <c r="E612" s="126">
        <v>1</v>
      </c>
      <c r="F612" s="127" t="s">
        <v>197</v>
      </c>
      <c r="G612" s="127" t="s">
        <v>198</v>
      </c>
      <c r="H612" s="126"/>
      <c r="I612" s="127">
        <v>0</v>
      </c>
      <c r="J612" s="127" t="s">
        <v>2308</v>
      </c>
      <c r="K612" s="127" t="s">
        <v>875</v>
      </c>
      <c r="L612" s="127">
        <v>800</v>
      </c>
      <c r="M612" s="127"/>
      <c r="N612" s="126" t="str">
        <f t="shared" ref="N612:N616" si="43">J612&amp;"("&amp;IF(K612="","",K612)&amp;IF(L612="","",", "&amp;L612)&amp;IF(M612="","",", "&amp;M612)&amp;")"</f>
        <v>Poison(Attack, 800)</v>
      </c>
      <c r="O612" s="126">
        <v>0</v>
      </c>
      <c r="P612" s="126">
        <v>1000</v>
      </c>
      <c r="Q612" s="126"/>
      <c r="R612" s="126" t="b">
        <v>1</v>
      </c>
    </row>
    <row r="613" spans="1:18" s="73" customFormat="1">
      <c r="A613" s="126" t="s">
        <v>8556</v>
      </c>
      <c r="B613" s="126"/>
      <c r="C613" s="126"/>
      <c r="D613" s="126">
        <v>0</v>
      </c>
      <c r="E613" s="126">
        <v>1</v>
      </c>
      <c r="F613" s="127" t="s">
        <v>197</v>
      </c>
      <c r="G613" s="127" t="s">
        <v>198</v>
      </c>
      <c r="H613" s="126"/>
      <c r="I613" s="127">
        <v>0</v>
      </c>
      <c r="J613" s="127" t="s">
        <v>864</v>
      </c>
      <c r="K613" s="127" t="s">
        <v>875</v>
      </c>
      <c r="L613" s="127">
        <v>850</v>
      </c>
      <c r="M613" s="127"/>
      <c r="N613" s="126" t="str">
        <f t="shared" si="43"/>
        <v>Poison(Attack, 850)</v>
      </c>
      <c r="O613" s="126">
        <v>0</v>
      </c>
      <c r="P613" s="126">
        <v>1000</v>
      </c>
      <c r="Q613" s="126"/>
      <c r="R613" s="126" t="b">
        <v>1</v>
      </c>
    </row>
    <row r="614" spans="1:18" s="73" customFormat="1">
      <c r="A614" s="126" t="s">
        <v>8557</v>
      </c>
      <c r="B614" s="126"/>
      <c r="C614" s="126"/>
      <c r="D614" s="126">
        <v>0</v>
      </c>
      <c r="E614" s="126">
        <v>1</v>
      </c>
      <c r="F614" s="127" t="s">
        <v>197</v>
      </c>
      <c r="G614" s="127" t="s">
        <v>198</v>
      </c>
      <c r="H614" s="126"/>
      <c r="I614" s="127">
        <v>0</v>
      </c>
      <c r="J614" s="127" t="s">
        <v>864</v>
      </c>
      <c r="K614" s="127" t="s">
        <v>875</v>
      </c>
      <c r="L614" s="127">
        <v>900</v>
      </c>
      <c r="M614" s="127"/>
      <c r="N614" s="126" t="str">
        <f t="shared" si="43"/>
        <v>Poison(Attack, 900)</v>
      </c>
      <c r="O614" s="126">
        <v>0</v>
      </c>
      <c r="P614" s="126">
        <v>1000</v>
      </c>
      <c r="Q614" s="126"/>
      <c r="R614" s="126" t="b">
        <v>1</v>
      </c>
    </row>
    <row r="615" spans="1:18" s="73" customFormat="1">
      <c r="A615" s="126" t="s">
        <v>8558</v>
      </c>
      <c r="B615" s="126"/>
      <c r="C615" s="126"/>
      <c r="D615" s="126">
        <v>0</v>
      </c>
      <c r="E615" s="126">
        <v>1</v>
      </c>
      <c r="F615" s="127" t="s">
        <v>197</v>
      </c>
      <c r="G615" s="127" t="s">
        <v>198</v>
      </c>
      <c r="H615" s="126"/>
      <c r="I615" s="127">
        <v>0</v>
      </c>
      <c r="J615" s="127" t="s">
        <v>864</v>
      </c>
      <c r="K615" s="127" t="s">
        <v>875</v>
      </c>
      <c r="L615" s="127">
        <v>950</v>
      </c>
      <c r="M615" s="127"/>
      <c r="N615" s="126" t="str">
        <f t="shared" si="43"/>
        <v>Poison(Attack, 950)</v>
      </c>
      <c r="O615" s="126">
        <v>0</v>
      </c>
      <c r="P615" s="126">
        <v>1000</v>
      </c>
      <c r="Q615" s="126"/>
      <c r="R615" s="126" t="b">
        <v>1</v>
      </c>
    </row>
    <row r="616" spans="1:18" s="73" customFormat="1">
      <c r="A616" s="126" t="s">
        <v>8559</v>
      </c>
      <c r="B616" s="126"/>
      <c r="C616" s="126"/>
      <c r="D616" s="126">
        <v>0</v>
      </c>
      <c r="E616" s="126">
        <v>1</v>
      </c>
      <c r="F616" s="127" t="s">
        <v>197</v>
      </c>
      <c r="G616" s="127" t="s">
        <v>198</v>
      </c>
      <c r="H616" s="126"/>
      <c r="I616" s="127">
        <v>0</v>
      </c>
      <c r="J616" s="127" t="s">
        <v>864</v>
      </c>
      <c r="K616" s="127" t="s">
        <v>875</v>
      </c>
      <c r="L616" s="127">
        <v>1000</v>
      </c>
      <c r="M616" s="127"/>
      <c r="N616" s="126" t="str">
        <f t="shared" si="43"/>
        <v>Poison(Attack, 1000)</v>
      </c>
      <c r="O616" s="126">
        <v>0</v>
      </c>
      <c r="P616" s="126">
        <v>1000</v>
      </c>
      <c r="Q616" s="126"/>
      <c r="R616" s="126" t="b">
        <v>1</v>
      </c>
    </row>
    <row r="617" spans="1:18" s="73" customFormat="1">
      <c r="A617" s="130" t="s">
        <v>1620</v>
      </c>
      <c r="B617" s="130"/>
      <c r="C617" s="130"/>
      <c r="D617" s="130">
        <v>0</v>
      </c>
      <c r="E617" s="130">
        <v>1</v>
      </c>
      <c r="F617" s="131" t="s">
        <v>197</v>
      </c>
      <c r="G617" s="131" t="s">
        <v>198</v>
      </c>
      <c r="H617" s="130"/>
      <c r="I617" s="131">
        <v>0</v>
      </c>
      <c r="J617" s="131" t="s">
        <v>865</v>
      </c>
      <c r="K617" s="131" t="s">
        <v>875</v>
      </c>
      <c r="L617" s="131">
        <v>100</v>
      </c>
      <c r="M617" s="131"/>
      <c r="N617" s="130" t="str">
        <f t="shared" si="35"/>
        <v>Bleed(Attack, 100)</v>
      </c>
      <c r="O617" s="130">
        <v>0</v>
      </c>
      <c r="P617" s="130">
        <v>1000</v>
      </c>
      <c r="Q617" s="130"/>
      <c r="R617" s="130" t="b">
        <v>1</v>
      </c>
    </row>
    <row r="618" spans="1:18" s="73" customFormat="1">
      <c r="A618" s="130" t="s">
        <v>1637</v>
      </c>
      <c r="B618" s="130"/>
      <c r="C618" s="130"/>
      <c r="D618" s="130">
        <v>0</v>
      </c>
      <c r="E618" s="130">
        <v>1</v>
      </c>
      <c r="F618" s="131" t="s">
        <v>197</v>
      </c>
      <c r="G618" s="131" t="s">
        <v>198</v>
      </c>
      <c r="H618" s="130"/>
      <c r="I618" s="131">
        <v>0</v>
      </c>
      <c r="J618" s="131" t="s">
        <v>865</v>
      </c>
      <c r="K618" s="131" t="s">
        <v>875</v>
      </c>
      <c r="L618" s="131">
        <v>150</v>
      </c>
      <c r="M618" s="131"/>
      <c r="N618" s="130" t="str">
        <f t="shared" si="35"/>
        <v>Bleed(Attack, 150)</v>
      </c>
      <c r="O618" s="130">
        <v>0</v>
      </c>
      <c r="P618" s="130">
        <v>1000</v>
      </c>
      <c r="Q618" s="130"/>
      <c r="R618" s="130" t="b">
        <v>1</v>
      </c>
    </row>
    <row r="619" spans="1:18" s="73" customFormat="1">
      <c r="A619" s="130" t="s">
        <v>1638</v>
      </c>
      <c r="B619" s="130"/>
      <c r="C619" s="130"/>
      <c r="D619" s="130">
        <v>0</v>
      </c>
      <c r="E619" s="130">
        <v>1</v>
      </c>
      <c r="F619" s="131" t="s">
        <v>197</v>
      </c>
      <c r="G619" s="131" t="s">
        <v>198</v>
      </c>
      <c r="H619" s="130"/>
      <c r="I619" s="131">
        <v>0</v>
      </c>
      <c r="J619" s="131" t="s">
        <v>865</v>
      </c>
      <c r="K619" s="131" t="s">
        <v>875</v>
      </c>
      <c r="L619" s="131">
        <v>200</v>
      </c>
      <c r="M619" s="131"/>
      <c r="N619" s="130" t="str">
        <f t="shared" si="35"/>
        <v>Bleed(Attack, 200)</v>
      </c>
      <c r="O619" s="130">
        <v>0</v>
      </c>
      <c r="P619" s="130">
        <v>1000</v>
      </c>
      <c r="Q619" s="130"/>
      <c r="R619" s="130" t="b">
        <v>1</v>
      </c>
    </row>
    <row r="620" spans="1:18" s="73" customFormat="1">
      <c r="A620" s="130" t="s">
        <v>1639</v>
      </c>
      <c r="B620" s="130"/>
      <c r="C620" s="130"/>
      <c r="D620" s="130">
        <v>0</v>
      </c>
      <c r="E620" s="130">
        <v>1</v>
      </c>
      <c r="F620" s="131" t="s">
        <v>197</v>
      </c>
      <c r="G620" s="131" t="s">
        <v>198</v>
      </c>
      <c r="H620" s="130"/>
      <c r="I620" s="131">
        <v>0</v>
      </c>
      <c r="J620" s="131" t="s">
        <v>865</v>
      </c>
      <c r="K620" s="131" t="s">
        <v>875</v>
      </c>
      <c r="L620" s="131">
        <v>250</v>
      </c>
      <c r="M620" s="131"/>
      <c r="N620" s="130" t="str">
        <f t="shared" si="35"/>
        <v>Bleed(Attack, 250)</v>
      </c>
      <c r="O620" s="130">
        <v>0</v>
      </c>
      <c r="P620" s="130">
        <v>1000</v>
      </c>
      <c r="Q620" s="130"/>
      <c r="R620" s="130" t="b">
        <v>1</v>
      </c>
    </row>
    <row r="621" spans="1:18" s="73" customFormat="1">
      <c r="A621" s="130" t="s">
        <v>1640</v>
      </c>
      <c r="B621" s="130"/>
      <c r="C621" s="130"/>
      <c r="D621" s="130">
        <v>0</v>
      </c>
      <c r="E621" s="130">
        <v>1</v>
      </c>
      <c r="F621" s="131" t="s">
        <v>197</v>
      </c>
      <c r="G621" s="131" t="s">
        <v>198</v>
      </c>
      <c r="H621" s="130"/>
      <c r="I621" s="131">
        <v>0</v>
      </c>
      <c r="J621" s="131" t="s">
        <v>865</v>
      </c>
      <c r="K621" s="131" t="s">
        <v>875</v>
      </c>
      <c r="L621" s="131">
        <v>300</v>
      </c>
      <c r="M621" s="131"/>
      <c r="N621" s="130" t="str">
        <f t="shared" si="35"/>
        <v>Bleed(Attack, 300)</v>
      </c>
      <c r="O621" s="130">
        <v>0</v>
      </c>
      <c r="P621" s="130">
        <v>1000</v>
      </c>
      <c r="Q621" s="130"/>
      <c r="R621" s="130" t="b">
        <v>1</v>
      </c>
    </row>
    <row r="622" spans="1:18" s="73" customFormat="1">
      <c r="A622" s="126" t="s">
        <v>1641</v>
      </c>
      <c r="B622" s="126"/>
      <c r="C622" s="126"/>
      <c r="D622" s="126">
        <v>0</v>
      </c>
      <c r="E622" s="126">
        <v>1</v>
      </c>
      <c r="F622" s="127" t="s">
        <v>197</v>
      </c>
      <c r="G622" s="127" t="s">
        <v>198</v>
      </c>
      <c r="H622" s="126"/>
      <c r="I622" s="127">
        <v>0</v>
      </c>
      <c r="J622" s="127" t="s">
        <v>4632</v>
      </c>
      <c r="K622" s="127" t="s">
        <v>875</v>
      </c>
      <c r="L622" s="127">
        <v>60</v>
      </c>
      <c r="M622" s="127"/>
      <c r="N622" s="126" t="str">
        <f t="shared" si="35"/>
        <v>Electric(Attack, 60)</v>
      </c>
      <c r="O622" s="126">
        <v>0</v>
      </c>
      <c r="P622" s="126">
        <v>1000</v>
      </c>
      <c r="Q622" s="126"/>
      <c r="R622" s="126" t="b">
        <v>1</v>
      </c>
    </row>
    <row r="623" spans="1:18" s="73" customFormat="1">
      <c r="A623" s="126" t="s">
        <v>1642</v>
      </c>
      <c r="B623" s="126"/>
      <c r="C623" s="126"/>
      <c r="D623" s="126">
        <v>0</v>
      </c>
      <c r="E623" s="126">
        <v>1</v>
      </c>
      <c r="F623" s="127" t="s">
        <v>197</v>
      </c>
      <c r="G623" s="127" t="s">
        <v>198</v>
      </c>
      <c r="H623" s="126"/>
      <c r="I623" s="127">
        <v>0</v>
      </c>
      <c r="J623" s="127" t="s">
        <v>2306</v>
      </c>
      <c r="K623" s="127" t="s">
        <v>875</v>
      </c>
      <c r="L623" s="127">
        <v>90</v>
      </c>
      <c r="M623" s="127"/>
      <c r="N623" s="126" t="str">
        <f t="shared" si="35"/>
        <v>Electric(Attack, 90)</v>
      </c>
      <c r="O623" s="126">
        <v>0</v>
      </c>
      <c r="P623" s="126">
        <v>1000</v>
      </c>
      <c r="Q623" s="126"/>
      <c r="R623" s="126" t="b">
        <v>1</v>
      </c>
    </row>
    <row r="624" spans="1:18" s="73" customFormat="1">
      <c r="A624" s="126" t="s">
        <v>1643</v>
      </c>
      <c r="B624" s="126"/>
      <c r="C624" s="126"/>
      <c r="D624" s="126">
        <v>0</v>
      </c>
      <c r="E624" s="126">
        <v>1</v>
      </c>
      <c r="F624" s="127" t="s">
        <v>197</v>
      </c>
      <c r="G624" s="127" t="s">
        <v>198</v>
      </c>
      <c r="H624" s="126"/>
      <c r="I624" s="127">
        <v>0</v>
      </c>
      <c r="J624" s="127" t="s">
        <v>2306</v>
      </c>
      <c r="K624" s="127" t="s">
        <v>875</v>
      </c>
      <c r="L624" s="127">
        <v>120</v>
      </c>
      <c r="M624" s="127"/>
      <c r="N624" s="126" t="str">
        <f t="shared" si="35"/>
        <v>Electric(Attack, 120)</v>
      </c>
      <c r="O624" s="126">
        <v>0</v>
      </c>
      <c r="P624" s="126">
        <v>1000</v>
      </c>
      <c r="Q624" s="126"/>
      <c r="R624" s="126" t="b">
        <v>1</v>
      </c>
    </row>
    <row r="625" spans="1:18" s="73" customFormat="1">
      <c r="A625" s="126" t="s">
        <v>1644</v>
      </c>
      <c r="B625" s="126"/>
      <c r="C625" s="126"/>
      <c r="D625" s="126">
        <v>0</v>
      </c>
      <c r="E625" s="126">
        <v>1</v>
      </c>
      <c r="F625" s="127" t="s">
        <v>197</v>
      </c>
      <c r="G625" s="127" t="s">
        <v>198</v>
      </c>
      <c r="H625" s="126"/>
      <c r="I625" s="127">
        <v>0</v>
      </c>
      <c r="J625" s="127" t="s">
        <v>2306</v>
      </c>
      <c r="K625" s="127" t="s">
        <v>875</v>
      </c>
      <c r="L625" s="127">
        <v>150</v>
      </c>
      <c r="M625" s="127"/>
      <c r="N625" s="126" t="str">
        <f t="shared" si="35"/>
        <v>Electric(Attack, 150)</v>
      </c>
      <c r="O625" s="126">
        <v>0</v>
      </c>
      <c r="P625" s="126">
        <v>1000</v>
      </c>
      <c r="Q625" s="126"/>
      <c r="R625" s="126" t="b">
        <v>1</v>
      </c>
    </row>
    <row r="626" spans="1:18" s="73" customFormat="1">
      <c r="A626" s="126" t="s">
        <v>1645</v>
      </c>
      <c r="B626" s="126"/>
      <c r="C626" s="126"/>
      <c r="D626" s="126">
        <v>0</v>
      </c>
      <c r="E626" s="126">
        <v>1</v>
      </c>
      <c r="F626" s="127" t="s">
        <v>197</v>
      </c>
      <c r="G626" s="127" t="s">
        <v>198</v>
      </c>
      <c r="H626" s="126"/>
      <c r="I626" s="127">
        <v>0</v>
      </c>
      <c r="J626" s="127" t="s">
        <v>2306</v>
      </c>
      <c r="K626" s="127" t="s">
        <v>875</v>
      </c>
      <c r="L626" s="127">
        <v>180</v>
      </c>
      <c r="M626" s="127"/>
      <c r="N626" s="126" t="str">
        <f t="shared" si="35"/>
        <v>Electric(Attack, 180)</v>
      </c>
      <c r="O626" s="126">
        <v>0</v>
      </c>
      <c r="P626" s="126">
        <v>1000</v>
      </c>
      <c r="Q626" s="126"/>
      <c r="R626" s="126" t="b">
        <v>1</v>
      </c>
    </row>
    <row r="627" spans="1:18" s="73" customFormat="1">
      <c r="A627" s="126" t="s">
        <v>5872</v>
      </c>
      <c r="B627" s="126"/>
      <c r="C627" s="126"/>
      <c r="D627" s="126">
        <v>0</v>
      </c>
      <c r="E627" s="126">
        <v>1</v>
      </c>
      <c r="F627" s="127" t="s">
        <v>197</v>
      </c>
      <c r="G627" s="127" t="s">
        <v>198</v>
      </c>
      <c r="H627" s="126"/>
      <c r="I627" s="127">
        <v>0</v>
      </c>
      <c r="J627" s="127" t="s">
        <v>2306</v>
      </c>
      <c r="K627" s="127" t="s">
        <v>875</v>
      </c>
      <c r="L627" s="127">
        <v>210</v>
      </c>
      <c r="M627" s="127"/>
      <c r="N627" s="126" t="str">
        <f t="shared" ref="N627:N631" si="44">J627&amp;"("&amp;IF(K627="","",K627)&amp;IF(L627="","",", "&amp;L627)&amp;IF(M627="","",", "&amp;M627)&amp;")"</f>
        <v>Electric(Attack, 210)</v>
      </c>
      <c r="O627" s="126">
        <v>0</v>
      </c>
      <c r="P627" s="126">
        <v>1000</v>
      </c>
      <c r="Q627" s="126"/>
      <c r="R627" s="126" t="b">
        <v>1</v>
      </c>
    </row>
    <row r="628" spans="1:18" s="73" customFormat="1">
      <c r="A628" s="126" t="s">
        <v>5873</v>
      </c>
      <c r="B628" s="126"/>
      <c r="C628" s="126"/>
      <c r="D628" s="126">
        <v>0</v>
      </c>
      <c r="E628" s="126">
        <v>1</v>
      </c>
      <c r="F628" s="127" t="s">
        <v>197</v>
      </c>
      <c r="G628" s="127" t="s">
        <v>198</v>
      </c>
      <c r="H628" s="126"/>
      <c r="I628" s="127">
        <v>0</v>
      </c>
      <c r="J628" s="127" t="s">
        <v>2306</v>
      </c>
      <c r="K628" s="127" t="s">
        <v>875</v>
      </c>
      <c r="L628" s="127">
        <v>240</v>
      </c>
      <c r="M628" s="127"/>
      <c r="N628" s="126" t="str">
        <f t="shared" si="44"/>
        <v>Electric(Attack, 240)</v>
      </c>
      <c r="O628" s="126">
        <v>0</v>
      </c>
      <c r="P628" s="126">
        <v>1000</v>
      </c>
      <c r="Q628" s="126"/>
      <c r="R628" s="126" t="b">
        <v>1</v>
      </c>
    </row>
    <row r="629" spans="1:18" s="73" customFormat="1">
      <c r="A629" s="126" t="s">
        <v>5874</v>
      </c>
      <c r="B629" s="126"/>
      <c r="C629" s="126"/>
      <c r="D629" s="126">
        <v>0</v>
      </c>
      <c r="E629" s="126">
        <v>1</v>
      </c>
      <c r="F629" s="127" t="s">
        <v>197</v>
      </c>
      <c r="G629" s="127" t="s">
        <v>198</v>
      </c>
      <c r="H629" s="126"/>
      <c r="I629" s="127">
        <v>0</v>
      </c>
      <c r="J629" s="127" t="s">
        <v>2306</v>
      </c>
      <c r="K629" s="127" t="s">
        <v>875</v>
      </c>
      <c r="L629" s="127">
        <v>270</v>
      </c>
      <c r="M629" s="127"/>
      <c r="N629" s="126" t="str">
        <f t="shared" si="44"/>
        <v>Electric(Attack, 270)</v>
      </c>
      <c r="O629" s="126">
        <v>0</v>
      </c>
      <c r="P629" s="126">
        <v>1000</v>
      </c>
      <c r="Q629" s="126"/>
      <c r="R629" s="126" t="b">
        <v>1</v>
      </c>
    </row>
    <row r="630" spans="1:18" s="73" customFormat="1">
      <c r="A630" s="126" t="s">
        <v>5875</v>
      </c>
      <c r="B630" s="126"/>
      <c r="C630" s="126"/>
      <c r="D630" s="126">
        <v>0</v>
      </c>
      <c r="E630" s="126">
        <v>1</v>
      </c>
      <c r="F630" s="127" t="s">
        <v>197</v>
      </c>
      <c r="G630" s="127" t="s">
        <v>198</v>
      </c>
      <c r="H630" s="126"/>
      <c r="I630" s="127">
        <v>0</v>
      </c>
      <c r="J630" s="127" t="s">
        <v>2306</v>
      </c>
      <c r="K630" s="127" t="s">
        <v>875</v>
      </c>
      <c r="L630" s="127">
        <v>300</v>
      </c>
      <c r="M630" s="127"/>
      <c r="N630" s="126" t="str">
        <f t="shared" si="44"/>
        <v>Electric(Attack, 300)</v>
      </c>
      <c r="O630" s="126">
        <v>0</v>
      </c>
      <c r="P630" s="126">
        <v>1000</v>
      </c>
      <c r="Q630" s="126"/>
      <c r="R630" s="126" t="b">
        <v>1</v>
      </c>
    </row>
    <row r="631" spans="1:18" s="73" customFormat="1">
      <c r="A631" s="126" t="s">
        <v>5876</v>
      </c>
      <c r="B631" s="126"/>
      <c r="C631" s="126"/>
      <c r="D631" s="126">
        <v>0</v>
      </c>
      <c r="E631" s="126">
        <v>1</v>
      </c>
      <c r="F631" s="127" t="s">
        <v>197</v>
      </c>
      <c r="G631" s="127" t="s">
        <v>198</v>
      </c>
      <c r="H631" s="126"/>
      <c r="I631" s="127">
        <v>0</v>
      </c>
      <c r="J631" s="127" t="s">
        <v>2306</v>
      </c>
      <c r="K631" s="127" t="s">
        <v>875</v>
      </c>
      <c r="L631" s="127">
        <v>330</v>
      </c>
      <c r="M631" s="127"/>
      <c r="N631" s="126" t="str">
        <f t="shared" si="44"/>
        <v>Electric(Attack, 330)</v>
      </c>
      <c r="O631" s="126">
        <v>0</v>
      </c>
      <c r="P631" s="126">
        <v>1000</v>
      </c>
      <c r="Q631" s="126"/>
      <c r="R631" s="126" t="b">
        <v>1</v>
      </c>
    </row>
    <row r="632" spans="1:18" s="73" customFormat="1">
      <c r="A632" s="126" t="s">
        <v>5814</v>
      </c>
      <c r="B632" s="126"/>
      <c r="C632" s="126"/>
      <c r="D632" s="126">
        <v>0</v>
      </c>
      <c r="E632" s="126">
        <v>1</v>
      </c>
      <c r="F632" s="127" t="s">
        <v>197</v>
      </c>
      <c r="G632" s="127" t="s">
        <v>198</v>
      </c>
      <c r="H632" s="126"/>
      <c r="I632" s="127">
        <v>0</v>
      </c>
      <c r="J632" s="127" t="s">
        <v>1621</v>
      </c>
      <c r="K632" s="127" t="s">
        <v>925</v>
      </c>
      <c r="L632" s="127">
        <v>-30</v>
      </c>
      <c r="M632" s="127"/>
      <c r="N632" s="126" t="str">
        <f t="shared" ref="N632:N636" si="45">J632&amp;"("&amp;IF(K632="","",K632)&amp;IF(L632="","",", "&amp;L632)&amp;IF(M632="","",", "&amp;M632)&amp;")"</f>
        <v>StatusDistict(AddEnergyRate, -30)</v>
      </c>
      <c r="O632" s="126">
        <v>0</v>
      </c>
      <c r="P632" s="126">
        <v>1000</v>
      </c>
      <c r="Q632" s="126"/>
      <c r="R632" s="126" t="b">
        <v>1</v>
      </c>
    </row>
    <row r="633" spans="1:18" s="73" customFormat="1">
      <c r="A633" s="126" t="s">
        <v>5809</v>
      </c>
      <c r="B633" s="126"/>
      <c r="C633" s="126"/>
      <c r="D633" s="126">
        <v>0</v>
      </c>
      <c r="E633" s="126">
        <v>1</v>
      </c>
      <c r="F633" s="127" t="s">
        <v>197</v>
      </c>
      <c r="G633" s="127" t="s">
        <v>198</v>
      </c>
      <c r="H633" s="126"/>
      <c r="I633" s="127">
        <v>0</v>
      </c>
      <c r="J633" s="127" t="s">
        <v>1621</v>
      </c>
      <c r="K633" s="127" t="s">
        <v>925</v>
      </c>
      <c r="L633" s="127">
        <v>-45</v>
      </c>
      <c r="M633" s="127"/>
      <c r="N633" s="126" t="str">
        <f t="shared" si="45"/>
        <v>StatusDistict(AddEnergyRate, -45)</v>
      </c>
      <c r="O633" s="126">
        <v>0</v>
      </c>
      <c r="P633" s="126">
        <v>1000</v>
      </c>
      <c r="Q633" s="126"/>
      <c r="R633" s="126" t="b">
        <v>1</v>
      </c>
    </row>
    <row r="634" spans="1:18" s="73" customFormat="1">
      <c r="A634" s="126" t="s">
        <v>5810</v>
      </c>
      <c r="B634" s="126"/>
      <c r="C634" s="126"/>
      <c r="D634" s="126">
        <v>0</v>
      </c>
      <c r="E634" s="126">
        <v>1</v>
      </c>
      <c r="F634" s="127" t="s">
        <v>197</v>
      </c>
      <c r="G634" s="127" t="s">
        <v>198</v>
      </c>
      <c r="H634" s="126"/>
      <c r="I634" s="127">
        <v>0</v>
      </c>
      <c r="J634" s="127" t="s">
        <v>1621</v>
      </c>
      <c r="K634" s="127" t="s">
        <v>925</v>
      </c>
      <c r="L634" s="127">
        <v>-60</v>
      </c>
      <c r="M634" s="127"/>
      <c r="N634" s="126" t="str">
        <f t="shared" si="45"/>
        <v>StatusDistict(AddEnergyRate, -60)</v>
      </c>
      <c r="O634" s="126">
        <v>0</v>
      </c>
      <c r="P634" s="126">
        <v>1000</v>
      </c>
      <c r="Q634" s="126"/>
      <c r="R634" s="126" t="b">
        <v>1</v>
      </c>
    </row>
    <row r="635" spans="1:18" s="73" customFormat="1">
      <c r="A635" s="126" t="s">
        <v>5811</v>
      </c>
      <c r="B635" s="126"/>
      <c r="C635" s="126"/>
      <c r="D635" s="126">
        <v>0</v>
      </c>
      <c r="E635" s="126">
        <v>1</v>
      </c>
      <c r="F635" s="127" t="s">
        <v>197</v>
      </c>
      <c r="G635" s="127" t="s">
        <v>198</v>
      </c>
      <c r="H635" s="126"/>
      <c r="I635" s="127">
        <v>0</v>
      </c>
      <c r="J635" s="127" t="s">
        <v>1621</v>
      </c>
      <c r="K635" s="127" t="s">
        <v>925</v>
      </c>
      <c r="L635" s="127">
        <v>-75</v>
      </c>
      <c r="M635" s="127"/>
      <c r="N635" s="126" t="str">
        <f t="shared" si="45"/>
        <v>StatusDistict(AddEnergyRate, -75)</v>
      </c>
      <c r="O635" s="126">
        <v>0</v>
      </c>
      <c r="P635" s="126">
        <v>1000</v>
      </c>
      <c r="Q635" s="126"/>
      <c r="R635" s="126" t="b">
        <v>1</v>
      </c>
    </row>
    <row r="636" spans="1:18" s="73" customFormat="1">
      <c r="A636" s="126" t="s">
        <v>5812</v>
      </c>
      <c r="B636" s="126"/>
      <c r="C636" s="126"/>
      <c r="D636" s="126">
        <v>0</v>
      </c>
      <c r="E636" s="126">
        <v>1</v>
      </c>
      <c r="F636" s="127" t="s">
        <v>197</v>
      </c>
      <c r="G636" s="127" t="s">
        <v>198</v>
      </c>
      <c r="H636" s="126"/>
      <c r="I636" s="127">
        <v>0</v>
      </c>
      <c r="J636" s="127" t="s">
        <v>1621</v>
      </c>
      <c r="K636" s="127" t="s">
        <v>925</v>
      </c>
      <c r="L636" s="127">
        <v>-90</v>
      </c>
      <c r="M636" s="127"/>
      <c r="N636" s="126" t="str">
        <f t="shared" si="45"/>
        <v>StatusDistict(AddEnergyRate, -90)</v>
      </c>
      <c r="O636" s="126">
        <v>0</v>
      </c>
      <c r="P636" s="126">
        <v>1000</v>
      </c>
      <c r="Q636" s="126"/>
      <c r="R636" s="126" t="b">
        <v>1</v>
      </c>
    </row>
    <row r="637" spans="1:18" s="73" customFormat="1">
      <c r="A637" s="126" t="s">
        <v>5877</v>
      </c>
      <c r="B637" s="126"/>
      <c r="C637" s="126"/>
      <c r="D637" s="126">
        <v>0</v>
      </c>
      <c r="E637" s="126">
        <v>1</v>
      </c>
      <c r="F637" s="127" t="s">
        <v>197</v>
      </c>
      <c r="G637" s="127" t="s">
        <v>198</v>
      </c>
      <c r="H637" s="126"/>
      <c r="I637" s="127">
        <v>0</v>
      </c>
      <c r="J637" s="127" t="s">
        <v>1621</v>
      </c>
      <c r="K637" s="127" t="s">
        <v>925</v>
      </c>
      <c r="L637" s="127">
        <v>-105</v>
      </c>
      <c r="M637" s="127"/>
      <c r="N637" s="126" t="str">
        <f t="shared" ref="N637:N641" si="46">J637&amp;"("&amp;IF(K637="","",K637)&amp;IF(L637="","",", "&amp;L637)&amp;IF(M637="","",", "&amp;M637)&amp;")"</f>
        <v>StatusDistict(AddEnergyRate, -105)</v>
      </c>
      <c r="O637" s="126">
        <v>0</v>
      </c>
      <c r="P637" s="126">
        <v>1000</v>
      </c>
      <c r="Q637" s="126"/>
      <c r="R637" s="126" t="b">
        <v>1</v>
      </c>
    </row>
    <row r="638" spans="1:18" s="73" customFormat="1">
      <c r="A638" s="126" t="s">
        <v>5878</v>
      </c>
      <c r="B638" s="126"/>
      <c r="C638" s="126"/>
      <c r="D638" s="126">
        <v>0</v>
      </c>
      <c r="E638" s="126">
        <v>1</v>
      </c>
      <c r="F638" s="127" t="s">
        <v>197</v>
      </c>
      <c r="G638" s="127" t="s">
        <v>198</v>
      </c>
      <c r="H638" s="126"/>
      <c r="I638" s="127">
        <v>0</v>
      </c>
      <c r="J638" s="127" t="s">
        <v>1621</v>
      </c>
      <c r="K638" s="127" t="s">
        <v>925</v>
      </c>
      <c r="L638" s="127">
        <v>-120</v>
      </c>
      <c r="M638" s="127"/>
      <c r="N638" s="126" t="str">
        <f t="shared" si="46"/>
        <v>StatusDistict(AddEnergyRate, -120)</v>
      </c>
      <c r="O638" s="126">
        <v>0</v>
      </c>
      <c r="P638" s="126">
        <v>1000</v>
      </c>
      <c r="Q638" s="126"/>
      <c r="R638" s="126" t="b">
        <v>1</v>
      </c>
    </row>
    <row r="639" spans="1:18" s="73" customFormat="1">
      <c r="A639" s="126" t="s">
        <v>5879</v>
      </c>
      <c r="B639" s="126"/>
      <c r="C639" s="126"/>
      <c r="D639" s="126">
        <v>0</v>
      </c>
      <c r="E639" s="126">
        <v>1</v>
      </c>
      <c r="F639" s="127" t="s">
        <v>197</v>
      </c>
      <c r="G639" s="127" t="s">
        <v>198</v>
      </c>
      <c r="H639" s="126"/>
      <c r="I639" s="127">
        <v>0</v>
      </c>
      <c r="J639" s="127" t="s">
        <v>1621</v>
      </c>
      <c r="K639" s="127" t="s">
        <v>925</v>
      </c>
      <c r="L639" s="127">
        <v>-135</v>
      </c>
      <c r="M639" s="127"/>
      <c r="N639" s="126" t="str">
        <f t="shared" si="46"/>
        <v>StatusDistict(AddEnergyRate, -135)</v>
      </c>
      <c r="O639" s="126">
        <v>0</v>
      </c>
      <c r="P639" s="126">
        <v>1000</v>
      </c>
      <c r="Q639" s="126"/>
      <c r="R639" s="126" t="b">
        <v>1</v>
      </c>
    </row>
    <row r="640" spans="1:18" s="73" customFormat="1">
      <c r="A640" s="126" t="s">
        <v>5880</v>
      </c>
      <c r="B640" s="126"/>
      <c r="C640" s="126"/>
      <c r="D640" s="126">
        <v>0</v>
      </c>
      <c r="E640" s="126">
        <v>1</v>
      </c>
      <c r="F640" s="127" t="s">
        <v>197</v>
      </c>
      <c r="G640" s="127" t="s">
        <v>198</v>
      </c>
      <c r="H640" s="126"/>
      <c r="I640" s="127">
        <v>0</v>
      </c>
      <c r="J640" s="127" t="s">
        <v>1621</v>
      </c>
      <c r="K640" s="127" t="s">
        <v>925</v>
      </c>
      <c r="L640" s="127">
        <v>-150</v>
      </c>
      <c r="M640" s="127"/>
      <c r="N640" s="126" t="str">
        <f t="shared" si="46"/>
        <v>StatusDistict(AddEnergyRate, -150)</v>
      </c>
      <c r="O640" s="126">
        <v>0</v>
      </c>
      <c r="P640" s="126">
        <v>1000</v>
      </c>
      <c r="Q640" s="126"/>
      <c r="R640" s="126" t="b">
        <v>1</v>
      </c>
    </row>
    <row r="641" spans="1:18" s="73" customFormat="1">
      <c r="A641" s="126" t="s">
        <v>5881</v>
      </c>
      <c r="B641" s="126"/>
      <c r="C641" s="126"/>
      <c r="D641" s="126">
        <v>0</v>
      </c>
      <c r="E641" s="126">
        <v>1</v>
      </c>
      <c r="F641" s="127" t="s">
        <v>197</v>
      </c>
      <c r="G641" s="127" t="s">
        <v>198</v>
      </c>
      <c r="H641" s="126"/>
      <c r="I641" s="127">
        <v>0</v>
      </c>
      <c r="J641" s="127" t="s">
        <v>1621</v>
      </c>
      <c r="K641" s="127" t="s">
        <v>925</v>
      </c>
      <c r="L641" s="127">
        <v>-165</v>
      </c>
      <c r="M641" s="127"/>
      <c r="N641" s="126" t="str">
        <f t="shared" si="46"/>
        <v>StatusDistict(AddEnergyRate, -165)</v>
      </c>
      <c r="O641" s="126">
        <v>0</v>
      </c>
      <c r="P641" s="126">
        <v>1000</v>
      </c>
      <c r="Q641" s="126"/>
      <c r="R641" s="126" t="b">
        <v>1</v>
      </c>
    </row>
  </sheetData>
  <phoneticPr fontId="3" type="noConversion"/>
  <conditionalFormatting sqref="A1:XFD1048576">
    <cfRule type="cellIs" dxfId="531" priority="251" operator="equal">
      <formula>TRUE</formula>
    </cfRule>
    <cfRule type="cellIs" dxfId="530" priority="252" operator="equal">
      <formula>FALSE</formula>
    </cfRule>
    <cfRule type="cellIs" dxfId="529" priority="253" operator="equal">
      <formula>"Single"</formula>
    </cfRule>
    <cfRule type="cellIs" dxfId="528" priority="254" operator="equal">
      <formula>"Self"</formula>
    </cfRule>
    <cfRule type="cellIs" dxfId="527" priority="255" operator="equal">
      <formula>0</formula>
    </cfRule>
  </conditionalFormatting>
  <conditionalFormatting sqref="E1:E1048576">
    <cfRule type="cellIs" dxfId="526" priority="7" operator="equal">
      <formula>1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470"/>
  <sheetViews>
    <sheetView zoomScale="85" zoomScaleNormal="85" workbookViewId="0">
      <pane xSplit="1" ySplit="4" topLeftCell="B100" activePane="bottomRight" state="frozen"/>
      <selection pane="topRight" activeCell="B1" sqref="B1"/>
      <selection pane="bottomLeft" activeCell="A5" sqref="A5"/>
      <selection pane="bottomRight" activeCell="A110" sqref="A110"/>
    </sheetView>
  </sheetViews>
  <sheetFormatPr defaultRowHeight="16.5"/>
  <cols>
    <col min="1" max="1" width="43.25" bestFit="1" customWidth="1"/>
    <col min="2" max="2" width="16.625" bestFit="1" customWidth="1"/>
    <col min="3" max="3" width="30.375" bestFit="1" customWidth="1"/>
    <col min="4" max="4" width="10.125" bestFit="1" customWidth="1"/>
    <col min="5" max="5" width="9.625" bestFit="1" customWidth="1"/>
    <col min="6" max="6" width="9.5" bestFit="1" customWidth="1"/>
    <col min="7" max="7" width="51.875" bestFit="1" customWidth="1"/>
    <col min="8" max="8" width="12.25" bestFit="1" customWidth="1"/>
    <col min="9" max="9" width="12.125" bestFit="1" customWidth="1"/>
    <col min="10" max="10" width="13" bestFit="1" customWidth="1"/>
    <col min="11" max="11" width="9" bestFit="1" customWidth="1"/>
    <col min="12" max="12" width="62.125" bestFit="1" customWidth="1"/>
    <col min="13" max="13" width="27.25" bestFit="1" customWidth="1"/>
    <col min="14" max="14" width="29.125" bestFit="1" customWidth="1"/>
    <col min="15" max="15" width="28.375" bestFit="1" customWidth="1"/>
    <col min="16" max="16" width="32" bestFit="1" customWidth="1"/>
    <col min="17" max="17" width="13" bestFit="1" customWidth="1"/>
    <col min="18" max="18" width="9" bestFit="1" customWidth="1"/>
  </cols>
  <sheetData>
    <row r="1" spans="1:18" ht="33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5458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2" t="s">
        <v>23</v>
      </c>
      <c r="H2" s="5" t="s">
        <v>24</v>
      </c>
      <c r="I2" s="5" t="s">
        <v>25</v>
      </c>
      <c r="J2" s="1" t="s">
        <v>26</v>
      </c>
      <c r="K2" s="1" t="s">
        <v>27</v>
      </c>
      <c r="L2" s="1" t="s">
        <v>28</v>
      </c>
      <c r="M2" s="1" t="s">
        <v>5459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4" t="s">
        <v>37</v>
      </c>
      <c r="F3" s="4" t="s">
        <v>37</v>
      </c>
      <c r="G3" s="2" t="s">
        <v>38</v>
      </c>
      <c r="H3" s="5" t="s">
        <v>39</v>
      </c>
      <c r="I3" s="5" t="s">
        <v>40</v>
      </c>
      <c r="J3" s="1" t="s">
        <v>40</v>
      </c>
      <c r="K3" s="1" t="s">
        <v>40</v>
      </c>
      <c r="L3" s="1" t="s">
        <v>41</v>
      </c>
      <c r="M3" s="1" t="s">
        <v>5459</v>
      </c>
      <c r="N3" s="1" t="s">
        <v>36</v>
      </c>
      <c r="O3" s="1" t="s">
        <v>36</v>
      </c>
      <c r="P3" s="1" t="s">
        <v>36</v>
      </c>
      <c r="Q3" s="1" t="s">
        <v>40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4" t="s">
        <v>42</v>
      </c>
      <c r="F4" s="4" t="s">
        <v>42</v>
      </c>
      <c r="G4" s="2" t="s">
        <v>42</v>
      </c>
      <c r="H4" s="5" t="s">
        <v>42</v>
      </c>
      <c r="I4" s="5" t="s">
        <v>42</v>
      </c>
      <c r="J4" s="1" t="s">
        <v>42</v>
      </c>
      <c r="K4" s="1" t="s">
        <v>42</v>
      </c>
      <c r="L4" s="1" t="s">
        <v>43</v>
      </c>
      <c r="M4" s="1" t="s">
        <v>5460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42</v>
      </c>
    </row>
    <row r="5" spans="1:18" s="179" customFormat="1">
      <c r="A5" s="60" t="s">
        <v>6371</v>
      </c>
      <c r="B5" s="60"/>
      <c r="C5" s="60"/>
      <c r="D5" s="60">
        <v>2000</v>
      </c>
      <c r="E5" s="60">
        <v>0</v>
      </c>
      <c r="F5" s="60">
        <v>0</v>
      </c>
      <c r="G5" s="60" t="s">
        <v>6378</v>
      </c>
      <c r="H5" s="60"/>
      <c r="I5" s="177" t="b">
        <v>0</v>
      </c>
      <c r="J5" s="177" t="b">
        <v>1</v>
      </c>
      <c r="K5" s="177" t="b">
        <v>1</v>
      </c>
      <c r="L5" s="60" t="s">
        <v>317</v>
      </c>
      <c r="M5" s="60" t="s">
        <v>5461</v>
      </c>
      <c r="N5" s="60" t="str">
        <f>_xlfn.IFNA(VLOOKUP($M5,Buff.CM!$A:$O,13,FALSE),"")</f>
        <v>icon_battle_shield</v>
      </c>
      <c r="O5" s="60" t="str">
        <f>_xlfn.IFNA(VLOOKUP($M5,Buff.CM!$A:$O,14,FALSE),"")</f>
        <v>Buff.Name.Shield</v>
      </c>
      <c r="P5" s="60" t="str">
        <f>_xlfn.IFNA(VLOOKUP($M5,Buff.CM!$A:$O,15,FALSE),"")</f>
        <v>Buff.Desc.Shield</v>
      </c>
      <c r="Q5" s="178" t="b">
        <v>0</v>
      </c>
      <c r="R5" s="177" t="b">
        <v>0</v>
      </c>
    </row>
    <row r="6" spans="1:18" s="179" customFormat="1">
      <c r="A6" s="60" t="s">
        <v>6372</v>
      </c>
      <c r="B6" s="60"/>
      <c r="C6" s="60"/>
      <c r="D6" s="60">
        <v>2000</v>
      </c>
      <c r="E6" s="60">
        <v>0</v>
      </c>
      <c r="F6" s="60">
        <v>0</v>
      </c>
      <c r="G6" s="60" t="s">
        <v>6379</v>
      </c>
      <c r="H6" s="60"/>
      <c r="I6" s="177" t="b">
        <v>0</v>
      </c>
      <c r="J6" s="177" t="b">
        <v>1</v>
      </c>
      <c r="K6" s="177" t="b">
        <v>1</v>
      </c>
      <c r="L6" s="60" t="s">
        <v>317</v>
      </c>
      <c r="M6" s="60" t="s">
        <v>5461</v>
      </c>
      <c r="N6" s="60" t="str">
        <f>_xlfn.IFNA(VLOOKUP($M6,Buff.CM!$A:$O,13,FALSE),"")</f>
        <v>icon_battle_shield</v>
      </c>
      <c r="O6" s="60" t="str">
        <f>_xlfn.IFNA(VLOOKUP($M6,Buff.CM!$A:$O,14,FALSE),"")</f>
        <v>Buff.Name.Shield</v>
      </c>
      <c r="P6" s="60" t="str">
        <f>_xlfn.IFNA(VLOOKUP($M6,Buff.CM!$A:$O,15,FALSE),"")</f>
        <v>Buff.Desc.Shield</v>
      </c>
      <c r="Q6" s="178" t="b">
        <v>0</v>
      </c>
      <c r="R6" s="177" t="b">
        <v>0</v>
      </c>
    </row>
    <row r="7" spans="1:18" s="179" customFormat="1">
      <c r="A7" s="60" t="s">
        <v>6373</v>
      </c>
      <c r="B7" s="60"/>
      <c r="C7" s="60"/>
      <c r="D7" s="60">
        <v>2000</v>
      </c>
      <c r="E7" s="60">
        <v>0</v>
      </c>
      <c r="F7" s="60">
        <v>0</v>
      </c>
      <c r="G7" s="60" t="s">
        <v>6380</v>
      </c>
      <c r="H7" s="60"/>
      <c r="I7" s="177" t="b">
        <v>0</v>
      </c>
      <c r="J7" s="177" t="b">
        <v>1</v>
      </c>
      <c r="K7" s="177" t="b">
        <v>1</v>
      </c>
      <c r="L7" s="60" t="s">
        <v>317</v>
      </c>
      <c r="M7" s="60" t="s">
        <v>5461</v>
      </c>
      <c r="N7" s="60" t="str">
        <f>_xlfn.IFNA(VLOOKUP($M7,Buff.CM!$A:$O,13,FALSE),"")</f>
        <v>icon_battle_shield</v>
      </c>
      <c r="O7" s="60" t="str">
        <f>_xlfn.IFNA(VLOOKUP($M7,Buff.CM!$A:$O,14,FALSE),"")</f>
        <v>Buff.Name.Shield</v>
      </c>
      <c r="P7" s="60" t="str">
        <f>_xlfn.IFNA(VLOOKUP($M7,Buff.CM!$A:$O,15,FALSE),"")</f>
        <v>Buff.Desc.Shield</v>
      </c>
      <c r="Q7" s="178" t="b">
        <v>0</v>
      </c>
      <c r="R7" s="177" t="b">
        <v>0</v>
      </c>
    </row>
    <row r="8" spans="1:18" s="179" customFormat="1">
      <c r="A8" s="60" t="s">
        <v>6374</v>
      </c>
      <c r="B8" s="60"/>
      <c r="C8" s="60"/>
      <c r="D8" s="60">
        <v>2000</v>
      </c>
      <c r="E8" s="60">
        <v>0</v>
      </c>
      <c r="F8" s="60">
        <v>0</v>
      </c>
      <c r="G8" s="60" t="s">
        <v>6381</v>
      </c>
      <c r="H8" s="60"/>
      <c r="I8" s="177" t="b">
        <v>0</v>
      </c>
      <c r="J8" s="177" t="b">
        <v>1</v>
      </c>
      <c r="K8" s="177" t="b">
        <v>1</v>
      </c>
      <c r="L8" s="60" t="s">
        <v>317</v>
      </c>
      <c r="M8" s="60" t="s">
        <v>5461</v>
      </c>
      <c r="N8" s="60" t="str">
        <f>_xlfn.IFNA(VLOOKUP($M8,Buff.CM!$A:$O,13,FALSE),"")</f>
        <v>icon_battle_shield</v>
      </c>
      <c r="O8" s="60" t="str">
        <f>_xlfn.IFNA(VLOOKUP($M8,Buff.CM!$A:$O,14,FALSE),"")</f>
        <v>Buff.Name.Shield</v>
      </c>
      <c r="P8" s="60" t="str">
        <f>_xlfn.IFNA(VLOOKUP($M8,Buff.CM!$A:$O,15,FALSE),"")</f>
        <v>Buff.Desc.Shield</v>
      </c>
      <c r="Q8" s="178" t="b">
        <v>0</v>
      </c>
      <c r="R8" s="177" t="b">
        <v>0</v>
      </c>
    </row>
    <row r="9" spans="1:18" s="179" customFormat="1">
      <c r="A9" s="60" t="s">
        <v>6375</v>
      </c>
      <c r="B9" s="60"/>
      <c r="C9" s="60"/>
      <c r="D9" s="60">
        <v>2000</v>
      </c>
      <c r="E9" s="60">
        <v>0</v>
      </c>
      <c r="F9" s="60">
        <v>0</v>
      </c>
      <c r="G9" s="60" t="s">
        <v>6382</v>
      </c>
      <c r="H9" s="60"/>
      <c r="I9" s="177" t="b">
        <v>0</v>
      </c>
      <c r="J9" s="177" t="b">
        <v>1</v>
      </c>
      <c r="K9" s="177" t="b">
        <v>1</v>
      </c>
      <c r="L9" s="60" t="s">
        <v>317</v>
      </c>
      <c r="M9" s="60" t="s">
        <v>5461</v>
      </c>
      <c r="N9" s="60" t="str">
        <f>_xlfn.IFNA(VLOOKUP($M9,Buff.CM!$A:$O,13,FALSE),"")</f>
        <v>icon_battle_shield</v>
      </c>
      <c r="O9" s="60" t="str">
        <f>_xlfn.IFNA(VLOOKUP($M9,Buff.CM!$A:$O,14,FALSE),"")</f>
        <v>Buff.Name.Shield</v>
      </c>
      <c r="P9" s="60" t="str">
        <f>_xlfn.IFNA(VLOOKUP($M9,Buff.CM!$A:$O,15,FALSE),"")</f>
        <v>Buff.Desc.Shield</v>
      </c>
      <c r="Q9" s="178" t="b">
        <v>0</v>
      </c>
      <c r="R9" s="177" t="b">
        <v>0</v>
      </c>
    </row>
    <row r="10" spans="1:18" s="179" customFormat="1">
      <c r="A10" s="60" t="s">
        <v>6376</v>
      </c>
      <c r="B10" s="60"/>
      <c r="C10" s="60"/>
      <c r="D10" s="60">
        <v>2000</v>
      </c>
      <c r="E10" s="60">
        <v>0</v>
      </c>
      <c r="F10" s="60">
        <v>0</v>
      </c>
      <c r="G10" s="60" t="s">
        <v>6383</v>
      </c>
      <c r="H10" s="60"/>
      <c r="I10" s="177" t="b">
        <v>0</v>
      </c>
      <c r="J10" s="177" t="b">
        <v>1</v>
      </c>
      <c r="K10" s="177" t="b">
        <v>1</v>
      </c>
      <c r="L10" s="60" t="s">
        <v>317</v>
      </c>
      <c r="M10" s="60" t="s">
        <v>5461</v>
      </c>
      <c r="N10" s="60" t="str">
        <f>_xlfn.IFNA(VLOOKUP($M10,Buff.CM!$A:$O,13,FALSE),"")</f>
        <v>icon_battle_shield</v>
      </c>
      <c r="O10" s="60" t="str">
        <f>_xlfn.IFNA(VLOOKUP($M10,Buff.CM!$A:$O,14,FALSE),"")</f>
        <v>Buff.Name.Shield</v>
      </c>
      <c r="P10" s="60" t="str">
        <f>_xlfn.IFNA(VLOOKUP($M10,Buff.CM!$A:$O,15,FALSE),"")</f>
        <v>Buff.Desc.Shield</v>
      </c>
      <c r="Q10" s="178" t="b">
        <v>0</v>
      </c>
      <c r="R10" s="177" t="b">
        <v>0</v>
      </c>
    </row>
    <row r="11" spans="1:18" s="179" customFormat="1">
      <c r="A11" s="60" t="s">
        <v>6377</v>
      </c>
      <c r="B11" s="60"/>
      <c r="C11" s="60"/>
      <c r="D11" s="60">
        <v>2000</v>
      </c>
      <c r="E11" s="60">
        <v>0</v>
      </c>
      <c r="F11" s="60">
        <v>0</v>
      </c>
      <c r="G11" s="60" t="s">
        <v>6384</v>
      </c>
      <c r="H11" s="60"/>
      <c r="I11" s="177" t="b">
        <v>0</v>
      </c>
      <c r="J11" s="177" t="b">
        <v>1</v>
      </c>
      <c r="K11" s="177" t="b">
        <v>1</v>
      </c>
      <c r="L11" s="60" t="s">
        <v>317</v>
      </c>
      <c r="M11" s="60" t="s">
        <v>5461</v>
      </c>
      <c r="N11" s="60" t="str">
        <f>_xlfn.IFNA(VLOOKUP($M11,Buff.CM!$A:$O,13,FALSE),"")</f>
        <v>icon_battle_shield</v>
      </c>
      <c r="O11" s="60" t="str">
        <f>_xlfn.IFNA(VLOOKUP($M11,Buff.CM!$A:$O,14,FALSE),"")</f>
        <v>Buff.Name.Shield</v>
      </c>
      <c r="P11" s="60" t="str">
        <f>_xlfn.IFNA(VLOOKUP($M11,Buff.CM!$A:$O,15,FALSE),"")</f>
        <v>Buff.Desc.Shield</v>
      </c>
      <c r="Q11" s="178" t="b">
        <v>0</v>
      </c>
      <c r="R11" s="177" t="b">
        <v>0</v>
      </c>
    </row>
    <row r="12" spans="1:18" s="154" customFormat="1" ht="66">
      <c r="A12" s="71" t="s">
        <v>6194</v>
      </c>
      <c r="B12" s="51"/>
      <c r="C12" s="51"/>
      <c r="D12" s="51">
        <v>0</v>
      </c>
      <c r="E12" s="51">
        <v>0</v>
      </c>
      <c r="F12" s="51">
        <v>0</v>
      </c>
      <c r="G12" s="52" t="s">
        <v>6440</v>
      </c>
      <c r="H12" s="51"/>
      <c r="I12" s="87" t="b">
        <v>1</v>
      </c>
      <c r="J12" s="87" t="b">
        <v>1</v>
      </c>
      <c r="K12" s="87" t="b">
        <v>1</v>
      </c>
      <c r="L12" s="51" t="s">
        <v>6195</v>
      </c>
      <c r="M12" s="51" t="s">
        <v>6553</v>
      </c>
      <c r="N12" s="51" t="str">
        <f>_xlfn.IFNA(VLOOKUP($M12,Buff.CM!$A:$O,13,FALSE),"")</f>
        <v>icon_battle_itus_buff_01</v>
      </c>
      <c r="O12" s="51" t="str">
        <f>_xlfn.IFNA(VLOOKUP($M12,Buff.CM!$A:$O,14,FALSE),"")</f>
        <v>info.itus.buff.ult</v>
      </c>
      <c r="P12" s="51" t="str">
        <f>_xlfn.IFNA(VLOOKUP($M12,Buff.CM!$A:$O,15,FALSE),"")</f>
        <v>Desc.info.itus.buff.ult</v>
      </c>
      <c r="Q12" s="71" t="b">
        <v>0</v>
      </c>
      <c r="R12" s="87" t="b">
        <v>0</v>
      </c>
    </row>
    <row r="13" spans="1:18" s="154" customFormat="1" ht="66">
      <c r="A13" s="71" t="s">
        <v>6196</v>
      </c>
      <c r="B13" s="51"/>
      <c r="C13" s="51"/>
      <c r="D13" s="51">
        <v>0</v>
      </c>
      <c r="E13" s="51">
        <v>0</v>
      </c>
      <c r="F13" s="51">
        <v>0</v>
      </c>
      <c r="G13" s="52" t="s">
        <v>6441</v>
      </c>
      <c r="H13" s="51"/>
      <c r="I13" s="87" t="b">
        <v>1</v>
      </c>
      <c r="J13" s="87" t="b">
        <v>1</v>
      </c>
      <c r="K13" s="87" t="b">
        <v>1</v>
      </c>
      <c r="L13" s="51" t="s">
        <v>1222</v>
      </c>
      <c r="M13" s="51" t="s">
        <v>6553</v>
      </c>
      <c r="N13" s="51" t="str">
        <f>_xlfn.IFNA(VLOOKUP($M13,Buff.CM!$A:$O,13,FALSE),"")</f>
        <v>icon_battle_itus_buff_01</v>
      </c>
      <c r="O13" s="51" t="str">
        <f>_xlfn.IFNA(VLOOKUP($M13,Buff.CM!$A:$O,14,FALSE),"")</f>
        <v>info.itus.buff.ult</v>
      </c>
      <c r="P13" s="51" t="str">
        <f>_xlfn.IFNA(VLOOKUP($M13,Buff.CM!$A:$O,15,FALSE),"")</f>
        <v>Desc.info.itus.buff.ult</v>
      </c>
      <c r="Q13" s="71" t="b">
        <v>0</v>
      </c>
      <c r="R13" s="87" t="b">
        <v>0</v>
      </c>
    </row>
    <row r="14" spans="1:18" s="154" customFormat="1" ht="66">
      <c r="A14" s="71" t="s">
        <v>6197</v>
      </c>
      <c r="B14" s="51"/>
      <c r="C14" s="51"/>
      <c r="D14" s="51">
        <v>0</v>
      </c>
      <c r="E14" s="51">
        <v>0</v>
      </c>
      <c r="F14" s="51">
        <v>0</v>
      </c>
      <c r="G14" s="52" t="s">
        <v>6442</v>
      </c>
      <c r="H14" s="51"/>
      <c r="I14" s="87" t="b">
        <v>1</v>
      </c>
      <c r="J14" s="87" t="b">
        <v>1</v>
      </c>
      <c r="K14" s="87" t="b">
        <v>1</v>
      </c>
      <c r="L14" s="51" t="s">
        <v>1222</v>
      </c>
      <c r="M14" s="51" t="s">
        <v>6553</v>
      </c>
      <c r="N14" s="51" t="str">
        <f>_xlfn.IFNA(VLOOKUP($M14,Buff.CM!$A:$O,13,FALSE),"")</f>
        <v>icon_battle_itus_buff_01</v>
      </c>
      <c r="O14" s="51" t="str">
        <f>_xlfn.IFNA(VLOOKUP($M14,Buff.CM!$A:$O,14,FALSE),"")</f>
        <v>info.itus.buff.ult</v>
      </c>
      <c r="P14" s="51" t="str">
        <f>_xlfn.IFNA(VLOOKUP($M14,Buff.CM!$A:$O,15,FALSE),"")</f>
        <v>Desc.info.itus.buff.ult</v>
      </c>
      <c r="Q14" s="71" t="b">
        <v>0</v>
      </c>
      <c r="R14" s="87" t="b">
        <v>0</v>
      </c>
    </row>
    <row r="15" spans="1:18" s="154" customFormat="1" ht="66">
      <c r="A15" s="71" t="s">
        <v>6198</v>
      </c>
      <c r="B15" s="51"/>
      <c r="C15" s="51"/>
      <c r="D15" s="51">
        <v>0</v>
      </c>
      <c r="E15" s="51">
        <v>0</v>
      </c>
      <c r="F15" s="51">
        <v>0</v>
      </c>
      <c r="G15" s="52" t="s">
        <v>6443</v>
      </c>
      <c r="H15" s="51"/>
      <c r="I15" s="87" t="b">
        <v>1</v>
      </c>
      <c r="J15" s="87" t="b">
        <v>1</v>
      </c>
      <c r="K15" s="87" t="b">
        <v>1</v>
      </c>
      <c r="L15" s="51" t="s">
        <v>1222</v>
      </c>
      <c r="M15" s="51" t="s">
        <v>6553</v>
      </c>
      <c r="N15" s="51" t="str">
        <f>_xlfn.IFNA(VLOOKUP($M15,Buff.CM!$A:$O,13,FALSE),"")</f>
        <v>icon_battle_itus_buff_01</v>
      </c>
      <c r="O15" s="51" t="str">
        <f>_xlfn.IFNA(VLOOKUP($M15,Buff.CM!$A:$O,14,FALSE),"")</f>
        <v>info.itus.buff.ult</v>
      </c>
      <c r="P15" s="51" t="str">
        <f>_xlfn.IFNA(VLOOKUP($M15,Buff.CM!$A:$O,15,FALSE),"")</f>
        <v>Desc.info.itus.buff.ult</v>
      </c>
      <c r="Q15" s="71" t="b">
        <v>0</v>
      </c>
      <c r="R15" s="87" t="b">
        <v>0</v>
      </c>
    </row>
    <row r="16" spans="1:18" s="154" customFormat="1" ht="66">
      <c r="A16" s="71" t="s">
        <v>6199</v>
      </c>
      <c r="B16" s="51"/>
      <c r="C16" s="51"/>
      <c r="D16" s="51">
        <v>0</v>
      </c>
      <c r="E16" s="51">
        <v>0</v>
      </c>
      <c r="F16" s="51">
        <v>0</v>
      </c>
      <c r="G16" s="52" t="s">
        <v>6444</v>
      </c>
      <c r="H16" s="51"/>
      <c r="I16" s="87" t="b">
        <v>1</v>
      </c>
      <c r="J16" s="87" t="b">
        <v>1</v>
      </c>
      <c r="K16" s="87" t="b">
        <v>1</v>
      </c>
      <c r="L16" s="51" t="s">
        <v>1222</v>
      </c>
      <c r="M16" s="51" t="s">
        <v>6553</v>
      </c>
      <c r="N16" s="51" t="str">
        <f>_xlfn.IFNA(VLOOKUP($M16,Buff.CM!$A:$O,13,FALSE),"")</f>
        <v>icon_battle_itus_buff_01</v>
      </c>
      <c r="O16" s="51" t="str">
        <f>_xlfn.IFNA(VLOOKUP($M16,Buff.CM!$A:$O,14,FALSE),"")</f>
        <v>info.itus.buff.ult</v>
      </c>
      <c r="P16" s="51" t="str">
        <f>_xlfn.IFNA(VLOOKUP($M16,Buff.CM!$A:$O,15,FALSE),"")</f>
        <v>Desc.info.itus.buff.ult</v>
      </c>
      <c r="Q16" s="71" t="b">
        <v>0</v>
      </c>
      <c r="R16" s="87" t="b">
        <v>0</v>
      </c>
    </row>
    <row r="17" spans="1:18" s="154" customFormat="1" ht="66">
      <c r="A17" s="71" t="s">
        <v>6200</v>
      </c>
      <c r="B17" s="51"/>
      <c r="C17" s="51"/>
      <c r="D17" s="51">
        <v>0</v>
      </c>
      <c r="E17" s="51">
        <v>0</v>
      </c>
      <c r="F17" s="51">
        <v>0</v>
      </c>
      <c r="G17" s="52" t="s">
        <v>6445</v>
      </c>
      <c r="H17" s="51"/>
      <c r="I17" s="87" t="b">
        <v>1</v>
      </c>
      <c r="J17" s="87" t="b">
        <v>1</v>
      </c>
      <c r="K17" s="87" t="b">
        <v>1</v>
      </c>
      <c r="L17" s="51" t="s">
        <v>1222</v>
      </c>
      <c r="M17" s="51" t="s">
        <v>6553</v>
      </c>
      <c r="N17" s="51" t="str">
        <f>_xlfn.IFNA(VLOOKUP($M17,Buff.CM!$A:$O,13,FALSE),"")</f>
        <v>icon_battle_itus_buff_01</v>
      </c>
      <c r="O17" s="51" t="str">
        <f>_xlfn.IFNA(VLOOKUP($M17,Buff.CM!$A:$O,14,FALSE),"")</f>
        <v>info.itus.buff.ult</v>
      </c>
      <c r="P17" s="51" t="str">
        <f>_xlfn.IFNA(VLOOKUP($M17,Buff.CM!$A:$O,15,FALSE),"")</f>
        <v>Desc.info.itus.buff.ult</v>
      </c>
      <c r="Q17" s="71" t="b">
        <v>0</v>
      </c>
      <c r="R17" s="87" t="b">
        <v>0</v>
      </c>
    </row>
    <row r="18" spans="1:18" s="154" customFormat="1" ht="66">
      <c r="A18" s="71" t="s">
        <v>6201</v>
      </c>
      <c r="B18" s="51"/>
      <c r="C18" s="51"/>
      <c r="D18" s="51">
        <v>0</v>
      </c>
      <c r="E18" s="51">
        <v>0</v>
      </c>
      <c r="F18" s="51">
        <v>0</v>
      </c>
      <c r="G18" s="52" t="s">
        <v>6446</v>
      </c>
      <c r="H18" s="51"/>
      <c r="I18" s="87" t="b">
        <v>1</v>
      </c>
      <c r="J18" s="87" t="b">
        <v>1</v>
      </c>
      <c r="K18" s="87" t="b">
        <v>1</v>
      </c>
      <c r="L18" s="51" t="s">
        <v>1222</v>
      </c>
      <c r="M18" s="51" t="s">
        <v>6553</v>
      </c>
      <c r="N18" s="51" t="str">
        <f>_xlfn.IFNA(VLOOKUP($M18,Buff.CM!$A:$O,13,FALSE),"")</f>
        <v>icon_battle_itus_buff_01</v>
      </c>
      <c r="O18" s="51" t="str">
        <f>_xlfn.IFNA(VLOOKUP($M18,Buff.CM!$A:$O,14,FALSE),"")</f>
        <v>info.itus.buff.ult</v>
      </c>
      <c r="P18" s="51" t="str">
        <f>_xlfn.IFNA(VLOOKUP($M18,Buff.CM!$A:$O,15,FALSE),"")</f>
        <v>Desc.info.itus.buff.ult</v>
      </c>
      <c r="Q18" s="71" t="b">
        <v>0</v>
      </c>
      <c r="R18" s="87" t="b">
        <v>0</v>
      </c>
    </row>
    <row r="19" spans="1:18" s="164" customFormat="1">
      <c r="A19" s="53" t="s">
        <v>6202</v>
      </c>
      <c r="B19" s="53"/>
      <c r="C19" s="53"/>
      <c r="D19" s="53">
        <v>2000</v>
      </c>
      <c r="E19" s="53">
        <v>0</v>
      </c>
      <c r="F19" s="53">
        <v>0</v>
      </c>
      <c r="G19" s="53" t="s">
        <v>265</v>
      </c>
      <c r="H19" s="53"/>
      <c r="I19" s="99" t="b">
        <v>0</v>
      </c>
      <c r="J19" s="99" t="b">
        <v>0</v>
      </c>
      <c r="K19" s="99" t="b">
        <v>0</v>
      </c>
      <c r="L19" s="53" t="s">
        <v>286</v>
      </c>
      <c r="M19" s="53" t="s">
        <v>5462</v>
      </c>
      <c r="N19" s="53" t="str">
        <f>_xlfn.IFNA(VLOOKUP($M19,Buff.CM!$A:$O,13,FALSE),"")</f>
        <v>icon_battle_provoke</v>
      </c>
      <c r="O19" s="53" t="str">
        <f>_xlfn.IFNA(VLOOKUP($M19,Buff.CM!$A:$O,14,FALSE),"")</f>
        <v>Buff.Name.Provoke</v>
      </c>
      <c r="P19" s="53" t="str">
        <f>_xlfn.IFNA(VLOOKUP($M19,Buff.CM!$A:$O,15,FALSE),"")</f>
        <v>Buff.Desc.Provoke</v>
      </c>
      <c r="Q19" s="56" t="b">
        <v>0</v>
      </c>
      <c r="R19" s="99" t="b">
        <v>0</v>
      </c>
    </row>
    <row r="20" spans="1:18" s="164" customFormat="1">
      <c r="A20" s="53" t="s">
        <v>6203</v>
      </c>
      <c r="B20" s="53"/>
      <c r="C20" s="53"/>
      <c r="D20" s="53">
        <v>2000</v>
      </c>
      <c r="E20" s="53">
        <v>0</v>
      </c>
      <c r="F20" s="53">
        <v>0</v>
      </c>
      <c r="G20" s="53" t="s">
        <v>265</v>
      </c>
      <c r="H20" s="53"/>
      <c r="I20" s="99" t="b">
        <v>0</v>
      </c>
      <c r="J20" s="99" t="b">
        <v>0</v>
      </c>
      <c r="K20" s="99" t="b">
        <v>0</v>
      </c>
      <c r="L20" s="53" t="s">
        <v>286</v>
      </c>
      <c r="M20" s="53" t="s">
        <v>5462</v>
      </c>
      <c r="N20" s="53" t="str">
        <f>_xlfn.IFNA(VLOOKUP($M20,Buff.CM!$A:$O,13,FALSE),"")</f>
        <v>icon_battle_provoke</v>
      </c>
      <c r="O20" s="53" t="str">
        <f>_xlfn.IFNA(VLOOKUP($M20,Buff.CM!$A:$O,14,FALSE),"")</f>
        <v>Buff.Name.Provoke</v>
      </c>
      <c r="P20" s="53" t="str">
        <f>_xlfn.IFNA(VLOOKUP($M20,Buff.CM!$A:$O,15,FALSE),"")</f>
        <v>Buff.Desc.Provoke</v>
      </c>
      <c r="Q20" s="56" t="b">
        <v>0</v>
      </c>
      <c r="R20" s="99" t="b">
        <v>0</v>
      </c>
    </row>
    <row r="21" spans="1:18" s="164" customFormat="1">
      <c r="A21" s="53" t="s">
        <v>6204</v>
      </c>
      <c r="B21" s="53"/>
      <c r="C21" s="53"/>
      <c r="D21" s="53">
        <v>2000</v>
      </c>
      <c r="E21" s="53">
        <v>0</v>
      </c>
      <c r="F21" s="53">
        <v>0</v>
      </c>
      <c r="G21" s="53" t="s">
        <v>265</v>
      </c>
      <c r="H21" s="53"/>
      <c r="I21" s="99" t="b">
        <v>0</v>
      </c>
      <c r="J21" s="99" t="b">
        <v>0</v>
      </c>
      <c r="K21" s="99" t="b">
        <v>0</v>
      </c>
      <c r="L21" s="53" t="s">
        <v>286</v>
      </c>
      <c r="M21" s="53" t="s">
        <v>5462</v>
      </c>
      <c r="N21" s="53" t="str">
        <f>_xlfn.IFNA(VLOOKUP($M21,Buff.CM!$A:$O,13,FALSE),"")</f>
        <v>icon_battle_provoke</v>
      </c>
      <c r="O21" s="53" t="str">
        <f>_xlfn.IFNA(VLOOKUP($M21,Buff.CM!$A:$O,14,FALSE),"")</f>
        <v>Buff.Name.Provoke</v>
      </c>
      <c r="P21" s="53" t="str">
        <f>_xlfn.IFNA(VLOOKUP($M21,Buff.CM!$A:$O,15,FALSE),"")</f>
        <v>Buff.Desc.Provoke</v>
      </c>
      <c r="Q21" s="56" t="b">
        <v>0</v>
      </c>
      <c r="R21" s="99" t="b">
        <v>0</v>
      </c>
    </row>
    <row r="22" spans="1:18" s="164" customFormat="1">
      <c r="A22" s="53" t="s">
        <v>6205</v>
      </c>
      <c r="B22" s="53"/>
      <c r="C22" s="53"/>
      <c r="D22" s="53">
        <v>2000</v>
      </c>
      <c r="E22" s="53">
        <v>0</v>
      </c>
      <c r="F22" s="53">
        <v>0</v>
      </c>
      <c r="G22" s="53" t="s">
        <v>265</v>
      </c>
      <c r="H22" s="53"/>
      <c r="I22" s="99" t="b">
        <v>0</v>
      </c>
      <c r="J22" s="99" t="b">
        <v>0</v>
      </c>
      <c r="K22" s="99" t="b">
        <v>0</v>
      </c>
      <c r="L22" s="53" t="s">
        <v>286</v>
      </c>
      <c r="M22" s="53" t="s">
        <v>5462</v>
      </c>
      <c r="N22" s="53" t="str">
        <f>_xlfn.IFNA(VLOOKUP($M22,Buff.CM!$A:$O,13,FALSE),"")</f>
        <v>icon_battle_provoke</v>
      </c>
      <c r="O22" s="53" t="str">
        <f>_xlfn.IFNA(VLOOKUP($M22,Buff.CM!$A:$O,14,FALSE),"")</f>
        <v>Buff.Name.Provoke</v>
      </c>
      <c r="P22" s="53" t="str">
        <f>_xlfn.IFNA(VLOOKUP($M22,Buff.CM!$A:$O,15,FALSE),"")</f>
        <v>Buff.Desc.Provoke</v>
      </c>
      <c r="Q22" s="56" t="b">
        <v>0</v>
      </c>
      <c r="R22" s="99" t="b">
        <v>0</v>
      </c>
    </row>
    <row r="23" spans="1:18" s="164" customFormat="1">
      <c r="A23" s="53" t="s">
        <v>6206</v>
      </c>
      <c r="B23" s="53"/>
      <c r="C23" s="53"/>
      <c r="D23" s="53">
        <v>2000</v>
      </c>
      <c r="E23" s="53">
        <v>0</v>
      </c>
      <c r="F23" s="53">
        <v>0</v>
      </c>
      <c r="G23" s="53" t="s">
        <v>265</v>
      </c>
      <c r="H23" s="53"/>
      <c r="I23" s="99" t="b">
        <v>0</v>
      </c>
      <c r="J23" s="99" t="b">
        <v>0</v>
      </c>
      <c r="K23" s="99" t="b">
        <v>0</v>
      </c>
      <c r="L23" s="53" t="s">
        <v>286</v>
      </c>
      <c r="M23" s="53" t="s">
        <v>5462</v>
      </c>
      <c r="N23" s="53" t="str">
        <f>_xlfn.IFNA(VLOOKUP($M23,Buff.CM!$A:$O,13,FALSE),"")</f>
        <v>icon_battle_provoke</v>
      </c>
      <c r="O23" s="53" t="str">
        <f>_xlfn.IFNA(VLOOKUP($M23,Buff.CM!$A:$O,14,FALSE),"")</f>
        <v>Buff.Name.Provoke</v>
      </c>
      <c r="P23" s="53" t="str">
        <f>_xlfn.IFNA(VLOOKUP($M23,Buff.CM!$A:$O,15,FALSE),"")</f>
        <v>Buff.Desc.Provoke</v>
      </c>
      <c r="Q23" s="56" t="b">
        <v>0</v>
      </c>
      <c r="R23" s="99" t="b">
        <v>0</v>
      </c>
    </row>
    <row r="24" spans="1:18" s="164" customFormat="1">
      <c r="A24" s="53" t="s">
        <v>6207</v>
      </c>
      <c r="B24" s="53"/>
      <c r="C24" s="53"/>
      <c r="D24" s="53">
        <v>2000</v>
      </c>
      <c r="E24" s="53">
        <v>0</v>
      </c>
      <c r="F24" s="53">
        <v>0</v>
      </c>
      <c r="G24" s="53" t="s">
        <v>265</v>
      </c>
      <c r="H24" s="53"/>
      <c r="I24" s="99" t="b">
        <v>0</v>
      </c>
      <c r="J24" s="99" t="b">
        <v>0</v>
      </c>
      <c r="K24" s="99" t="b">
        <v>0</v>
      </c>
      <c r="L24" s="53" t="s">
        <v>286</v>
      </c>
      <c r="M24" s="53" t="s">
        <v>5462</v>
      </c>
      <c r="N24" s="53" t="str">
        <f>_xlfn.IFNA(VLOOKUP($M24,Buff.CM!$A:$O,13,FALSE),"")</f>
        <v>icon_battle_provoke</v>
      </c>
      <c r="O24" s="53" t="str">
        <f>_xlfn.IFNA(VLOOKUP($M24,Buff.CM!$A:$O,14,FALSE),"")</f>
        <v>Buff.Name.Provoke</v>
      </c>
      <c r="P24" s="53" t="str">
        <f>_xlfn.IFNA(VLOOKUP($M24,Buff.CM!$A:$O,15,FALSE),"")</f>
        <v>Buff.Desc.Provoke</v>
      </c>
      <c r="Q24" s="56" t="b">
        <v>0</v>
      </c>
      <c r="R24" s="99" t="b">
        <v>0</v>
      </c>
    </row>
    <row r="25" spans="1:18" s="164" customFormat="1">
      <c r="A25" s="53" t="s">
        <v>6208</v>
      </c>
      <c r="B25" s="53"/>
      <c r="C25" s="53"/>
      <c r="D25" s="53">
        <v>2000</v>
      </c>
      <c r="E25" s="53">
        <v>0</v>
      </c>
      <c r="F25" s="53">
        <v>0</v>
      </c>
      <c r="G25" s="53" t="s">
        <v>265</v>
      </c>
      <c r="H25" s="53"/>
      <c r="I25" s="99" t="b">
        <v>0</v>
      </c>
      <c r="J25" s="99" t="b">
        <v>0</v>
      </c>
      <c r="K25" s="99" t="b">
        <v>0</v>
      </c>
      <c r="L25" s="53" t="s">
        <v>286</v>
      </c>
      <c r="M25" s="53" t="s">
        <v>5462</v>
      </c>
      <c r="N25" s="53" t="str">
        <f>_xlfn.IFNA(VLOOKUP($M25,Buff.CM!$A:$O,13,FALSE),"")</f>
        <v>icon_battle_provoke</v>
      </c>
      <c r="O25" s="53" t="str">
        <f>_xlfn.IFNA(VLOOKUP($M25,Buff.CM!$A:$O,14,FALSE),"")</f>
        <v>Buff.Name.Provoke</v>
      </c>
      <c r="P25" s="53" t="str">
        <f>_xlfn.IFNA(VLOOKUP($M25,Buff.CM!$A:$O,15,FALSE),"")</f>
        <v>Buff.Desc.Provoke</v>
      </c>
      <c r="Q25" s="56" t="b">
        <v>0</v>
      </c>
      <c r="R25" s="99" t="b">
        <v>0</v>
      </c>
    </row>
    <row r="26" spans="1:18" s="179" customFormat="1">
      <c r="A26" s="60" t="s">
        <v>1190</v>
      </c>
      <c r="B26" s="60"/>
      <c r="C26" s="60"/>
      <c r="D26" s="60">
        <v>2000</v>
      </c>
      <c r="E26" s="60">
        <v>0</v>
      </c>
      <c r="F26" s="60">
        <v>0</v>
      </c>
      <c r="G26" s="60" t="s">
        <v>6209</v>
      </c>
      <c r="H26" s="60"/>
      <c r="I26" s="177" t="b">
        <v>0</v>
      </c>
      <c r="J26" s="177" t="b">
        <v>1</v>
      </c>
      <c r="K26" s="177" t="b">
        <v>1</v>
      </c>
      <c r="L26" s="60" t="s">
        <v>317</v>
      </c>
      <c r="M26" s="60" t="s">
        <v>5461</v>
      </c>
      <c r="N26" s="60" t="str">
        <f>_xlfn.IFNA(VLOOKUP($M26,Buff.CM!$A:$O,13,FALSE),"")</f>
        <v>icon_battle_shield</v>
      </c>
      <c r="O26" s="60" t="str">
        <f>_xlfn.IFNA(VLOOKUP($M26,Buff.CM!$A:$O,14,FALSE),"")</f>
        <v>Buff.Name.Shield</v>
      </c>
      <c r="P26" s="60" t="str">
        <f>_xlfn.IFNA(VLOOKUP($M26,Buff.CM!$A:$O,15,FALSE),"")</f>
        <v>Buff.Desc.Shield</v>
      </c>
      <c r="Q26" s="178" t="b">
        <v>0</v>
      </c>
      <c r="R26" s="177" t="b">
        <v>0</v>
      </c>
    </row>
    <row r="27" spans="1:18" s="179" customFormat="1">
      <c r="A27" s="60" t="s">
        <v>1191</v>
      </c>
      <c r="B27" s="60"/>
      <c r="C27" s="60"/>
      <c r="D27" s="60">
        <v>2000</v>
      </c>
      <c r="E27" s="60">
        <v>0</v>
      </c>
      <c r="F27" s="60">
        <v>0</v>
      </c>
      <c r="G27" s="60" t="s">
        <v>1198</v>
      </c>
      <c r="H27" s="60"/>
      <c r="I27" s="177" t="b">
        <v>0</v>
      </c>
      <c r="J27" s="177" t="b">
        <v>1</v>
      </c>
      <c r="K27" s="177" t="b">
        <v>1</v>
      </c>
      <c r="L27" s="60" t="s">
        <v>317</v>
      </c>
      <c r="M27" s="60" t="s">
        <v>5461</v>
      </c>
      <c r="N27" s="60" t="str">
        <f>_xlfn.IFNA(VLOOKUP($M27,Buff.CM!$A:$O,13,FALSE),"")</f>
        <v>icon_battle_shield</v>
      </c>
      <c r="O27" s="60" t="str">
        <f>_xlfn.IFNA(VLOOKUP($M27,Buff.CM!$A:$O,14,FALSE),"")</f>
        <v>Buff.Name.Shield</v>
      </c>
      <c r="P27" s="60" t="str">
        <f>_xlfn.IFNA(VLOOKUP($M27,Buff.CM!$A:$O,15,FALSE),"")</f>
        <v>Buff.Desc.Shield</v>
      </c>
      <c r="Q27" s="178" t="b">
        <v>0</v>
      </c>
      <c r="R27" s="177" t="b">
        <v>0</v>
      </c>
    </row>
    <row r="28" spans="1:18" s="179" customFormat="1">
      <c r="A28" s="60" t="s">
        <v>1192</v>
      </c>
      <c r="B28" s="60"/>
      <c r="C28" s="60"/>
      <c r="D28" s="60">
        <v>2000</v>
      </c>
      <c r="E28" s="60">
        <v>0</v>
      </c>
      <c r="F28" s="60">
        <v>0</v>
      </c>
      <c r="G28" s="60" t="s">
        <v>1199</v>
      </c>
      <c r="H28" s="60"/>
      <c r="I28" s="177" t="b">
        <v>0</v>
      </c>
      <c r="J28" s="177" t="b">
        <v>1</v>
      </c>
      <c r="K28" s="177" t="b">
        <v>1</v>
      </c>
      <c r="L28" s="60" t="s">
        <v>317</v>
      </c>
      <c r="M28" s="60" t="s">
        <v>5461</v>
      </c>
      <c r="N28" s="60" t="str">
        <f>_xlfn.IFNA(VLOOKUP($M28,Buff.CM!$A:$O,13,FALSE),"")</f>
        <v>icon_battle_shield</v>
      </c>
      <c r="O28" s="60" t="str">
        <f>_xlfn.IFNA(VLOOKUP($M28,Buff.CM!$A:$O,14,FALSE),"")</f>
        <v>Buff.Name.Shield</v>
      </c>
      <c r="P28" s="60" t="str">
        <f>_xlfn.IFNA(VLOOKUP($M28,Buff.CM!$A:$O,15,FALSE),"")</f>
        <v>Buff.Desc.Shield</v>
      </c>
      <c r="Q28" s="178" t="b">
        <v>0</v>
      </c>
      <c r="R28" s="177" t="b">
        <v>0</v>
      </c>
    </row>
    <row r="29" spans="1:18" s="179" customFormat="1">
      <c r="A29" s="60" t="s">
        <v>1193</v>
      </c>
      <c r="B29" s="60"/>
      <c r="C29" s="60"/>
      <c r="D29" s="60">
        <v>2000</v>
      </c>
      <c r="E29" s="60">
        <v>0</v>
      </c>
      <c r="F29" s="60">
        <v>0</v>
      </c>
      <c r="G29" s="60" t="s">
        <v>1200</v>
      </c>
      <c r="H29" s="60"/>
      <c r="I29" s="177" t="b">
        <v>0</v>
      </c>
      <c r="J29" s="177" t="b">
        <v>1</v>
      </c>
      <c r="K29" s="177" t="b">
        <v>1</v>
      </c>
      <c r="L29" s="60" t="s">
        <v>317</v>
      </c>
      <c r="M29" s="60" t="s">
        <v>5461</v>
      </c>
      <c r="N29" s="60" t="str">
        <f>_xlfn.IFNA(VLOOKUP($M29,Buff.CM!$A:$O,13,FALSE),"")</f>
        <v>icon_battle_shield</v>
      </c>
      <c r="O29" s="60" t="str">
        <f>_xlfn.IFNA(VLOOKUP($M29,Buff.CM!$A:$O,14,FALSE),"")</f>
        <v>Buff.Name.Shield</v>
      </c>
      <c r="P29" s="60" t="str">
        <f>_xlfn.IFNA(VLOOKUP($M29,Buff.CM!$A:$O,15,FALSE),"")</f>
        <v>Buff.Desc.Shield</v>
      </c>
      <c r="Q29" s="178" t="b">
        <v>0</v>
      </c>
      <c r="R29" s="177" t="b">
        <v>0</v>
      </c>
    </row>
    <row r="30" spans="1:18" s="179" customFormat="1">
      <c r="A30" s="60" t="s">
        <v>1194</v>
      </c>
      <c r="B30" s="60"/>
      <c r="C30" s="60"/>
      <c r="D30" s="60">
        <v>2000</v>
      </c>
      <c r="E30" s="60">
        <v>0</v>
      </c>
      <c r="F30" s="60">
        <v>0</v>
      </c>
      <c r="G30" s="60" t="s">
        <v>1201</v>
      </c>
      <c r="H30" s="60"/>
      <c r="I30" s="177" t="b">
        <v>0</v>
      </c>
      <c r="J30" s="177" t="b">
        <v>1</v>
      </c>
      <c r="K30" s="177" t="b">
        <v>1</v>
      </c>
      <c r="L30" s="60" t="s">
        <v>317</v>
      </c>
      <c r="M30" s="60" t="s">
        <v>5461</v>
      </c>
      <c r="N30" s="60" t="str">
        <f>_xlfn.IFNA(VLOOKUP($M30,Buff.CM!$A:$O,13,FALSE),"")</f>
        <v>icon_battle_shield</v>
      </c>
      <c r="O30" s="60" t="str">
        <f>_xlfn.IFNA(VLOOKUP($M30,Buff.CM!$A:$O,14,FALSE),"")</f>
        <v>Buff.Name.Shield</v>
      </c>
      <c r="P30" s="60" t="str">
        <f>_xlfn.IFNA(VLOOKUP($M30,Buff.CM!$A:$O,15,FALSE),"")</f>
        <v>Buff.Desc.Shield</v>
      </c>
      <c r="Q30" s="178" t="b">
        <v>0</v>
      </c>
      <c r="R30" s="177" t="b">
        <v>0</v>
      </c>
    </row>
    <row r="31" spans="1:18" s="179" customFormat="1">
      <c r="A31" s="60" t="s">
        <v>1195</v>
      </c>
      <c r="B31" s="60"/>
      <c r="C31" s="60"/>
      <c r="D31" s="60">
        <v>2000</v>
      </c>
      <c r="E31" s="60">
        <v>0</v>
      </c>
      <c r="F31" s="60">
        <v>0</v>
      </c>
      <c r="G31" s="60" t="s">
        <v>1202</v>
      </c>
      <c r="H31" s="60"/>
      <c r="I31" s="177" t="b">
        <v>0</v>
      </c>
      <c r="J31" s="177" t="b">
        <v>1</v>
      </c>
      <c r="K31" s="177" t="b">
        <v>1</v>
      </c>
      <c r="L31" s="60" t="s">
        <v>317</v>
      </c>
      <c r="M31" s="60" t="s">
        <v>5461</v>
      </c>
      <c r="N31" s="60" t="str">
        <f>_xlfn.IFNA(VLOOKUP($M31,Buff.CM!$A:$O,13,FALSE),"")</f>
        <v>icon_battle_shield</v>
      </c>
      <c r="O31" s="60" t="str">
        <f>_xlfn.IFNA(VLOOKUP($M31,Buff.CM!$A:$O,14,FALSE),"")</f>
        <v>Buff.Name.Shield</v>
      </c>
      <c r="P31" s="60" t="str">
        <f>_xlfn.IFNA(VLOOKUP($M31,Buff.CM!$A:$O,15,FALSE),"")</f>
        <v>Buff.Desc.Shield</v>
      </c>
      <c r="Q31" s="178" t="b">
        <v>0</v>
      </c>
      <c r="R31" s="177" t="b">
        <v>0</v>
      </c>
    </row>
    <row r="32" spans="1:18" s="179" customFormat="1">
      <c r="A32" s="60" t="s">
        <v>1196</v>
      </c>
      <c r="B32" s="60"/>
      <c r="C32" s="60"/>
      <c r="D32" s="60">
        <v>2000</v>
      </c>
      <c r="E32" s="60">
        <v>0</v>
      </c>
      <c r="F32" s="60">
        <v>0</v>
      </c>
      <c r="G32" s="60" t="s">
        <v>1203</v>
      </c>
      <c r="H32" s="60"/>
      <c r="I32" s="177" t="b">
        <v>0</v>
      </c>
      <c r="J32" s="177" t="b">
        <v>1</v>
      </c>
      <c r="K32" s="177" t="b">
        <v>1</v>
      </c>
      <c r="L32" s="60" t="s">
        <v>317</v>
      </c>
      <c r="M32" s="60" t="s">
        <v>5461</v>
      </c>
      <c r="N32" s="60" t="str">
        <f>_xlfn.IFNA(VLOOKUP($M32,Buff.CM!$A:$O,13,FALSE),"")</f>
        <v>icon_battle_shield</v>
      </c>
      <c r="O32" s="60" t="str">
        <f>_xlfn.IFNA(VLOOKUP($M32,Buff.CM!$A:$O,14,FALSE),"")</f>
        <v>Buff.Name.Shield</v>
      </c>
      <c r="P32" s="60" t="str">
        <f>_xlfn.IFNA(VLOOKUP($M32,Buff.CM!$A:$O,15,FALSE),"")</f>
        <v>Buff.Desc.Shield</v>
      </c>
      <c r="Q32" s="178" t="b">
        <v>0</v>
      </c>
      <c r="R32" s="177" t="b">
        <v>0</v>
      </c>
    </row>
    <row r="33" spans="1:18" s="154" customFormat="1">
      <c r="A33" s="51" t="s">
        <v>4367</v>
      </c>
      <c r="B33" s="51"/>
      <c r="C33" s="51"/>
      <c r="D33" s="51">
        <v>500</v>
      </c>
      <c r="E33" s="51">
        <v>0</v>
      </c>
      <c r="F33" s="51">
        <v>0</v>
      </c>
      <c r="G33" s="51" t="s">
        <v>263</v>
      </c>
      <c r="H33" s="51"/>
      <c r="I33" s="87" t="b">
        <v>0</v>
      </c>
      <c r="J33" s="87" t="b">
        <v>0</v>
      </c>
      <c r="K33" s="87" t="b">
        <v>0</v>
      </c>
      <c r="L33" s="51"/>
      <c r="M33" s="51"/>
      <c r="N33" s="51" t="str">
        <f>_xlfn.IFNA(VLOOKUP($M33,Buff.CM!$A:$O,13,FALSE),"")</f>
        <v/>
      </c>
      <c r="O33" s="51" t="str">
        <f>_xlfn.IFNA(VLOOKUP($M33,Buff.CM!$A:$O,14,FALSE),"")</f>
        <v/>
      </c>
      <c r="P33" s="51" t="str">
        <f>_xlfn.IFNA(VLOOKUP($M33,Buff.CM!$A:$O,15,FALSE),"")</f>
        <v/>
      </c>
      <c r="Q33" s="71" t="b">
        <v>0</v>
      </c>
      <c r="R33" s="87" t="b">
        <v>0</v>
      </c>
    </row>
    <row r="34" spans="1:18" s="154" customFormat="1">
      <c r="A34" s="51" t="s">
        <v>4361</v>
      </c>
      <c r="B34" s="51"/>
      <c r="C34" s="51"/>
      <c r="D34" s="51">
        <v>500</v>
      </c>
      <c r="E34" s="51">
        <v>0</v>
      </c>
      <c r="F34" s="51">
        <v>0</v>
      </c>
      <c r="G34" s="51" t="s">
        <v>263</v>
      </c>
      <c r="H34" s="51"/>
      <c r="I34" s="87" t="b">
        <v>0</v>
      </c>
      <c r="J34" s="87" t="b">
        <v>0</v>
      </c>
      <c r="K34" s="87" t="b">
        <v>0</v>
      </c>
      <c r="L34" s="51"/>
      <c r="M34" s="51"/>
      <c r="N34" s="51" t="str">
        <f>_xlfn.IFNA(VLOOKUP($M34,Buff.CM!$A:$O,13,FALSE),"")</f>
        <v/>
      </c>
      <c r="O34" s="51" t="str">
        <f>_xlfn.IFNA(VLOOKUP($M34,Buff.CM!$A:$O,14,FALSE),"")</f>
        <v/>
      </c>
      <c r="P34" s="51" t="str">
        <f>_xlfn.IFNA(VLOOKUP($M34,Buff.CM!$A:$O,15,FALSE),"")</f>
        <v/>
      </c>
      <c r="Q34" s="71" t="b">
        <v>0</v>
      </c>
      <c r="R34" s="87" t="b">
        <v>0</v>
      </c>
    </row>
    <row r="35" spans="1:18" s="154" customFormat="1">
      <c r="A35" s="51" t="s">
        <v>4362</v>
      </c>
      <c r="B35" s="51"/>
      <c r="C35" s="51"/>
      <c r="D35" s="51">
        <v>500</v>
      </c>
      <c r="E35" s="51">
        <v>0</v>
      </c>
      <c r="F35" s="51">
        <v>0</v>
      </c>
      <c r="G35" s="51" t="s">
        <v>263</v>
      </c>
      <c r="H35" s="51"/>
      <c r="I35" s="87" t="b">
        <v>0</v>
      </c>
      <c r="J35" s="87" t="b">
        <v>0</v>
      </c>
      <c r="K35" s="87" t="b">
        <v>0</v>
      </c>
      <c r="L35" s="51"/>
      <c r="M35" s="51"/>
      <c r="N35" s="51" t="str">
        <f>_xlfn.IFNA(VLOOKUP($M35,Buff.CM!$A:$O,13,FALSE),"")</f>
        <v/>
      </c>
      <c r="O35" s="51" t="str">
        <f>_xlfn.IFNA(VLOOKUP($M35,Buff.CM!$A:$O,14,FALSE),"")</f>
        <v/>
      </c>
      <c r="P35" s="51" t="str">
        <f>_xlfn.IFNA(VLOOKUP($M35,Buff.CM!$A:$O,15,FALSE),"")</f>
        <v/>
      </c>
      <c r="Q35" s="71" t="b">
        <v>0</v>
      </c>
      <c r="R35" s="87" t="b">
        <v>0</v>
      </c>
    </row>
    <row r="36" spans="1:18" s="154" customFormat="1">
      <c r="A36" s="51" t="s">
        <v>4363</v>
      </c>
      <c r="B36" s="51"/>
      <c r="C36" s="51"/>
      <c r="D36" s="51">
        <v>500</v>
      </c>
      <c r="E36" s="51">
        <v>0</v>
      </c>
      <c r="F36" s="51">
        <v>0</v>
      </c>
      <c r="G36" s="51" t="s">
        <v>263</v>
      </c>
      <c r="H36" s="51"/>
      <c r="I36" s="87" t="b">
        <v>0</v>
      </c>
      <c r="J36" s="87" t="b">
        <v>0</v>
      </c>
      <c r="K36" s="87" t="b">
        <v>0</v>
      </c>
      <c r="L36" s="51"/>
      <c r="M36" s="51"/>
      <c r="N36" s="51" t="str">
        <f>_xlfn.IFNA(VLOOKUP($M36,Buff.CM!$A:$O,13,FALSE),"")</f>
        <v/>
      </c>
      <c r="O36" s="51" t="str">
        <f>_xlfn.IFNA(VLOOKUP($M36,Buff.CM!$A:$O,14,FALSE),"")</f>
        <v/>
      </c>
      <c r="P36" s="51" t="str">
        <f>_xlfn.IFNA(VLOOKUP($M36,Buff.CM!$A:$O,15,FALSE),"")</f>
        <v/>
      </c>
      <c r="Q36" s="71" t="b">
        <v>0</v>
      </c>
      <c r="R36" s="87" t="b">
        <v>0</v>
      </c>
    </row>
    <row r="37" spans="1:18" s="154" customFormat="1">
      <c r="A37" s="51" t="s">
        <v>4364</v>
      </c>
      <c r="B37" s="51"/>
      <c r="C37" s="51"/>
      <c r="D37" s="51">
        <v>500</v>
      </c>
      <c r="E37" s="51">
        <v>0</v>
      </c>
      <c r="F37" s="51">
        <v>0</v>
      </c>
      <c r="G37" s="51" t="s">
        <v>263</v>
      </c>
      <c r="H37" s="51"/>
      <c r="I37" s="87" t="b">
        <v>0</v>
      </c>
      <c r="J37" s="87" t="b">
        <v>0</v>
      </c>
      <c r="K37" s="87" t="b">
        <v>0</v>
      </c>
      <c r="L37" s="51"/>
      <c r="M37" s="51"/>
      <c r="N37" s="51" t="str">
        <f>_xlfn.IFNA(VLOOKUP($M37,Buff.CM!$A:$O,13,FALSE),"")</f>
        <v/>
      </c>
      <c r="O37" s="51" t="str">
        <f>_xlfn.IFNA(VLOOKUP($M37,Buff.CM!$A:$O,14,FALSE),"")</f>
        <v/>
      </c>
      <c r="P37" s="51" t="str">
        <f>_xlfn.IFNA(VLOOKUP($M37,Buff.CM!$A:$O,15,FALSE),"")</f>
        <v/>
      </c>
      <c r="Q37" s="71" t="b">
        <v>0</v>
      </c>
      <c r="R37" s="87" t="b">
        <v>0</v>
      </c>
    </row>
    <row r="38" spans="1:18" s="154" customFormat="1">
      <c r="A38" s="51" t="s">
        <v>4365</v>
      </c>
      <c r="B38" s="51"/>
      <c r="C38" s="51"/>
      <c r="D38" s="51">
        <v>500</v>
      </c>
      <c r="E38" s="51">
        <v>0</v>
      </c>
      <c r="F38" s="51">
        <v>0</v>
      </c>
      <c r="G38" s="51" t="s">
        <v>263</v>
      </c>
      <c r="H38" s="51"/>
      <c r="I38" s="87" t="b">
        <v>0</v>
      </c>
      <c r="J38" s="87" t="b">
        <v>0</v>
      </c>
      <c r="K38" s="87" t="b">
        <v>0</v>
      </c>
      <c r="L38" s="51"/>
      <c r="M38" s="51"/>
      <c r="N38" s="51" t="str">
        <f>_xlfn.IFNA(VLOOKUP($M38,Buff.CM!$A:$O,13,FALSE),"")</f>
        <v/>
      </c>
      <c r="O38" s="51" t="str">
        <f>_xlfn.IFNA(VLOOKUP($M38,Buff.CM!$A:$O,14,FALSE),"")</f>
        <v/>
      </c>
      <c r="P38" s="51" t="str">
        <f>_xlfn.IFNA(VLOOKUP($M38,Buff.CM!$A:$O,15,FALSE),"")</f>
        <v/>
      </c>
      <c r="Q38" s="71" t="b">
        <v>0</v>
      </c>
      <c r="R38" s="87" t="b">
        <v>0</v>
      </c>
    </row>
    <row r="39" spans="1:18" s="154" customFormat="1">
      <c r="A39" s="51" t="s">
        <v>4366</v>
      </c>
      <c r="B39" s="51"/>
      <c r="C39" s="51"/>
      <c r="D39" s="51">
        <v>500</v>
      </c>
      <c r="E39" s="51">
        <v>0</v>
      </c>
      <c r="F39" s="51">
        <v>0</v>
      </c>
      <c r="G39" s="51" t="s">
        <v>263</v>
      </c>
      <c r="H39" s="51"/>
      <c r="I39" s="87" t="b">
        <v>0</v>
      </c>
      <c r="J39" s="87" t="b">
        <v>0</v>
      </c>
      <c r="K39" s="87" t="b">
        <v>0</v>
      </c>
      <c r="L39" s="51"/>
      <c r="M39" s="51"/>
      <c r="N39" s="51" t="str">
        <f>_xlfn.IFNA(VLOOKUP($M39,Buff.CM!$A:$O,13,FALSE),"")</f>
        <v/>
      </c>
      <c r="O39" s="51" t="str">
        <f>_xlfn.IFNA(VLOOKUP($M39,Buff.CM!$A:$O,14,FALSE),"")</f>
        <v/>
      </c>
      <c r="P39" s="51" t="str">
        <f>_xlfn.IFNA(VLOOKUP($M39,Buff.CM!$A:$O,15,FALSE),"")</f>
        <v/>
      </c>
      <c r="Q39" s="71" t="b">
        <v>0</v>
      </c>
      <c r="R39" s="87" t="b">
        <v>0</v>
      </c>
    </row>
    <row r="40" spans="1:18" s="179" customFormat="1">
      <c r="A40" s="60" t="s">
        <v>6285</v>
      </c>
      <c r="B40" s="60"/>
      <c r="C40" s="60"/>
      <c r="D40" s="60">
        <v>5000</v>
      </c>
      <c r="E40" s="60">
        <v>0</v>
      </c>
      <c r="F40" s="60">
        <v>0</v>
      </c>
      <c r="G40" s="60" t="s">
        <v>6287</v>
      </c>
      <c r="H40" s="60"/>
      <c r="I40" s="177" t="b">
        <v>0</v>
      </c>
      <c r="J40" s="177" t="b">
        <v>0</v>
      </c>
      <c r="K40" s="177" t="b">
        <v>1</v>
      </c>
      <c r="L40" s="60"/>
      <c r="M40" s="60"/>
      <c r="N40" s="60" t="str">
        <f>_xlfn.IFNA(VLOOKUP($M40,Buff.CM!$A:$O,13,FALSE),"")</f>
        <v/>
      </c>
      <c r="O40" s="60" t="str">
        <f>_xlfn.IFNA(VLOOKUP($M40,Buff.CM!$A:$O,14,FALSE),"")</f>
        <v/>
      </c>
      <c r="P40" s="60" t="str">
        <f>_xlfn.IFNA(VLOOKUP($M40,Buff.CM!$A:$O,15,FALSE),"")</f>
        <v/>
      </c>
      <c r="Q40" s="178" t="b">
        <v>0</v>
      </c>
      <c r="R40" s="177" t="b">
        <v>0</v>
      </c>
    </row>
    <row r="41" spans="1:18" s="179" customFormat="1">
      <c r="A41" s="60" t="s">
        <v>6279</v>
      </c>
      <c r="B41" s="60"/>
      <c r="C41" s="60"/>
      <c r="D41" s="60">
        <v>5000</v>
      </c>
      <c r="E41" s="60">
        <v>0</v>
      </c>
      <c r="F41" s="60">
        <v>0</v>
      </c>
      <c r="G41" s="60" t="s">
        <v>6288</v>
      </c>
      <c r="H41" s="60"/>
      <c r="I41" s="177" t="b">
        <v>0</v>
      </c>
      <c r="J41" s="177" t="b">
        <v>0</v>
      </c>
      <c r="K41" s="177" t="b">
        <v>1</v>
      </c>
      <c r="L41" s="60"/>
      <c r="M41" s="60"/>
      <c r="N41" s="60" t="str">
        <f>_xlfn.IFNA(VLOOKUP($M41,Buff.CM!$A:$O,13,FALSE),"")</f>
        <v/>
      </c>
      <c r="O41" s="60" t="str">
        <f>_xlfn.IFNA(VLOOKUP($M41,Buff.CM!$A:$O,14,FALSE),"")</f>
        <v/>
      </c>
      <c r="P41" s="60" t="str">
        <f>_xlfn.IFNA(VLOOKUP($M41,Buff.CM!$A:$O,15,FALSE),"")</f>
        <v/>
      </c>
      <c r="Q41" s="178" t="b">
        <v>0</v>
      </c>
      <c r="R41" s="177" t="b">
        <v>0</v>
      </c>
    </row>
    <row r="42" spans="1:18" s="179" customFormat="1">
      <c r="A42" s="60" t="s">
        <v>6280</v>
      </c>
      <c r="B42" s="60"/>
      <c r="C42" s="60"/>
      <c r="D42" s="60">
        <v>5000</v>
      </c>
      <c r="E42" s="60">
        <v>0</v>
      </c>
      <c r="F42" s="60">
        <v>0</v>
      </c>
      <c r="G42" s="60" t="s">
        <v>6289</v>
      </c>
      <c r="H42" s="60"/>
      <c r="I42" s="177" t="b">
        <v>0</v>
      </c>
      <c r="J42" s="177" t="b">
        <v>0</v>
      </c>
      <c r="K42" s="177" t="b">
        <v>1</v>
      </c>
      <c r="L42" s="60"/>
      <c r="M42" s="60"/>
      <c r="N42" s="60" t="str">
        <f>_xlfn.IFNA(VLOOKUP($M42,Buff.CM!$A:$O,13,FALSE),"")</f>
        <v/>
      </c>
      <c r="O42" s="60" t="str">
        <f>_xlfn.IFNA(VLOOKUP($M42,Buff.CM!$A:$O,14,FALSE),"")</f>
        <v/>
      </c>
      <c r="P42" s="60" t="str">
        <f>_xlfn.IFNA(VLOOKUP($M42,Buff.CM!$A:$O,15,FALSE),"")</f>
        <v/>
      </c>
      <c r="Q42" s="178" t="b">
        <v>0</v>
      </c>
      <c r="R42" s="177" t="b">
        <v>0</v>
      </c>
    </row>
    <row r="43" spans="1:18" s="179" customFormat="1">
      <c r="A43" s="60" t="s">
        <v>6281</v>
      </c>
      <c r="B43" s="60"/>
      <c r="C43" s="60"/>
      <c r="D43" s="60">
        <v>5000</v>
      </c>
      <c r="E43" s="60">
        <v>0</v>
      </c>
      <c r="F43" s="60">
        <v>0</v>
      </c>
      <c r="G43" s="60" t="s">
        <v>6290</v>
      </c>
      <c r="H43" s="60"/>
      <c r="I43" s="177" t="b">
        <v>0</v>
      </c>
      <c r="J43" s="177" t="b">
        <v>0</v>
      </c>
      <c r="K43" s="177" t="b">
        <v>1</v>
      </c>
      <c r="L43" s="60"/>
      <c r="M43" s="60"/>
      <c r="N43" s="60" t="str">
        <f>_xlfn.IFNA(VLOOKUP($M43,Buff.CM!$A:$O,13,FALSE),"")</f>
        <v/>
      </c>
      <c r="O43" s="60" t="str">
        <f>_xlfn.IFNA(VLOOKUP($M43,Buff.CM!$A:$O,14,FALSE),"")</f>
        <v/>
      </c>
      <c r="P43" s="60" t="str">
        <f>_xlfn.IFNA(VLOOKUP($M43,Buff.CM!$A:$O,15,FALSE),"")</f>
        <v/>
      </c>
      <c r="Q43" s="178" t="b">
        <v>0</v>
      </c>
      <c r="R43" s="177" t="b">
        <v>0</v>
      </c>
    </row>
    <row r="44" spans="1:18" s="179" customFormat="1">
      <c r="A44" s="60" t="s">
        <v>6282</v>
      </c>
      <c r="B44" s="60"/>
      <c r="C44" s="60"/>
      <c r="D44" s="60">
        <v>5000</v>
      </c>
      <c r="E44" s="60">
        <v>0</v>
      </c>
      <c r="F44" s="60">
        <v>0</v>
      </c>
      <c r="G44" s="60" t="s">
        <v>6291</v>
      </c>
      <c r="H44" s="60"/>
      <c r="I44" s="177" t="b">
        <v>0</v>
      </c>
      <c r="J44" s="177" t="b">
        <v>0</v>
      </c>
      <c r="K44" s="177" t="b">
        <v>1</v>
      </c>
      <c r="L44" s="60"/>
      <c r="M44" s="60"/>
      <c r="N44" s="60" t="str">
        <f>_xlfn.IFNA(VLOOKUP($M44,Buff.CM!$A:$O,13,FALSE),"")</f>
        <v/>
      </c>
      <c r="O44" s="60" t="str">
        <f>_xlfn.IFNA(VLOOKUP($M44,Buff.CM!$A:$O,14,FALSE),"")</f>
        <v/>
      </c>
      <c r="P44" s="60" t="str">
        <f>_xlfn.IFNA(VLOOKUP($M44,Buff.CM!$A:$O,15,FALSE),"")</f>
        <v/>
      </c>
      <c r="Q44" s="178" t="b">
        <v>0</v>
      </c>
      <c r="R44" s="177" t="b">
        <v>0</v>
      </c>
    </row>
    <row r="45" spans="1:18" s="179" customFormat="1">
      <c r="A45" s="60" t="s">
        <v>6283</v>
      </c>
      <c r="B45" s="60"/>
      <c r="C45" s="60"/>
      <c r="D45" s="60">
        <v>5000</v>
      </c>
      <c r="E45" s="60">
        <v>0</v>
      </c>
      <c r="F45" s="60">
        <v>0</v>
      </c>
      <c r="G45" s="60" t="s">
        <v>6292</v>
      </c>
      <c r="H45" s="60"/>
      <c r="I45" s="177" t="b">
        <v>0</v>
      </c>
      <c r="J45" s="177" t="b">
        <v>0</v>
      </c>
      <c r="K45" s="177" t="b">
        <v>1</v>
      </c>
      <c r="L45" s="60"/>
      <c r="M45" s="60"/>
      <c r="N45" s="60" t="str">
        <f>_xlfn.IFNA(VLOOKUP($M45,Buff.CM!$A:$O,13,FALSE),"")</f>
        <v/>
      </c>
      <c r="O45" s="60" t="str">
        <f>_xlfn.IFNA(VLOOKUP($M45,Buff.CM!$A:$O,14,FALSE),"")</f>
        <v/>
      </c>
      <c r="P45" s="60" t="str">
        <f>_xlfn.IFNA(VLOOKUP($M45,Buff.CM!$A:$O,15,FALSE),"")</f>
        <v/>
      </c>
      <c r="Q45" s="178" t="b">
        <v>0</v>
      </c>
      <c r="R45" s="177" t="b">
        <v>0</v>
      </c>
    </row>
    <row r="46" spans="1:18" s="179" customFormat="1">
      <c r="A46" s="60" t="s">
        <v>6284</v>
      </c>
      <c r="B46" s="60"/>
      <c r="C46" s="60"/>
      <c r="D46" s="60">
        <v>5000</v>
      </c>
      <c r="E46" s="60">
        <v>0</v>
      </c>
      <c r="F46" s="60">
        <v>0</v>
      </c>
      <c r="G46" s="60" t="s">
        <v>6293</v>
      </c>
      <c r="H46" s="60"/>
      <c r="I46" s="177" t="b">
        <v>0</v>
      </c>
      <c r="J46" s="177" t="b">
        <v>0</v>
      </c>
      <c r="K46" s="177" t="b">
        <v>1</v>
      </c>
      <c r="L46" s="60"/>
      <c r="M46" s="60"/>
      <c r="N46" s="60" t="str">
        <f>_xlfn.IFNA(VLOOKUP($M46,Buff.CM!$A:$O,13,FALSE),"")</f>
        <v/>
      </c>
      <c r="O46" s="60" t="str">
        <f>_xlfn.IFNA(VLOOKUP($M46,Buff.CM!$A:$O,14,FALSE),"")</f>
        <v/>
      </c>
      <c r="P46" s="60" t="str">
        <f>_xlfn.IFNA(VLOOKUP($M46,Buff.CM!$A:$O,15,FALSE),"")</f>
        <v/>
      </c>
      <c r="Q46" s="178" t="b">
        <v>0</v>
      </c>
      <c r="R46" s="177" t="b">
        <v>0</v>
      </c>
    </row>
    <row r="47" spans="1:18" s="154" customFormat="1">
      <c r="A47" s="51" t="s">
        <v>6307</v>
      </c>
      <c r="B47" s="51"/>
      <c r="C47" s="51"/>
      <c r="D47" s="51">
        <v>2100</v>
      </c>
      <c r="E47" s="51">
        <v>0</v>
      </c>
      <c r="F47" s="51">
        <v>0</v>
      </c>
      <c r="G47" s="51" t="s">
        <v>6316</v>
      </c>
      <c r="H47" s="51"/>
      <c r="I47" s="87" t="b">
        <v>0</v>
      </c>
      <c r="J47" s="87" t="b">
        <v>0</v>
      </c>
      <c r="K47" s="87" t="b">
        <v>1</v>
      </c>
      <c r="L47" s="51" t="s">
        <v>317</v>
      </c>
      <c r="M47" s="51" t="s">
        <v>7248</v>
      </c>
      <c r="N47" s="51" t="str">
        <f>_xlfn.IFNA(VLOOKUP($M47,Buff.CM!$A:$O,13,FALSE),"")</f>
        <v>icon_battle_shield</v>
      </c>
      <c r="O47" s="51" t="str">
        <f>_xlfn.IFNA(VLOOKUP($M47,Buff.CM!$A:$O,14,FALSE),"")</f>
        <v>Buff.Name.Shield</v>
      </c>
      <c r="P47" s="51" t="str">
        <f>_xlfn.IFNA(VLOOKUP($M47,Buff.CM!$A:$O,15,FALSE),"")</f>
        <v>Buff.Desc.Shield</v>
      </c>
      <c r="Q47" s="71" t="b">
        <v>0</v>
      </c>
      <c r="R47" s="87" t="b">
        <v>0</v>
      </c>
    </row>
    <row r="48" spans="1:18" s="154" customFormat="1">
      <c r="A48" s="51" t="s">
        <v>6301</v>
      </c>
      <c r="B48" s="51"/>
      <c r="C48" s="51"/>
      <c r="D48" s="51">
        <v>2100</v>
      </c>
      <c r="E48" s="51">
        <v>0</v>
      </c>
      <c r="F48" s="51">
        <v>0</v>
      </c>
      <c r="G48" s="51" t="s">
        <v>6317</v>
      </c>
      <c r="H48" s="51"/>
      <c r="I48" s="87" t="b">
        <v>0</v>
      </c>
      <c r="J48" s="87" t="b">
        <v>0</v>
      </c>
      <c r="K48" s="87" t="b">
        <v>1</v>
      </c>
      <c r="L48" s="51" t="s">
        <v>317</v>
      </c>
      <c r="M48" s="51" t="s">
        <v>5461</v>
      </c>
      <c r="N48" s="51" t="str">
        <f>_xlfn.IFNA(VLOOKUP($M48,Buff.CM!$A:$O,13,FALSE),"")</f>
        <v>icon_battle_shield</v>
      </c>
      <c r="O48" s="51" t="str">
        <f>_xlfn.IFNA(VLOOKUP($M48,Buff.CM!$A:$O,14,FALSE),"")</f>
        <v>Buff.Name.Shield</v>
      </c>
      <c r="P48" s="51" t="str">
        <f>_xlfn.IFNA(VLOOKUP($M48,Buff.CM!$A:$O,15,FALSE),"")</f>
        <v>Buff.Desc.Shield</v>
      </c>
      <c r="Q48" s="71" t="b">
        <v>0</v>
      </c>
      <c r="R48" s="87" t="b">
        <v>0</v>
      </c>
    </row>
    <row r="49" spans="1:18" s="154" customFormat="1">
      <c r="A49" s="51" t="s">
        <v>6302</v>
      </c>
      <c r="B49" s="51"/>
      <c r="C49" s="51"/>
      <c r="D49" s="51">
        <v>2100</v>
      </c>
      <c r="E49" s="51">
        <v>0</v>
      </c>
      <c r="F49" s="51">
        <v>0</v>
      </c>
      <c r="G49" s="51" t="s">
        <v>6318</v>
      </c>
      <c r="H49" s="51"/>
      <c r="I49" s="87" t="b">
        <v>0</v>
      </c>
      <c r="J49" s="87" t="b">
        <v>0</v>
      </c>
      <c r="K49" s="87" t="b">
        <v>1</v>
      </c>
      <c r="L49" s="51" t="s">
        <v>317</v>
      </c>
      <c r="M49" s="51" t="s">
        <v>5461</v>
      </c>
      <c r="N49" s="51" t="str">
        <f>_xlfn.IFNA(VLOOKUP($M49,Buff.CM!$A:$O,13,FALSE),"")</f>
        <v>icon_battle_shield</v>
      </c>
      <c r="O49" s="51" t="str">
        <f>_xlfn.IFNA(VLOOKUP($M49,Buff.CM!$A:$O,14,FALSE),"")</f>
        <v>Buff.Name.Shield</v>
      </c>
      <c r="P49" s="51" t="str">
        <f>_xlfn.IFNA(VLOOKUP($M49,Buff.CM!$A:$O,15,FALSE),"")</f>
        <v>Buff.Desc.Shield</v>
      </c>
      <c r="Q49" s="71" t="b">
        <v>0</v>
      </c>
      <c r="R49" s="87" t="b">
        <v>0</v>
      </c>
    </row>
    <row r="50" spans="1:18" s="154" customFormat="1">
      <c r="A50" s="51" t="s">
        <v>6303</v>
      </c>
      <c r="B50" s="51"/>
      <c r="C50" s="51"/>
      <c r="D50" s="51">
        <v>2100</v>
      </c>
      <c r="E50" s="51">
        <v>0</v>
      </c>
      <c r="F50" s="51">
        <v>0</v>
      </c>
      <c r="G50" s="51" t="s">
        <v>6319</v>
      </c>
      <c r="H50" s="51"/>
      <c r="I50" s="87" t="b">
        <v>0</v>
      </c>
      <c r="J50" s="87" t="b">
        <v>0</v>
      </c>
      <c r="K50" s="87" t="b">
        <v>1</v>
      </c>
      <c r="L50" s="51" t="s">
        <v>317</v>
      </c>
      <c r="M50" s="51" t="s">
        <v>5461</v>
      </c>
      <c r="N50" s="51" t="str">
        <f>_xlfn.IFNA(VLOOKUP($M50,Buff.CM!$A:$O,13,FALSE),"")</f>
        <v>icon_battle_shield</v>
      </c>
      <c r="O50" s="51" t="str">
        <f>_xlfn.IFNA(VLOOKUP($M50,Buff.CM!$A:$O,14,FALSE),"")</f>
        <v>Buff.Name.Shield</v>
      </c>
      <c r="P50" s="51" t="str">
        <f>_xlfn.IFNA(VLOOKUP($M50,Buff.CM!$A:$O,15,FALSE),"")</f>
        <v>Buff.Desc.Shield</v>
      </c>
      <c r="Q50" s="71" t="b">
        <v>0</v>
      </c>
      <c r="R50" s="87" t="b">
        <v>0</v>
      </c>
    </row>
    <row r="51" spans="1:18" s="154" customFormat="1">
      <c r="A51" s="51" t="s">
        <v>6304</v>
      </c>
      <c r="B51" s="51"/>
      <c r="C51" s="51"/>
      <c r="D51" s="51">
        <v>2100</v>
      </c>
      <c r="E51" s="51">
        <v>0</v>
      </c>
      <c r="F51" s="51">
        <v>0</v>
      </c>
      <c r="G51" s="51" t="s">
        <v>6320</v>
      </c>
      <c r="H51" s="51"/>
      <c r="I51" s="87" t="b">
        <v>0</v>
      </c>
      <c r="J51" s="87" t="b">
        <v>0</v>
      </c>
      <c r="K51" s="87" t="b">
        <v>1</v>
      </c>
      <c r="L51" s="51" t="s">
        <v>317</v>
      </c>
      <c r="M51" s="51" t="s">
        <v>5461</v>
      </c>
      <c r="N51" s="51" t="str">
        <f>_xlfn.IFNA(VLOOKUP($M51,Buff.CM!$A:$O,13,FALSE),"")</f>
        <v>icon_battle_shield</v>
      </c>
      <c r="O51" s="51" t="str">
        <f>_xlfn.IFNA(VLOOKUP($M51,Buff.CM!$A:$O,14,FALSE),"")</f>
        <v>Buff.Name.Shield</v>
      </c>
      <c r="P51" s="51" t="str">
        <f>_xlfn.IFNA(VLOOKUP($M51,Buff.CM!$A:$O,15,FALSE),"")</f>
        <v>Buff.Desc.Shield</v>
      </c>
      <c r="Q51" s="71" t="b">
        <v>0</v>
      </c>
      <c r="R51" s="87" t="b">
        <v>0</v>
      </c>
    </row>
    <row r="52" spans="1:18" s="154" customFormat="1">
      <c r="A52" s="51" t="s">
        <v>6305</v>
      </c>
      <c r="B52" s="51"/>
      <c r="C52" s="51"/>
      <c r="D52" s="51">
        <v>2100</v>
      </c>
      <c r="E52" s="51">
        <v>0</v>
      </c>
      <c r="F52" s="51">
        <v>0</v>
      </c>
      <c r="G52" s="51" t="s">
        <v>6321</v>
      </c>
      <c r="H52" s="51"/>
      <c r="I52" s="87" t="b">
        <v>0</v>
      </c>
      <c r="J52" s="87" t="b">
        <v>0</v>
      </c>
      <c r="K52" s="87" t="b">
        <v>1</v>
      </c>
      <c r="L52" s="51" t="s">
        <v>317</v>
      </c>
      <c r="M52" s="51" t="s">
        <v>5461</v>
      </c>
      <c r="N52" s="51" t="str">
        <f>_xlfn.IFNA(VLOOKUP($M52,Buff.CM!$A:$O,13,FALSE),"")</f>
        <v>icon_battle_shield</v>
      </c>
      <c r="O52" s="51" t="str">
        <f>_xlfn.IFNA(VLOOKUP($M52,Buff.CM!$A:$O,14,FALSE),"")</f>
        <v>Buff.Name.Shield</v>
      </c>
      <c r="P52" s="51" t="str">
        <f>_xlfn.IFNA(VLOOKUP($M52,Buff.CM!$A:$O,15,FALSE),"")</f>
        <v>Buff.Desc.Shield</v>
      </c>
      <c r="Q52" s="71" t="b">
        <v>0</v>
      </c>
      <c r="R52" s="87" t="b">
        <v>0</v>
      </c>
    </row>
    <row r="53" spans="1:18" s="154" customFormat="1">
      <c r="A53" s="51" t="s">
        <v>6306</v>
      </c>
      <c r="B53" s="51"/>
      <c r="C53" s="51"/>
      <c r="D53" s="51">
        <v>2100</v>
      </c>
      <c r="E53" s="51">
        <v>0</v>
      </c>
      <c r="F53" s="51">
        <v>0</v>
      </c>
      <c r="G53" s="51" t="s">
        <v>6322</v>
      </c>
      <c r="H53" s="51"/>
      <c r="I53" s="87" t="b">
        <v>0</v>
      </c>
      <c r="J53" s="87" t="b">
        <v>0</v>
      </c>
      <c r="K53" s="87" t="b">
        <v>1</v>
      </c>
      <c r="L53" s="51" t="s">
        <v>317</v>
      </c>
      <c r="M53" s="51" t="s">
        <v>5461</v>
      </c>
      <c r="N53" s="51" t="str">
        <f>_xlfn.IFNA(VLOOKUP($M53,Buff.CM!$A:$O,13,FALSE),"")</f>
        <v>icon_battle_shield</v>
      </c>
      <c r="O53" s="51" t="str">
        <f>_xlfn.IFNA(VLOOKUP($M53,Buff.CM!$A:$O,14,FALSE),"")</f>
        <v>Buff.Name.Shield</v>
      </c>
      <c r="P53" s="51" t="str">
        <f>_xlfn.IFNA(VLOOKUP($M53,Buff.CM!$A:$O,15,FALSE),"")</f>
        <v>Buff.Desc.Shield</v>
      </c>
      <c r="Q53" s="71" t="b">
        <v>0</v>
      </c>
      <c r="R53" s="87" t="b">
        <v>0</v>
      </c>
    </row>
    <row r="54" spans="1:18" s="164" customFormat="1">
      <c r="A54" s="53" t="s">
        <v>7277</v>
      </c>
      <c r="B54" s="53"/>
      <c r="C54" s="53"/>
      <c r="D54" s="53">
        <v>1100</v>
      </c>
      <c r="E54" s="53">
        <v>0</v>
      </c>
      <c r="F54" s="53">
        <v>0</v>
      </c>
      <c r="G54" s="53" t="s">
        <v>7284</v>
      </c>
      <c r="H54" s="53"/>
      <c r="I54" s="99" t="b">
        <v>0</v>
      </c>
      <c r="J54" s="99" t="b">
        <v>0</v>
      </c>
      <c r="K54" s="99" t="b">
        <v>1</v>
      </c>
      <c r="L54" s="53" t="s">
        <v>317</v>
      </c>
      <c r="M54" s="53" t="s">
        <v>5929</v>
      </c>
      <c r="N54" s="53" t="str">
        <f>_xlfn.IFNA(VLOOKUP($M54,Buff.CM!$A:$O,13,FALSE),"")</f>
        <v>icon_battle_shield</v>
      </c>
      <c r="O54" s="53" t="str">
        <f>_xlfn.IFNA(VLOOKUP($M54,Buff.CM!$A:$O,14,FALSE),"")</f>
        <v>Buff.Name.Shield</v>
      </c>
      <c r="P54" s="53" t="str">
        <f>_xlfn.IFNA(VLOOKUP($M54,Buff.CM!$A:$O,15,FALSE),"")</f>
        <v>Buff.Desc.Shield</v>
      </c>
      <c r="Q54" s="56" t="b">
        <v>0</v>
      </c>
      <c r="R54" s="99" t="b">
        <v>0</v>
      </c>
    </row>
    <row r="55" spans="1:18" s="164" customFormat="1">
      <c r="A55" s="53" t="s">
        <v>7278</v>
      </c>
      <c r="B55" s="53"/>
      <c r="C55" s="53"/>
      <c r="D55" s="53">
        <v>1100</v>
      </c>
      <c r="E55" s="53">
        <v>0</v>
      </c>
      <c r="F55" s="53">
        <v>0</v>
      </c>
      <c r="G55" s="53" t="s">
        <v>7285</v>
      </c>
      <c r="H55" s="53"/>
      <c r="I55" s="99" t="b">
        <v>0</v>
      </c>
      <c r="J55" s="99" t="b">
        <v>0</v>
      </c>
      <c r="K55" s="99" t="b">
        <v>1</v>
      </c>
      <c r="L55" s="53" t="s">
        <v>317</v>
      </c>
      <c r="M55" s="53" t="s">
        <v>5461</v>
      </c>
      <c r="N55" s="53" t="str">
        <f>_xlfn.IFNA(VLOOKUP($M55,Buff.CM!$A:$O,13,FALSE),"")</f>
        <v>icon_battle_shield</v>
      </c>
      <c r="O55" s="53" t="str">
        <f>_xlfn.IFNA(VLOOKUP($M55,Buff.CM!$A:$O,14,FALSE),"")</f>
        <v>Buff.Name.Shield</v>
      </c>
      <c r="P55" s="53" t="str">
        <f>_xlfn.IFNA(VLOOKUP($M55,Buff.CM!$A:$O,15,FALSE),"")</f>
        <v>Buff.Desc.Shield</v>
      </c>
      <c r="Q55" s="56" t="b">
        <v>0</v>
      </c>
      <c r="R55" s="99" t="b">
        <v>0</v>
      </c>
    </row>
    <row r="56" spans="1:18" s="164" customFormat="1">
      <c r="A56" s="53" t="s">
        <v>7279</v>
      </c>
      <c r="B56" s="53"/>
      <c r="C56" s="53"/>
      <c r="D56" s="53">
        <v>1100</v>
      </c>
      <c r="E56" s="53">
        <v>0</v>
      </c>
      <c r="F56" s="53">
        <v>0</v>
      </c>
      <c r="G56" s="53" t="s">
        <v>7286</v>
      </c>
      <c r="H56" s="53"/>
      <c r="I56" s="99" t="b">
        <v>0</v>
      </c>
      <c r="J56" s="99" t="b">
        <v>0</v>
      </c>
      <c r="K56" s="99" t="b">
        <v>1</v>
      </c>
      <c r="L56" s="53" t="s">
        <v>317</v>
      </c>
      <c r="M56" s="53" t="s">
        <v>5461</v>
      </c>
      <c r="N56" s="53" t="str">
        <f>_xlfn.IFNA(VLOOKUP($M56,Buff.CM!$A:$O,13,FALSE),"")</f>
        <v>icon_battle_shield</v>
      </c>
      <c r="O56" s="53" t="str">
        <f>_xlfn.IFNA(VLOOKUP($M56,Buff.CM!$A:$O,14,FALSE),"")</f>
        <v>Buff.Name.Shield</v>
      </c>
      <c r="P56" s="53" t="str">
        <f>_xlfn.IFNA(VLOOKUP($M56,Buff.CM!$A:$O,15,FALSE),"")</f>
        <v>Buff.Desc.Shield</v>
      </c>
      <c r="Q56" s="56" t="b">
        <v>0</v>
      </c>
      <c r="R56" s="99" t="b">
        <v>0</v>
      </c>
    </row>
    <row r="57" spans="1:18" s="164" customFormat="1">
      <c r="A57" s="53" t="s">
        <v>7280</v>
      </c>
      <c r="B57" s="53"/>
      <c r="C57" s="53"/>
      <c r="D57" s="53">
        <v>1100</v>
      </c>
      <c r="E57" s="53">
        <v>0</v>
      </c>
      <c r="F57" s="53">
        <v>0</v>
      </c>
      <c r="G57" s="53" t="s">
        <v>7287</v>
      </c>
      <c r="H57" s="53"/>
      <c r="I57" s="99" t="b">
        <v>0</v>
      </c>
      <c r="J57" s="99" t="b">
        <v>0</v>
      </c>
      <c r="K57" s="99" t="b">
        <v>1</v>
      </c>
      <c r="L57" s="53" t="s">
        <v>317</v>
      </c>
      <c r="M57" s="53" t="s">
        <v>5461</v>
      </c>
      <c r="N57" s="53" t="str">
        <f>_xlfn.IFNA(VLOOKUP($M57,Buff.CM!$A:$O,13,FALSE),"")</f>
        <v>icon_battle_shield</v>
      </c>
      <c r="O57" s="53" t="str">
        <f>_xlfn.IFNA(VLOOKUP($M57,Buff.CM!$A:$O,14,FALSE),"")</f>
        <v>Buff.Name.Shield</v>
      </c>
      <c r="P57" s="53" t="str">
        <f>_xlfn.IFNA(VLOOKUP($M57,Buff.CM!$A:$O,15,FALSE),"")</f>
        <v>Buff.Desc.Shield</v>
      </c>
      <c r="Q57" s="56" t="b">
        <v>0</v>
      </c>
      <c r="R57" s="99" t="b">
        <v>0</v>
      </c>
    </row>
    <row r="58" spans="1:18" s="164" customFormat="1">
      <c r="A58" s="53" t="s">
        <v>7281</v>
      </c>
      <c r="B58" s="53"/>
      <c r="C58" s="53"/>
      <c r="D58" s="53">
        <v>1100</v>
      </c>
      <c r="E58" s="53">
        <v>0</v>
      </c>
      <c r="F58" s="53">
        <v>0</v>
      </c>
      <c r="G58" s="53" t="s">
        <v>7288</v>
      </c>
      <c r="H58" s="53"/>
      <c r="I58" s="99" t="b">
        <v>0</v>
      </c>
      <c r="J58" s="99" t="b">
        <v>0</v>
      </c>
      <c r="K58" s="99" t="b">
        <v>1</v>
      </c>
      <c r="L58" s="53" t="s">
        <v>317</v>
      </c>
      <c r="M58" s="53" t="s">
        <v>5461</v>
      </c>
      <c r="N58" s="53" t="str">
        <f>_xlfn.IFNA(VLOOKUP($M58,Buff.CM!$A:$O,13,FALSE),"")</f>
        <v>icon_battle_shield</v>
      </c>
      <c r="O58" s="53" t="str">
        <f>_xlfn.IFNA(VLOOKUP($M58,Buff.CM!$A:$O,14,FALSE),"")</f>
        <v>Buff.Name.Shield</v>
      </c>
      <c r="P58" s="53" t="str">
        <f>_xlfn.IFNA(VLOOKUP($M58,Buff.CM!$A:$O,15,FALSE),"")</f>
        <v>Buff.Desc.Shield</v>
      </c>
      <c r="Q58" s="56" t="b">
        <v>0</v>
      </c>
      <c r="R58" s="99" t="b">
        <v>0</v>
      </c>
    </row>
    <row r="59" spans="1:18" s="164" customFormat="1">
      <c r="A59" s="53" t="s">
        <v>7282</v>
      </c>
      <c r="B59" s="53"/>
      <c r="C59" s="53"/>
      <c r="D59" s="53">
        <v>1100</v>
      </c>
      <c r="E59" s="53">
        <v>0</v>
      </c>
      <c r="F59" s="53">
        <v>0</v>
      </c>
      <c r="G59" s="53" t="s">
        <v>7289</v>
      </c>
      <c r="H59" s="53"/>
      <c r="I59" s="99" t="b">
        <v>0</v>
      </c>
      <c r="J59" s="99" t="b">
        <v>0</v>
      </c>
      <c r="K59" s="99" t="b">
        <v>1</v>
      </c>
      <c r="L59" s="53" t="s">
        <v>317</v>
      </c>
      <c r="M59" s="53" t="s">
        <v>5461</v>
      </c>
      <c r="N59" s="53" t="str">
        <f>_xlfn.IFNA(VLOOKUP($M59,Buff.CM!$A:$O,13,FALSE),"")</f>
        <v>icon_battle_shield</v>
      </c>
      <c r="O59" s="53" t="str">
        <f>_xlfn.IFNA(VLOOKUP($M59,Buff.CM!$A:$O,14,FALSE),"")</f>
        <v>Buff.Name.Shield</v>
      </c>
      <c r="P59" s="53" t="str">
        <f>_xlfn.IFNA(VLOOKUP($M59,Buff.CM!$A:$O,15,FALSE),"")</f>
        <v>Buff.Desc.Shield</v>
      </c>
      <c r="Q59" s="56" t="b">
        <v>0</v>
      </c>
      <c r="R59" s="99" t="b">
        <v>0</v>
      </c>
    </row>
    <row r="60" spans="1:18" s="164" customFormat="1">
      <c r="A60" s="53" t="s">
        <v>7283</v>
      </c>
      <c r="B60" s="53"/>
      <c r="C60" s="53"/>
      <c r="D60" s="53">
        <v>1100</v>
      </c>
      <c r="E60" s="53">
        <v>0</v>
      </c>
      <c r="F60" s="53">
        <v>0</v>
      </c>
      <c r="G60" s="53" t="s">
        <v>7290</v>
      </c>
      <c r="H60" s="53"/>
      <c r="I60" s="99" t="b">
        <v>0</v>
      </c>
      <c r="J60" s="99" t="b">
        <v>0</v>
      </c>
      <c r="K60" s="99" t="b">
        <v>1</v>
      </c>
      <c r="L60" s="53" t="s">
        <v>317</v>
      </c>
      <c r="M60" s="53" t="s">
        <v>5461</v>
      </c>
      <c r="N60" s="53" t="str">
        <f>_xlfn.IFNA(VLOOKUP($M60,Buff.CM!$A:$O,13,FALSE),"")</f>
        <v>icon_battle_shield</v>
      </c>
      <c r="O60" s="53" t="str">
        <f>_xlfn.IFNA(VLOOKUP($M60,Buff.CM!$A:$O,14,FALSE),"")</f>
        <v>Buff.Name.Shield</v>
      </c>
      <c r="P60" s="53" t="str">
        <f>_xlfn.IFNA(VLOOKUP($M60,Buff.CM!$A:$O,15,FALSE),"")</f>
        <v>Buff.Desc.Shield</v>
      </c>
      <c r="Q60" s="56" t="b">
        <v>0</v>
      </c>
      <c r="R60" s="99" t="b">
        <v>0</v>
      </c>
    </row>
    <row r="61" spans="1:18" s="179" customFormat="1">
      <c r="A61" s="178" t="s">
        <v>6308</v>
      </c>
      <c r="B61" s="60"/>
      <c r="C61" s="60"/>
      <c r="D61" s="60">
        <v>1100</v>
      </c>
      <c r="E61" s="60">
        <v>0</v>
      </c>
      <c r="F61" s="60">
        <v>0</v>
      </c>
      <c r="G61" s="60" t="s">
        <v>1516</v>
      </c>
      <c r="H61" s="60"/>
      <c r="I61" s="177" t="b">
        <v>0</v>
      </c>
      <c r="J61" s="177" t="b">
        <v>0</v>
      </c>
      <c r="K61" s="87" t="b">
        <v>0</v>
      </c>
      <c r="L61" s="26" t="s">
        <v>175</v>
      </c>
      <c r="M61" s="60" t="s">
        <v>1516</v>
      </c>
      <c r="N61" s="60" t="str">
        <f>_xlfn.IFNA(VLOOKUP($M61,Buff.CM!$A:$O,13,FALSE),"")</f>
        <v>icon_battle_attack</v>
      </c>
      <c r="O61" s="60" t="str">
        <f>_xlfn.IFNA(VLOOKUP($M61,Buff.CM!$A:$O,14,FALSE),"")</f>
        <v>Buff.Name.Atk.Down.03</v>
      </c>
      <c r="P61" s="60" t="str">
        <f>_xlfn.IFNA(VLOOKUP($M61,Buff.CM!$A:$O,15,FALSE),"")</f>
        <v>Buff.Desc.Atk.Down.03</v>
      </c>
      <c r="Q61" s="178" t="b">
        <v>0</v>
      </c>
      <c r="R61" s="177" t="b">
        <v>0</v>
      </c>
    </row>
    <row r="62" spans="1:18" s="179" customFormat="1">
      <c r="A62" s="178" t="s">
        <v>6309</v>
      </c>
      <c r="B62" s="60"/>
      <c r="C62" s="60"/>
      <c r="D62" s="60">
        <v>1100</v>
      </c>
      <c r="E62" s="60">
        <v>0</v>
      </c>
      <c r="F62" s="60">
        <v>0</v>
      </c>
      <c r="G62" s="60" t="s">
        <v>1517</v>
      </c>
      <c r="H62" s="60"/>
      <c r="I62" s="177" t="b">
        <v>0</v>
      </c>
      <c r="J62" s="177" t="b">
        <v>0</v>
      </c>
      <c r="K62" s="87" t="b">
        <v>0</v>
      </c>
      <c r="L62" s="26" t="s">
        <v>175</v>
      </c>
      <c r="M62" s="60" t="s">
        <v>1517</v>
      </c>
      <c r="N62" s="60" t="str">
        <f>_xlfn.IFNA(VLOOKUP($M62,Buff.CM!$A:$O,13,FALSE),"")</f>
        <v>icon_battle_attack</v>
      </c>
      <c r="O62" s="60" t="str">
        <f>_xlfn.IFNA(VLOOKUP($M62,Buff.CM!$A:$O,14,FALSE),"")</f>
        <v>Buff.Name.Atk.Down.04</v>
      </c>
      <c r="P62" s="60" t="str">
        <f>_xlfn.IFNA(VLOOKUP($M62,Buff.CM!$A:$O,15,FALSE),"")</f>
        <v>Buff.Desc.Atk.Down.04</v>
      </c>
      <c r="Q62" s="178" t="b">
        <v>0</v>
      </c>
      <c r="R62" s="177" t="b">
        <v>0</v>
      </c>
    </row>
    <row r="63" spans="1:18" s="179" customFormat="1">
      <c r="A63" s="178" t="s">
        <v>6310</v>
      </c>
      <c r="B63" s="60"/>
      <c r="C63" s="60"/>
      <c r="D63" s="60">
        <v>1100</v>
      </c>
      <c r="E63" s="60">
        <v>0</v>
      </c>
      <c r="F63" s="60">
        <v>0</v>
      </c>
      <c r="G63" s="60" t="s">
        <v>1517</v>
      </c>
      <c r="H63" s="60"/>
      <c r="I63" s="177" t="b">
        <v>0</v>
      </c>
      <c r="J63" s="177" t="b">
        <v>0</v>
      </c>
      <c r="K63" s="87" t="b">
        <v>0</v>
      </c>
      <c r="L63" s="26" t="s">
        <v>175</v>
      </c>
      <c r="M63" s="60" t="s">
        <v>1517</v>
      </c>
      <c r="N63" s="60" t="str">
        <f>_xlfn.IFNA(VLOOKUP($M63,Buff.CM!$A:$O,13,FALSE),"")</f>
        <v>icon_battle_attack</v>
      </c>
      <c r="O63" s="60" t="str">
        <f>_xlfn.IFNA(VLOOKUP($M63,Buff.CM!$A:$O,14,FALSE),"")</f>
        <v>Buff.Name.Atk.Down.04</v>
      </c>
      <c r="P63" s="60" t="str">
        <f>_xlfn.IFNA(VLOOKUP($M63,Buff.CM!$A:$O,15,FALSE),"")</f>
        <v>Buff.Desc.Atk.Down.04</v>
      </c>
      <c r="Q63" s="178" t="b">
        <v>0</v>
      </c>
      <c r="R63" s="177" t="b">
        <v>0</v>
      </c>
    </row>
    <row r="64" spans="1:18" s="179" customFormat="1">
      <c r="A64" s="178" t="s">
        <v>6311</v>
      </c>
      <c r="B64" s="60"/>
      <c r="C64" s="60"/>
      <c r="D64" s="60">
        <v>1100</v>
      </c>
      <c r="E64" s="60">
        <v>0</v>
      </c>
      <c r="F64" s="60">
        <v>0</v>
      </c>
      <c r="G64" s="60" t="s">
        <v>1518</v>
      </c>
      <c r="H64" s="60"/>
      <c r="I64" s="177" t="b">
        <v>0</v>
      </c>
      <c r="J64" s="177" t="b">
        <v>0</v>
      </c>
      <c r="K64" s="87" t="b">
        <v>0</v>
      </c>
      <c r="L64" s="26" t="s">
        <v>175</v>
      </c>
      <c r="M64" s="60" t="s">
        <v>1518</v>
      </c>
      <c r="N64" s="60" t="str">
        <f>_xlfn.IFNA(VLOOKUP($M64,Buff.CM!$A:$O,13,FALSE),"")</f>
        <v>icon_battle_attack</v>
      </c>
      <c r="O64" s="60" t="str">
        <f>_xlfn.IFNA(VLOOKUP($M64,Buff.CM!$A:$O,14,FALSE),"")</f>
        <v>Buff.Name.Atk.Down.05</v>
      </c>
      <c r="P64" s="60" t="str">
        <f>_xlfn.IFNA(VLOOKUP($M64,Buff.CM!$A:$O,15,FALSE),"")</f>
        <v>Buff.Desc.Atk.Down.05</v>
      </c>
      <c r="Q64" s="178" t="b">
        <v>0</v>
      </c>
      <c r="R64" s="177" t="b">
        <v>0</v>
      </c>
    </row>
    <row r="65" spans="1:18" s="179" customFormat="1">
      <c r="A65" s="178" t="s">
        <v>6312</v>
      </c>
      <c r="B65" s="60"/>
      <c r="C65" s="60"/>
      <c r="D65" s="60">
        <v>1100</v>
      </c>
      <c r="E65" s="60">
        <v>0</v>
      </c>
      <c r="F65" s="60">
        <v>0</v>
      </c>
      <c r="G65" s="60" t="s">
        <v>1518</v>
      </c>
      <c r="H65" s="60"/>
      <c r="I65" s="177" t="b">
        <v>0</v>
      </c>
      <c r="J65" s="177" t="b">
        <v>0</v>
      </c>
      <c r="K65" s="87" t="b">
        <v>0</v>
      </c>
      <c r="L65" s="26" t="s">
        <v>175</v>
      </c>
      <c r="M65" s="60" t="s">
        <v>1518</v>
      </c>
      <c r="N65" s="60" t="str">
        <f>_xlfn.IFNA(VLOOKUP($M65,Buff.CM!$A:$O,13,FALSE),"")</f>
        <v>icon_battle_attack</v>
      </c>
      <c r="O65" s="60" t="str">
        <f>_xlfn.IFNA(VLOOKUP($M65,Buff.CM!$A:$O,14,FALSE),"")</f>
        <v>Buff.Name.Atk.Down.05</v>
      </c>
      <c r="P65" s="60" t="str">
        <f>_xlfn.IFNA(VLOOKUP($M65,Buff.CM!$A:$O,15,FALSE),"")</f>
        <v>Buff.Desc.Atk.Down.05</v>
      </c>
      <c r="Q65" s="178" t="b">
        <v>0</v>
      </c>
      <c r="R65" s="177" t="b">
        <v>0</v>
      </c>
    </row>
    <row r="66" spans="1:18" s="179" customFormat="1">
      <c r="A66" s="178" t="s">
        <v>6313</v>
      </c>
      <c r="B66" s="60"/>
      <c r="C66" s="60"/>
      <c r="D66" s="60">
        <v>1100</v>
      </c>
      <c r="E66" s="60">
        <v>0</v>
      </c>
      <c r="F66" s="60">
        <v>0</v>
      </c>
      <c r="G66" s="60" t="s">
        <v>1518</v>
      </c>
      <c r="H66" s="60"/>
      <c r="I66" s="177" t="b">
        <v>0</v>
      </c>
      <c r="J66" s="177" t="b">
        <v>0</v>
      </c>
      <c r="K66" s="87" t="b">
        <v>0</v>
      </c>
      <c r="L66" s="26" t="s">
        <v>175</v>
      </c>
      <c r="M66" s="60" t="s">
        <v>1518</v>
      </c>
      <c r="N66" s="60" t="str">
        <f>_xlfn.IFNA(VLOOKUP($M66,Buff.CM!$A:$O,13,FALSE),"")</f>
        <v>icon_battle_attack</v>
      </c>
      <c r="O66" s="60" t="str">
        <f>_xlfn.IFNA(VLOOKUP($M66,Buff.CM!$A:$O,14,FALSE),"")</f>
        <v>Buff.Name.Atk.Down.05</v>
      </c>
      <c r="P66" s="60" t="str">
        <f>_xlfn.IFNA(VLOOKUP($M66,Buff.CM!$A:$O,15,FALSE),"")</f>
        <v>Buff.Desc.Atk.Down.05</v>
      </c>
      <c r="Q66" s="178" t="b">
        <v>0</v>
      </c>
      <c r="R66" s="177" t="b">
        <v>0</v>
      </c>
    </row>
    <row r="67" spans="1:18" s="179" customFormat="1">
      <c r="A67" s="178" t="s">
        <v>6314</v>
      </c>
      <c r="B67" s="60"/>
      <c r="C67" s="60"/>
      <c r="D67" s="60">
        <v>1100</v>
      </c>
      <c r="E67" s="60">
        <v>0</v>
      </c>
      <c r="F67" s="60">
        <v>0</v>
      </c>
      <c r="G67" s="60" t="s">
        <v>1518</v>
      </c>
      <c r="H67" s="60"/>
      <c r="I67" s="177" t="b">
        <v>0</v>
      </c>
      <c r="J67" s="177" t="b">
        <v>0</v>
      </c>
      <c r="K67" s="87" t="b">
        <v>0</v>
      </c>
      <c r="L67" s="26" t="s">
        <v>175</v>
      </c>
      <c r="M67" s="60" t="s">
        <v>1518</v>
      </c>
      <c r="N67" s="60" t="str">
        <f>_xlfn.IFNA(VLOOKUP($M67,Buff.CM!$A:$O,13,FALSE),"")</f>
        <v>icon_battle_attack</v>
      </c>
      <c r="O67" s="60" t="str">
        <f>_xlfn.IFNA(VLOOKUP($M67,Buff.CM!$A:$O,14,FALSE),"")</f>
        <v>Buff.Name.Atk.Down.05</v>
      </c>
      <c r="P67" s="60" t="str">
        <f>_xlfn.IFNA(VLOOKUP($M67,Buff.CM!$A:$O,15,FALSE),"")</f>
        <v>Buff.Desc.Atk.Down.05</v>
      </c>
      <c r="Q67" s="178" t="b">
        <v>0</v>
      </c>
      <c r="R67" s="177" t="b">
        <v>0</v>
      </c>
    </row>
    <row r="68" spans="1:18" s="154" customFormat="1">
      <c r="A68" s="157" t="s">
        <v>6389</v>
      </c>
      <c r="B68" s="51"/>
      <c r="C68" s="51"/>
      <c r="D68" s="51">
        <v>7000</v>
      </c>
      <c r="E68" s="51">
        <v>0</v>
      </c>
      <c r="F68" s="51">
        <v>0</v>
      </c>
      <c r="G68" s="157" t="s">
        <v>6395</v>
      </c>
      <c r="H68" s="51"/>
      <c r="I68" s="87" t="b">
        <v>0</v>
      </c>
      <c r="J68" s="87" t="b">
        <v>0</v>
      </c>
      <c r="K68" s="87" t="b">
        <v>1</v>
      </c>
      <c r="L68" s="51" t="s">
        <v>317</v>
      </c>
      <c r="M68" s="51" t="s">
        <v>7247</v>
      </c>
      <c r="N68" s="51" t="str">
        <f>_xlfn.IFNA(VLOOKUP($M68,Buff.CM!$A:$O,13,FALSE),"")</f>
        <v>icon_battle_shield</v>
      </c>
      <c r="O68" s="51" t="str">
        <f>_xlfn.IFNA(VLOOKUP($M68,Buff.CM!$A:$O,14,FALSE),"")</f>
        <v>Buff.Name.Shield</v>
      </c>
      <c r="P68" s="51" t="str">
        <f>_xlfn.IFNA(VLOOKUP($M68,Buff.CM!$A:$O,15,FALSE),"")</f>
        <v>Buff.Desc.Shield</v>
      </c>
      <c r="Q68" s="71" t="b">
        <v>0</v>
      </c>
      <c r="R68" s="87" t="b">
        <v>0</v>
      </c>
    </row>
    <row r="69" spans="1:18" s="154" customFormat="1">
      <c r="A69" s="157" t="s">
        <v>6390</v>
      </c>
      <c r="B69" s="51"/>
      <c r="C69" s="51"/>
      <c r="D69" s="51">
        <v>7000</v>
      </c>
      <c r="E69" s="51">
        <v>0</v>
      </c>
      <c r="F69" s="51">
        <v>0</v>
      </c>
      <c r="G69" s="157" t="s">
        <v>6396</v>
      </c>
      <c r="H69" s="51"/>
      <c r="I69" s="87" t="b">
        <v>0</v>
      </c>
      <c r="J69" s="87" t="b">
        <v>0</v>
      </c>
      <c r="K69" s="87" t="b">
        <v>1</v>
      </c>
      <c r="L69" s="51" t="s">
        <v>317</v>
      </c>
      <c r="M69" s="51" t="s">
        <v>5461</v>
      </c>
      <c r="N69" s="51" t="str">
        <f>_xlfn.IFNA(VLOOKUP($M69,Buff.CM!$A:$O,13,FALSE),"")</f>
        <v>icon_battle_shield</v>
      </c>
      <c r="O69" s="51" t="str">
        <f>_xlfn.IFNA(VLOOKUP($M69,Buff.CM!$A:$O,14,FALSE),"")</f>
        <v>Buff.Name.Shield</v>
      </c>
      <c r="P69" s="51" t="str">
        <f>_xlfn.IFNA(VLOOKUP($M69,Buff.CM!$A:$O,15,FALSE),"")</f>
        <v>Buff.Desc.Shield</v>
      </c>
      <c r="Q69" s="71" t="b">
        <v>0</v>
      </c>
      <c r="R69" s="87" t="b">
        <v>0</v>
      </c>
    </row>
    <row r="70" spans="1:18" s="154" customFormat="1">
      <c r="A70" s="157" t="s">
        <v>6391</v>
      </c>
      <c r="B70" s="51"/>
      <c r="C70" s="51"/>
      <c r="D70" s="51">
        <v>7000</v>
      </c>
      <c r="E70" s="51">
        <v>0</v>
      </c>
      <c r="F70" s="51">
        <v>0</v>
      </c>
      <c r="G70" s="157" t="s">
        <v>6397</v>
      </c>
      <c r="H70" s="51"/>
      <c r="I70" s="87" t="b">
        <v>0</v>
      </c>
      <c r="J70" s="87" t="b">
        <v>0</v>
      </c>
      <c r="K70" s="87" t="b">
        <v>1</v>
      </c>
      <c r="L70" s="51" t="s">
        <v>317</v>
      </c>
      <c r="M70" s="51" t="s">
        <v>5461</v>
      </c>
      <c r="N70" s="51" t="str">
        <f>_xlfn.IFNA(VLOOKUP($M70,Buff.CM!$A:$O,13,FALSE),"")</f>
        <v>icon_battle_shield</v>
      </c>
      <c r="O70" s="51" t="str">
        <f>_xlfn.IFNA(VLOOKUP($M70,Buff.CM!$A:$O,14,FALSE),"")</f>
        <v>Buff.Name.Shield</v>
      </c>
      <c r="P70" s="51" t="str">
        <f>_xlfn.IFNA(VLOOKUP($M70,Buff.CM!$A:$O,15,FALSE),"")</f>
        <v>Buff.Desc.Shield</v>
      </c>
      <c r="Q70" s="71" t="b">
        <v>0</v>
      </c>
      <c r="R70" s="87" t="b">
        <v>0</v>
      </c>
    </row>
    <row r="71" spans="1:18" s="154" customFormat="1">
      <c r="A71" s="157" t="s">
        <v>6392</v>
      </c>
      <c r="B71" s="51"/>
      <c r="C71" s="51"/>
      <c r="D71" s="51">
        <v>7000</v>
      </c>
      <c r="E71" s="51">
        <v>0</v>
      </c>
      <c r="F71" s="51">
        <v>0</v>
      </c>
      <c r="G71" s="157" t="s">
        <v>6398</v>
      </c>
      <c r="H71" s="51"/>
      <c r="I71" s="87" t="b">
        <v>0</v>
      </c>
      <c r="J71" s="87" t="b">
        <v>0</v>
      </c>
      <c r="K71" s="87" t="b">
        <v>1</v>
      </c>
      <c r="L71" s="51" t="s">
        <v>317</v>
      </c>
      <c r="M71" s="51" t="s">
        <v>5461</v>
      </c>
      <c r="N71" s="51" t="str">
        <f>_xlfn.IFNA(VLOOKUP($M71,Buff.CM!$A:$O,13,FALSE),"")</f>
        <v>icon_battle_shield</v>
      </c>
      <c r="O71" s="51" t="str">
        <f>_xlfn.IFNA(VLOOKUP($M71,Buff.CM!$A:$O,14,FALSE),"")</f>
        <v>Buff.Name.Shield</v>
      </c>
      <c r="P71" s="51" t="str">
        <f>_xlfn.IFNA(VLOOKUP($M71,Buff.CM!$A:$O,15,FALSE),"")</f>
        <v>Buff.Desc.Shield</v>
      </c>
      <c r="Q71" s="71" t="b">
        <v>0</v>
      </c>
      <c r="R71" s="87" t="b">
        <v>0</v>
      </c>
    </row>
    <row r="72" spans="1:18" s="154" customFormat="1">
      <c r="A72" s="157" t="s">
        <v>6393</v>
      </c>
      <c r="B72" s="51"/>
      <c r="C72" s="51"/>
      <c r="D72" s="51">
        <v>7000</v>
      </c>
      <c r="E72" s="51">
        <v>0</v>
      </c>
      <c r="F72" s="51">
        <v>0</v>
      </c>
      <c r="G72" s="157" t="s">
        <v>6399</v>
      </c>
      <c r="H72" s="51"/>
      <c r="I72" s="87" t="b">
        <v>0</v>
      </c>
      <c r="J72" s="87" t="b">
        <v>0</v>
      </c>
      <c r="K72" s="87" t="b">
        <v>1</v>
      </c>
      <c r="L72" s="51" t="s">
        <v>317</v>
      </c>
      <c r="M72" s="51" t="s">
        <v>5461</v>
      </c>
      <c r="N72" s="51" t="str">
        <f>_xlfn.IFNA(VLOOKUP($M72,Buff.CM!$A:$O,13,FALSE),"")</f>
        <v>icon_battle_shield</v>
      </c>
      <c r="O72" s="51" t="str">
        <f>_xlfn.IFNA(VLOOKUP($M72,Buff.CM!$A:$O,14,FALSE),"")</f>
        <v>Buff.Name.Shield</v>
      </c>
      <c r="P72" s="51" t="str">
        <f>_xlfn.IFNA(VLOOKUP($M72,Buff.CM!$A:$O,15,FALSE),"")</f>
        <v>Buff.Desc.Shield</v>
      </c>
      <c r="Q72" s="71" t="b">
        <v>0</v>
      </c>
      <c r="R72" s="87" t="b">
        <v>0</v>
      </c>
    </row>
    <row r="73" spans="1:18" s="154" customFormat="1">
      <c r="A73" s="157" t="s">
        <v>6394</v>
      </c>
      <c r="B73" s="51"/>
      <c r="C73" s="51"/>
      <c r="D73" s="51">
        <v>7000</v>
      </c>
      <c r="E73" s="51">
        <v>0</v>
      </c>
      <c r="F73" s="51">
        <v>0</v>
      </c>
      <c r="G73" s="157" t="s">
        <v>6400</v>
      </c>
      <c r="H73" s="51"/>
      <c r="I73" s="87" t="b">
        <v>0</v>
      </c>
      <c r="J73" s="87" t="b">
        <v>0</v>
      </c>
      <c r="K73" s="87" t="b">
        <v>1</v>
      </c>
      <c r="L73" s="51" t="s">
        <v>317</v>
      </c>
      <c r="M73" s="51" t="s">
        <v>5461</v>
      </c>
      <c r="N73" s="51" t="str">
        <f>_xlfn.IFNA(VLOOKUP($M73,Buff.CM!$A:$O,13,FALSE),"")</f>
        <v>icon_battle_shield</v>
      </c>
      <c r="O73" s="51" t="str">
        <f>_xlfn.IFNA(VLOOKUP($M73,Buff.CM!$A:$O,14,FALSE),"")</f>
        <v>Buff.Name.Shield</v>
      </c>
      <c r="P73" s="51" t="str">
        <f>_xlfn.IFNA(VLOOKUP($M73,Buff.CM!$A:$O,15,FALSE),"")</f>
        <v>Buff.Desc.Shield</v>
      </c>
      <c r="Q73" s="71" t="b">
        <v>0</v>
      </c>
      <c r="R73" s="87" t="b">
        <v>0</v>
      </c>
    </row>
    <row r="74" spans="1:18" s="164" customFormat="1">
      <c r="A74" s="186" t="s">
        <v>7249</v>
      </c>
      <c r="B74" s="53"/>
      <c r="C74" s="53"/>
      <c r="D74" s="53">
        <v>4000</v>
      </c>
      <c r="E74" s="53">
        <v>0</v>
      </c>
      <c r="F74" s="53">
        <v>0</v>
      </c>
      <c r="G74" s="186" t="s">
        <v>7255</v>
      </c>
      <c r="H74" s="53"/>
      <c r="I74" s="99" t="b">
        <v>0</v>
      </c>
      <c r="J74" s="99" t="b">
        <v>0</v>
      </c>
      <c r="K74" s="99" t="b">
        <v>1</v>
      </c>
      <c r="L74" s="53" t="s">
        <v>317</v>
      </c>
      <c r="M74" s="53" t="s">
        <v>5929</v>
      </c>
      <c r="N74" s="53" t="str">
        <f>_xlfn.IFNA(VLOOKUP($M74,Buff.CM!$A:$O,13,FALSE),"")</f>
        <v>icon_battle_shield</v>
      </c>
      <c r="O74" s="53" t="str">
        <f>_xlfn.IFNA(VLOOKUP($M74,Buff.CM!$A:$O,14,FALSE),"")</f>
        <v>Buff.Name.Shield</v>
      </c>
      <c r="P74" s="53" t="str">
        <f>_xlfn.IFNA(VLOOKUP($M74,Buff.CM!$A:$O,15,FALSE),"")</f>
        <v>Buff.Desc.Shield</v>
      </c>
      <c r="Q74" s="56" t="b">
        <v>0</v>
      </c>
      <c r="R74" s="99" t="b">
        <v>0</v>
      </c>
    </row>
    <row r="75" spans="1:18" s="164" customFormat="1">
      <c r="A75" s="186" t="s">
        <v>7250</v>
      </c>
      <c r="B75" s="53"/>
      <c r="C75" s="53"/>
      <c r="D75" s="53">
        <v>4000</v>
      </c>
      <c r="E75" s="53">
        <v>0</v>
      </c>
      <c r="F75" s="53">
        <v>0</v>
      </c>
      <c r="G75" s="186" t="s">
        <v>7256</v>
      </c>
      <c r="H75" s="53"/>
      <c r="I75" s="99" t="b">
        <v>0</v>
      </c>
      <c r="J75" s="99" t="b">
        <v>0</v>
      </c>
      <c r="K75" s="99" t="b">
        <v>1</v>
      </c>
      <c r="L75" s="53" t="s">
        <v>317</v>
      </c>
      <c r="M75" s="53" t="s">
        <v>5461</v>
      </c>
      <c r="N75" s="53" t="str">
        <f>_xlfn.IFNA(VLOOKUP($M75,Buff.CM!$A:$O,13,FALSE),"")</f>
        <v>icon_battle_shield</v>
      </c>
      <c r="O75" s="53" t="str">
        <f>_xlfn.IFNA(VLOOKUP($M75,Buff.CM!$A:$O,14,FALSE),"")</f>
        <v>Buff.Name.Shield</v>
      </c>
      <c r="P75" s="53" t="str">
        <f>_xlfn.IFNA(VLOOKUP($M75,Buff.CM!$A:$O,15,FALSE),"")</f>
        <v>Buff.Desc.Shield</v>
      </c>
      <c r="Q75" s="56" t="b">
        <v>0</v>
      </c>
      <c r="R75" s="99" t="b">
        <v>0</v>
      </c>
    </row>
    <row r="76" spans="1:18" s="164" customFormat="1">
      <c r="A76" s="186" t="s">
        <v>7251</v>
      </c>
      <c r="B76" s="53"/>
      <c r="C76" s="53"/>
      <c r="D76" s="53">
        <v>4000</v>
      </c>
      <c r="E76" s="53">
        <v>0</v>
      </c>
      <c r="F76" s="53">
        <v>0</v>
      </c>
      <c r="G76" s="186" t="s">
        <v>7257</v>
      </c>
      <c r="H76" s="53"/>
      <c r="I76" s="99" t="b">
        <v>0</v>
      </c>
      <c r="J76" s="99" t="b">
        <v>0</v>
      </c>
      <c r="K76" s="99" t="b">
        <v>1</v>
      </c>
      <c r="L76" s="53" t="s">
        <v>317</v>
      </c>
      <c r="M76" s="53" t="s">
        <v>5461</v>
      </c>
      <c r="N76" s="53" t="str">
        <f>_xlfn.IFNA(VLOOKUP($M76,Buff.CM!$A:$O,13,FALSE),"")</f>
        <v>icon_battle_shield</v>
      </c>
      <c r="O76" s="53" t="str">
        <f>_xlfn.IFNA(VLOOKUP($M76,Buff.CM!$A:$O,14,FALSE),"")</f>
        <v>Buff.Name.Shield</v>
      </c>
      <c r="P76" s="53" t="str">
        <f>_xlfn.IFNA(VLOOKUP($M76,Buff.CM!$A:$O,15,FALSE),"")</f>
        <v>Buff.Desc.Shield</v>
      </c>
      <c r="Q76" s="56" t="b">
        <v>0</v>
      </c>
      <c r="R76" s="99" t="b">
        <v>0</v>
      </c>
    </row>
    <row r="77" spans="1:18" s="164" customFormat="1">
      <c r="A77" s="186" t="s">
        <v>7252</v>
      </c>
      <c r="B77" s="53"/>
      <c r="C77" s="53"/>
      <c r="D77" s="53">
        <v>4000</v>
      </c>
      <c r="E77" s="53">
        <v>0</v>
      </c>
      <c r="F77" s="53">
        <v>0</v>
      </c>
      <c r="G77" s="186" t="s">
        <v>7258</v>
      </c>
      <c r="H77" s="53"/>
      <c r="I77" s="99" t="b">
        <v>0</v>
      </c>
      <c r="J77" s="99" t="b">
        <v>0</v>
      </c>
      <c r="K77" s="99" t="b">
        <v>1</v>
      </c>
      <c r="L77" s="53" t="s">
        <v>317</v>
      </c>
      <c r="M77" s="53" t="s">
        <v>5461</v>
      </c>
      <c r="N77" s="53" t="str">
        <f>_xlfn.IFNA(VLOOKUP($M77,Buff.CM!$A:$O,13,FALSE),"")</f>
        <v>icon_battle_shield</v>
      </c>
      <c r="O77" s="53" t="str">
        <f>_xlfn.IFNA(VLOOKUP($M77,Buff.CM!$A:$O,14,FALSE),"")</f>
        <v>Buff.Name.Shield</v>
      </c>
      <c r="P77" s="53" t="str">
        <f>_xlfn.IFNA(VLOOKUP($M77,Buff.CM!$A:$O,15,FALSE),"")</f>
        <v>Buff.Desc.Shield</v>
      </c>
      <c r="Q77" s="56" t="b">
        <v>0</v>
      </c>
      <c r="R77" s="99" t="b">
        <v>0</v>
      </c>
    </row>
    <row r="78" spans="1:18" s="164" customFormat="1">
      <c r="A78" s="186" t="s">
        <v>7253</v>
      </c>
      <c r="B78" s="53"/>
      <c r="C78" s="53"/>
      <c r="D78" s="53">
        <v>4000</v>
      </c>
      <c r="E78" s="53">
        <v>0</v>
      </c>
      <c r="F78" s="53">
        <v>0</v>
      </c>
      <c r="G78" s="186" t="s">
        <v>7259</v>
      </c>
      <c r="H78" s="53"/>
      <c r="I78" s="99" t="b">
        <v>0</v>
      </c>
      <c r="J78" s="99" t="b">
        <v>0</v>
      </c>
      <c r="K78" s="99" t="b">
        <v>1</v>
      </c>
      <c r="L78" s="53" t="s">
        <v>317</v>
      </c>
      <c r="M78" s="53" t="s">
        <v>5461</v>
      </c>
      <c r="N78" s="53" t="str">
        <f>_xlfn.IFNA(VLOOKUP($M78,Buff.CM!$A:$O,13,FALSE),"")</f>
        <v>icon_battle_shield</v>
      </c>
      <c r="O78" s="53" t="str">
        <f>_xlfn.IFNA(VLOOKUP($M78,Buff.CM!$A:$O,14,FALSE),"")</f>
        <v>Buff.Name.Shield</v>
      </c>
      <c r="P78" s="53" t="str">
        <f>_xlfn.IFNA(VLOOKUP($M78,Buff.CM!$A:$O,15,FALSE),"")</f>
        <v>Buff.Desc.Shield</v>
      </c>
      <c r="Q78" s="56" t="b">
        <v>0</v>
      </c>
      <c r="R78" s="99" t="b">
        <v>0</v>
      </c>
    </row>
    <row r="79" spans="1:18" s="164" customFormat="1">
      <c r="A79" s="186" t="s">
        <v>7254</v>
      </c>
      <c r="B79" s="53"/>
      <c r="C79" s="53"/>
      <c r="D79" s="53">
        <v>4000</v>
      </c>
      <c r="E79" s="53">
        <v>0</v>
      </c>
      <c r="F79" s="53">
        <v>0</v>
      </c>
      <c r="G79" s="186" t="s">
        <v>7260</v>
      </c>
      <c r="H79" s="53"/>
      <c r="I79" s="99" t="b">
        <v>0</v>
      </c>
      <c r="J79" s="99" t="b">
        <v>0</v>
      </c>
      <c r="K79" s="99" t="b">
        <v>1</v>
      </c>
      <c r="L79" s="53" t="s">
        <v>317</v>
      </c>
      <c r="M79" s="53" t="s">
        <v>5461</v>
      </c>
      <c r="N79" s="53" t="str">
        <f>_xlfn.IFNA(VLOOKUP($M79,Buff.CM!$A:$O,13,FALSE),"")</f>
        <v>icon_battle_shield</v>
      </c>
      <c r="O79" s="53" t="str">
        <f>_xlfn.IFNA(VLOOKUP($M79,Buff.CM!$A:$O,14,FALSE),"")</f>
        <v>Buff.Name.Shield</v>
      </c>
      <c r="P79" s="53" t="str">
        <f>_xlfn.IFNA(VLOOKUP($M79,Buff.CM!$A:$O,15,FALSE),"")</f>
        <v>Buff.Desc.Shield</v>
      </c>
      <c r="Q79" s="56" t="b">
        <v>0</v>
      </c>
      <c r="R79" s="99" t="b">
        <v>0</v>
      </c>
    </row>
    <row r="80" spans="1:18" s="154" customFormat="1">
      <c r="A80" s="71" t="s">
        <v>6323</v>
      </c>
      <c r="B80" s="51"/>
      <c r="C80" s="51"/>
      <c r="D80" s="51">
        <v>1000</v>
      </c>
      <c r="E80" s="51">
        <v>0</v>
      </c>
      <c r="F80" s="51">
        <v>0</v>
      </c>
      <c r="G80" s="51" t="s">
        <v>6447</v>
      </c>
      <c r="H80" s="51"/>
      <c r="I80" s="87" t="b">
        <v>0</v>
      </c>
      <c r="J80" s="87" t="b">
        <v>0</v>
      </c>
      <c r="K80" s="87" t="b">
        <v>0</v>
      </c>
      <c r="L80" s="51" t="s">
        <v>286</v>
      </c>
      <c r="M80" s="51" t="s">
        <v>7246</v>
      </c>
      <c r="N80" s="51" t="str">
        <f>_xlfn.IFNA(VLOOKUP($M80,Buff.CM!$A:$O,13,FALSE),"")</f>
        <v>icon_battle_provoke</v>
      </c>
      <c r="O80" s="51" t="str">
        <f>_xlfn.IFNA(VLOOKUP($M80,Buff.CM!$A:$O,14,FALSE),"")</f>
        <v>Buff.Name.Provoke</v>
      </c>
      <c r="P80" s="51" t="str">
        <f>_xlfn.IFNA(VLOOKUP($M80,Buff.CM!$A:$O,15,FALSE),"")</f>
        <v>Buff.Desc.Provoke</v>
      </c>
      <c r="Q80" s="71" t="b">
        <v>0</v>
      </c>
      <c r="R80" s="87" t="b">
        <v>0</v>
      </c>
    </row>
    <row r="81" spans="1:18" s="154" customFormat="1">
      <c r="A81" s="71" t="s">
        <v>6324</v>
      </c>
      <c r="B81" s="51"/>
      <c r="C81" s="51"/>
      <c r="D81" s="51">
        <v>1000</v>
      </c>
      <c r="E81" s="51">
        <v>0</v>
      </c>
      <c r="F81" s="51">
        <v>0</v>
      </c>
      <c r="G81" s="51" t="s">
        <v>6447</v>
      </c>
      <c r="H81" s="51"/>
      <c r="I81" s="87" t="b">
        <v>0</v>
      </c>
      <c r="J81" s="87" t="b">
        <v>0</v>
      </c>
      <c r="K81" s="87" t="b">
        <v>0</v>
      </c>
      <c r="L81" s="51" t="s">
        <v>286</v>
      </c>
      <c r="M81" s="51" t="s">
        <v>5462</v>
      </c>
      <c r="N81" s="51" t="str">
        <f>_xlfn.IFNA(VLOOKUP($M81,Buff.CM!$A:$O,13,FALSE),"")</f>
        <v>icon_battle_provoke</v>
      </c>
      <c r="O81" s="51" t="str">
        <f>_xlfn.IFNA(VLOOKUP($M81,Buff.CM!$A:$O,14,FALSE),"")</f>
        <v>Buff.Name.Provoke</v>
      </c>
      <c r="P81" s="51" t="str">
        <f>_xlfn.IFNA(VLOOKUP($M81,Buff.CM!$A:$O,15,FALSE),"")</f>
        <v>Buff.Desc.Provoke</v>
      </c>
      <c r="Q81" s="71" t="b">
        <v>0</v>
      </c>
      <c r="R81" s="87" t="b">
        <v>0</v>
      </c>
    </row>
    <row r="82" spans="1:18" s="154" customFormat="1">
      <c r="A82" s="71" t="s">
        <v>6325</v>
      </c>
      <c r="B82" s="51"/>
      <c r="C82" s="51"/>
      <c r="D82" s="51">
        <v>1000</v>
      </c>
      <c r="E82" s="51">
        <v>0</v>
      </c>
      <c r="F82" s="51">
        <v>0</v>
      </c>
      <c r="G82" s="51" t="s">
        <v>6447</v>
      </c>
      <c r="H82" s="51"/>
      <c r="I82" s="87" t="b">
        <v>0</v>
      </c>
      <c r="J82" s="87" t="b">
        <v>0</v>
      </c>
      <c r="K82" s="87" t="b">
        <v>0</v>
      </c>
      <c r="L82" s="51" t="s">
        <v>286</v>
      </c>
      <c r="M82" s="51" t="s">
        <v>5462</v>
      </c>
      <c r="N82" s="51" t="str">
        <f>_xlfn.IFNA(VLOOKUP($M82,Buff.CM!$A:$O,13,FALSE),"")</f>
        <v>icon_battle_provoke</v>
      </c>
      <c r="O82" s="51" t="str">
        <f>_xlfn.IFNA(VLOOKUP($M82,Buff.CM!$A:$O,14,FALSE),"")</f>
        <v>Buff.Name.Provoke</v>
      </c>
      <c r="P82" s="51" t="str">
        <f>_xlfn.IFNA(VLOOKUP($M82,Buff.CM!$A:$O,15,FALSE),"")</f>
        <v>Buff.Desc.Provoke</v>
      </c>
      <c r="Q82" s="71" t="b">
        <v>0</v>
      </c>
      <c r="R82" s="87" t="b">
        <v>0</v>
      </c>
    </row>
    <row r="83" spans="1:18" s="154" customFormat="1">
      <c r="A83" s="71" t="s">
        <v>6326</v>
      </c>
      <c r="B83" s="51"/>
      <c r="C83" s="51"/>
      <c r="D83" s="51">
        <v>1000</v>
      </c>
      <c r="E83" s="51">
        <v>0</v>
      </c>
      <c r="F83" s="51">
        <v>0</v>
      </c>
      <c r="G83" s="51" t="s">
        <v>6447</v>
      </c>
      <c r="H83" s="51"/>
      <c r="I83" s="87" t="b">
        <v>0</v>
      </c>
      <c r="J83" s="87" t="b">
        <v>0</v>
      </c>
      <c r="K83" s="87" t="b">
        <v>0</v>
      </c>
      <c r="L83" s="51" t="s">
        <v>286</v>
      </c>
      <c r="M83" s="51" t="s">
        <v>5462</v>
      </c>
      <c r="N83" s="51" t="str">
        <f>_xlfn.IFNA(VLOOKUP($M83,Buff.CM!$A:$O,13,FALSE),"")</f>
        <v>icon_battle_provoke</v>
      </c>
      <c r="O83" s="51" t="str">
        <f>_xlfn.IFNA(VLOOKUP($M83,Buff.CM!$A:$O,14,FALSE),"")</f>
        <v>Buff.Name.Provoke</v>
      </c>
      <c r="P83" s="51" t="str">
        <f>_xlfn.IFNA(VLOOKUP($M83,Buff.CM!$A:$O,15,FALSE),"")</f>
        <v>Buff.Desc.Provoke</v>
      </c>
      <c r="Q83" s="71" t="b">
        <v>0</v>
      </c>
      <c r="R83" s="87" t="b">
        <v>0</v>
      </c>
    </row>
    <row r="84" spans="1:18" s="154" customFormat="1">
      <c r="A84" s="71" t="s">
        <v>6327</v>
      </c>
      <c r="B84" s="51"/>
      <c r="C84" s="51"/>
      <c r="D84" s="51">
        <v>1000</v>
      </c>
      <c r="E84" s="51">
        <v>0</v>
      </c>
      <c r="F84" s="51">
        <v>0</v>
      </c>
      <c r="G84" s="51" t="s">
        <v>6447</v>
      </c>
      <c r="H84" s="51"/>
      <c r="I84" s="87" t="b">
        <v>0</v>
      </c>
      <c r="J84" s="87" t="b">
        <v>0</v>
      </c>
      <c r="K84" s="87" t="b">
        <v>0</v>
      </c>
      <c r="L84" s="51" t="s">
        <v>286</v>
      </c>
      <c r="M84" s="51" t="s">
        <v>5462</v>
      </c>
      <c r="N84" s="51" t="str">
        <f>_xlfn.IFNA(VLOOKUP($M84,Buff.CM!$A:$O,13,FALSE),"")</f>
        <v>icon_battle_provoke</v>
      </c>
      <c r="O84" s="51" t="str">
        <f>_xlfn.IFNA(VLOOKUP($M84,Buff.CM!$A:$O,14,FALSE),"")</f>
        <v>Buff.Name.Provoke</v>
      </c>
      <c r="P84" s="51" t="str">
        <f>_xlfn.IFNA(VLOOKUP($M84,Buff.CM!$A:$O,15,FALSE),"")</f>
        <v>Buff.Desc.Provoke</v>
      </c>
      <c r="Q84" s="71" t="b">
        <v>0</v>
      </c>
      <c r="R84" s="87" t="b">
        <v>0</v>
      </c>
    </row>
    <row r="85" spans="1:18" s="154" customFormat="1">
      <c r="A85" s="71" t="s">
        <v>6328</v>
      </c>
      <c r="B85" s="51"/>
      <c r="C85" s="51"/>
      <c r="D85" s="51">
        <v>1000</v>
      </c>
      <c r="E85" s="51">
        <v>0</v>
      </c>
      <c r="F85" s="51">
        <v>0</v>
      </c>
      <c r="G85" s="51" t="s">
        <v>6447</v>
      </c>
      <c r="H85" s="51"/>
      <c r="I85" s="87" t="b">
        <v>0</v>
      </c>
      <c r="J85" s="87" t="b">
        <v>0</v>
      </c>
      <c r="K85" s="87" t="b">
        <v>0</v>
      </c>
      <c r="L85" s="51" t="s">
        <v>286</v>
      </c>
      <c r="M85" s="51" t="s">
        <v>5462</v>
      </c>
      <c r="N85" s="51" t="str">
        <f>_xlfn.IFNA(VLOOKUP($M85,Buff.CM!$A:$O,13,FALSE),"")</f>
        <v>icon_battle_provoke</v>
      </c>
      <c r="O85" s="51" t="str">
        <f>_xlfn.IFNA(VLOOKUP($M85,Buff.CM!$A:$O,14,FALSE),"")</f>
        <v>Buff.Name.Provoke</v>
      </c>
      <c r="P85" s="51" t="str">
        <f>_xlfn.IFNA(VLOOKUP($M85,Buff.CM!$A:$O,15,FALSE),"")</f>
        <v>Buff.Desc.Provoke</v>
      </c>
      <c r="Q85" s="71" t="b">
        <v>0</v>
      </c>
      <c r="R85" s="87" t="b">
        <v>0</v>
      </c>
    </row>
    <row r="86" spans="1:18" s="164" customFormat="1">
      <c r="A86" s="56" t="s">
        <v>6329</v>
      </c>
      <c r="B86" s="53"/>
      <c r="C86" s="53"/>
      <c r="D86" s="53">
        <v>3000</v>
      </c>
      <c r="E86" s="53">
        <v>0</v>
      </c>
      <c r="F86" s="53">
        <v>0</v>
      </c>
      <c r="G86" s="53" t="s">
        <v>6448</v>
      </c>
      <c r="H86" s="53"/>
      <c r="I86" s="99" t="b">
        <v>0</v>
      </c>
      <c r="J86" s="99" t="b">
        <v>0</v>
      </c>
      <c r="K86" s="99" t="b">
        <v>0</v>
      </c>
      <c r="L86" s="53" t="s">
        <v>5715</v>
      </c>
      <c r="M86" s="53" t="s">
        <v>5927</v>
      </c>
      <c r="N86" s="53" t="str">
        <f>_xlfn.IFNA(VLOOKUP($M86,Buff.CM!$A:$O,13,FALSE),"")</f>
        <v>icon_battle_silence</v>
      </c>
      <c r="O86" s="53" t="str">
        <f>_xlfn.IFNA(VLOOKUP($M86,Buff.CM!$A:$O,14,FALSE),"")</f>
        <v>Buff.Name.Silence</v>
      </c>
      <c r="P86" s="53" t="str">
        <f>_xlfn.IFNA(VLOOKUP($M86,Buff.CM!$A:$O,15,FALSE),"")</f>
        <v>Buff.Desc.Silence</v>
      </c>
      <c r="Q86" s="56" t="b">
        <v>0</v>
      </c>
      <c r="R86" s="99" t="b">
        <v>0</v>
      </c>
    </row>
    <row r="87" spans="1:18" s="164" customFormat="1">
      <c r="A87" s="56" t="s">
        <v>6330</v>
      </c>
      <c r="B87" s="53"/>
      <c r="C87" s="53"/>
      <c r="D87" s="53">
        <v>3000</v>
      </c>
      <c r="E87" s="53">
        <v>0</v>
      </c>
      <c r="F87" s="53">
        <v>0</v>
      </c>
      <c r="G87" s="53" t="s">
        <v>6448</v>
      </c>
      <c r="H87" s="53"/>
      <c r="I87" s="99" t="b">
        <v>0</v>
      </c>
      <c r="J87" s="99" t="b">
        <v>0</v>
      </c>
      <c r="K87" s="99" t="b">
        <v>0</v>
      </c>
      <c r="L87" s="53" t="s">
        <v>5715</v>
      </c>
      <c r="M87" s="53" t="s">
        <v>6555</v>
      </c>
      <c r="N87" s="53" t="str">
        <f>_xlfn.IFNA(VLOOKUP($M87,Buff.CM!$A:$O,13,FALSE),"")</f>
        <v>icon_battle_silence</v>
      </c>
      <c r="O87" s="53" t="str">
        <f>_xlfn.IFNA(VLOOKUP($M87,Buff.CM!$A:$O,14,FALSE),"")</f>
        <v>Buff.Name.Silence</v>
      </c>
      <c r="P87" s="53" t="str">
        <f>_xlfn.IFNA(VLOOKUP($M87,Buff.CM!$A:$O,15,FALSE),"")</f>
        <v>Buff.Desc.Silence</v>
      </c>
      <c r="Q87" s="56" t="b">
        <v>0</v>
      </c>
      <c r="R87" s="99" t="b">
        <v>0</v>
      </c>
    </row>
    <row r="88" spans="1:18" s="164" customFormat="1">
      <c r="A88" s="56" t="s">
        <v>6331</v>
      </c>
      <c r="B88" s="53"/>
      <c r="C88" s="53"/>
      <c r="D88" s="53">
        <v>3000</v>
      </c>
      <c r="E88" s="53">
        <v>0</v>
      </c>
      <c r="F88" s="53">
        <v>0</v>
      </c>
      <c r="G88" s="53" t="s">
        <v>6448</v>
      </c>
      <c r="H88" s="53"/>
      <c r="I88" s="99" t="b">
        <v>0</v>
      </c>
      <c r="J88" s="99" t="b">
        <v>0</v>
      </c>
      <c r="K88" s="99" t="b">
        <v>0</v>
      </c>
      <c r="L88" s="53" t="s">
        <v>5715</v>
      </c>
      <c r="M88" s="53" t="s">
        <v>6555</v>
      </c>
      <c r="N88" s="53" t="str">
        <f>_xlfn.IFNA(VLOOKUP($M88,Buff.CM!$A:$O,13,FALSE),"")</f>
        <v>icon_battle_silence</v>
      </c>
      <c r="O88" s="53" t="str">
        <f>_xlfn.IFNA(VLOOKUP($M88,Buff.CM!$A:$O,14,FALSE),"")</f>
        <v>Buff.Name.Silence</v>
      </c>
      <c r="P88" s="53" t="str">
        <f>_xlfn.IFNA(VLOOKUP($M88,Buff.CM!$A:$O,15,FALSE),"")</f>
        <v>Buff.Desc.Silence</v>
      </c>
      <c r="Q88" s="56" t="b">
        <v>0</v>
      </c>
      <c r="R88" s="99" t="b">
        <v>0</v>
      </c>
    </row>
    <row r="89" spans="1:18" s="164" customFormat="1">
      <c r="A89" s="56" t="s">
        <v>6332</v>
      </c>
      <c r="B89" s="53"/>
      <c r="C89" s="53"/>
      <c r="D89" s="53">
        <v>3000</v>
      </c>
      <c r="E89" s="53">
        <v>0</v>
      </c>
      <c r="F89" s="53">
        <v>0</v>
      </c>
      <c r="G89" s="53" t="s">
        <v>6448</v>
      </c>
      <c r="H89" s="53"/>
      <c r="I89" s="99" t="b">
        <v>0</v>
      </c>
      <c r="J89" s="99" t="b">
        <v>0</v>
      </c>
      <c r="K89" s="99" t="b">
        <v>0</v>
      </c>
      <c r="L89" s="53" t="s">
        <v>5715</v>
      </c>
      <c r="M89" s="53" t="s">
        <v>6555</v>
      </c>
      <c r="N89" s="53" t="str">
        <f>_xlfn.IFNA(VLOOKUP($M89,Buff.CM!$A:$O,13,FALSE),"")</f>
        <v>icon_battle_silence</v>
      </c>
      <c r="O89" s="53" t="str">
        <f>_xlfn.IFNA(VLOOKUP($M89,Buff.CM!$A:$O,14,FALSE),"")</f>
        <v>Buff.Name.Silence</v>
      </c>
      <c r="P89" s="53" t="str">
        <f>_xlfn.IFNA(VLOOKUP($M89,Buff.CM!$A:$O,15,FALSE),"")</f>
        <v>Buff.Desc.Silence</v>
      </c>
      <c r="Q89" s="56" t="b">
        <v>0</v>
      </c>
      <c r="R89" s="99" t="b">
        <v>0</v>
      </c>
    </row>
    <row r="90" spans="1:18" s="164" customFormat="1">
      <c r="A90" s="56" t="s">
        <v>6333</v>
      </c>
      <c r="B90" s="53"/>
      <c r="C90" s="53"/>
      <c r="D90" s="53">
        <v>3000</v>
      </c>
      <c r="E90" s="53">
        <v>0</v>
      </c>
      <c r="F90" s="53">
        <v>0</v>
      </c>
      <c r="G90" s="53" t="s">
        <v>6448</v>
      </c>
      <c r="H90" s="53"/>
      <c r="I90" s="99" t="b">
        <v>0</v>
      </c>
      <c r="J90" s="99" t="b">
        <v>0</v>
      </c>
      <c r="K90" s="99" t="b">
        <v>0</v>
      </c>
      <c r="L90" s="53" t="s">
        <v>5715</v>
      </c>
      <c r="M90" s="53" t="s">
        <v>6555</v>
      </c>
      <c r="N90" s="53" t="str">
        <f>_xlfn.IFNA(VLOOKUP($M90,Buff.CM!$A:$O,13,FALSE),"")</f>
        <v>icon_battle_silence</v>
      </c>
      <c r="O90" s="53" t="str">
        <f>_xlfn.IFNA(VLOOKUP($M90,Buff.CM!$A:$O,14,FALSE),"")</f>
        <v>Buff.Name.Silence</v>
      </c>
      <c r="P90" s="53" t="str">
        <f>_xlfn.IFNA(VLOOKUP($M90,Buff.CM!$A:$O,15,FALSE),"")</f>
        <v>Buff.Desc.Silence</v>
      </c>
      <c r="Q90" s="56" t="b">
        <v>0</v>
      </c>
      <c r="R90" s="99" t="b">
        <v>0</v>
      </c>
    </row>
    <row r="91" spans="1:18" s="164" customFormat="1">
      <c r="A91" s="56" t="s">
        <v>6334</v>
      </c>
      <c r="B91" s="53"/>
      <c r="C91" s="53"/>
      <c r="D91" s="53">
        <v>3000</v>
      </c>
      <c r="E91" s="53">
        <v>0</v>
      </c>
      <c r="F91" s="53">
        <v>0</v>
      </c>
      <c r="G91" s="53" t="s">
        <v>6448</v>
      </c>
      <c r="H91" s="53"/>
      <c r="I91" s="99" t="b">
        <v>0</v>
      </c>
      <c r="J91" s="99" t="b">
        <v>0</v>
      </c>
      <c r="K91" s="99" t="b">
        <v>0</v>
      </c>
      <c r="L91" s="53" t="s">
        <v>5715</v>
      </c>
      <c r="M91" s="53" t="s">
        <v>6555</v>
      </c>
      <c r="N91" s="53" t="str">
        <f>_xlfn.IFNA(VLOOKUP($M91,Buff.CM!$A:$O,13,FALSE),"")</f>
        <v>icon_battle_silence</v>
      </c>
      <c r="O91" s="53" t="str">
        <f>_xlfn.IFNA(VLOOKUP($M91,Buff.CM!$A:$O,14,FALSE),"")</f>
        <v>Buff.Name.Silence</v>
      </c>
      <c r="P91" s="53" t="str">
        <f>_xlfn.IFNA(VLOOKUP($M91,Buff.CM!$A:$O,15,FALSE),"")</f>
        <v>Buff.Desc.Silence</v>
      </c>
      <c r="Q91" s="56" t="b">
        <v>0</v>
      </c>
      <c r="R91" s="99" t="b">
        <v>0</v>
      </c>
    </row>
    <row r="92" spans="1:18" s="154" customFormat="1" ht="66">
      <c r="A92" s="51" t="s">
        <v>6210</v>
      </c>
      <c r="B92" s="51"/>
      <c r="C92" s="51"/>
      <c r="D92" s="51">
        <v>0</v>
      </c>
      <c r="E92" s="51">
        <v>0</v>
      </c>
      <c r="F92" s="51">
        <v>0</v>
      </c>
      <c r="G92" s="52" t="s">
        <v>6433</v>
      </c>
      <c r="H92" s="51"/>
      <c r="I92" s="87" t="b">
        <v>0</v>
      </c>
      <c r="J92" s="87" t="b">
        <v>1</v>
      </c>
      <c r="K92" s="87" t="b">
        <v>1</v>
      </c>
      <c r="L92" s="51"/>
      <c r="M92" s="51"/>
      <c r="N92" s="51" t="str">
        <f>_xlfn.IFNA(VLOOKUP($M92,Buff.CM!$A:$O,13,FALSE),"")</f>
        <v/>
      </c>
      <c r="O92" s="51" t="str">
        <f>_xlfn.IFNA(VLOOKUP($M92,Buff.CM!$A:$O,14,FALSE),"")</f>
        <v/>
      </c>
      <c r="P92" s="51" t="str">
        <f>_xlfn.IFNA(VLOOKUP($M92,Buff.CM!$A:$O,15,FALSE),"")</f>
        <v/>
      </c>
      <c r="Q92" s="71" t="b">
        <v>0</v>
      </c>
      <c r="R92" s="87" t="b">
        <v>0</v>
      </c>
    </row>
    <row r="93" spans="1:18" s="154" customFormat="1" ht="66">
      <c r="A93" s="51" t="s">
        <v>1204</v>
      </c>
      <c r="B93" s="51"/>
      <c r="C93" s="51"/>
      <c r="D93" s="51">
        <v>0</v>
      </c>
      <c r="E93" s="51">
        <v>0</v>
      </c>
      <c r="F93" s="51">
        <v>0</v>
      </c>
      <c r="G93" s="52" t="s">
        <v>6434</v>
      </c>
      <c r="H93" s="51"/>
      <c r="I93" s="87" t="b">
        <v>0</v>
      </c>
      <c r="J93" s="87" t="b">
        <v>1</v>
      </c>
      <c r="K93" s="87" t="b">
        <v>1</v>
      </c>
      <c r="L93" s="51"/>
      <c r="M93" s="51"/>
      <c r="N93" s="51" t="str">
        <f>_xlfn.IFNA(VLOOKUP($M93,Buff.CM!$A:$O,13,FALSE),"")</f>
        <v/>
      </c>
      <c r="O93" s="51" t="str">
        <f>_xlfn.IFNA(VLOOKUP($M93,Buff.CM!$A:$O,14,FALSE),"")</f>
        <v/>
      </c>
      <c r="P93" s="51" t="str">
        <f>_xlfn.IFNA(VLOOKUP($M93,Buff.CM!$A:$O,15,FALSE),"")</f>
        <v/>
      </c>
      <c r="Q93" s="71" t="b">
        <v>0</v>
      </c>
      <c r="R93" s="87" t="b">
        <v>0</v>
      </c>
    </row>
    <row r="94" spans="1:18" s="154" customFormat="1" ht="66">
      <c r="A94" s="51" t="s">
        <v>1205</v>
      </c>
      <c r="B94" s="51"/>
      <c r="C94" s="51"/>
      <c r="D94" s="51">
        <v>0</v>
      </c>
      <c r="E94" s="51">
        <v>0</v>
      </c>
      <c r="F94" s="51">
        <v>0</v>
      </c>
      <c r="G94" s="52" t="s">
        <v>6435</v>
      </c>
      <c r="H94" s="51"/>
      <c r="I94" s="87" t="b">
        <v>0</v>
      </c>
      <c r="J94" s="87" t="b">
        <v>1</v>
      </c>
      <c r="K94" s="87" t="b">
        <v>1</v>
      </c>
      <c r="L94" s="51"/>
      <c r="M94" s="51"/>
      <c r="N94" s="51" t="str">
        <f>_xlfn.IFNA(VLOOKUP($M94,Buff.CM!$A:$O,13,FALSE),"")</f>
        <v/>
      </c>
      <c r="O94" s="51" t="str">
        <f>_xlfn.IFNA(VLOOKUP($M94,Buff.CM!$A:$O,14,FALSE),"")</f>
        <v/>
      </c>
      <c r="P94" s="51" t="str">
        <f>_xlfn.IFNA(VLOOKUP($M94,Buff.CM!$A:$O,15,FALSE),"")</f>
        <v/>
      </c>
      <c r="Q94" s="71" t="b">
        <v>0</v>
      </c>
      <c r="R94" s="87" t="b">
        <v>0</v>
      </c>
    </row>
    <row r="95" spans="1:18" s="154" customFormat="1" ht="66">
      <c r="A95" s="51" t="s">
        <v>1206</v>
      </c>
      <c r="B95" s="51"/>
      <c r="C95" s="51"/>
      <c r="D95" s="51">
        <v>0</v>
      </c>
      <c r="E95" s="51">
        <v>0</v>
      </c>
      <c r="F95" s="51">
        <v>0</v>
      </c>
      <c r="G95" s="52" t="s">
        <v>6436</v>
      </c>
      <c r="H95" s="51"/>
      <c r="I95" s="87" t="b">
        <v>0</v>
      </c>
      <c r="J95" s="87" t="b">
        <v>1</v>
      </c>
      <c r="K95" s="87" t="b">
        <v>1</v>
      </c>
      <c r="L95" s="51"/>
      <c r="M95" s="51"/>
      <c r="N95" s="51" t="str">
        <f>_xlfn.IFNA(VLOOKUP($M95,Buff.CM!$A:$O,13,FALSE),"")</f>
        <v/>
      </c>
      <c r="O95" s="51" t="str">
        <f>_xlfn.IFNA(VLOOKUP($M95,Buff.CM!$A:$O,14,FALSE),"")</f>
        <v/>
      </c>
      <c r="P95" s="51" t="str">
        <f>_xlfn.IFNA(VLOOKUP($M95,Buff.CM!$A:$O,15,FALSE),"")</f>
        <v/>
      </c>
      <c r="Q95" s="71" t="b">
        <v>0</v>
      </c>
      <c r="R95" s="87" t="b">
        <v>0</v>
      </c>
    </row>
    <row r="96" spans="1:18" s="154" customFormat="1" ht="66">
      <c r="A96" s="51" t="s">
        <v>1207</v>
      </c>
      <c r="B96" s="51"/>
      <c r="C96" s="51"/>
      <c r="D96" s="51">
        <v>0</v>
      </c>
      <c r="E96" s="51">
        <v>0</v>
      </c>
      <c r="F96" s="51">
        <v>0</v>
      </c>
      <c r="G96" s="52" t="s">
        <v>6437</v>
      </c>
      <c r="H96" s="51"/>
      <c r="I96" s="87" t="b">
        <v>0</v>
      </c>
      <c r="J96" s="87" t="b">
        <v>1</v>
      </c>
      <c r="K96" s="87" t="b">
        <v>1</v>
      </c>
      <c r="L96" s="51"/>
      <c r="M96" s="51"/>
      <c r="N96" s="51" t="str">
        <f>_xlfn.IFNA(VLOOKUP($M96,Buff.CM!$A:$O,13,FALSE),"")</f>
        <v/>
      </c>
      <c r="O96" s="51" t="str">
        <f>_xlfn.IFNA(VLOOKUP($M96,Buff.CM!$A:$O,14,FALSE),"")</f>
        <v/>
      </c>
      <c r="P96" s="51" t="str">
        <f>_xlfn.IFNA(VLOOKUP($M96,Buff.CM!$A:$O,15,FALSE),"")</f>
        <v/>
      </c>
      <c r="Q96" s="71" t="b">
        <v>0</v>
      </c>
      <c r="R96" s="87" t="b">
        <v>0</v>
      </c>
    </row>
    <row r="97" spans="1:18" s="154" customFormat="1" ht="66">
      <c r="A97" s="51" t="s">
        <v>1208</v>
      </c>
      <c r="B97" s="51"/>
      <c r="C97" s="51"/>
      <c r="D97" s="51">
        <v>0</v>
      </c>
      <c r="E97" s="51">
        <v>0</v>
      </c>
      <c r="F97" s="51">
        <v>0</v>
      </c>
      <c r="G97" s="52" t="s">
        <v>6438</v>
      </c>
      <c r="H97" s="51"/>
      <c r="I97" s="87" t="b">
        <v>0</v>
      </c>
      <c r="J97" s="87" t="b">
        <v>1</v>
      </c>
      <c r="K97" s="87" t="b">
        <v>1</v>
      </c>
      <c r="L97" s="51"/>
      <c r="M97" s="51"/>
      <c r="N97" s="51" t="str">
        <f>_xlfn.IFNA(VLOOKUP($M97,Buff.CM!$A:$O,13,FALSE),"")</f>
        <v/>
      </c>
      <c r="O97" s="51" t="str">
        <f>_xlfn.IFNA(VLOOKUP($M97,Buff.CM!$A:$O,14,FALSE),"")</f>
        <v/>
      </c>
      <c r="P97" s="51" t="str">
        <f>_xlfn.IFNA(VLOOKUP($M97,Buff.CM!$A:$O,15,FALSE),"")</f>
        <v/>
      </c>
      <c r="Q97" s="71" t="b">
        <v>0</v>
      </c>
      <c r="R97" s="87" t="b">
        <v>0</v>
      </c>
    </row>
    <row r="98" spans="1:18" s="164" customFormat="1" ht="33">
      <c r="A98" s="53" t="s">
        <v>6211</v>
      </c>
      <c r="B98" s="53"/>
      <c r="C98" s="53"/>
      <c r="D98" s="53">
        <v>2000</v>
      </c>
      <c r="E98" s="53">
        <v>3</v>
      </c>
      <c r="F98" s="53">
        <v>1</v>
      </c>
      <c r="G98" s="54" t="s">
        <v>6453</v>
      </c>
      <c r="H98" s="53"/>
      <c r="I98" s="99" t="b">
        <v>0</v>
      </c>
      <c r="J98" s="99" t="b">
        <v>1</v>
      </c>
      <c r="K98" s="99" t="b">
        <v>0</v>
      </c>
      <c r="L98" s="53"/>
      <c r="M98" s="53" t="s">
        <v>6387</v>
      </c>
      <c r="N98" s="53" t="str">
        <f>_xlfn.IFNA(VLOOKUP($M98,Buff.CM!$A:$O,13,FALSE),"")</f>
        <v>icon_battle_itus_buff_02</v>
      </c>
      <c r="O98" s="53" t="str">
        <f>_xlfn.IFNA(VLOOKUP($M98,Buff.CM!$A:$O,14,FALSE),"")</f>
        <v>info.itus.debuff.passive</v>
      </c>
      <c r="P98" s="53" t="str">
        <f>_xlfn.IFNA(VLOOKUP($M98,Buff.CM!$A:$O,15,FALSE),"")</f>
        <v>Desc.info.itus.debuff.passive</v>
      </c>
      <c r="Q98" s="56" t="b">
        <v>0</v>
      </c>
      <c r="R98" s="99" t="b">
        <v>0</v>
      </c>
    </row>
    <row r="99" spans="1:18" s="164" customFormat="1" ht="33">
      <c r="A99" s="53" t="s">
        <v>6212</v>
      </c>
      <c r="B99" s="53"/>
      <c r="C99" s="53"/>
      <c r="D99" s="53">
        <v>2000</v>
      </c>
      <c r="E99" s="53">
        <v>3</v>
      </c>
      <c r="F99" s="53">
        <v>1</v>
      </c>
      <c r="G99" s="54" t="s">
        <v>6454</v>
      </c>
      <c r="H99" s="53"/>
      <c r="I99" s="99" t="b">
        <v>0</v>
      </c>
      <c r="J99" s="99" t="b">
        <v>1</v>
      </c>
      <c r="K99" s="99" t="b">
        <v>0</v>
      </c>
      <c r="L99" s="53"/>
      <c r="M99" s="53" t="s">
        <v>6387</v>
      </c>
      <c r="N99" s="53" t="str">
        <f>_xlfn.IFNA(VLOOKUP($M99,Buff.CM!$A:$O,13,FALSE),"")</f>
        <v>icon_battle_itus_buff_02</v>
      </c>
      <c r="O99" s="53" t="str">
        <f>_xlfn.IFNA(VLOOKUP($M99,Buff.CM!$A:$O,14,FALSE),"")</f>
        <v>info.itus.debuff.passive</v>
      </c>
      <c r="P99" s="53" t="str">
        <f>_xlfn.IFNA(VLOOKUP($M99,Buff.CM!$A:$O,15,FALSE),"")</f>
        <v>Desc.info.itus.debuff.passive</v>
      </c>
      <c r="Q99" s="56" t="b">
        <v>0</v>
      </c>
      <c r="R99" s="99" t="b">
        <v>0</v>
      </c>
    </row>
    <row r="100" spans="1:18" s="164" customFormat="1" ht="33">
      <c r="A100" s="53" t="s">
        <v>6213</v>
      </c>
      <c r="B100" s="53"/>
      <c r="C100" s="53"/>
      <c r="D100" s="53">
        <v>2000</v>
      </c>
      <c r="E100" s="53">
        <v>3</v>
      </c>
      <c r="F100" s="53">
        <v>1</v>
      </c>
      <c r="G100" s="54" t="s">
        <v>6455</v>
      </c>
      <c r="H100" s="53"/>
      <c r="I100" s="99" t="b">
        <v>0</v>
      </c>
      <c r="J100" s="99" t="b">
        <v>1</v>
      </c>
      <c r="K100" s="99" t="b">
        <v>0</v>
      </c>
      <c r="L100" s="53"/>
      <c r="M100" s="53" t="s">
        <v>6387</v>
      </c>
      <c r="N100" s="53" t="str">
        <f>_xlfn.IFNA(VLOOKUP($M100,Buff.CM!$A:$O,13,FALSE),"")</f>
        <v>icon_battle_itus_buff_02</v>
      </c>
      <c r="O100" s="53" t="str">
        <f>_xlfn.IFNA(VLOOKUP($M100,Buff.CM!$A:$O,14,FALSE),"")</f>
        <v>info.itus.debuff.passive</v>
      </c>
      <c r="P100" s="53" t="str">
        <f>_xlfn.IFNA(VLOOKUP($M100,Buff.CM!$A:$O,15,FALSE),"")</f>
        <v>Desc.info.itus.debuff.passive</v>
      </c>
      <c r="Q100" s="56" t="b">
        <v>0</v>
      </c>
      <c r="R100" s="99" t="b">
        <v>0</v>
      </c>
    </row>
    <row r="101" spans="1:18" s="164" customFormat="1" ht="33">
      <c r="A101" s="53" t="s">
        <v>6214</v>
      </c>
      <c r="B101" s="53"/>
      <c r="C101" s="53"/>
      <c r="D101" s="53">
        <v>2000</v>
      </c>
      <c r="E101" s="53">
        <v>3</v>
      </c>
      <c r="F101" s="53">
        <v>1</v>
      </c>
      <c r="G101" s="54" t="s">
        <v>6456</v>
      </c>
      <c r="H101" s="53"/>
      <c r="I101" s="99" t="b">
        <v>0</v>
      </c>
      <c r="J101" s="99" t="b">
        <v>1</v>
      </c>
      <c r="K101" s="99" t="b">
        <v>0</v>
      </c>
      <c r="L101" s="53"/>
      <c r="M101" s="53" t="s">
        <v>6387</v>
      </c>
      <c r="N101" s="53" t="str">
        <f>_xlfn.IFNA(VLOOKUP($M101,Buff.CM!$A:$O,13,FALSE),"")</f>
        <v>icon_battle_itus_buff_02</v>
      </c>
      <c r="O101" s="53" t="str">
        <f>_xlfn.IFNA(VLOOKUP($M101,Buff.CM!$A:$O,14,FALSE),"")</f>
        <v>info.itus.debuff.passive</v>
      </c>
      <c r="P101" s="53" t="str">
        <f>_xlfn.IFNA(VLOOKUP($M101,Buff.CM!$A:$O,15,FALSE),"")</f>
        <v>Desc.info.itus.debuff.passive</v>
      </c>
      <c r="Q101" s="56" t="b">
        <v>0</v>
      </c>
      <c r="R101" s="99" t="b">
        <v>0</v>
      </c>
    </row>
    <row r="102" spans="1:18" s="164" customFormat="1" ht="33">
      <c r="A102" s="53" t="s">
        <v>6215</v>
      </c>
      <c r="B102" s="53"/>
      <c r="C102" s="53"/>
      <c r="D102" s="53">
        <v>2000</v>
      </c>
      <c r="E102" s="53">
        <v>3</v>
      </c>
      <c r="F102" s="53">
        <v>1</v>
      </c>
      <c r="G102" s="54" t="s">
        <v>6457</v>
      </c>
      <c r="H102" s="53"/>
      <c r="I102" s="99" t="b">
        <v>0</v>
      </c>
      <c r="J102" s="99" t="b">
        <v>1</v>
      </c>
      <c r="K102" s="99" t="b">
        <v>0</v>
      </c>
      <c r="L102" s="53"/>
      <c r="M102" s="53" t="s">
        <v>6387</v>
      </c>
      <c r="N102" s="53" t="str">
        <f>_xlfn.IFNA(VLOOKUP($M102,Buff.CM!$A:$O,13,FALSE),"")</f>
        <v>icon_battle_itus_buff_02</v>
      </c>
      <c r="O102" s="53" t="str">
        <f>_xlfn.IFNA(VLOOKUP($M102,Buff.CM!$A:$O,14,FALSE),"")</f>
        <v>info.itus.debuff.passive</v>
      </c>
      <c r="P102" s="53" t="str">
        <f>_xlfn.IFNA(VLOOKUP($M102,Buff.CM!$A:$O,15,FALSE),"")</f>
        <v>Desc.info.itus.debuff.passive</v>
      </c>
      <c r="Q102" s="56" t="b">
        <v>0</v>
      </c>
      <c r="R102" s="99" t="b">
        <v>0</v>
      </c>
    </row>
    <row r="103" spans="1:18" s="164" customFormat="1" ht="33">
      <c r="A103" s="53" t="s">
        <v>6216</v>
      </c>
      <c r="B103" s="53"/>
      <c r="C103" s="53"/>
      <c r="D103" s="53">
        <v>2000</v>
      </c>
      <c r="E103" s="53">
        <v>3</v>
      </c>
      <c r="F103" s="53">
        <v>1</v>
      </c>
      <c r="G103" s="54" t="s">
        <v>6458</v>
      </c>
      <c r="H103" s="53"/>
      <c r="I103" s="99" t="b">
        <v>0</v>
      </c>
      <c r="J103" s="99" t="b">
        <v>1</v>
      </c>
      <c r="K103" s="99" t="b">
        <v>0</v>
      </c>
      <c r="L103" s="53"/>
      <c r="M103" s="53" t="s">
        <v>6387</v>
      </c>
      <c r="N103" s="53" t="str">
        <f>_xlfn.IFNA(VLOOKUP($M103,Buff.CM!$A:$O,13,FALSE),"")</f>
        <v>icon_battle_itus_buff_02</v>
      </c>
      <c r="O103" s="53" t="str">
        <f>_xlfn.IFNA(VLOOKUP($M103,Buff.CM!$A:$O,14,FALSE),"")</f>
        <v>info.itus.debuff.passive</v>
      </c>
      <c r="P103" s="53" t="str">
        <f>_xlfn.IFNA(VLOOKUP($M103,Buff.CM!$A:$O,15,FALSE),"")</f>
        <v>Desc.info.itus.debuff.passive</v>
      </c>
      <c r="Q103" s="56" t="b">
        <v>0</v>
      </c>
      <c r="R103" s="99" t="b">
        <v>0</v>
      </c>
    </row>
    <row r="104" spans="1:18" s="154" customFormat="1" ht="33">
      <c r="A104" s="51" t="s">
        <v>6217</v>
      </c>
      <c r="B104" s="51"/>
      <c r="C104" s="51"/>
      <c r="D104" s="51">
        <v>0</v>
      </c>
      <c r="E104" s="51">
        <v>0</v>
      </c>
      <c r="F104" s="51">
        <v>0</v>
      </c>
      <c r="G104" s="52" t="s">
        <v>6407</v>
      </c>
      <c r="H104" s="51"/>
      <c r="I104" s="87" t="b">
        <v>0</v>
      </c>
      <c r="J104" s="87" t="b">
        <v>1</v>
      </c>
      <c r="K104" s="87" t="b">
        <v>1</v>
      </c>
      <c r="L104" s="51"/>
      <c r="M104" s="51"/>
      <c r="N104" s="51" t="str">
        <f>_xlfn.IFNA(VLOOKUP($M104,Buff.CM!$A:$O,13,FALSE),"")</f>
        <v/>
      </c>
      <c r="O104" s="51" t="str">
        <f>_xlfn.IFNA(VLOOKUP($M104,Buff.CM!$A:$O,14,FALSE),"")</f>
        <v/>
      </c>
      <c r="P104" s="51" t="str">
        <f>_xlfn.IFNA(VLOOKUP($M104,Buff.CM!$A:$O,15,FALSE),"")</f>
        <v/>
      </c>
      <c r="Q104" s="71" t="b">
        <v>0</v>
      </c>
      <c r="R104" s="87" t="b">
        <v>0</v>
      </c>
    </row>
    <row r="105" spans="1:18" s="154" customFormat="1" ht="33">
      <c r="A105" s="51" t="s">
        <v>6218</v>
      </c>
      <c r="B105" s="51"/>
      <c r="C105" s="51"/>
      <c r="D105" s="51">
        <v>0</v>
      </c>
      <c r="E105" s="51">
        <v>0</v>
      </c>
      <c r="F105" s="51">
        <v>0</v>
      </c>
      <c r="G105" s="52" t="s">
        <v>6408</v>
      </c>
      <c r="H105" s="51"/>
      <c r="I105" s="87" t="b">
        <v>0</v>
      </c>
      <c r="J105" s="87" t="b">
        <v>1</v>
      </c>
      <c r="K105" s="87" t="b">
        <v>1</v>
      </c>
      <c r="L105" s="51"/>
      <c r="M105" s="51"/>
      <c r="N105" s="51" t="str">
        <f>_xlfn.IFNA(VLOOKUP($M105,Buff.CM!$A:$O,13,FALSE),"")</f>
        <v/>
      </c>
      <c r="O105" s="51" t="str">
        <f>_xlfn.IFNA(VLOOKUP($M105,Buff.CM!$A:$O,14,FALSE),"")</f>
        <v/>
      </c>
      <c r="P105" s="51" t="str">
        <f>_xlfn.IFNA(VLOOKUP($M105,Buff.CM!$A:$O,15,FALSE),"")</f>
        <v/>
      </c>
      <c r="Q105" s="71" t="b">
        <v>0</v>
      </c>
      <c r="R105" s="87" t="b">
        <v>0</v>
      </c>
    </row>
    <row r="106" spans="1:18" s="154" customFormat="1" ht="33">
      <c r="A106" s="51" t="s">
        <v>6219</v>
      </c>
      <c r="B106" s="51"/>
      <c r="C106" s="51"/>
      <c r="D106" s="51">
        <v>0</v>
      </c>
      <c r="E106" s="51">
        <v>0</v>
      </c>
      <c r="F106" s="51">
        <v>0</v>
      </c>
      <c r="G106" s="52" t="s">
        <v>6409</v>
      </c>
      <c r="H106" s="51"/>
      <c r="I106" s="87" t="b">
        <v>0</v>
      </c>
      <c r="J106" s="87" t="b">
        <v>1</v>
      </c>
      <c r="K106" s="87" t="b">
        <v>1</v>
      </c>
      <c r="L106" s="51"/>
      <c r="M106" s="51"/>
      <c r="N106" s="51" t="str">
        <f>_xlfn.IFNA(VLOOKUP($M106,Buff.CM!$A:$O,13,FALSE),"")</f>
        <v/>
      </c>
      <c r="O106" s="51" t="str">
        <f>_xlfn.IFNA(VLOOKUP($M106,Buff.CM!$A:$O,14,FALSE),"")</f>
        <v/>
      </c>
      <c r="P106" s="51" t="str">
        <f>_xlfn.IFNA(VLOOKUP($M106,Buff.CM!$A:$O,15,FALSE),"")</f>
        <v/>
      </c>
      <c r="Q106" s="71" t="b">
        <v>0</v>
      </c>
      <c r="R106" s="87" t="b">
        <v>0</v>
      </c>
    </row>
    <row r="107" spans="1:18" s="154" customFormat="1" ht="33">
      <c r="A107" s="51" t="s">
        <v>6220</v>
      </c>
      <c r="B107" s="51"/>
      <c r="C107" s="51"/>
      <c r="D107" s="51">
        <v>0</v>
      </c>
      <c r="E107" s="51">
        <v>0</v>
      </c>
      <c r="F107" s="51">
        <v>0</v>
      </c>
      <c r="G107" s="52" t="s">
        <v>6410</v>
      </c>
      <c r="H107" s="51"/>
      <c r="I107" s="87" t="b">
        <v>0</v>
      </c>
      <c r="J107" s="87" t="b">
        <v>1</v>
      </c>
      <c r="K107" s="87" t="b">
        <v>1</v>
      </c>
      <c r="L107" s="51"/>
      <c r="M107" s="51"/>
      <c r="N107" s="51" t="str">
        <f>_xlfn.IFNA(VLOOKUP($M107,Buff.CM!$A:$O,13,FALSE),"")</f>
        <v/>
      </c>
      <c r="O107" s="51" t="str">
        <f>_xlfn.IFNA(VLOOKUP($M107,Buff.CM!$A:$O,14,FALSE),"")</f>
        <v/>
      </c>
      <c r="P107" s="51" t="str">
        <f>_xlfn.IFNA(VLOOKUP($M107,Buff.CM!$A:$O,15,FALSE),"")</f>
        <v/>
      </c>
      <c r="Q107" s="71" t="b">
        <v>0</v>
      </c>
      <c r="R107" s="87" t="b">
        <v>0</v>
      </c>
    </row>
    <row r="108" spans="1:18" s="154" customFormat="1" ht="33">
      <c r="A108" s="51" t="s">
        <v>6221</v>
      </c>
      <c r="B108" s="51"/>
      <c r="C108" s="51"/>
      <c r="D108" s="51">
        <v>0</v>
      </c>
      <c r="E108" s="51">
        <v>0</v>
      </c>
      <c r="F108" s="51">
        <v>0</v>
      </c>
      <c r="G108" s="52" t="s">
        <v>6411</v>
      </c>
      <c r="H108" s="51"/>
      <c r="I108" s="87" t="b">
        <v>0</v>
      </c>
      <c r="J108" s="87" t="b">
        <v>1</v>
      </c>
      <c r="K108" s="87" t="b">
        <v>1</v>
      </c>
      <c r="L108" s="51"/>
      <c r="M108" s="51"/>
      <c r="N108" s="51" t="str">
        <f>_xlfn.IFNA(VLOOKUP($M108,Buff.CM!$A:$O,13,FALSE),"")</f>
        <v/>
      </c>
      <c r="O108" s="51" t="str">
        <f>_xlfn.IFNA(VLOOKUP($M108,Buff.CM!$A:$O,14,FALSE),"")</f>
        <v/>
      </c>
      <c r="P108" s="51" t="str">
        <f>_xlfn.IFNA(VLOOKUP($M108,Buff.CM!$A:$O,15,FALSE),"")</f>
        <v/>
      </c>
      <c r="Q108" s="71" t="b">
        <v>0</v>
      </c>
      <c r="R108" s="87" t="b">
        <v>0</v>
      </c>
    </row>
    <row r="109" spans="1:18" s="154" customFormat="1" ht="33">
      <c r="A109" s="51" t="s">
        <v>6222</v>
      </c>
      <c r="B109" s="51"/>
      <c r="C109" s="51"/>
      <c r="D109" s="51">
        <v>0</v>
      </c>
      <c r="E109" s="51">
        <v>0</v>
      </c>
      <c r="F109" s="51">
        <v>0</v>
      </c>
      <c r="G109" s="52" t="s">
        <v>6412</v>
      </c>
      <c r="H109" s="51"/>
      <c r="I109" s="87" t="b">
        <v>0</v>
      </c>
      <c r="J109" s="87" t="b">
        <v>1</v>
      </c>
      <c r="K109" s="87" t="b">
        <v>1</v>
      </c>
      <c r="L109" s="51"/>
      <c r="M109" s="51"/>
      <c r="N109" s="51" t="str">
        <f>_xlfn.IFNA(VLOOKUP($M109,Buff.CM!$A:$O,13,FALSE),"")</f>
        <v/>
      </c>
      <c r="O109" s="51" t="str">
        <f>_xlfn.IFNA(VLOOKUP($M109,Buff.CM!$A:$O,14,FALSE),"")</f>
        <v/>
      </c>
      <c r="P109" s="51" t="str">
        <f>_xlfn.IFNA(VLOOKUP($M109,Buff.CM!$A:$O,15,FALSE),"")</f>
        <v/>
      </c>
      <c r="Q109" s="71" t="b">
        <v>0</v>
      </c>
      <c r="R109" s="87" t="b">
        <v>0</v>
      </c>
    </row>
    <row r="110" spans="1:18" s="164" customFormat="1" ht="49.5">
      <c r="A110" s="102" t="s">
        <v>6223</v>
      </c>
      <c r="B110" s="53"/>
      <c r="C110" s="53"/>
      <c r="D110" s="51">
        <v>0</v>
      </c>
      <c r="E110" s="53">
        <v>0</v>
      </c>
      <c r="F110" s="53">
        <v>0</v>
      </c>
      <c r="G110" s="54" t="s">
        <v>7261</v>
      </c>
      <c r="H110" s="53"/>
      <c r="I110" s="99" t="b">
        <v>0</v>
      </c>
      <c r="J110" s="99" t="b">
        <v>1</v>
      </c>
      <c r="K110" s="99" t="b">
        <v>1</v>
      </c>
      <c r="L110" s="53"/>
      <c r="M110" s="53" t="s">
        <v>6556</v>
      </c>
      <c r="N110" s="53" t="str">
        <f>_xlfn.IFNA(VLOOKUP($M110,Buff.CM!$A:$O,13,FALSE),"")</f>
        <v>icon_battle_itus_buff_03</v>
      </c>
      <c r="O110" s="53" t="str">
        <f>_xlfn.IFNA(VLOOKUP($M110,Buff.CM!$A:$O,14,FALSE),"")</f>
        <v>info.itus.buff.ex</v>
      </c>
      <c r="P110" s="53" t="str">
        <f>_xlfn.IFNA(VLOOKUP($M110,Buff.CM!$A:$O,15,FALSE),"")</f>
        <v>Desc.info.itus.buff.ex</v>
      </c>
      <c r="Q110" s="56" t="b">
        <v>0</v>
      </c>
      <c r="R110" s="99" t="b">
        <v>0</v>
      </c>
    </row>
    <row r="111" spans="1:18" s="164" customFormat="1" ht="49.5">
      <c r="A111" s="102" t="s">
        <v>6224</v>
      </c>
      <c r="B111" s="53"/>
      <c r="C111" s="53"/>
      <c r="D111" s="51">
        <v>0</v>
      </c>
      <c r="E111" s="53">
        <v>0</v>
      </c>
      <c r="F111" s="53">
        <v>0</v>
      </c>
      <c r="G111" s="54" t="s">
        <v>7262</v>
      </c>
      <c r="H111" s="53"/>
      <c r="I111" s="99" t="b">
        <v>0</v>
      </c>
      <c r="J111" s="99" t="b">
        <v>1</v>
      </c>
      <c r="K111" s="99" t="b">
        <v>1</v>
      </c>
      <c r="L111" s="53"/>
      <c r="M111" s="53" t="s">
        <v>6556</v>
      </c>
      <c r="N111" s="53" t="str">
        <f>_xlfn.IFNA(VLOOKUP($M111,Buff.CM!$A:$O,13,FALSE),"")</f>
        <v>icon_battle_itus_buff_03</v>
      </c>
      <c r="O111" s="53" t="str">
        <f>_xlfn.IFNA(VLOOKUP($M111,Buff.CM!$A:$O,14,FALSE),"")</f>
        <v>info.itus.buff.ex</v>
      </c>
      <c r="P111" s="53" t="str">
        <f>_xlfn.IFNA(VLOOKUP($M111,Buff.CM!$A:$O,15,FALSE),"")</f>
        <v>Desc.info.itus.buff.ex</v>
      </c>
      <c r="Q111" s="56" t="b">
        <v>0</v>
      </c>
      <c r="R111" s="99" t="b">
        <v>0</v>
      </c>
    </row>
    <row r="112" spans="1:18" s="164" customFormat="1" ht="49.5">
      <c r="A112" s="102" t="s">
        <v>6225</v>
      </c>
      <c r="B112" s="53"/>
      <c r="C112" s="53"/>
      <c r="D112" s="51">
        <v>0</v>
      </c>
      <c r="E112" s="53">
        <v>0</v>
      </c>
      <c r="F112" s="53">
        <v>0</v>
      </c>
      <c r="G112" s="54" t="s">
        <v>7263</v>
      </c>
      <c r="H112" s="53"/>
      <c r="I112" s="99" t="b">
        <v>0</v>
      </c>
      <c r="J112" s="99" t="b">
        <v>1</v>
      </c>
      <c r="K112" s="99" t="b">
        <v>1</v>
      </c>
      <c r="L112" s="53"/>
      <c r="M112" s="53" t="s">
        <v>6556</v>
      </c>
      <c r="N112" s="53" t="str">
        <f>_xlfn.IFNA(VLOOKUP($M112,Buff.CM!$A:$O,13,FALSE),"")</f>
        <v>icon_battle_itus_buff_03</v>
      </c>
      <c r="O112" s="53" t="str">
        <f>_xlfn.IFNA(VLOOKUP($M112,Buff.CM!$A:$O,14,FALSE),"")</f>
        <v>info.itus.buff.ex</v>
      </c>
      <c r="P112" s="53" t="str">
        <f>_xlfn.IFNA(VLOOKUP($M112,Buff.CM!$A:$O,15,FALSE),"")</f>
        <v>Desc.info.itus.buff.ex</v>
      </c>
      <c r="Q112" s="56" t="b">
        <v>0</v>
      </c>
      <c r="R112" s="99" t="b">
        <v>0</v>
      </c>
    </row>
    <row r="113" spans="1:18" s="164" customFormat="1" ht="49.5">
      <c r="A113" s="102" t="s">
        <v>6226</v>
      </c>
      <c r="B113" s="53"/>
      <c r="C113" s="53"/>
      <c r="D113" s="51">
        <v>0</v>
      </c>
      <c r="E113" s="53">
        <v>0</v>
      </c>
      <c r="F113" s="53">
        <v>0</v>
      </c>
      <c r="G113" s="54" t="s">
        <v>7264</v>
      </c>
      <c r="H113" s="53"/>
      <c r="I113" s="99" t="b">
        <v>0</v>
      </c>
      <c r="J113" s="99" t="b">
        <v>1</v>
      </c>
      <c r="K113" s="99" t="b">
        <v>1</v>
      </c>
      <c r="L113" s="53"/>
      <c r="M113" s="53" t="s">
        <v>6556</v>
      </c>
      <c r="N113" s="53" t="str">
        <f>_xlfn.IFNA(VLOOKUP($M113,Buff.CM!$A:$O,13,FALSE),"")</f>
        <v>icon_battle_itus_buff_03</v>
      </c>
      <c r="O113" s="53" t="str">
        <f>_xlfn.IFNA(VLOOKUP($M113,Buff.CM!$A:$O,14,FALSE),"")</f>
        <v>info.itus.buff.ex</v>
      </c>
      <c r="P113" s="53" t="str">
        <f>_xlfn.IFNA(VLOOKUP($M113,Buff.CM!$A:$O,15,FALSE),"")</f>
        <v>Desc.info.itus.buff.ex</v>
      </c>
      <c r="Q113" s="56" t="b">
        <v>0</v>
      </c>
      <c r="R113" s="99" t="b">
        <v>0</v>
      </c>
    </row>
    <row r="114" spans="1:18" s="164" customFormat="1" ht="49.5">
      <c r="A114" s="102" t="s">
        <v>6227</v>
      </c>
      <c r="B114" s="53"/>
      <c r="C114" s="53"/>
      <c r="D114" s="51">
        <v>0</v>
      </c>
      <c r="E114" s="53">
        <v>0</v>
      </c>
      <c r="F114" s="53">
        <v>0</v>
      </c>
      <c r="G114" s="54" t="s">
        <v>7265</v>
      </c>
      <c r="H114" s="53"/>
      <c r="I114" s="99" t="b">
        <v>0</v>
      </c>
      <c r="J114" s="99" t="b">
        <v>1</v>
      </c>
      <c r="K114" s="99" t="b">
        <v>1</v>
      </c>
      <c r="L114" s="53"/>
      <c r="M114" s="53" t="s">
        <v>6556</v>
      </c>
      <c r="N114" s="53" t="str">
        <f>_xlfn.IFNA(VLOOKUP($M114,Buff.CM!$A:$O,13,FALSE),"")</f>
        <v>icon_battle_itus_buff_03</v>
      </c>
      <c r="O114" s="53" t="str">
        <f>_xlfn.IFNA(VLOOKUP($M114,Buff.CM!$A:$O,14,FALSE),"")</f>
        <v>info.itus.buff.ex</v>
      </c>
      <c r="P114" s="53" t="str">
        <f>_xlfn.IFNA(VLOOKUP($M114,Buff.CM!$A:$O,15,FALSE),"")</f>
        <v>Desc.info.itus.buff.ex</v>
      </c>
      <c r="Q114" s="56" t="b">
        <v>0</v>
      </c>
      <c r="R114" s="99" t="b">
        <v>0</v>
      </c>
    </row>
    <row r="115" spans="1:18" s="164" customFormat="1" ht="49.5">
      <c r="A115" s="102" t="s">
        <v>6228</v>
      </c>
      <c r="B115" s="53"/>
      <c r="C115" s="53"/>
      <c r="D115" s="51">
        <v>0</v>
      </c>
      <c r="E115" s="53">
        <v>0</v>
      </c>
      <c r="F115" s="53">
        <v>0</v>
      </c>
      <c r="G115" s="54" t="s">
        <v>7266</v>
      </c>
      <c r="H115" s="53"/>
      <c r="I115" s="99" t="b">
        <v>0</v>
      </c>
      <c r="J115" s="99" t="b">
        <v>1</v>
      </c>
      <c r="K115" s="99" t="b">
        <v>1</v>
      </c>
      <c r="L115" s="53"/>
      <c r="M115" s="53" t="s">
        <v>6556</v>
      </c>
      <c r="N115" s="53" t="str">
        <f>_xlfn.IFNA(VLOOKUP($M115,Buff.CM!$A:$O,13,FALSE),"")</f>
        <v>icon_battle_itus_buff_03</v>
      </c>
      <c r="O115" s="53" t="str">
        <f>_xlfn.IFNA(VLOOKUP($M115,Buff.CM!$A:$O,14,FALSE),"")</f>
        <v>info.itus.buff.ex</v>
      </c>
      <c r="P115" s="53" t="str">
        <f>_xlfn.IFNA(VLOOKUP($M115,Buff.CM!$A:$O,15,FALSE),"")</f>
        <v>Desc.info.itus.buff.ex</v>
      </c>
      <c r="Q115" s="56" t="b">
        <v>0</v>
      </c>
      <c r="R115" s="99" t="b">
        <v>0</v>
      </c>
    </row>
    <row r="116" spans="1:18" s="13" customFormat="1">
      <c r="A116" s="14" t="s">
        <v>289</v>
      </c>
      <c r="B116" s="14"/>
      <c r="C116" s="14"/>
      <c r="D116" s="14">
        <v>0</v>
      </c>
      <c r="E116" s="14">
        <v>0</v>
      </c>
      <c r="F116" s="14">
        <v>0</v>
      </c>
      <c r="G116" s="14" t="s">
        <v>6477</v>
      </c>
      <c r="H116" s="14"/>
      <c r="I116" s="14" t="b">
        <v>0</v>
      </c>
      <c r="J116" s="14" t="b">
        <v>0</v>
      </c>
      <c r="K116" s="14" t="b">
        <v>1</v>
      </c>
      <c r="L116" s="14"/>
      <c r="M116" s="14"/>
      <c r="N116" s="14" t="str">
        <f>_xlfn.IFNA(VLOOKUP($M116,Buff.CM!$A:$O,13,FALSE),"")</f>
        <v/>
      </c>
      <c r="O116" s="14" t="str">
        <f>_xlfn.IFNA(VLOOKUP($M116,Buff.CM!$A:$O,14,FALSE),"")</f>
        <v/>
      </c>
      <c r="P116" s="14" t="str">
        <f>_xlfn.IFNA(VLOOKUP($M116,Buff.CM!$A:$O,15,FALSE),"")</f>
        <v/>
      </c>
      <c r="Q116" s="14" t="b">
        <v>0</v>
      </c>
      <c r="R116" s="14" t="b">
        <v>0</v>
      </c>
    </row>
    <row r="117" spans="1:18" s="13" customFormat="1">
      <c r="A117" s="14" t="s">
        <v>292</v>
      </c>
      <c r="B117" s="14"/>
      <c r="C117" s="14"/>
      <c r="D117" s="14">
        <v>0</v>
      </c>
      <c r="E117" s="14">
        <v>0</v>
      </c>
      <c r="F117" s="14">
        <v>0</v>
      </c>
      <c r="G117" s="14" t="s">
        <v>293</v>
      </c>
      <c r="H117" s="14"/>
      <c r="I117" s="14" t="b">
        <v>0</v>
      </c>
      <c r="J117" s="14" t="b">
        <v>0</v>
      </c>
      <c r="K117" s="14" t="b">
        <v>1</v>
      </c>
      <c r="L117" s="14"/>
      <c r="M117" s="14"/>
      <c r="N117" s="14" t="str">
        <f>_xlfn.IFNA(VLOOKUP($M117,Buff.CM!$A:$O,13,FALSE),"")</f>
        <v/>
      </c>
      <c r="O117" s="14" t="str">
        <f>_xlfn.IFNA(VLOOKUP($M117,Buff.CM!$A:$O,14,FALSE),"")</f>
        <v/>
      </c>
      <c r="P117" s="14" t="str">
        <f>_xlfn.IFNA(VLOOKUP($M117,Buff.CM!$A:$O,15,FALSE),"")</f>
        <v/>
      </c>
      <c r="Q117" s="14" t="b">
        <v>0</v>
      </c>
      <c r="R117" s="14" t="b">
        <v>0</v>
      </c>
    </row>
    <row r="118" spans="1:18" s="13" customFormat="1">
      <c r="A118" s="14" t="s">
        <v>294</v>
      </c>
      <c r="B118" s="14"/>
      <c r="C118" s="14"/>
      <c r="D118" s="14">
        <v>0</v>
      </c>
      <c r="E118" s="14">
        <v>0</v>
      </c>
      <c r="F118" s="14">
        <v>0</v>
      </c>
      <c r="G118" s="14" t="s">
        <v>295</v>
      </c>
      <c r="H118" s="14"/>
      <c r="I118" s="14" t="b">
        <v>0</v>
      </c>
      <c r="J118" s="14" t="b">
        <v>0</v>
      </c>
      <c r="K118" s="14" t="b">
        <v>1</v>
      </c>
      <c r="L118" s="14"/>
      <c r="M118" s="14"/>
      <c r="N118" s="14" t="str">
        <f>_xlfn.IFNA(VLOOKUP($M118,Buff.CM!$A:$O,13,FALSE),"")</f>
        <v/>
      </c>
      <c r="O118" s="14" t="str">
        <f>_xlfn.IFNA(VLOOKUP($M118,Buff.CM!$A:$O,14,FALSE),"")</f>
        <v/>
      </c>
      <c r="P118" s="14" t="str">
        <f>_xlfn.IFNA(VLOOKUP($M118,Buff.CM!$A:$O,15,FALSE),"")</f>
        <v/>
      </c>
      <c r="Q118" s="14" t="b">
        <v>0</v>
      </c>
      <c r="R118" s="14" t="b">
        <v>0</v>
      </c>
    </row>
    <row r="119" spans="1:18" s="13" customFormat="1">
      <c r="A119" s="14" t="s">
        <v>6478</v>
      </c>
      <c r="B119" s="14"/>
      <c r="C119" s="14"/>
      <c r="D119" s="14">
        <v>0</v>
      </c>
      <c r="E119" s="14">
        <v>0</v>
      </c>
      <c r="F119" s="14">
        <v>0</v>
      </c>
      <c r="G119" s="14" t="s">
        <v>6479</v>
      </c>
      <c r="H119" s="14"/>
      <c r="I119" s="14" t="b">
        <v>0</v>
      </c>
      <c r="J119" s="14" t="b">
        <v>0</v>
      </c>
      <c r="K119" s="14" t="b">
        <v>1</v>
      </c>
      <c r="L119" s="14"/>
      <c r="M119" s="14"/>
      <c r="N119" s="14" t="str">
        <f>_xlfn.IFNA(VLOOKUP($M119,Buff.CM!$A:$O,13,FALSE),"")</f>
        <v/>
      </c>
      <c r="O119" s="14" t="str">
        <f>_xlfn.IFNA(VLOOKUP($M119,Buff.CM!$A:$O,14,FALSE),"")</f>
        <v/>
      </c>
      <c r="P119" s="14" t="str">
        <f>_xlfn.IFNA(VLOOKUP($M119,Buff.CM!$A:$O,15,FALSE),"")</f>
        <v/>
      </c>
      <c r="Q119" s="14" t="b">
        <v>0</v>
      </c>
      <c r="R119" s="14" t="b">
        <v>0</v>
      </c>
    </row>
    <row r="120" spans="1:18" s="13" customFormat="1">
      <c r="A120" s="88" t="s">
        <v>6480</v>
      </c>
      <c r="B120" s="88"/>
      <c r="C120" s="88"/>
      <c r="D120" s="88">
        <v>0</v>
      </c>
      <c r="E120" s="88">
        <v>0</v>
      </c>
      <c r="F120" s="88">
        <v>0</v>
      </c>
      <c r="G120" s="88" t="s">
        <v>6481</v>
      </c>
      <c r="H120" s="88"/>
      <c r="I120" s="88" t="b">
        <v>0</v>
      </c>
      <c r="J120" s="88" t="b">
        <v>0</v>
      </c>
      <c r="K120" s="88" t="b">
        <v>1</v>
      </c>
      <c r="L120" s="88"/>
      <c r="M120" s="88"/>
      <c r="N120" s="88" t="str">
        <f>_xlfn.IFNA(VLOOKUP($M120,Buff.CM!$A:$O,13,FALSE),"")</f>
        <v/>
      </c>
      <c r="O120" s="88" t="str">
        <f>_xlfn.IFNA(VLOOKUP($M120,Buff.CM!$A:$O,14,FALSE),"")</f>
        <v/>
      </c>
      <c r="P120" s="88" t="str">
        <f>_xlfn.IFNA(VLOOKUP($M120,Buff.CM!$A:$O,15,FALSE),"")</f>
        <v/>
      </c>
      <c r="Q120" s="88" t="b">
        <v>0</v>
      </c>
      <c r="R120" s="88" t="b">
        <v>0</v>
      </c>
    </row>
    <row r="121" spans="1:18" s="13" customFormat="1">
      <c r="A121" s="88" t="s">
        <v>6482</v>
      </c>
      <c r="B121" s="88"/>
      <c r="C121" s="88"/>
      <c r="D121" s="88">
        <v>0</v>
      </c>
      <c r="E121" s="88">
        <v>0</v>
      </c>
      <c r="F121" s="88">
        <v>0</v>
      </c>
      <c r="G121" s="88" t="s">
        <v>6483</v>
      </c>
      <c r="H121" s="88"/>
      <c r="I121" s="88" t="b">
        <v>0</v>
      </c>
      <c r="J121" s="88" t="b">
        <v>0</v>
      </c>
      <c r="K121" s="88" t="b">
        <v>1</v>
      </c>
      <c r="L121" s="88"/>
      <c r="M121" s="88"/>
      <c r="N121" s="88" t="str">
        <f>_xlfn.IFNA(VLOOKUP($M121,Buff.CM!$A:$O,13,FALSE),"")</f>
        <v/>
      </c>
      <c r="O121" s="88" t="str">
        <f>_xlfn.IFNA(VLOOKUP($M121,Buff.CM!$A:$O,14,FALSE),"")</f>
        <v/>
      </c>
      <c r="P121" s="88" t="str">
        <f>_xlfn.IFNA(VLOOKUP($M121,Buff.CM!$A:$O,15,FALSE),"")</f>
        <v/>
      </c>
      <c r="Q121" s="88" t="b">
        <v>0</v>
      </c>
      <c r="R121" s="88" t="b">
        <v>0</v>
      </c>
    </row>
    <row r="122" spans="1:18" s="13" customFormat="1">
      <c r="A122" s="105" t="s">
        <v>6484</v>
      </c>
      <c r="B122" s="105"/>
      <c r="C122" s="105"/>
      <c r="D122" s="105">
        <v>0</v>
      </c>
      <c r="E122" s="105">
        <v>0</v>
      </c>
      <c r="F122" s="105">
        <v>0</v>
      </c>
      <c r="G122" s="105" t="s">
        <v>1246</v>
      </c>
      <c r="H122" s="105"/>
      <c r="I122" s="105" t="b">
        <v>0</v>
      </c>
      <c r="J122" s="105" t="b">
        <v>0</v>
      </c>
      <c r="K122" s="105" t="b">
        <v>1</v>
      </c>
      <c r="L122" s="105"/>
      <c r="M122" s="105"/>
      <c r="N122" s="105" t="str">
        <f>_xlfn.IFNA(VLOOKUP($M122,Buff.CM!$A:$O,13,FALSE),"")</f>
        <v/>
      </c>
      <c r="O122" s="105" t="str">
        <f>_xlfn.IFNA(VLOOKUP($M122,Buff.CM!$A:$O,14,FALSE),"")</f>
        <v/>
      </c>
      <c r="P122" s="105" t="str">
        <f>_xlfn.IFNA(VLOOKUP($M122,Buff.CM!$A:$O,15,FALSE),"")</f>
        <v/>
      </c>
      <c r="Q122" s="105" t="b">
        <v>0</v>
      </c>
      <c r="R122" s="105" t="b">
        <v>0</v>
      </c>
    </row>
    <row r="123" spans="1:18" s="13" customFormat="1">
      <c r="A123" s="105" t="s">
        <v>1243</v>
      </c>
      <c r="B123" s="105"/>
      <c r="C123" s="105"/>
      <c r="D123" s="105">
        <v>0</v>
      </c>
      <c r="E123" s="105">
        <v>0</v>
      </c>
      <c r="F123" s="105">
        <v>0</v>
      </c>
      <c r="G123" s="105" t="s">
        <v>1247</v>
      </c>
      <c r="H123" s="105"/>
      <c r="I123" s="105" t="b">
        <v>0</v>
      </c>
      <c r="J123" s="105" t="b">
        <v>0</v>
      </c>
      <c r="K123" s="105" t="b">
        <v>1</v>
      </c>
      <c r="L123" s="105"/>
      <c r="M123" s="105"/>
      <c r="N123" s="105" t="str">
        <f>_xlfn.IFNA(VLOOKUP($M123,Buff.CM!$A:$O,13,FALSE),"")</f>
        <v/>
      </c>
      <c r="O123" s="105" t="str">
        <f>_xlfn.IFNA(VLOOKUP($M123,Buff.CM!$A:$O,14,FALSE),"")</f>
        <v/>
      </c>
      <c r="P123" s="105" t="str">
        <f>_xlfn.IFNA(VLOOKUP($M123,Buff.CM!$A:$O,15,FALSE),"")</f>
        <v/>
      </c>
      <c r="Q123" s="105" t="b">
        <v>0</v>
      </c>
      <c r="R123" s="105" t="b">
        <v>0</v>
      </c>
    </row>
    <row r="124" spans="1:18" s="13" customFormat="1">
      <c r="A124" s="105" t="s">
        <v>1244</v>
      </c>
      <c r="B124" s="105"/>
      <c r="C124" s="105"/>
      <c r="D124" s="105">
        <v>0</v>
      </c>
      <c r="E124" s="105">
        <v>0</v>
      </c>
      <c r="F124" s="105">
        <v>0</v>
      </c>
      <c r="G124" s="105" t="s">
        <v>1248</v>
      </c>
      <c r="H124" s="105"/>
      <c r="I124" s="105" t="b">
        <v>0</v>
      </c>
      <c r="J124" s="105" t="b">
        <v>0</v>
      </c>
      <c r="K124" s="105" t="b">
        <v>1</v>
      </c>
      <c r="L124" s="105"/>
      <c r="M124" s="105"/>
      <c r="N124" s="105" t="str">
        <f>_xlfn.IFNA(VLOOKUP($M124,Buff.CM!$A:$O,13,FALSE),"")</f>
        <v/>
      </c>
      <c r="O124" s="105" t="str">
        <f>_xlfn.IFNA(VLOOKUP($M124,Buff.CM!$A:$O,14,FALSE),"")</f>
        <v/>
      </c>
      <c r="P124" s="105" t="str">
        <f>_xlfn.IFNA(VLOOKUP($M124,Buff.CM!$A:$O,15,FALSE),"")</f>
        <v/>
      </c>
      <c r="Q124" s="105" t="b">
        <v>0</v>
      </c>
      <c r="R124" s="105" t="b">
        <v>0</v>
      </c>
    </row>
    <row r="125" spans="1:18" s="13" customFormat="1">
      <c r="A125" s="105" t="s">
        <v>1245</v>
      </c>
      <c r="B125" s="105"/>
      <c r="C125" s="105"/>
      <c r="D125" s="105">
        <v>0</v>
      </c>
      <c r="E125" s="105">
        <v>0</v>
      </c>
      <c r="F125" s="105">
        <v>0</v>
      </c>
      <c r="G125" s="105" t="s">
        <v>1249</v>
      </c>
      <c r="H125" s="105"/>
      <c r="I125" s="105" t="b">
        <v>0</v>
      </c>
      <c r="J125" s="105" t="b">
        <v>0</v>
      </c>
      <c r="K125" s="105" t="b">
        <v>1</v>
      </c>
      <c r="L125" s="105"/>
      <c r="M125" s="105"/>
      <c r="N125" s="105" t="str">
        <f>_xlfn.IFNA(VLOOKUP($M125,Buff.CM!$A:$O,13,FALSE),"")</f>
        <v/>
      </c>
      <c r="O125" s="105" t="str">
        <f>_xlfn.IFNA(VLOOKUP($M125,Buff.CM!$A:$O,14,FALSE),"")</f>
        <v/>
      </c>
      <c r="P125" s="105" t="str">
        <f>_xlfn.IFNA(VLOOKUP($M125,Buff.CM!$A:$O,15,FALSE),"")</f>
        <v/>
      </c>
      <c r="Q125" s="105" t="b">
        <v>0</v>
      </c>
      <c r="R125" s="105" t="b">
        <v>0</v>
      </c>
    </row>
    <row r="126" spans="1:18" s="13" customFormat="1">
      <c r="A126" s="88" t="s">
        <v>6485</v>
      </c>
      <c r="B126" s="88"/>
      <c r="C126" s="88"/>
      <c r="D126" s="88">
        <v>0</v>
      </c>
      <c r="E126" s="88">
        <v>0</v>
      </c>
      <c r="F126" s="88">
        <v>0</v>
      </c>
      <c r="G126" s="88" t="s">
        <v>6486</v>
      </c>
      <c r="H126" s="88"/>
      <c r="I126" s="88" t="b">
        <v>0</v>
      </c>
      <c r="J126" s="88" t="b">
        <v>0</v>
      </c>
      <c r="K126" s="88" t="b">
        <v>1</v>
      </c>
      <c r="L126" s="88"/>
      <c r="M126" s="88"/>
      <c r="N126" s="88" t="str">
        <f>_xlfn.IFNA(VLOOKUP($M126,Buff.CM!$A:$O,13,FALSE),"")</f>
        <v/>
      </c>
      <c r="O126" s="88" t="str">
        <f>_xlfn.IFNA(VLOOKUP($M126,Buff.CM!$A:$O,14,FALSE),"")</f>
        <v/>
      </c>
      <c r="P126" s="88" t="str">
        <f>_xlfn.IFNA(VLOOKUP($M126,Buff.CM!$A:$O,15,FALSE),"")</f>
        <v/>
      </c>
      <c r="Q126" s="88" t="b">
        <v>0</v>
      </c>
      <c r="R126" s="88" t="b">
        <v>0</v>
      </c>
    </row>
    <row r="127" spans="1:18" s="13" customFormat="1">
      <c r="A127" s="88" t="s">
        <v>6487</v>
      </c>
      <c r="B127" s="88"/>
      <c r="C127" s="88"/>
      <c r="D127" s="88">
        <v>0</v>
      </c>
      <c r="E127" s="88">
        <v>0</v>
      </c>
      <c r="F127" s="88">
        <v>0</v>
      </c>
      <c r="G127" s="88" t="s">
        <v>6488</v>
      </c>
      <c r="H127" s="88"/>
      <c r="I127" s="88" t="b">
        <v>0</v>
      </c>
      <c r="J127" s="88" t="b">
        <v>0</v>
      </c>
      <c r="K127" s="88" t="b">
        <v>1</v>
      </c>
      <c r="L127" s="88"/>
      <c r="M127" s="88"/>
      <c r="N127" s="88" t="str">
        <f>_xlfn.IFNA(VLOOKUP($M127,Buff.CM!$A:$O,13,FALSE),"")</f>
        <v/>
      </c>
      <c r="O127" s="88" t="str">
        <f>_xlfn.IFNA(VLOOKUP($M127,Buff.CM!$A:$O,14,FALSE),"")</f>
        <v/>
      </c>
      <c r="P127" s="88" t="str">
        <f>_xlfn.IFNA(VLOOKUP($M127,Buff.CM!$A:$O,15,FALSE),"")</f>
        <v/>
      </c>
      <c r="Q127" s="88" t="b">
        <v>0</v>
      </c>
      <c r="R127" s="88" t="b">
        <v>0</v>
      </c>
    </row>
    <row r="128" spans="1:18" s="13" customFormat="1">
      <c r="A128" s="14" t="s">
        <v>6489</v>
      </c>
      <c r="B128" s="14"/>
      <c r="C128" s="14"/>
      <c r="D128" s="14">
        <v>2000</v>
      </c>
      <c r="E128" s="14">
        <v>0</v>
      </c>
      <c r="F128" s="14">
        <v>0</v>
      </c>
      <c r="G128" s="14" t="s">
        <v>265</v>
      </c>
      <c r="H128" s="14"/>
      <c r="I128" s="14" t="b">
        <v>0</v>
      </c>
      <c r="J128" s="14" t="b">
        <v>1</v>
      </c>
      <c r="K128" s="14" t="b">
        <v>0</v>
      </c>
      <c r="L128" s="14" t="s">
        <v>286</v>
      </c>
      <c r="M128" s="14" t="s">
        <v>5462</v>
      </c>
      <c r="N128" s="14" t="str">
        <f>_xlfn.IFNA(VLOOKUP($M128,Buff.CM!$A:$O,13,FALSE),"")</f>
        <v>icon_battle_provoke</v>
      </c>
      <c r="O128" s="14" t="str">
        <f>_xlfn.IFNA(VLOOKUP($M128,Buff.CM!$A:$O,14,FALSE),"")</f>
        <v>Buff.Name.Provoke</v>
      </c>
      <c r="P128" s="14" t="str">
        <f>_xlfn.IFNA(VLOOKUP($M128,Buff.CM!$A:$O,15,FALSE),"")</f>
        <v>Buff.Desc.Provoke</v>
      </c>
      <c r="Q128" s="14" t="b">
        <v>0</v>
      </c>
      <c r="R128" s="14" t="b">
        <v>0</v>
      </c>
    </row>
    <row r="129" spans="1:18" s="13" customFormat="1">
      <c r="A129" s="14" t="s">
        <v>1238</v>
      </c>
      <c r="B129" s="14"/>
      <c r="C129" s="14"/>
      <c r="D129" s="14">
        <v>2000</v>
      </c>
      <c r="E129" s="14">
        <v>0</v>
      </c>
      <c r="F129" s="14">
        <v>0</v>
      </c>
      <c r="G129" s="14" t="s">
        <v>265</v>
      </c>
      <c r="H129" s="14"/>
      <c r="I129" s="14" t="b">
        <v>0</v>
      </c>
      <c r="J129" s="14" t="b">
        <v>1</v>
      </c>
      <c r="K129" s="14" t="b">
        <v>0</v>
      </c>
      <c r="L129" s="14" t="s">
        <v>286</v>
      </c>
      <c r="M129" s="14" t="s">
        <v>5462</v>
      </c>
      <c r="N129" s="14" t="str">
        <f>_xlfn.IFNA(VLOOKUP($M129,Buff.CM!$A:$O,13,FALSE),"")</f>
        <v>icon_battle_provoke</v>
      </c>
      <c r="O129" s="14" t="str">
        <f>_xlfn.IFNA(VLOOKUP($M129,Buff.CM!$A:$O,14,FALSE),"")</f>
        <v>Buff.Name.Provoke</v>
      </c>
      <c r="P129" s="14" t="str">
        <f>_xlfn.IFNA(VLOOKUP($M129,Buff.CM!$A:$O,15,FALSE),"")</f>
        <v>Buff.Desc.Provoke</v>
      </c>
      <c r="Q129" s="14" t="b">
        <v>0</v>
      </c>
      <c r="R129" s="14" t="b">
        <v>0</v>
      </c>
    </row>
    <row r="130" spans="1:18" s="13" customFormat="1">
      <c r="A130" s="14" t="s">
        <v>1239</v>
      </c>
      <c r="B130" s="14"/>
      <c r="C130" s="14"/>
      <c r="D130" s="14">
        <v>2500</v>
      </c>
      <c r="E130" s="14">
        <v>0</v>
      </c>
      <c r="F130" s="14">
        <v>0</v>
      </c>
      <c r="G130" s="14" t="s">
        <v>265</v>
      </c>
      <c r="H130" s="14"/>
      <c r="I130" s="14" t="b">
        <v>0</v>
      </c>
      <c r="J130" s="14" t="b">
        <v>1</v>
      </c>
      <c r="K130" s="14" t="b">
        <v>0</v>
      </c>
      <c r="L130" s="14" t="s">
        <v>286</v>
      </c>
      <c r="M130" s="14" t="s">
        <v>5462</v>
      </c>
      <c r="N130" s="14" t="str">
        <f>_xlfn.IFNA(VLOOKUP($M130,Buff.CM!$A:$O,13,FALSE),"")</f>
        <v>icon_battle_provoke</v>
      </c>
      <c r="O130" s="14" t="str">
        <f>_xlfn.IFNA(VLOOKUP($M130,Buff.CM!$A:$O,14,FALSE),"")</f>
        <v>Buff.Name.Provoke</v>
      </c>
      <c r="P130" s="14" t="str">
        <f>_xlfn.IFNA(VLOOKUP($M130,Buff.CM!$A:$O,15,FALSE),"")</f>
        <v>Buff.Desc.Provoke</v>
      </c>
      <c r="Q130" s="14" t="b">
        <v>0</v>
      </c>
      <c r="R130" s="14" t="b">
        <v>0</v>
      </c>
    </row>
    <row r="131" spans="1:18" s="64" customFormat="1">
      <c r="A131" s="14" t="s">
        <v>1240</v>
      </c>
      <c r="B131" s="14"/>
      <c r="C131" s="14"/>
      <c r="D131" s="14">
        <v>2500</v>
      </c>
      <c r="E131" s="14">
        <v>0</v>
      </c>
      <c r="F131" s="14">
        <v>0</v>
      </c>
      <c r="G131" s="14" t="s">
        <v>265</v>
      </c>
      <c r="H131" s="14"/>
      <c r="I131" s="14" t="b">
        <v>0</v>
      </c>
      <c r="J131" s="14" t="b">
        <v>1</v>
      </c>
      <c r="K131" s="14" t="b">
        <v>0</v>
      </c>
      <c r="L131" s="14" t="s">
        <v>286</v>
      </c>
      <c r="M131" s="14" t="s">
        <v>5462</v>
      </c>
      <c r="N131" s="14" t="str">
        <f>_xlfn.IFNA(VLOOKUP($M131,Buff.CM!$A:$O,13,FALSE),"")</f>
        <v>icon_battle_provoke</v>
      </c>
      <c r="O131" s="14" t="str">
        <f>_xlfn.IFNA(VLOOKUP($M131,Buff.CM!$A:$O,14,FALSE),"")</f>
        <v>Buff.Name.Provoke</v>
      </c>
      <c r="P131" s="14" t="str">
        <f>_xlfn.IFNA(VLOOKUP($M131,Buff.CM!$A:$O,15,FALSE),"")</f>
        <v>Buff.Desc.Provoke</v>
      </c>
      <c r="Q131" s="14" t="b">
        <v>0</v>
      </c>
      <c r="R131" s="14" t="b">
        <v>0</v>
      </c>
    </row>
    <row r="132" spans="1:18" s="13" customFormat="1">
      <c r="A132" s="88" t="s">
        <v>1241</v>
      </c>
      <c r="B132" s="34"/>
      <c r="C132" s="34"/>
      <c r="D132" s="34">
        <v>3000</v>
      </c>
      <c r="E132" s="34">
        <v>0</v>
      </c>
      <c r="F132" s="34">
        <v>0</v>
      </c>
      <c r="G132" s="34" t="s">
        <v>265</v>
      </c>
      <c r="H132" s="34"/>
      <c r="I132" s="34" t="b">
        <v>0</v>
      </c>
      <c r="J132" s="34" t="b">
        <v>1</v>
      </c>
      <c r="K132" s="34" t="b">
        <v>0</v>
      </c>
      <c r="L132" s="34" t="s">
        <v>286</v>
      </c>
      <c r="M132" s="34" t="s">
        <v>5462</v>
      </c>
      <c r="N132" s="34" t="str">
        <f>_xlfn.IFNA(VLOOKUP($M132,Buff.CM!$A:$O,13,FALSE),"")</f>
        <v>icon_battle_provoke</v>
      </c>
      <c r="O132" s="34" t="str">
        <f>_xlfn.IFNA(VLOOKUP($M132,Buff.CM!$A:$O,14,FALSE),"")</f>
        <v>Buff.Name.Provoke</v>
      </c>
      <c r="P132" s="34" t="str">
        <f>_xlfn.IFNA(VLOOKUP($M132,Buff.CM!$A:$O,15,FALSE),"")</f>
        <v>Buff.Desc.Provoke</v>
      </c>
      <c r="Q132" s="34" t="b">
        <v>0</v>
      </c>
      <c r="R132" s="34" t="b">
        <v>0</v>
      </c>
    </row>
    <row r="133" spans="1:18" s="13" customFormat="1">
      <c r="A133" s="88" t="s">
        <v>1242</v>
      </c>
      <c r="B133" s="34"/>
      <c r="C133" s="34"/>
      <c r="D133" s="34">
        <v>8000</v>
      </c>
      <c r="E133" s="34">
        <v>0</v>
      </c>
      <c r="F133" s="34">
        <v>0</v>
      </c>
      <c r="G133" s="34" t="s">
        <v>265</v>
      </c>
      <c r="H133" s="34"/>
      <c r="I133" s="34" t="b">
        <v>0</v>
      </c>
      <c r="J133" s="34" t="b">
        <v>1</v>
      </c>
      <c r="K133" s="34" t="b">
        <v>0</v>
      </c>
      <c r="L133" s="34" t="s">
        <v>286</v>
      </c>
      <c r="M133" s="34" t="s">
        <v>5462</v>
      </c>
      <c r="N133" s="34" t="str">
        <f>_xlfn.IFNA(VLOOKUP($M133,Buff.CM!$A:$O,13,FALSE),"")</f>
        <v>icon_battle_provoke</v>
      </c>
      <c r="O133" s="34" t="str">
        <f>_xlfn.IFNA(VLOOKUP($M133,Buff.CM!$A:$O,14,FALSE),"")</f>
        <v>Buff.Name.Provoke</v>
      </c>
      <c r="P133" s="34" t="str">
        <f>_xlfn.IFNA(VLOOKUP($M133,Buff.CM!$A:$O,15,FALSE),"")</f>
        <v>Buff.Desc.Provoke</v>
      </c>
      <c r="Q133" s="34" t="b">
        <v>0</v>
      </c>
      <c r="R133" s="34" t="b">
        <v>0</v>
      </c>
    </row>
    <row r="134" spans="1:18" s="13" customFormat="1">
      <c r="A134" s="105" t="s">
        <v>3600</v>
      </c>
      <c r="B134" s="105"/>
      <c r="C134" s="105"/>
      <c r="D134" s="105">
        <v>0</v>
      </c>
      <c r="E134" s="105">
        <v>0</v>
      </c>
      <c r="F134" s="105">
        <v>0</v>
      </c>
      <c r="G134" s="105" t="s">
        <v>3601</v>
      </c>
      <c r="H134" s="105"/>
      <c r="I134" s="105" t="b">
        <v>0</v>
      </c>
      <c r="J134" s="105" t="b">
        <v>0</v>
      </c>
      <c r="K134" s="105" t="b">
        <v>1</v>
      </c>
      <c r="L134" s="105"/>
      <c r="M134" s="105"/>
      <c r="N134" s="105" t="str">
        <f>_xlfn.IFNA(VLOOKUP($M134,Buff.CM!$A:$O,13,FALSE),"")</f>
        <v/>
      </c>
      <c r="O134" s="105" t="str">
        <f>_xlfn.IFNA(VLOOKUP($M134,Buff.CM!$A:$O,14,FALSE),"")</f>
        <v/>
      </c>
      <c r="P134" s="105" t="str">
        <f>_xlfn.IFNA(VLOOKUP($M134,Buff.CM!$A:$O,15,FALSE),"")</f>
        <v/>
      </c>
      <c r="Q134" s="105" t="b">
        <v>0</v>
      </c>
      <c r="R134" s="105" t="b">
        <v>0</v>
      </c>
    </row>
    <row r="135" spans="1:18" s="13" customFormat="1">
      <c r="A135" s="105" t="s">
        <v>3595</v>
      </c>
      <c r="B135" s="105"/>
      <c r="C135" s="105"/>
      <c r="D135" s="105">
        <v>0</v>
      </c>
      <c r="E135" s="105">
        <v>0</v>
      </c>
      <c r="F135" s="105">
        <v>0</v>
      </c>
      <c r="G135" s="105" t="s">
        <v>3602</v>
      </c>
      <c r="H135" s="105"/>
      <c r="I135" s="105" t="b">
        <v>0</v>
      </c>
      <c r="J135" s="105" t="b">
        <v>0</v>
      </c>
      <c r="K135" s="105" t="b">
        <v>1</v>
      </c>
      <c r="L135" s="105"/>
      <c r="M135" s="105"/>
      <c r="N135" s="105" t="str">
        <f>_xlfn.IFNA(VLOOKUP($M135,Buff.CM!$A:$O,13,FALSE),"")</f>
        <v/>
      </c>
      <c r="O135" s="105" t="str">
        <f>_xlfn.IFNA(VLOOKUP($M135,Buff.CM!$A:$O,14,FALSE),"")</f>
        <v/>
      </c>
      <c r="P135" s="105" t="str">
        <f>_xlfn.IFNA(VLOOKUP($M135,Buff.CM!$A:$O,15,FALSE),"")</f>
        <v/>
      </c>
      <c r="Q135" s="105" t="b">
        <v>0</v>
      </c>
      <c r="R135" s="105" t="b">
        <v>0</v>
      </c>
    </row>
    <row r="136" spans="1:18" s="13" customFormat="1">
      <c r="A136" s="105" t="s">
        <v>3596</v>
      </c>
      <c r="B136" s="105"/>
      <c r="C136" s="105"/>
      <c r="D136" s="105">
        <v>0</v>
      </c>
      <c r="E136" s="105">
        <v>0</v>
      </c>
      <c r="F136" s="105">
        <v>0</v>
      </c>
      <c r="G136" s="105" t="s">
        <v>3603</v>
      </c>
      <c r="H136" s="105"/>
      <c r="I136" s="105" t="b">
        <v>0</v>
      </c>
      <c r="J136" s="105" t="b">
        <v>0</v>
      </c>
      <c r="K136" s="105" t="b">
        <v>1</v>
      </c>
      <c r="L136" s="105"/>
      <c r="M136" s="105"/>
      <c r="N136" s="105" t="str">
        <f>_xlfn.IFNA(VLOOKUP($M136,Buff.CM!$A:$O,13,FALSE),"")</f>
        <v/>
      </c>
      <c r="O136" s="105" t="str">
        <f>_xlfn.IFNA(VLOOKUP($M136,Buff.CM!$A:$O,14,FALSE),"")</f>
        <v/>
      </c>
      <c r="P136" s="105" t="str">
        <f>_xlfn.IFNA(VLOOKUP($M136,Buff.CM!$A:$O,15,FALSE),"")</f>
        <v/>
      </c>
      <c r="Q136" s="105" t="b">
        <v>0</v>
      </c>
      <c r="R136" s="105" t="b">
        <v>0</v>
      </c>
    </row>
    <row r="137" spans="1:18" s="13" customFormat="1">
      <c r="A137" s="105" t="s">
        <v>3597</v>
      </c>
      <c r="B137" s="105"/>
      <c r="C137" s="105"/>
      <c r="D137" s="105">
        <v>0</v>
      </c>
      <c r="E137" s="105">
        <v>0</v>
      </c>
      <c r="F137" s="105">
        <v>0</v>
      </c>
      <c r="G137" s="105" t="s">
        <v>3604</v>
      </c>
      <c r="H137" s="105"/>
      <c r="I137" s="105" t="b">
        <v>0</v>
      </c>
      <c r="J137" s="105" t="b">
        <v>0</v>
      </c>
      <c r="K137" s="105" t="b">
        <v>1</v>
      </c>
      <c r="L137" s="105"/>
      <c r="M137" s="105"/>
      <c r="N137" s="105" t="str">
        <f>_xlfn.IFNA(VLOOKUP($M137,Buff.CM!$A:$O,13,FALSE),"")</f>
        <v/>
      </c>
      <c r="O137" s="105" t="str">
        <f>_xlfn.IFNA(VLOOKUP($M137,Buff.CM!$A:$O,14,FALSE),"")</f>
        <v/>
      </c>
      <c r="P137" s="105" t="str">
        <f>_xlfn.IFNA(VLOOKUP($M137,Buff.CM!$A:$O,15,FALSE),"")</f>
        <v/>
      </c>
      <c r="Q137" s="105" t="b">
        <v>0</v>
      </c>
      <c r="R137" s="105" t="b">
        <v>0</v>
      </c>
    </row>
    <row r="138" spans="1:18" s="13" customFormat="1">
      <c r="A138" s="88" t="s">
        <v>3598</v>
      </c>
      <c r="B138" s="88"/>
      <c r="C138" s="88"/>
      <c r="D138" s="88">
        <v>0</v>
      </c>
      <c r="E138" s="88">
        <v>0</v>
      </c>
      <c r="F138" s="88">
        <v>0</v>
      </c>
      <c r="G138" s="88" t="s">
        <v>3605</v>
      </c>
      <c r="H138" s="88"/>
      <c r="I138" s="88" t="b">
        <v>0</v>
      </c>
      <c r="J138" s="88" t="b">
        <v>0</v>
      </c>
      <c r="K138" s="88" t="b">
        <v>1</v>
      </c>
      <c r="L138" s="88"/>
      <c r="M138" s="88"/>
      <c r="N138" s="88" t="str">
        <f>_xlfn.IFNA(VLOOKUP($M138,Buff.CM!$A:$O,13,FALSE),"")</f>
        <v/>
      </c>
      <c r="O138" s="88" t="str">
        <f>_xlfn.IFNA(VLOOKUP($M138,Buff.CM!$A:$O,14,FALSE),"")</f>
        <v/>
      </c>
      <c r="P138" s="88" t="str">
        <f>_xlfn.IFNA(VLOOKUP($M138,Buff.CM!$A:$O,15,FALSE),"")</f>
        <v/>
      </c>
      <c r="Q138" s="88" t="b">
        <v>0</v>
      </c>
      <c r="R138" s="88" t="b">
        <v>0</v>
      </c>
    </row>
    <row r="139" spans="1:18" s="13" customFormat="1">
      <c r="A139" s="88" t="s">
        <v>3599</v>
      </c>
      <c r="B139" s="88"/>
      <c r="C139" s="88"/>
      <c r="D139" s="88">
        <v>0</v>
      </c>
      <c r="E139" s="88">
        <v>0</v>
      </c>
      <c r="F139" s="88">
        <v>0</v>
      </c>
      <c r="G139" s="88" t="s">
        <v>3606</v>
      </c>
      <c r="H139" s="88"/>
      <c r="I139" s="88" t="b">
        <v>0</v>
      </c>
      <c r="J139" s="88" t="b">
        <v>0</v>
      </c>
      <c r="K139" s="88" t="b">
        <v>1</v>
      </c>
      <c r="L139" s="88"/>
      <c r="M139" s="88"/>
      <c r="N139" s="88" t="str">
        <f>_xlfn.IFNA(VLOOKUP($M139,Buff.CM!$A:$O,13,FALSE),"")</f>
        <v/>
      </c>
      <c r="O139" s="88" t="str">
        <f>_xlfn.IFNA(VLOOKUP($M139,Buff.CM!$A:$O,14,FALSE),"")</f>
        <v/>
      </c>
      <c r="P139" s="88" t="str">
        <f>_xlfn.IFNA(VLOOKUP($M139,Buff.CM!$A:$O,15,FALSE),"")</f>
        <v/>
      </c>
      <c r="Q139" s="88" t="b">
        <v>0</v>
      </c>
      <c r="R139" s="88" t="b">
        <v>0</v>
      </c>
    </row>
    <row r="140" spans="1:18" s="13" customFormat="1">
      <c r="A140" s="14" t="s">
        <v>3587</v>
      </c>
      <c r="B140" s="14"/>
      <c r="C140" s="14"/>
      <c r="D140" s="14">
        <v>2000</v>
      </c>
      <c r="E140" s="14">
        <v>0</v>
      </c>
      <c r="F140" s="14">
        <v>0</v>
      </c>
      <c r="G140" s="14" t="s">
        <v>256</v>
      </c>
      <c r="H140" s="14"/>
      <c r="I140" s="14" t="b">
        <v>0</v>
      </c>
      <c r="J140" s="14" t="b">
        <v>1</v>
      </c>
      <c r="K140" s="14" t="b">
        <v>0</v>
      </c>
      <c r="L140" s="14" t="s">
        <v>3608</v>
      </c>
      <c r="M140" s="14" t="s">
        <v>5463</v>
      </c>
      <c r="N140" s="14" t="str">
        <f>_xlfn.IFNA(VLOOKUP($M140,Buff.CM!$A:$O,13,FALSE),"")</f>
        <v>icon_battle_blindess</v>
      </c>
      <c r="O140" s="14" t="str">
        <f>_xlfn.IFNA(VLOOKUP($M140,Buff.CM!$A:$O,14,FALSE),"")</f>
        <v>Buff.Name.Blindess</v>
      </c>
      <c r="P140" s="14" t="str">
        <f>_xlfn.IFNA(VLOOKUP($M140,Buff.CM!$A:$O,15,FALSE),"")</f>
        <v>Buff.Desc.Blindess</v>
      </c>
      <c r="Q140" s="14" t="b">
        <v>0</v>
      </c>
      <c r="R140" s="14" t="b">
        <v>0</v>
      </c>
    </row>
    <row r="141" spans="1:18" s="13" customFormat="1">
      <c r="A141" s="14" t="s">
        <v>3584</v>
      </c>
      <c r="B141" s="14"/>
      <c r="C141" s="14"/>
      <c r="D141" s="14">
        <v>2000</v>
      </c>
      <c r="E141" s="14">
        <v>0</v>
      </c>
      <c r="F141" s="14">
        <v>0</v>
      </c>
      <c r="G141" s="14" t="s">
        <v>256</v>
      </c>
      <c r="H141" s="14"/>
      <c r="I141" s="14" t="b">
        <v>0</v>
      </c>
      <c r="J141" s="14" t="b">
        <v>1</v>
      </c>
      <c r="K141" s="14" t="b">
        <v>0</v>
      </c>
      <c r="L141" s="14" t="s">
        <v>3608</v>
      </c>
      <c r="M141" s="14" t="s">
        <v>5463</v>
      </c>
      <c r="N141" s="14" t="str">
        <f>_xlfn.IFNA(VLOOKUP($M141,Buff.CM!$A:$O,13,FALSE),"")</f>
        <v>icon_battle_blindess</v>
      </c>
      <c r="O141" s="14" t="str">
        <f>_xlfn.IFNA(VLOOKUP($M141,Buff.CM!$A:$O,14,FALSE),"")</f>
        <v>Buff.Name.Blindess</v>
      </c>
      <c r="P141" s="14" t="str">
        <f>_xlfn.IFNA(VLOOKUP($M141,Buff.CM!$A:$O,15,FALSE),"")</f>
        <v>Buff.Desc.Blindess</v>
      </c>
      <c r="Q141" s="14" t="b">
        <v>0</v>
      </c>
      <c r="R141" s="14" t="b">
        <v>0</v>
      </c>
    </row>
    <row r="142" spans="1:18" s="13" customFormat="1">
      <c r="A142" s="14" t="s">
        <v>3585</v>
      </c>
      <c r="B142" s="14"/>
      <c r="C142" s="14"/>
      <c r="D142" s="14">
        <v>2000</v>
      </c>
      <c r="E142" s="14">
        <v>0</v>
      </c>
      <c r="F142" s="14">
        <v>0</v>
      </c>
      <c r="G142" s="14" t="s">
        <v>256</v>
      </c>
      <c r="H142" s="14"/>
      <c r="I142" s="14" t="b">
        <v>0</v>
      </c>
      <c r="J142" s="14" t="b">
        <v>1</v>
      </c>
      <c r="K142" s="14" t="b">
        <v>0</v>
      </c>
      <c r="L142" s="14" t="s">
        <v>3608</v>
      </c>
      <c r="M142" s="14" t="s">
        <v>5463</v>
      </c>
      <c r="N142" s="14" t="str">
        <f>_xlfn.IFNA(VLOOKUP($M142,Buff.CM!$A:$O,13,FALSE),"")</f>
        <v>icon_battle_blindess</v>
      </c>
      <c r="O142" s="14" t="str">
        <f>_xlfn.IFNA(VLOOKUP($M142,Buff.CM!$A:$O,14,FALSE),"")</f>
        <v>Buff.Name.Blindess</v>
      </c>
      <c r="P142" s="14" t="str">
        <f>_xlfn.IFNA(VLOOKUP($M142,Buff.CM!$A:$O,15,FALSE),"")</f>
        <v>Buff.Desc.Blindess</v>
      </c>
      <c r="Q142" s="14" t="b">
        <v>0</v>
      </c>
      <c r="R142" s="14" t="b">
        <v>0</v>
      </c>
    </row>
    <row r="143" spans="1:18" s="64" customFormat="1">
      <c r="A143" s="14" t="s">
        <v>3586</v>
      </c>
      <c r="B143" s="14"/>
      <c r="C143" s="14"/>
      <c r="D143" s="14">
        <v>2000</v>
      </c>
      <c r="E143" s="14">
        <v>0</v>
      </c>
      <c r="F143" s="14">
        <v>0</v>
      </c>
      <c r="G143" s="14" t="s">
        <v>256</v>
      </c>
      <c r="H143" s="14"/>
      <c r="I143" s="14" t="b">
        <v>0</v>
      </c>
      <c r="J143" s="14" t="b">
        <v>1</v>
      </c>
      <c r="K143" s="14" t="b">
        <v>0</v>
      </c>
      <c r="L143" s="14" t="s">
        <v>3608</v>
      </c>
      <c r="M143" s="14" t="s">
        <v>5463</v>
      </c>
      <c r="N143" s="14" t="str">
        <f>_xlfn.IFNA(VLOOKUP($M143,Buff.CM!$A:$O,13,FALSE),"")</f>
        <v>icon_battle_blindess</v>
      </c>
      <c r="O143" s="14" t="str">
        <f>_xlfn.IFNA(VLOOKUP($M143,Buff.CM!$A:$O,14,FALSE),"")</f>
        <v>Buff.Name.Blindess</v>
      </c>
      <c r="P143" s="14" t="str">
        <f>_xlfn.IFNA(VLOOKUP($M143,Buff.CM!$A:$O,15,FALSE),"")</f>
        <v>Buff.Desc.Blindess</v>
      </c>
      <c r="Q143" s="14" t="b">
        <v>0</v>
      </c>
      <c r="R143" s="14" t="b">
        <v>0</v>
      </c>
    </row>
    <row r="144" spans="1:18" s="13" customFormat="1">
      <c r="A144" s="88" t="s">
        <v>3588</v>
      </c>
      <c r="B144" s="34"/>
      <c r="C144" s="34"/>
      <c r="D144" s="34">
        <v>2000</v>
      </c>
      <c r="E144" s="34">
        <v>0</v>
      </c>
      <c r="F144" s="34">
        <v>0</v>
      </c>
      <c r="G144" s="34" t="s">
        <v>256</v>
      </c>
      <c r="H144" s="34"/>
      <c r="I144" s="34" t="b">
        <v>0</v>
      </c>
      <c r="J144" s="34" t="b">
        <v>1</v>
      </c>
      <c r="K144" s="34" t="b">
        <v>0</v>
      </c>
      <c r="L144" s="34" t="s">
        <v>3608</v>
      </c>
      <c r="M144" s="34" t="s">
        <v>5463</v>
      </c>
      <c r="N144" s="34" t="str">
        <f>_xlfn.IFNA(VLOOKUP($M144,Buff.CM!$A:$O,13,FALSE),"")</f>
        <v>icon_battle_blindess</v>
      </c>
      <c r="O144" s="34" t="str">
        <f>_xlfn.IFNA(VLOOKUP($M144,Buff.CM!$A:$O,14,FALSE),"")</f>
        <v>Buff.Name.Blindess</v>
      </c>
      <c r="P144" s="34" t="str">
        <f>_xlfn.IFNA(VLOOKUP($M144,Buff.CM!$A:$O,15,FALSE),"")</f>
        <v>Buff.Desc.Blindess</v>
      </c>
      <c r="Q144" s="34" t="b">
        <v>0</v>
      </c>
      <c r="R144" s="34" t="b">
        <v>0</v>
      </c>
    </row>
    <row r="145" spans="1:18" s="13" customFormat="1">
      <c r="A145" s="88" t="s">
        <v>3589</v>
      </c>
      <c r="B145" s="34"/>
      <c r="C145" s="34"/>
      <c r="D145" s="34">
        <v>2000</v>
      </c>
      <c r="E145" s="34">
        <v>0</v>
      </c>
      <c r="F145" s="34">
        <v>0</v>
      </c>
      <c r="G145" s="34" t="s">
        <v>256</v>
      </c>
      <c r="H145" s="34"/>
      <c r="I145" s="34" t="b">
        <v>0</v>
      </c>
      <c r="J145" s="34" t="b">
        <v>1</v>
      </c>
      <c r="K145" s="34" t="b">
        <v>0</v>
      </c>
      <c r="L145" s="34" t="s">
        <v>3608</v>
      </c>
      <c r="M145" s="34" t="s">
        <v>5463</v>
      </c>
      <c r="N145" s="34" t="str">
        <f>_xlfn.IFNA(VLOOKUP($M145,Buff.CM!$A:$O,13,FALSE),"")</f>
        <v>icon_battle_blindess</v>
      </c>
      <c r="O145" s="34" t="str">
        <f>_xlfn.IFNA(VLOOKUP($M145,Buff.CM!$A:$O,14,FALSE),"")</f>
        <v>Buff.Name.Blindess</v>
      </c>
      <c r="P145" s="34" t="str">
        <f>_xlfn.IFNA(VLOOKUP($M145,Buff.CM!$A:$O,15,FALSE),"")</f>
        <v>Buff.Desc.Blindess</v>
      </c>
      <c r="Q145" s="34" t="b">
        <v>0</v>
      </c>
      <c r="R145" s="34" t="b">
        <v>0</v>
      </c>
    </row>
    <row r="146" spans="1:18">
      <c r="A146" s="26" t="s">
        <v>2329</v>
      </c>
      <c r="B146" s="26"/>
      <c r="C146" s="26"/>
      <c r="D146" s="26">
        <v>5000</v>
      </c>
      <c r="E146" s="26">
        <v>0</v>
      </c>
      <c r="F146" s="26">
        <v>0</v>
      </c>
      <c r="G146" s="130" t="s">
        <v>6490</v>
      </c>
      <c r="H146" s="26"/>
      <c r="I146" s="26" t="b">
        <v>0</v>
      </c>
      <c r="J146" s="88" t="b">
        <v>0</v>
      </c>
      <c r="K146" s="26" t="b">
        <v>0</v>
      </c>
      <c r="L146" s="26" t="s">
        <v>175</v>
      </c>
      <c r="M146" s="130" t="s">
        <v>6490</v>
      </c>
      <c r="N146" s="26" t="str">
        <f>_xlfn.IFNA(VLOOKUP($M146,Buff.CM!$A:$O,13,FALSE),"")</f>
        <v>icon_battle_attackspeed</v>
      </c>
      <c r="O146" s="26" t="str">
        <f>_xlfn.IFNA(VLOOKUP($M146,Buff.CM!$A:$O,14,FALSE),"")</f>
        <v>Buff.Name.AtkSpeed.Down.01</v>
      </c>
      <c r="P146" s="26" t="str">
        <f>_xlfn.IFNA(VLOOKUP($M146,Buff.CM!$A:$O,15,FALSE),"")</f>
        <v>Buff.Desc.AtkSpeed.Down.01</v>
      </c>
      <c r="Q146" s="26" t="b">
        <v>0</v>
      </c>
      <c r="R146" s="26" t="b">
        <v>0</v>
      </c>
    </row>
    <row r="147" spans="1:18">
      <c r="A147" s="26" t="s">
        <v>2330</v>
      </c>
      <c r="B147" s="26"/>
      <c r="C147" s="26"/>
      <c r="D147" s="26">
        <v>6000</v>
      </c>
      <c r="E147" s="26">
        <v>0</v>
      </c>
      <c r="F147" s="26">
        <v>0</v>
      </c>
      <c r="G147" s="130" t="s">
        <v>6490</v>
      </c>
      <c r="H147" s="26"/>
      <c r="I147" s="26" t="b">
        <v>0</v>
      </c>
      <c r="J147" s="26" t="b">
        <v>0</v>
      </c>
      <c r="K147" s="26" t="b">
        <v>0</v>
      </c>
      <c r="L147" s="26" t="s">
        <v>175</v>
      </c>
      <c r="M147" s="130" t="s">
        <v>6490</v>
      </c>
      <c r="N147" s="26" t="str">
        <f>_xlfn.IFNA(VLOOKUP($M147,Buff.CM!$A:$O,13,FALSE),"")</f>
        <v>icon_battle_attackspeed</v>
      </c>
      <c r="O147" s="26" t="str">
        <f>_xlfn.IFNA(VLOOKUP($M147,Buff.CM!$A:$O,14,FALSE),"")</f>
        <v>Buff.Name.AtkSpeed.Down.01</v>
      </c>
      <c r="P147" s="26" t="str">
        <f>_xlfn.IFNA(VLOOKUP($M147,Buff.CM!$A:$O,15,FALSE),"")</f>
        <v>Buff.Desc.AtkSpeed.Down.01</v>
      </c>
      <c r="Q147" s="26" t="b">
        <v>0</v>
      </c>
      <c r="R147" s="26" t="b">
        <v>0</v>
      </c>
    </row>
    <row r="148" spans="1:18">
      <c r="A148" s="26" t="s">
        <v>3343</v>
      </c>
      <c r="B148" s="26"/>
      <c r="C148" s="26"/>
      <c r="D148" s="26">
        <v>6000</v>
      </c>
      <c r="E148" s="26">
        <v>0</v>
      </c>
      <c r="F148" s="26">
        <v>0</v>
      </c>
      <c r="G148" s="130" t="s">
        <v>1531</v>
      </c>
      <c r="H148" s="26"/>
      <c r="I148" s="26" t="b">
        <v>0</v>
      </c>
      <c r="J148" s="26" t="b">
        <v>0</v>
      </c>
      <c r="K148" s="26" t="b">
        <v>0</v>
      </c>
      <c r="L148" s="26" t="s">
        <v>175</v>
      </c>
      <c r="M148" s="130" t="s">
        <v>1531</v>
      </c>
      <c r="N148" s="26" t="str">
        <f>_xlfn.IFNA(VLOOKUP($M148,Buff.CM!$A:$O,13,FALSE),"")</f>
        <v>icon_battle_attackspeed</v>
      </c>
      <c r="O148" s="26" t="str">
        <f>_xlfn.IFNA(VLOOKUP($M148,Buff.CM!$A:$O,14,FALSE),"")</f>
        <v>Buff.Name.AtkSpeed.Down.02</v>
      </c>
      <c r="P148" s="26" t="str">
        <f>_xlfn.IFNA(VLOOKUP($M148,Buff.CM!$A:$O,15,FALSE),"")</f>
        <v>Buff.Desc.AtkSpeed.Down.02</v>
      </c>
      <c r="Q148" s="26" t="b">
        <v>0</v>
      </c>
      <c r="R148" s="26" t="b">
        <v>0</v>
      </c>
    </row>
    <row r="149" spans="1:18">
      <c r="A149" s="26" t="s">
        <v>3344</v>
      </c>
      <c r="B149" s="26"/>
      <c r="C149" s="26"/>
      <c r="D149" s="26">
        <v>7000</v>
      </c>
      <c r="E149" s="26">
        <v>0</v>
      </c>
      <c r="F149" s="26">
        <v>0</v>
      </c>
      <c r="G149" s="130" t="s">
        <v>1531</v>
      </c>
      <c r="H149" s="26"/>
      <c r="I149" s="26" t="b">
        <v>0</v>
      </c>
      <c r="J149" s="26" t="b">
        <v>0</v>
      </c>
      <c r="K149" s="26" t="b">
        <v>0</v>
      </c>
      <c r="L149" s="26" t="s">
        <v>175</v>
      </c>
      <c r="M149" s="130" t="s">
        <v>1531</v>
      </c>
      <c r="N149" s="26" t="str">
        <f>_xlfn.IFNA(VLOOKUP($M149,Buff.CM!$A:$O,13,FALSE),"")</f>
        <v>icon_battle_attackspeed</v>
      </c>
      <c r="O149" s="26" t="str">
        <f>_xlfn.IFNA(VLOOKUP($M149,Buff.CM!$A:$O,14,FALSE),"")</f>
        <v>Buff.Name.AtkSpeed.Down.02</v>
      </c>
      <c r="P149" s="26" t="str">
        <f>_xlfn.IFNA(VLOOKUP($M149,Buff.CM!$A:$O,15,FALSE),"")</f>
        <v>Buff.Desc.AtkSpeed.Down.02</v>
      </c>
      <c r="Q149" s="26" t="b">
        <v>0</v>
      </c>
      <c r="R149" s="26" t="b">
        <v>0</v>
      </c>
    </row>
    <row r="150" spans="1:18">
      <c r="A150" s="25" t="s">
        <v>296</v>
      </c>
      <c r="B150" s="25"/>
      <c r="C150" s="25"/>
      <c r="D150" s="25">
        <v>0</v>
      </c>
      <c r="E150" s="25">
        <v>0</v>
      </c>
      <c r="F150" s="25">
        <v>0</v>
      </c>
      <c r="G150" s="25" t="s">
        <v>297</v>
      </c>
      <c r="H150" s="25"/>
      <c r="I150" s="25" t="b">
        <v>0</v>
      </c>
      <c r="J150" s="25" t="b">
        <v>0</v>
      </c>
      <c r="K150" s="25" t="b">
        <v>1</v>
      </c>
      <c r="L150" s="25"/>
      <c r="M150" s="25"/>
      <c r="N150" s="25" t="str">
        <f>_xlfn.IFNA(VLOOKUP($M150,Buff.CM!$A:$O,13,FALSE),"")</f>
        <v/>
      </c>
      <c r="O150" s="25" t="str">
        <f>_xlfn.IFNA(VLOOKUP($M150,Buff.CM!$A:$O,14,FALSE),"")</f>
        <v/>
      </c>
      <c r="P150" s="25" t="str">
        <f>_xlfn.IFNA(VLOOKUP($M150,Buff.CM!$A:$O,15,FALSE),"")</f>
        <v/>
      </c>
      <c r="Q150" s="25" t="b">
        <v>0</v>
      </c>
      <c r="R150" s="25" t="b">
        <v>0</v>
      </c>
    </row>
    <row r="151" spans="1:18">
      <c r="A151" s="25" t="s">
        <v>298</v>
      </c>
      <c r="B151" s="25"/>
      <c r="C151" s="25"/>
      <c r="D151" s="25">
        <v>0</v>
      </c>
      <c r="E151" s="25">
        <v>0</v>
      </c>
      <c r="F151" s="25">
        <v>0</v>
      </c>
      <c r="G151" s="25" t="s">
        <v>299</v>
      </c>
      <c r="H151" s="25"/>
      <c r="I151" s="25" t="b">
        <v>0</v>
      </c>
      <c r="J151" s="25" t="b">
        <v>0</v>
      </c>
      <c r="K151" s="25" t="b">
        <v>1</v>
      </c>
      <c r="L151" s="25"/>
      <c r="M151" s="25"/>
      <c r="N151" s="25" t="str">
        <f>_xlfn.IFNA(VLOOKUP($M151,Buff.CM!$A:$O,13,FALSE),"")</f>
        <v/>
      </c>
      <c r="O151" s="25" t="str">
        <f>_xlfn.IFNA(VLOOKUP($M151,Buff.CM!$A:$O,14,FALSE),"")</f>
        <v/>
      </c>
      <c r="P151" s="25" t="str">
        <f>_xlfn.IFNA(VLOOKUP($M151,Buff.CM!$A:$O,15,FALSE),"")</f>
        <v/>
      </c>
      <c r="Q151" s="25" t="b">
        <v>0</v>
      </c>
      <c r="R151" s="25" t="b">
        <v>0</v>
      </c>
    </row>
    <row r="152" spans="1:18">
      <c r="A152" s="25" t="s">
        <v>300</v>
      </c>
      <c r="B152" s="25"/>
      <c r="C152" s="25"/>
      <c r="D152" s="25">
        <v>0</v>
      </c>
      <c r="E152" s="25">
        <v>0</v>
      </c>
      <c r="F152" s="25">
        <v>0</v>
      </c>
      <c r="G152" s="25" t="s">
        <v>301</v>
      </c>
      <c r="H152" s="25"/>
      <c r="I152" s="25" t="b">
        <v>0</v>
      </c>
      <c r="J152" s="25" t="b">
        <v>0</v>
      </c>
      <c r="K152" s="25" t="b">
        <v>1</v>
      </c>
      <c r="L152" s="25"/>
      <c r="M152" s="25"/>
      <c r="N152" s="25" t="str">
        <f>_xlfn.IFNA(VLOOKUP($M152,Buff.CM!$A:$O,13,FALSE),"")</f>
        <v/>
      </c>
      <c r="O152" s="25" t="str">
        <f>_xlfn.IFNA(VLOOKUP($M152,Buff.CM!$A:$O,14,FALSE),"")</f>
        <v/>
      </c>
      <c r="P152" s="25" t="str">
        <f>_xlfn.IFNA(VLOOKUP($M152,Buff.CM!$A:$O,15,FALSE),"")</f>
        <v/>
      </c>
      <c r="Q152" s="25" t="b">
        <v>0</v>
      </c>
      <c r="R152" s="25" t="b">
        <v>0</v>
      </c>
    </row>
    <row r="153" spans="1:18">
      <c r="A153" s="34" t="s">
        <v>302</v>
      </c>
      <c r="B153" s="34"/>
      <c r="C153" s="34"/>
      <c r="D153" s="34">
        <v>0</v>
      </c>
      <c r="E153" s="34">
        <v>0</v>
      </c>
      <c r="F153" s="34">
        <v>0</v>
      </c>
      <c r="G153" s="34" t="s">
        <v>303</v>
      </c>
      <c r="H153" s="34"/>
      <c r="I153" s="34" t="b">
        <v>0</v>
      </c>
      <c r="J153" s="34" t="b">
        <v>0</v>
      </c>
      <c r="K153" s="34" t="b">
        <v>1</v>
      </c>
      <c r="L153" s="34"/>
      <c r="M153" s="34"/>
      <c r="N153" s="34" t="str">
        <f>_xlfn.IFNA(VLOOKUP($M153,Buff.CM!$A:$O,13,FALSE),"")</f>
        <v/>
      </c>
      <c r="O153" s="34" t="str">
        <f>_xlfn.IFNA(VLOOKUP($M153,Buff.CM!$A:$O,14,FALSE),"")</f>
        <v/>
      </c>
      <c r="P153" s="34" t="str">
        <f>_xlfn.IFNA(VLOOKUP($M153,Buff.CM!$A:$O,15,FALSE),"")</f>
        <v/>
      </c>
      <c r="Q153" s="34" t="b">
        <v>0</v>
      </c>
      <c r="R153" s="34" t="b">
        <v>0</v>
      </c>
    </row>
    <row r="154" spans="1:18">
      <c r="A154" s="34" t="s">
        <v>304</v>
      </c>
      <c r="B154" s="34"/>
      <c r="C154" s="34"/>
      <c r="D154" s="34">
        <v>0</v>
      </c>
      <c r="E154" s="34">
        <v>0</v>
      </c>
      <c r="F154" s="34">
        <v>0</v>
      </c>
      <c r="G154" s="34" t="s">
        <v>305</v>
      </c>
      <c r="H154" s="34"/>
      <c r="I154" s="34" t="b">
        <v>0</v>
      </c>
      <c r="J154" s="34" t="b">
        <v>0</v>
      </c>
      <c r="K154" s="34" t="b">
        <v>1</v>
      </c>
      <c r="L154" s="34"/>
      <c r="M154" s="34"/>
      <c r="N154" s="34" t="str">
        <f>_xlfn.IFNA(VLOOKUP($M154,Buff.CM!$A:$O,13,FALSE),"")</f>
        <v/>
      </c>
      <c r="O154" s="34" t="str">
        <f>_xlfn.IFNA(VLOOKUP($M154,Buff.CM!$A:$O,14,FALSE),"")</f>
        <v/>
      </c>
      <c r="P154" s="34" t="str">
        <f>_xlfn.IFNA(VLOOKUP($M154,Buff.CM!$A:$O,15,FALSE),"")</f>
        <v/>
      </c>
      <c r="Q154" s="34" t="b">
        <v>0</v>
      </c>
      <c r="R154" s="34" t="b">
        <v>0</v>
      </c>
    </row>
    <row r="155" spans="1:18" s="13" customFormat="1">
      <c r="A155" s="34" t="s">
        <v>306</v>
      </c>
      <c r="B155" s="34"/>
      <c r="C155" s="34"/>
      <c r="D155" s="34">
        <v>0</v>
      </c>
      <c r="E155" s="34">
        <v>0</v>
      </c>
      <c r="F155" s="34">
        <v>0</v>
      </c>
      <c r="G155" s="34" t="s">
        <v>307</v>
      </c>
      <c r="H155" s="34"/>
      <c r="I155" s="34" t="b">
        <v>0</v>
      </c>
      <c r="J155" s="34" t="b">
        <v>0</v>
      </c>
      <c r="K155" s="34" t="b">
        <v>1</v>
      </c>
      <c r="L155" s="34"/>
      <c r="M155" s="34"/>
      <c r="N155" s="34" t="str">
        <f>_xlfn.IFNA(VLOOKUP($M155,Buff.CM!$A:$O,13,FALSE),"")</f>
        <v/>
      </c>
      <c r="O155" s="34" t="str">
        <f>_xlfn.IFNA(VLOOKUP($M155,Buff.CM!$A:$O,14,FALSE),"")</f>
        <v/>
      </c>
      <c r="P155" s="34" t="str">
        <f>_xlfn.IFNA(VLOOKUP($M155,Buff.CM!$A:$O,15,FALSE),"")</f>
        <v/>
      </c>
      <c r="Q155" s="34" t="b">
        <v>0</v>
      </c>
      <c r="R155" s="34" t="b">
        <v>0</v>
      </c>
    </row>
    <row r="156" spans="1:18" s="13" customFormat="1" ht="33">
      <c r="A156" s="26" t="s">
        <v>308</v>
      </c>
      <c r="B156" s="26"/>
      <c r="C156" s="26"/>
      <c r="D156" s="26">
        <v>0</v>
      </c>
      <c r="E156" s="26">
        <v>0</v>
      </c>
      <c r="F156" s="26">
        <v>0</v>
      </c>
      <c r="G156" s="45" t="s">
        <v>6491</v>
      </c>
      <c r="H156" s="26"/>
      <c r="I156" s="26" t="b">
        <v>1</v>
      </c>
      <c r="J156" s="26" t="b">
        <v>0</v>
      </c>
      <c r="K156" s="26" t="b">
        <v>1</v>
      </c>
      <c r="L156" s="26"/>
      <c r="M156" s="26"/>
      <c r="N156" s="26" t="str">
        <f>_xlfn.IFNA(VLOOKUP($M156,Buff.CM!$A:$O,13,FALSE),"")</f>
        <v/>
      </c>
      <c r="O156" s="26" t="str">
        <f>_xlfn.IFNA(VLOOKUP($M156,Buff.CM!$A:$O,14,FALSE),"")</f>
        <v/>
      </c>
      <c r="P156" s="26" t="str">
        <f>_xlfn.IFNA(VLOOKUP($M156,Buff.CM!$A:$O,15,FALSE),"")</f>
        <v/>
      </c>
      <c r="Q156" s="26" t="b">
        <v>0</v>
      </c>
      <c r="R156" s="26" t="b">
        <v>0</v>
      </c>
    </row>
    <row r="157" spans="1:18" s="13" customFormat="1">
      <c r="A157" s="26" t="s">
        <v>310</v>
      </c>
      <c r="B157" s="26"/>
      <c r="C157" s="26"/>
      <c r="D157" s="26">
        <v>300000</v>
      </c>
      <c r="E157" s="26">
        <v>0</v>
      </c>
      <c r="F157" s="26">
        <v>0</v>
      </c>
      <c r="G157" s="26" t="s">
        <v>122</v>
      </c>
      <c r="H157" s="26"/>
      <c r="I157" s="26" t="b">
        <v>1</v>
      </c>
      <c r="J157" s="26" t="b">
        <v>0</v>
      </c>
      <c r="K157" s="26" t="b">
        <v>1</v>
      </c>
      <c r="L157" s="26" t="s">
        <v>311</v>
      </c>
      <c r="M157" s="26"/>
      <c r="N157" s="26" t="str">
        <f>_xlfn.IFNA(VLOOKUP($M157,Buff.CM!$A:$O,13,FALSE),"")</f>
        <v/>
      </c>
      <c r="O157" s="26" t="str">
        <f>_xlfn.IFNA(VLOOKUP($M157,Buff.CM!$A:$O,14,FALSE),"")</f>
        <v/>
      </c>
      <c r="P157" s="26" t="str">
        <f>_xlfn.IFNA(VLOOKUP($M157,Buff.CM!$A:$O,15,FALSE),"")</f>
        <v/>
      </c>
      <c r="Q157" s="26" t="b">
        <v>0</v>
      </c>
      <c r="R157" s="26" t="b">
        <v>0</v>
      </c>
    </row>
    <row r="158" spans="1:18" s="13" customFormat="1">
      <c r="A158" s="26" t="s">
        <v>312</v>
      </c>
      <c r="B158" s="26"/>
      <c r="C158" s="26"/>
      <c r="D158" s="26">
        <v>1000</v>
      </c>
      <c r="E158" s="26">
        <v>0</v>
      </c>
      <c r="F158" s="26">
        <v>0</v>
      </c>
      <c r="G158" s="26" t="s">
        <v>122</v>
      </c>
      <c r="H158" s="26"/>
      <c r="I158" s="26" t="b">
        <v>1</v>
      </c>
      <c r="J158" s="26" t="b">
        <v>0</v>
      </c>
      <c r="K158" s="26" t="b">
        <v>1</v>
      </c>
      <c r="L158" s="26" t="s">
        <v>313</v>
      </c>
      <c r="M158" s="26"/>
      <c r="N158" s="26" t="str">
        <f>_xlfn.IFNA(VLOOKUP($M158,Buff.CM!$A:$O,13,FALSE),"")</f>
        <v/>
      </c>
      <c r="O158" s="26" t="str">
        <f>_xlfn.IFNA(VLOOKUP($M158,Buff.CM!$A:$O,14,FALSE),"")</f>
        <v/>
      </c>
      <c r="P158" s="26" t="str">
        <f>_xlfn.IFNA(VLOOKUP($M158,Buff.CM!$A:$O,15,FALSE),"")</f>
        <v/>
      </c>
      <c r="Q158" s="26" t="b">
        <v>0</v>
      </c>
      <c r="R158" s="26" t="b">
        <v>0</v>
      </c>
    </row>
    <row r="159" spans="1:18">
      <c r="A159" s="25" t="s">
        <v>6492</v>
      </c>
      <c r="B159" s="25"/>
      <c r="C159" s="25"/>
      <c r="D159" s="25">
        <v>0</v>
      </c>
      <c r="E159" s="25">
        <v>0</v>
      </c>
      <c r="F159" s="25">
        <v>0</v>
      </c>
      <c r="G159" s="25" t="s">
        <v>6493</v>
      </c>
      <c r="H159" s="25"/>
      <c r="I159" s="25" t="b">
        <v>0</v>
      </c>
      <c r="J159" s="25" t="b">
        <v>0</v>
      </c>
      <c r="K159" s="25" t="b">
        <v>1</v>
      </c>
      <c r="L159" s="25"/>
      <c r="M159" s="25"/>
      <c r="N159" s="25" t="str">
        <f>_xlfn.IFNA(VLOOKUP($M159,Buff.CM!$A:$O,13,FALSE),"")</f>
        <v/>
      </c>
      <c r="O159" s="25" t="str">
        <f>_xlfn.IFNA(VLOOKUP($M159,Buff.CM!$A:$O,14,FALSE),"")</f>
        <v/>
      </c>
      <c r="P159" s="25" t="str">
        <f>_xlfn.IFNA(VLOOKUP($M159,Buff.CM!$A:$O,15,FALSE),"")</f>
        <v/>
      </c>
      <c r="Q159" s="25" t="b">
        <v>0</v>
      </c>
      <c r="R159" s="25" t="b">
        <v>0</v>
      </c>
    </row>
    <row r="160" spans="1:18">
      <c r="A160" s="25" t="s">
        <v>3609</v>
      </c>
      <c r="B160" s="25"/>
      <c r="C160" s="25"/>
      <c r="D160" s="25">
        <v>0</v>
      </c>
      <c r="E160" s="25">
        <v>0</v>
      </c>
      <c r="F160" s="25">
        <v>0</v>
      </c>
      <c r="G160" s="25" t="s">
        <v>3614</v>
      </c>
      <c r="H160" s="25"/>
      <c r="I160" s="25" t="b">
        <v>0</v>
      </c>
      <c r="J160" s="25" t="b">
        <v>0</v>
      </c>
      <c r="K160" s="25" t="b">
        <v>1</v>
      </c>
      <c r="L160" s="25"/>
      <c r="M160" s="25"/>
      <c r="N160" s="25" t="str">
        <f>_xlfn.IFNA(VLOOKUP($M160,Buff.CM!$A:$O,13,FALSE),"")</f>
        <v/>
      </c>
      <c r="O160" s="25" t="str">
        <f>_xlfn.IFNA(VLOOKUP($M160,Buff.CM!$A:$O,14,FALSE),"")</f>
        <v/>
      </c>
      <c r="P160" s="25" t="str">
        <f>_xlfn.IFNA(VLOOKUP($M160,Buff.CM!$A:$O,15,FALSE),"")</f>
        <v/>
      </c>
      <c r="Q160" s="25" t="b">
        <v>0</v>
      </c>
      <c r="R160" s="25" t="b">
        <v>0</v>
      </c>
    </row>
    <row r="161" spans="1:18">
      <c r="A161" s="25" t="s">
        <v>3610</v>
      </c>
      <c r="B161" s="25"/>
      <c r="C161" s="25"/>
      <c r="D161" s="25">
        <v>0</v>
      </c>
      <c r="E161" s="25">
        <v>0</v>
      </c>
      <c r="F161" s="25">
        <v>0</v>
      </c>
      <c r="G161" s="25" t="s">
        <v>3615</v>
      </c>
      <c r="H161" s="25"/>
      <c r="I161" s="25" t="b">
        <v>0</v>
      </c>
      <c r="J161" s="25" t="b">
        <v>0</v>
      </c>
      <c r="K161" s="25" t="b">
        <v>1</v>
      </c>
      <c r="L161" s="25"/>
      <c r="M161" s="25"/>
      <c r="N161" s="25" t="str">
        <f>_xlfn.IFNA(VLOOKUP($M161,Buff.CM!$A:$O,13,FALSE),"")</f>
        <v/>
      </c>
      <c r="O161" s="25" t="str">
        <f>_xlfn.IFNA(VLOOKUP($M161,Buff.CM!$A:$O,14,FALSE),"")</f>
        <v/>
      </c>
      <c r="P161" s="25" t="str">
        <f>_xlfn.IFNA(VLOOKUP($M161,Buff.CM!$A:$O,15,FALSE),"")</f>
        <v/>
      </c>
      <c r="Q161" s="25" t="b">
        <v>0</v>
      </c>
      <c r="R161" s="25" t="b">
        <v>0</v>
      </c>
    </row>
    <row r="162" spans="1:18">
      <c r="A162" s="34" t="s">
        <v>3611</v>
      </c>
      <c r="B162" s="34"/>
      <c r="C162" s="34"/>
      <c r="D162" s="34">
        <v>0</v>
      </c>
      <c r="E162" s="34">
        <v>0</v>
      </c>
      <c r="F162" s="34">
        <v>0</v>
      </c>
      <c r="G162" s="34" t="s">
        <v>3616</v>
      </c>
      <c r="H162" s="34"/>
      <c r="I162" s="34" t="b">
        <v>0</v>
      </c>
      <c r="J162" s="34" t="b">
        <v>0</v>
      </c>
      <c r="K162" s="34" t="b">
        <v>1</v>
      </c>
      <c r="L162" s="34"/>
      <c r="M162" s="34"/>
      <c r="N162" s="34" t="str">
        <f>_xlfn.IFNA(VLOOKUP($M162,Buff.CM!$A:$O,13,FALSE),"")</f>
        <v/>
      </c>
      <c r="O162" s="34" t="str">
        <f>_xlfn.IFNA(VLOOKUP($M162,Buff.CM!$A:$O,14,FALSE),"")</f>
        <v/>
      </c>
      <c r="P162" s="34" t="str">
        <f>_xlfn.IFNA(VLOOKUP($M162,Buff.CM!$A:$O,15,FALSE),"")</f>
        <v/>
      </c>
      <c r="Q162" s="34" t="b">
        <v>0</v>
      </c>
      <c r="R162" s="34" t="b">
        <v>0</v>
      </c>
    </row>
    <row r="163" spans="1:18">
      <c r="A163" s="34" t="s">
        <v>3612</v>
      </c>
      <c r="B163" s="34"/>
      <c r="C163" s="34"/>
      <c r="D163" s="34">
        <v>0</v>
      </c>
      <c r="E163" s="34">
        <v>0</v>
      </c>
      <c r="F163" s="34">
        <v>0</v>
      </c>
      <c r="G163" s="34" t="s">
        <v>3617</v>
      </c>
      <c r="H163" s="34"/>
      <c r="I163" s="34" t="b">
        <v>0</v>
      </c>
      <c r="J163" s="34" t="b">
        <v>0</v>
      </c>
      <c r="K163" s="34" t="b">
        <v>1</v>
      </c>
      <c r="L163" s="34"/>
      <c r="M163" s="34"/>
      <c r="N163" s="34" t="str">
        <f>_xlfn.IFNA(VLOOKUP($M163,Buff.CM!$A:$O,13,FALSE),"")</f>
        <v/>
      </c>
      <c r="O163" s="34" t="str">
        <f>_xlfn.IFNA(VLOOKUP($M163,Buff.CM!$A:$O,14,FALSE),"")</f>
        <v/>
      </c>
      <c r="P163" s="34" t="str">
        <f>_xlfn.IFNA(VLOOKUP($M163,Buff.CM!$A:$O,15,FALSE),"")</f>
        <v/>
      </c>
      <c r="Q163" s="34" t="b">
        <v>0</v>
      </c>
      <c r="R163" s="34" t="b">
        <v>0</v>
      </c>
    </row>
    <row r="164" spans="1:18" s="13" customFormat="1">
      <c r="A164" s="34" t="s">
        <v>3613</v>
      </c>
      <c r="B164" s="34"/>
      <c r="C164" s="34"/>
      <c r="D164" s="34">
        <v>0</v>
      </c>
      <c r="E164" s="34">
        <v>0</v>
      </c>
      <c r="F164" s="34">
        <v>0</v>
      </c>
      <c r="G164" s="34" t="s">
        <v>3618</v>
      </c>
      <c r="H164" s="34"/>
      <c r="I164" s="34" t="b">
        <v>0</v>
      </c>
      <c r="J164" s="34" t="b">
        <v>0</v>
      </c>
      <c r="K164" s="34" t="b">
        <v>1</v>
      </c>
      <c r="L164" s="34"/>
      <c r="M164" s="34"/>
      <c r="N164" s="34" t="str">
        <f>_xlfn.IFNA(VLOOKUP($M164,Buff.CM!$A:$O,13,FALSE),"")</f>
        <v/>
      </c>
      <c r="O164" s="34" t="str">
        <f>_xlfn.IFNA(VLOOKUP($M164,Buff.CM!$A:$O,14,FALSE),"")</f>
        <v/>
      </c>
      <c r="P164" s="34" t="str">
        <f>_xlfn.IFNA(VLOOKUP($M164,Buff.CM!$A:$O,15,FALSE),"")</f>
        <v/>
      </c>
      <c r="Q164" s="34" t="b">
        <v>0</v>
      </c>
      <c r="R164" s="34" t="b">
        <v>0</v>
      </c>
    </row>
    <row r="165" spans="1:18" s="13" customFormat="1">
      <c r="A165" s="53" t="s">
        <v>6494</v>
      </c>
      <c r="B165" s="53"/>
      <c r="C165" s="53"/>
      <c r="D165" s="53">
        <v>300</v>
      </c>
      <c r="E165" s="53">
        <v>0</v>
      </c>
      <c r="F165" s="53">
        <v>0</v>
      </c>
      <c r="G165" s="53" t="s">
        <v>263</v>
      </c>
      <c r="H165" s="53"/>
      <c r="I165" s="53" t="b">
        <v>0</v>
      </c>
      <c r="J165" s="53" t="b">
        <v>0</v>
      </c>
      <c r="K165" s="53" t="b">
        <v>0</v>
      </c>
      <c r="L165" s="53" t="s">
        <v>314</v>
      </c>
      <c r="M165" s="53" t="s">
        <v>5467</v>
      </c>
      <c r="N165" s="53" t="str">
        <f>_xlfn.IFNA(VLOOKUP($M165,Buff.CM!$A:$O,13,FALSE),"")</f>
        <v>icon_cha_skill_backstep_u</v>
      </c>
      <c r="O165" s="53" t="str">
        <f>_xlfn.IFNA(VLOOKUP($M165,Buff.CM!$A:$O,14,FALSE),"")</f>
        <v>Buff.Name.Airborne</v>
      </c>
      <c r="P165" s="53" t="str">
        <f>_xlfn.IFNA(VLOOKUP($M165,Buff.CM!$A:$O,15,FALSE),"")</f>
        <v>Buff.Desc.Airborne</v>
      </c>
      <c r="Q165" s="53" t="b">
        <v>0</v>
      </c>
      <c r="R165" s="53" t="b">
        <v>0</v>
      </c>
    </row>
    <row r="166" spans="1:18" s="13" customFormat="1">
      <c r="A166" s="166" t="s">
        <v>6495</v>
      </c>
      <c r="B166" s="53"/>
      <c r="C166" s="53"/>
      <c r="D166" s="53">
        <v>3000</v>
      </c>
      <c r="E166" s="53">
        <v>0</v>
      </c>
      <c r="F166" s="53">
        <v>0</v>
      </c>
      <c r="G166" s="54" t="s">
        <v>6496</v>
      </c>
      <c r="H166" s="53"/>
      <c r="I166" s="53" t="b">
        <v>0</v>
      </c>
      <c r="J166" s="53" t="b">
        <v>0</v>
      </c>
      <c r="K166" s="53" t="b">
        <v>0</v>
      </c>
      <c r="L166" s="53"/>
      <c r="M166" s="53"/>
      <c r="N166" s="53" t="str">
        <f>_xlfn.IFNA(VLOOKUP($M166,Buff.CM!$A:$O,13,FALSE),"")</f>
        <v/>
      </c>
      <c r="O166" s="53" t="str">
        <f>_xlfn.IFNA(VLOOKUP($M166,Buff.CM!$A:$O,14,FALSE),"")</f>
        <v/>
      </c>
      <c r="P166" s="53" t="str">
        <f>_xlfn.IFNA(VLOOKUP($M166,Buff.CM!$A:$O,15,FALSE),"")</f>
        <v/>
      </c>
      <c r="Q166" s="53" t="b">
        <v>0</v>
      </c>
      <c r="R166" s="53" t="b">
        <v>0</v>
      </c>
    </row>
    <row r="167" spans="1:18" s="13" customFormat="1">
      <c r="A167" s="166" t="s">
        <v>4247</v>
      </c>
      <c r="B167" s="53"/>
      <c r="C167" s="53"/>
      <c r="D167" s="53">
        <v>3000</v>
      </c>
      <c r="E167" s="53">
        <v>0</v>
      </c>
      <c r="F167" s="53">
        <v>0</v>
      </c>
      <c r="G167" s="54" t="s">
        <v>3425</v>
      </c>
      <c r="H167" s="53"/>
      <c r="I167" s="53" t="b">
        <v>0</v>
      </c>
      <c r="J167" s="53" t="b">
        <v>0</v>
      </c>
      <c r="K167" s="53" t="b">
        <v>0</v>
      </c>
      <c r="L167" s="53"/>
      <c r="M167" s="53"/>
      <c r="N167" s="53" t="str">
        <f>_xlfn.IFNA(VLOOKUP($M167,Buff.CM!$A:$O,13,FALSE),"")</f>
        <v/>
      </c>
      <c r="O167" s="53" t="str">
        <f>_xlfn.IFNA(VLOOKUP($M167,Buff.CM!$A:$O,14,FALSE),"")</f>
        <v/>
      </c>
      <c r="P167" s="53" t="str">
        <f>_xlfn.IFNA(VLOOKUP($M167,Buff.CM!$A:$O,15,FALSE),"")</f>
        <v/>
      </c>
      <c r="Q167" s="53" t="b">
        <v>0</v>
      </c>
      <c r="R167" s="53" t="b">
        <v>0</v>
      </c>
    </row>
    <row r="168" spans="1:18" s="13" customFormat="1">
      <c r="A168" s="53" t="s">
        <v>6497</v>
      </c>
      <c r="B168" s="53" t="s">
        <v>1367</v>
      </c>
      <c r="C168" s="53" t="s">
        <v>6498</v>
      </c>
      <c r="D168" s="53">
        <v>300</v>
      </c>
      <c r="E168" s="53">
        <v>0</v>
      </c>
      <c r="F168" s="53">
        <v>0</v>
      </c>
      <c r="G168" s="54" t="s">
        <v>6499</v>
      </c>
      <c r="H168" s="53"/>
      <c r="I168" s="53" t="b">
        <v>0</v>
      </c>
      <c r="J168" s="53" t="b">
        <v>0</v>
      </c>
      <c r="K168" s="53" t="b">
        <v>0</v>
      </c>
      <c r="L168" s="53"/>
      <c r="M168" s="53"/>
      <c r="N168" s="53" t="str">
        <f>_xlfn.IFNA(VLOOKUP($M168,Buff.CM!$A:$O,13,FALSE),"")</f>
        <v/>
      </c>
      <c r="O168" s="53" t="str">
        <f>_xlfn.IFNA(VLOOKUP($M168,Buff.CM!$A:$O,14,FALSE),"")</f>
        <v/>
      </c>
      <c r="P168" s="53" t="str">
        <f>_xlfn.IFNA(VLOOKUP($M168,Buff.CM!$A:$O,15,FALSE),"")</f>
        <v/>
      </c>
      <c r="Q168" s="53" t="b">
        <v>0</v>
      </c>
      <c r="R168" s="53" t="b">
        <v>0</v>
      </c>
    </row>
    <row r="169" spans="1:18" s="13" customFormat="1">
      <c r="A169" s="51" t="s">
        <v>2272</v>
      </c>
      <c r="B169" s="51"/>
      <c r="C169" s="51"/>
      <c r="D169" s="51">
        <v>3000</v>
      </c>
      <c r="E169" s="51">
        <v>0</v>
      </c>
      <c r="F169" s="51">
        <v>0</v>
      </c>
      <c r="G169" s="51" t="s">
        <v>2278</v>
      </c>
      <c r="H169" s="51"/>
      <c r="I169" s="51" t="b">
        <v>0</v>
      </c>
      <c r="J169" s="51" t="b">
        <v>0</v>
      </c>
      <c r="K169" s="51" t="b">
        <v>1</v>
      </c>
      <c r="L169" s="51" t="s">
        <v>317</v>
      </c>
      <c r="M169" s="51" t="s">
        <v>5461</v>
      </c>
      <c r="N169" s="51" t="str">
        <f>_xlfn.IFNA(VLOOKUP($M169,Buff.CM!$A:$O,13,FALSE),"")</f>
        <v>icon_battle_shield</v>
      </c>
      <c r="O169" s="51" t="str">
        <f>_xlfn.IFNA(VLOOKUP($M169,Buff.CM!$A:$O,14,FALSE),"")</f>
        <v>Buff.Name.Shield</v>
      </c>
      <c r="P169" s="51" t="str">
        <f>_xlfn.IFNA(VLOOKUP($M169,Buff.CM!$A:$O,15,FALSE),"")</f>
        <v>Buff.Desc.Shield</v>
      </c>
      <c r="Q169" s="51" t="b">
        <v>0</v>
      </c>
      <c r="R169" s="51" t="b">
        <v>0</v>
      </c>
    </row>
    <row r="170" spans="1:18" s="13" customFormat="1">
      <c r="A170" s="51" t="s">
        <v>2273</v>
      </c>
      <c r="B170" s="51"/>
      <c r="C170" s="51"/>
      <c r="D170" s="51">
        <v>4000</v>
      </c>
      <c r="E170" s="51">
        <v>0</v>
      </c>
      <c r="F170" s="51">
        <v>0</v>
      </c>
      <c r="G170" s="51" t="s">
        <v>2279</v>
      </c>
      <c r="H170" s="51"/>
      <c r="I170" s="51" t="b">
        <v>0</v>
      </c>
      <c r="J170" s="51" t="b">
        <v>0</v>
      </c>
      <c r="K170" s="51" t="b">
        <v>1</v>
      </c>
      <c r="L170" s="51" t="s">
        <v>317</v>
      </c>
      <c r="M170" s="51" t="s">
        <v>5461</v>
      </c>
      <c r="N170" s="51" t="str">
        <f>_xlfn.IFNA(VLOOKUP($M170,Buff.CM!$A:$O,13,FALSE),"")</f>
        <v>icon_battle_shield</v>
      </c>
      <c r="O170" s="51" t="str">
        <f>_xlfn.IFNA(VLOOKUP($M170,Buff.CM!$A:$O,14,FALSE),"")</f>
        <v>Buff.Name.Shield</v>
      </c>
      <c r="P170" s="51" t="str">
        <f>_xlfn.IFNA(VLOOKUP($M170,Buff.CM!$A:$O,15,FALSE),"")</f>
        <v>Buff.Desc.Shield</v>
      </c>
      <c r="Q170" s="51" t="b">
        <v>0</v>
      </c>
      <c r="R170" s="51" t="b">
        <v>0</v>
      </c>
    </row>
    <row r="171" spans="1:18" s="13" customFormat="1">
      <c r="A171" s="51" t="s">
        <v>2274</v>
      </c>
      <c r="B171" s="51"/>
      <c r="C171" s="51"/>
      <c r="D171" s="51">
        <v>4000</v>
      </c>
      <c r="E171" s="51">
        <v>0</v>
      </c>
      <c r="F171" s="51">
        <v>0</v>
      </c>
      <c r="G171" s="51" t="s">
        <v>2280</v>
      </c>
      <c r="H171" s="51"/>
      <c r="I171" s="51" t="b">
        <v>0</v>
      </c>
      <c r="J171" s="51" t="b">
        <v>0</v>
      </c>
      <c r="K171" s="51" t="b">
        <v>1</v>
      </c>
      <c r="L171" s="51" t="s">
        <v>317</v>
      </c>
      <c r="M171" s="51" t="s">
        <v>5461</v>
      </c>
      <c r="N171" s="51" t="str">
        <f>_xlfn.IFNA(VLOOKUP($M171,Buff.CM!$A:$O,13,FALSE),"")</f>
        <v>icon_battle_shield</v>
      </c>
      <c r="O171" s="51" t="str">
        <f>_xlfn.IFNA(VLOOKUP($M171,Buff.CM!$A:$O,14,FALSE),"")</f>
        <v>Buff.Name.Shield</v>
      </c>
      <c r="P171" s="51" t="str">
        <f>_xlfn.IFNA(VLOOKUP($M171,Buff.CM!$A:$O,15,FALSE),"")</f>
        <v>Buff.Desc.Shield</v>
      </c>
      <c r="Q171" s="51" t="b">
        <v>0</v>
      </c>
      <c r="R171" s="51" t="b">
        <v>0</v>
      </c>
    </row>
    <row r="172" spans="1:18" s="13" customFormat="1">
      <c r="A172" s="34" t="s">
        <v>2275</v>
      </c>
      <c r="B172" s="34"/>
      <c r="C172" s="34"/>
      <c r="D172" s="34">
        <v>5000</v>
      </c>
      <c r="E172" s="34">
        <v>0</v>
      </c>
      <c r="F172" s="34">
        <v>0</v>
      </c>
      <c r="G172" s="34" t="s">
        <v>2281</v>
      </c>
      <c r="H172" s="34"/>
      <c r="I172" s="34" t="b">
        <v>0</v>
      </c>
      <c r="J172" s="34" t="b">
        <v>0</v>
      </c>
      <c r="K172" s="34" t="b">
        <v>1</v>
      </c>
      <c r="L172" s="34" t="s">
        <v>317</v>
      </c>
      <c r="M172" s="34" t="s">
        <v>5461</v>
      </c>
      <c r="N172" s="34" t="str">
        <f>_xlfn.IFNA(VLOOKUP($M172,Buff.CM!$A:$O,13,FALSE),"")</f>
        <v>icon_battle_shield</v>
      </c>
      <c r="O172" s="34" t="str">
        <f>_xlfn.IFNA(VLOOKUP($M172,Buff.CM!$A:$O,14,FALSE),"")</f>
        <v>Buff.Name.Shield</v>
      </c>
      <c r="P172" s="34" t="str">
        <f>_xlfn.IFNA(VLOOKUP($M172,Buff.CM!$A:$O,15,FALSE),"")</f>
        <v>Buff.Desc.Shield</v>
      </c>
      <c r="Q172" s="34" t="b">
        <v>0</v>
      </c>
      <c r="R172" s="34" t="b">
        <v>0</v>
      </c>
    </row>
    <row r="173" spans="1:18" s="13" customFormat="1">
      <c r="A173" s="34" t="s">
        <v>2276</v>
      </c>
      <c r="B173" s="34"/>
      <c r="C173" s="34"/>
      <c r="D173" s="34">
        <v>8000</v>
      </c>
      <c r="E173" s="34">
        <v>0</v>
      </c>
      <c r="F173" s="34">
        <v>0</v>
      </c>
      <c r="G173" s="34" t="s">
        <v>2282</v>
      </c>
      <c r="H173" s="34"/>
      <c r="I173" s="34" t="b">
        <v>0</v>
      </c>
      <c r="J173" s="34" t="b">
        <v>0</v>
      </c>
      <c r="K173" s="34" t="b">
        <v>1</v>
      </c>
      <c r="L173" s="34" t="s">
        <v>317</v>
      </c>
      <c r="M173" s="34" t="s">
        <v>5461</v>
      </c>
      <c r="N173" s="34" t="str">
        <f>_xlfn.IFNA(VLOOKUP($M173,Buff.CM!$A:$O,13,FALSE),"")</f>
        <v>icon_battle_shield</v>
      </c>
      <c r="O173" s="34" t="str">
        <f>_xlfn.IFNA(VLOOKUP($M173,Buff.CM!$A:$O,14,FALSE),"")</f>
        <v>Buff.Name.Shield</v>
      </c>
      <c r="P173" s="34" t="str">
        <f>_xlfn.IFNA(VLOOKUP($M173,Buff.CM!$A:$O,15,FALSE),"")</f>
        <v>Buff.Desc.Shield</v>
      </c>
      <c r="Q173" s="34" t="b">
        <v>0</v>
      </c>
      <c r="R173" s="34" t="b">
        <v>0</v>
      </c>
    </row>
    <row r="174" spans="1:18" s="13" customFormat="1">
      <c r="A174" s="34" t="s">
        <v>2277</v>
      </c>
      <c r="B174" s="34"/>
      <c r="C174" s="34"/>
      <c r="D174" s="34">
        <v>8000</v>
      </c>
      <c r="E174" s="34">
        <v>0</v>
      </c>
      <c r="F174" s="34">
        <v>0</v>
      </c>
      <c r="G174" s="34" t="s">
        <v>2283</v>
      </c>
      <c r="H174" s="34"/>
      <c r="I174" s="34" t="b">
        <v>0</v>
      </c>
      <c r="J174" s="34" t="b">
        <v>0</v>
      </c>
      <c r="K174" s="34" t="b">
        <v>1</v>
      </c>
      <c r="L174" s="34" t="s">
        <v>317</v>
      </c>
      <c r="M174" s="34" t="s">
        <v>5461</v>
      </c>
      <c r="N174" s="34" t="str">
        <f>_xlfn.IFNA(VLOOKUP($M174,Buff.CM!$A:$O,13,FALSE),"")</f>
        <v>icon_battle_shield</v>
      </c>
      <c r="O174" s="34" t="str">
        <f>_xlfn.IFNA(VLOOKUP($M174,Buff.CM!$A:$O,14,FALSE),"")</f>
        <v>Buff.Name.Shield</v>
      </c>
      <c r="P174" s="34" t="str">
        <f>_xlfn.IFNA(VLOOKUP($M174,Buff.CM!$A:$O,15,FALSE),"")</f>
        <v>Buff.Desc.Shield</v>
      </c>
      <c r="Q174" s="34" t="b">
        <v>0</v>
      </c>
      <c r="R174" s="34" t="b">
        <v>0</v>
      </c>
    </row>
    <row r="175" spans="1:18" s="13" customFormat="1">
      <c r="A175" s="53" t="s">
        <v>6500</v>
      </c>
      <c r="B175" s="53"/>
      <c r="C175" s="53"/>
      <c r="D175" s="53">
        <v>5000</v>
      </c>
      <c r="E175" s="53">
        <v>0</v>
      </c>
      <c r="F175" s="53">
        <v>0</v>
      </c>
      <c r="G175" s="126" t="s">
        <v>1422</v>
      </c>
      <c r="H175" s="53"/>
      <c r="I175" s="53" t="b">
        <v>0</v>
      </c>
      <c r="J175" s="53" t="b">
        <v>0</v>
      </c>
      <c r="K175" s="53" t="b">
        <v>1</v>
      </c>
      <c r="L175" s="53" t="s">
        <v>5476</v>
      </c>
      <c r="M175" s="53" t="s">
        <v>1422</v>
      </c>
      <c r="N175" s="53" t="str">
        <f>_xlfn.IFNA(VLOOKUP($M175,Buff.CM!$A:$O,13,FALSE),"")</f>
        <v>icon_battle_defense</v>
      </c>
      <c r="O175" s="53" t="str">
        <f>_xlfn.IFNA(VLOOKUP($M175,Buff.CM!$A:$O,14,FALSE),"")</f>
        <v>Buff.Name.Def.Up.04</v>
      </c>
      <c r="P175" s="53" t="str">
        <f>_xlfn.IFNA(VLOOKUP($M175,Buff.CM!$A:$O,15,FALSE),"")</f>
        <v>Buff.Desc.Def.Up.04</v>
      </c>
      <c r="Q175" s="53" t="b">
        <v>0</v>
      </c>
      <c r="R175" s="53" t="b">
        <v>0</v>
      </c>
    </row>
    <row r="176" spans="1:18" s="13" customFormat="1">
      <c r="A176" s="53" t="s">
        <v>2263</v>
      </c>
      <c r="B176" s="53"/>
      <c r="C176" s="53"/>
      <c r="D176" s="53">
        <v>6000</v>
      </c>
      <c r="E176" s="53">
        <v>0</v>
      </c>
      <c r="F176" s="53">
        <v>0</v>
      </c>
      <c r="G176" s="126" t="s">
        <v>1422</v>
      </c>
      <c r="H176" s="53"/>
      <c r="I176" s="53" t="b">
        <v>0</v>
      </c>
      <c r="J176" s="53" t="b">
        <v>0</v>
      </c>
      <c r="K176" s="53" t="b">
        <v>1</v>
      </c>
      <c r="L176" s="53" t="s">
        <v>5476</v>
      </c>
      <c r="M176" s="53" t="s">
        <v>1422</v>
      </c>
      <c r="N176" s="53" t="str">
        <f>_xlfn.IFNA(VLOOKUP($M176,Buff.CM!$A:$O,13,FALSE),"")</f>
        <v>icon_battle_defense</v>
      </c>
      <c r="O176" s="53" t="str">
        <f>_xlfn.IFNA(VLOOKUP($M176,Buff.CM!$A:$O,14,FALSE),"")</f>
        <v>Buff.Name.Def.Up.04</v>
      </c>
      <c r="P176" s="53" t="str">
        <f>_xlfn.IFNA(VLOOKUP($M176,Buff.CM!$A:$O,15,FALSE),"")</f>
        <v>Buff.Desc.Def.Up.04</v>
      </c>
      <c r="Q176" s="53" t="b">
        <v>0</v>
      </c>
      <c r="R176" s="53" t="b">
        <v>0</v>
      </c>
    </row>
    <row r="177" spans="1:18" s="13" customFormat="1">
      <c r="A177" s="53" t="s">
        <v>2264</v>
      </c>
      <c r="B177" s="53"/>
      <c r="C177" s="53"/>
      <c r="D177" s="53">
        <v>6000</v>
      </c>
      <c r="E177" s="53">
        <v>0</v>
      </c>
      <c r="F177" s="53">
        <v>0</v>
      </c>
      <c r="G177" s="126" t="s">
        <v>1423</v>
      </c>
      <c r="H177" s="53"/>
      <c r="I177" s="53" t="b">
        <v>0</v>
      </c>
      <c r="J177" s="53" t="b">
        <v>0</v>
      </c>
      <c r="K177" s="53" t="b">
        <v>1</v>
      </c>
      <c r="L177" s="53" t="s">
        <v>5476</v>
      </c>
      <c r="M177" s="53" t="s">
        <v>1423</v>
      </c>
      <c r="N177" s="53" t="str">
        <f>_xlfn.IFNA(VLOOKUP($M177,Buff.CM!$A:$O,13,FALSE),"")</f>
        <v>icon_battle_defense</v>
      </c>
      <c r="O177" s="53" t="str">
        <f>_xlfn.IFNA(VLOOKUP($M177,Buff.CM!$A:$O,14,FALSE),"")</f>
        <v>Buff.Name.Def.Up.05</v>
      </c>
      <c r="P177" s="53" t="str">
        <f>_xlfn.IFNA(VLOOKUP($M177,Buff.CM!$A:$O,15,FALSE),"")</f>
        <v>Buff.Desc.Def.Up.05</v>
      </c>
      <c r="Q177" s="53" t="b">
        <v>0</v>
      </c>
      <c r="R177" s="53" t="b">
        <v>0</v>
      </c>
    </row>
    <row r="178" spans="1:18" s="13" customFormat="1">
      <c r="A178" s="34" t="s">
        <v>2265</v>
      </c>
      <c r="B178" s="34"/>
      <c r="C178" s="34"/>
      <c r="D178" s="34">
        <v>7000</v>
      </c>
      <c r="E178" s="34">
        <v>0</v>
      </c>
      <c r="F178" s="34">
        <v>0</v>
      </c>
      <c r="G178" s="34" t="s">
        <v>1423</v>
      </c>
      <c r="H178" s="34"/>
      <c r="I178" s="34" t="b">
        <v>0</v>
      </c>
      <c r="J178" s="34" t="b">
        <v>0</v>
      </c>
      <c r="K178" s="34" t="b">
        <v>1</v>
      </c>
      <c r="L178" s="34" t="s">
        <v>5476</v>
      </c>
      <c r="M178" s="34" t="s">
        <v>1423</v>
      </c>
      <c r="N178" s="34" t="str">
        <f>_xlfn.IFNA(VLOOKUP($M178,Buff.CM!$A:$O,13,FALSE),"")</f>
        <v>icon_battle_defense</v>
      </c>
      <c r="O178" s="34" t="str">
        <f>_xlfn.IFNA(VLOOKUP($M178,Buff.CM!$A:$O,14,FALSE),"")</f>
        <v>Buff.Name.Def.Up.05</v>
      </c>
      <c r="P178" s="34" t="str">
        <f>_xlfn.IFNA(VLOOKUP($M178,Buff.CM!$A:$O,15,FALSE),"")</f>
        <v>Buff.Desc.Def.Up.05</v>
      </c>
      <c r="Q178" s="34" t="b">
        <v>0</v>
      </c>
      <c r="R178" s="34" t="b">
        <v>0</v>
      </c>
    </row>
    <row r="179" spans="1:18" s="13" customFormat="1">
      <c r="A179" s="34" t="s">
        <v>2266</v>
      </c>
      <c r="B179" s="34"/>
      <c r="C179" s="34"/>
      <c r="D179" s="34">
        <v>7000</v>
      </c>
      <c r="E179" s="34">
        <v>0</v>
      </c>
      <c r="F179" s="34">
        <v>0</v>
      </c>
      <c r="G179" s="34" t="s">
        <v>1423</v>
      </c>
      <c r="H179" s="34"/>
      <c r="I179" s="34" t="b">
        <v>0</v>
      </c>
      <c r="J179" s="34" t="b">
        <v>0</v>
      </c>
      <c r="K179" s="34" t="b">
        <v>1</v>
      </c>
      <c r="L179" s="34" t="s">
        <v>5476</v>
      </c>
      <c r="M179" s="34" t="s">
        <v>1423</v>
      </c>
      <c r="N179" s="34" t="str">
        <f>_xlfn.IFNA(VLOOKUP($M179,Buff.CM!$A:$O,13,FALSE),"")</f>
        <v>icon_battle_defense</v>
      </c>
      <c r="O179" s="34" t="str">
        <f>_xlfn.IFNA(VLOOKUP($M179,Buff.CM!$A:$O,14,FALSE),"")</f>
        <v>Buff.Name.Def.Up.05</v>
      </c>
      <c r="P179" s="34" t="str">
        <f>_xlfn.IFNA(VLOOKUP($M179,Buff.CM!$A:$O,15,FALSE),"")</f>
        <v>Buff.Desc.Def.Up.05</v>
      </c>
      <c r="Q179" s="34" t="b">
        <v>0</v>
      </c>
      <c r="R179" s="34" t="b">
        <v>0</v>
      </c>
    </row>
    <row r="180" spans="1:18" s="13" customFormat="1">
      <c r="A180" s="34" t="s">
        <v>2267</v>
      </c>
      <c r="B180" s="34"/>
      <c r="C180" s="34"/>
      <c r="D180" s="34">
        <v>7000</v>
      </c>
      <c r="E180" s="34">
        <v>0</v>
      </c>
      <c r="F180" s="34">
        <v>0</v>
      </c>
      <c r="G180" s="34" t="s">
        <v>1423</v>
      </c>
      <c r="H180" s="34"/>
      <c r="I180" s="34" t="b">
        <v>0</v>
      </c>
      <c r="J180" s="34" t="b">
        <v>0</v>
      </c>
      <c r="K180" s="34" t="b">
        <v>1</v>
      </c>
      <c r="L180" s="34" t="s">
        <v>5476</v>
      </c>
      <c r="M180" s="34" t="s">
        <v>1423</v>
      </c>
      <c r="N180" s="34" t="str">
        <f>_xlfn.IFNA(VLOOKUP($M180,Buff.CM!$A:$O,13,FALSE),"")</f>
        <v>icon_battle_defense</v>
      </c>
      <c r="O180" s="34" t="str">
        <f>_xlfn.IFNA(VLOOKUP($M180,Buff.CM!$A:$O,14,FALSE),"")</f>
        <v>Buff.Name.Def.Up.05</v>
      </c>
      <c r="P180" s="34" t="str">
        <f>_xlfn.IFNA(VLOOKUP($M180,Buff.CM!$A:$O,15,FALSE),"")</f>
        <v>Buff.Desc.Def.Up.05</v>
      </c>
      <c r="Q180" s="34" t="b">
        <v>0</v>
      </c>
      <c r="R180" s="34" t="b">
        <v>0</v>
      </c>
    </row>
    <row r="181" spans="1:18" s="13" customFormat="1">
      <c r="A181" s="51" t="s">
        <v>2268</v>
      </c>
      <c r="B181" s="51"/>
      <c r="C181" s="51"/>
      <c r="D181" s="51">
        <v>6000</v>
      </c>
      <c r="E181" s="51">
        <v>0</v>
      </c>
      <c r="F181" s="51">
        <v>0</v>
      </c>
      <c r="G181" s="51" t="s">
        <v>1515</v>
      </c>
      <c r="H181" s="51"/>
      <c r="I181" s="51" t="b">
        <v>0</v>
      </c>
      <c r="J181" s="51" t="b">
        <v>0</v>
      </c>
      <c r="K181" s="51" t="b">
        <v>0</v>
      </c>
      <c r="L181" s="51" t="s">
        <v>5475</v>
      </c>
      <c r="M181" s="51" t="s">
        <v>1515</v>
      </c>
      <c r="N181" s="51" t="str">
        <f>_xlfn.IFNA(VLOOKUP($M181,Buff.CM!$A:$O,13,FALSE),"")</f>
        <v>icon_battle_attack</v>
      </c>
      <c r="O181" s="51" t="str">
        <f>_xlfn.IFNA(VLOOKUP($M181,Buff.CM!$A:$O,14,FALSE),"")</f>
        <v>Buff.Name.Atk.Down.02</v>
      </c>
      <c r="P181" s="51" t="str">
        <f>_xlfn.IFNA(VLOOKUP($M181,Buff.CM!$A:$O,15,FALSE),"")</f>
        <v>Buff.Desc.Atk.Down.02</v>
      </c>
      <c r="Q181" s="51" t="b">
        <v>0</v>
      </c>
      <c r="R181" s="51" t="b">
        <v>0</v>
      </c>
    </row>
    <row r="182" spans="1:18" s="13" customFormat="1">
      <c r="A182" s="51" t="s">
        <v>2269</v>
      </c>
      <c r="B182" s="51"/>
      <c r="C182" s="51"/>
      <c r="D182" s="51">
        <v>7000</v>
      </c>
      <c r="E182" s="51">
        <v>0</v>
      </c>
      <c r="F182" s="51">
        <v>0</v>
      </c>
      <c r="G182" s="51" t="s">
        <v>1515</v>
      </c>
      <c r="H182" s="51"/>
      <c r="I182" s="51" t="b">
        <v>0</v>
      </c>
      <c r="J182" s="51" t="b">
        <v>0</v>
      </c>
      <c r="K182" s="51" t="b">
        <v>0</v>
      </c>
      <c r="L182" s="51" t="s">
        <v>5475</v>
      </c>
      <c r="M182" s="51" t="s">
        <v>1515</v>
      </c>
      <c r="N182" s="51" t="str">
        <f>_xlfn.IFNA(VLOOKUP($M182,Buff.CM!$A:$O,13,FALSE),"")</f>
        <v>icon_battle_attack</v>
      </c>
      <c r="O182" s="51" t="str">
        <f>_xlfn.IFNA(VLOOKUP($M182,Buff.CM!$A:$O,14,FALSE),"")</f>
        <v>Buff.Name.Atk.Down.02</v>
      </c>
      <c r="P182" s="51" t="str">
        <f>_xlfn.IFNA(VLOOKUP($M182,Buff.CM!$A:$O,15,FALSE),"")</f>
        <v>Buff.Desc.Atk.Down.02</v>
      </c>
      <c r="Q182" s="51" t="b">
        <v>0</v>
      </c>
      <c r="R182" s="51" t="b">
        <v>0</v>
      </c>
    </row>
    <row r="183" spans="1:18" s="13" customFormat="1">
      <c r="A183" s="51" t="s">
        <v>2270</v>
      </c>
      <c r="B183" s="51"/>
      <c r="C183" s="51"/>
      <c r="D183" s="51">
        <v>7000</v>
      </c>
      <c r="E183" s="51">
        <v>0</v>
      </c>
      <c r="F183" s="51">
        <v>0</v>
      </c>
      <c r="G183" s="51" t="s">
        <v>1516</v>
      </c>
      <c r="H183" s="51"/>
      <c r="I183" s="51" t="b">
        <v>0</v>
      </c>
      <c r="J183" s="51" t="b">
        <v>0</v>
      </c>
      <c r="K183" s="51" t="b">
        <v>0</v>
      </c>
      <c r="L183" s="51" t="s">
        <v>5475</v>
      </c>
      <c r="M183" s="51" t="s">
        <v>1516</v>
      </c>
      <c r="N183" s="51" t="str">
        <f>_xlfn.IFNA(VLOOKUP($M183,Buff.CM!$A:$O,13,FALSE),"")</f>
        <v>icon_battle_attack</v>
      </c>
      <c r="O183" s="51" t="str">
        <f>_xlfn.IFNA(VLOOKUP($M183,Buff.CM!$A:$O,14,FALSE),"")</f>
        <v>Buff.Name.Atk.Down.03</v>
      </c>
      <c r="P183" s="51" t="str">
        <f>_xlfn.IFNA(VLOOKUP($M183,Buff.CM!$A:$O,15,FALSE),"")</f>
        <v>Buff.Desc.Atk.Down.03</v>
      </c>
      <c r="Q183" s="51" t="b">
        <v>0</v>
      </c>
      <c r="R183" s="51" t="b">
        <v>0</v>
      </c>
    </row>
    <row r="184" spans="1:18" s="13" customFormat="1">
      <c r="A184" s="34" t="s">
        <v>2271</v>
      </c>
      <c r="B184" s="34"/>
      <c r="C184" s="34"/>
      <c r="D184" s="34">
        <v>8000</v>
      </c>
      <c r="E184" s="34">
        <v>0</v>
      </c>
      <c r="F184" s="34">
        <v>0</v>
      </c>
      <c r="G184" s="34" t="s">
        <v>1516</v>
      </c>
      <c r="H184" s="34"/>
      <c r="I184" s="34" t="b">
        <v>0</v>
      </c>
      <c r="J184" s="34" t="b">
        <v>0</v>
      </c>
      <c r="K184" s="34" t="b">
        <v>0</v>
      </c>
      <c r="L184" s="51" t="s">
        <v>5475</v>
      </c>
      <c r="M184" s="34" t="s">
        <v>1516</v>
      </c>
      <c r="N184" s="34" t="str">
        <f>_xlfn.IFNA(VLOOKUP($M184,Buff.CM!$A:$O,13,FALSE),"")</f>
        <v>icon_battle_attack</v>
      </c>
      <c r="O184" s="34" t="str">
        <f>_xlfn.IFNA(VLOOKUP($M184,Buff.CM!$A:$O,14,FALSE),"")</f>
        <v>Buff.Name.Atk.Down.03</v>
      </c>
      <c r="P184" s="34" t="str">
        <f>_xlfn.IFNA(VLOOKUP($M184,Buff.CM!$A:$O,15,FALSE),"")</f>
        <v>Buff.Desc.Atk.Down.03</v>
      </c>
      <c r="Q184" s="34" t="b">
        <v>0</v>
      </c>
      <c r="R184" s="34" t="b">
        <v>0</v>
      </c>
    </row>
    <row r="185" spans="1:18" s="13" customFormat="1">
      <c r="A185" s="34" t="s">
        <v>2556</v>
      </c>
      <c r="B185" s="34"/>
      <c r="C185" s="34"/>
      <c r="D185" s="34">
        <v>6000</v>
      </c>
      <c r="E185" s="34">
        <v>0</v>
      </c>
      <c r="F185" s="34">
        <v>0</v>
      </c>
      <c r="G185" s="34" t="s">
        <v>1517</v>
      </c>
      <c r="H185" s="34"/>
      <c r="I185" s="34" t="b">
        <v>0</v>
      </c>
      <c r="J185" s="34" t="b">
        <v>0</v>
      </c>
      <c r="K185" s="34" t="b">
        <v>0</v>
      </c>
      <c r="L185" s="51" t="s">
        <v>5475</v>
      </c>
      <c r="M185" s="34" t="s">
        <v>1517</v>
      </c>
      <c r="N185" s="34" t="str">
        <f>_xlfn.IFNA(VLOOKUP($M185,Buff.CM!$A:$O,13,FALSE),"")</f>
        <v>icon_battle_attack</v>
      </c>
      <c r="O185" s="34" t="str">
        <f>_xlfn.IFNA(VLOOKUP($M185,Buff.CM!$A:$O,14,FALSE),"")</f>
        <v>Buff.Name.Atk.Down.04</v>
      </c>
      <c r="P185" s="34" t="str">
        <f>_xlfn.IFNA(VLOOKUP($M185,Buff.CM!$A:$O,15,FALSE),"")</f>
        <v>Buff.Desc.Atk.Down.04</v>
      </c>
      <c r="Q185" s="34" t="b">
        <v>0</v>
      </c>
      <c r="R185" s="34" t="b">
        <v>0</v>
      </c>
    </row>
    <row r="186" spans="1:18" s="13" customFormat="1">
      <c r="A186" s="34" t="s">
        <v>2557</v>
      </c>
      <c r="B186" s="34"/>
      <c r="C186" s="34"/>
      <c r="D186" s="34">
        <v>6000</v>
      </c>
      <c r="E186" s="34">
        <v>0</v>
      </c>
      <c r="F186" s="34">
        <v>0</v>
      </c>
      <c r="G186" s="34" t="s">
        <v>1517</v>
      </c>
      <c r="H186" s="34"/>
      <c r="I186" s="34" t="b">
        <v>0</v>
      </c>
      <c r="J186" s="34" t="b">
        <v>0</v>
      </c>
      <c r="K186" s="34" t="b">
        <v>0</v>
      </c>
      <c r="L186" s="51" t="s">
        <v>5475</v>
      </c>
      <c r="M186" s="34" t="s">
        <v>1517</v>
      </c>
      <c r="N186" s="34" t="str">
        <f>_xlfn.IFNA(VLOOKUP($M186,Buff.CM!$A:$O,13,FALSE),"")</f>
        <v>icon_battle_attack</v>
      </c>
      <c r="O186" s="34" t="str">
        <f>_xlfn.IFNA(VLOOKUP($M186,Buff.CM!$A:$O,14,FALSE),"")</f>
        <v>Buff.Name.Atk.Down.04</v>
      </c>
      <c r="P186" s="34" t="str">
        <f>_xlfn.IFNA(VLOOKUP($M186,Buff.CM!$A:$O,15,FALSE),"")</f>
        <v>Buff.Desc.Atk.Down.04</v>
      </c>
      <c r="Q186" s="34" t="b">
        <v>0</v>
      </c>
      <c r="R186" s="34" t="b">
        <v>0</v>
      </c>
    </row>
    <row r="187" spans="1:18" s="13" customFormat="1">
      <c r="A187" s="53" t="s">
        <v>321</v>
      </c>
      <c r="B187" s="53"/>
      <c r="C187" s="53"/>
      <c r="D187" s="53">
        <v>0</v>
      </c>
      <c r="E187" s="53">
        <v>0</v>
      </c>
      <c r="F187" s="53">
        <v>0</v>
      </c>
      <c r="G187" s="53" t="s">
        <v>322</v>
      </c>
      <c r="H187" s="53"/>
      <c r="I187" s="53" t="b">
        <v>0</v>
      </c>
      <c r="J187" s="23" t="b">
        <v>1</v>
      </c>
      <c r="K187" s="53" t="b">
        <v>1</v>
      </c>
      <c r="L187" s="53"/>
      <c r="M187" s="53"/>
      <c r="N187" s="53" t="str">
        <f>_xlfn.IFNA(VLOOKUP($M187,Buff.CM!$A:$O,13,FALSE),"")</f>
        <v/>
      </c>
      <c r="O187" s="53" t="str">
        <f>_xlfn.IFNA(VLOOKUP($M187,Buff.CM!$A:$O,14,FALSE),"")</f>
        <v/>
      </c>
      <c r="P187" s="53" t="str">
        <f>_xlfn.IFNA(VLOOKUP($M187,Buff.CM!$A:$O,15,FALSE),"")</f>
        <v/>
      </c>
      <c r="Q187" s="53" t="b">
        <v>0</v>
      </c>
      <c r="R187" s="53" t="b">
        <v>0</v>
      </c>
    </row>
    <row r="188" spans="1:18" s="13" customFormat="1">
      <c r="A188" s="53" t="s">
        <v>323</v>
      </c>
      <c r="B188" s="53"/>
      <c r="C188" s="53"/>
      <c r="D188" s="53">
        <v>0</v>
      </c>
      <c r="E188" s="53">
        <v>0</v>
      </c>
      <c r="F188" s="53">
        <v>0</v>
      </c>
      <c r="G188" s="53" t="s">
        <v>324</v>
      </c>
      <c r="H188" s="53"/>
      <c r="I188" s="53" t="b">
        <v>0</v>
      </c>
      <c r="J188" s="23" t="b">
        <v>1</v>
      </c>
      <c r="K188" s="53" t="b">
        <v>1</v>
      </c>
      <c r="L188" s="53"/>
      <c r="M188" s="53"/>
      <c r="N188" s="53" t="str">
        <f>_xlfn.IFNA(VLOOKUP($M188,Buff.CM!$A:$O,13,FALSE),"")</f>
        <v/>
      </c>
      <c r="O188" s="53" t="str">
        <f>_xlfn.IFNA(VLOOKUP($M188,Buff.CM!$A:$O,14,FALSE),"")</f>
        <v/>
      </c>
      <c r="P188" s="53" t="str">
        <f>_xlfn.IFNA(VLOOKUP($M188,Buff.CM!$A:$O,15,FALSE),"")</f>
        <v/>
      </c>
      <c r="Q188" s="53" t="b">
        <v>0</v>
      </c>
      <c r="R188" s="53" t="b">
        <v>0</v>
      </c>
    </row>
    <row r="189" spans="1:18" s="13" customFormat="1">
      <c r="A189" s="53" t="s">
        <v>325</v>
      </c>
      <c r="B189" s="53"/>
      <c r="C189" s="53"/>
      <c r="D189" s="53">
        <v>0</v>
      </c>
      <c r="E189" s="53">
        <v>0</v>
      </c>
      <c r="F189" s="53">
        <v>0</v>
      </c>
      <c r="G189" s="53" t="s">
        <v>326</v>
      </c>
      <c r="H189" s="53"/>
      <c r="I189" s="53" t="b">
        <v>0</v>
      </c>
      <c r="J189" s="23" t="b">
        <v>1</v>
      </c>
      <c r="K189" s="53" t="b">
        <v>1</v>
      </c>
      <c r="L189" s="53"/>
      <c r="M189" s="53"/>
      <c r="N189" s="53" t="str">
        <f>_xlfn.IFNA(VLOOKUP($M189,Buff.CM!$A:$O,13,FALSE),"")</f>
        <v/>
      </c>
      <c r="O189" s="53" t="str">
        <f>_xlfn.IFNA(VLOOKUP($M189,Buff.CM!$A:$O,14,FALSE),"")</f>
        <v/>
      </c>
      <c r="P189" s="53" t="str">
        <f>_xlfn.IFNA(VLOOKUP($M189,Buff.CM!$A:$O,15,FALSE),"")</f>
        <v/>
      </c>
      <c r="Q189" s="53" t="b">
        <v>0</v>
      </c>
      <c r="R189" s="53" t="b">
        <v>0</v>
      </c>
    </row>
    <row r="190" spans="1:18" s="13" customFormat="1">
      <c r="A190" s="34" t="s">
        <v>327</v>
      </c>
      <c r="B190" s="34"/>
      <c r="C190" s="34"/>
      <c r="D190" s="34">
        <v>0</v>
      </c>
      <c r="E190" s="34">
        <v>0</v>
      </c>
      <c r="F190" s="34">
        <v>0</v>
      </c>
      <c r="G190" s="34" t="s">
        <v>328</v>
      </c>
      <c r="H190" s="34"/>
      <c r="I190" s="34" t="b">
        <v>0</v>
      </c>
      <c r="J190" s="23" t="b">
        <v>1</v>
      </c>
      <c r="K190" s="34" t="b">
        <v>1</v>
      </c>
      <c r="L190" s="34"/>
      <c r="M190" s="34"/>
      <c r="N190" s="34" t="str">
        <f>_xlfn.IFNA(VLOOKUP($M190,Buff.CM!$A:$O,13,FALSE),"")</f>
        <v/>
      </c>
      <c r="O190" s="34" t="str">
        <f>_xlfn.IFNA(VLOOKUP($M190,Buff.CM!$A:$O,14,FALSE),"")</f>
        <v/>
      </c>
      <c r="P190" s="34" t="str">
        <f>_xlfn.IFNA(VLOOKUP($M190,Buff.CM!$A:$O,15,FALSE),"")</f>
        <v/>
      </c>
      <c r="Q190" s="34" t="b">
        <v>0</v>
      </c>
      <c r="R190" s="34" t="b">
        <v>0</v>
      </c>
    </row>
    <row r="191" spans="1:18" s="13" customFormat="1">
      <c r="A191" s="34" t="s">
        <v>329</v>
      </c>
      <c r="B191" s="34"/>
      <c r="C191" s="34"/>
      <c r="D191" s="34">
        <v>0</v>
      </c>
      <c r="E191" s="34">
        <v>0</v>
      </c>
      <c r="F191" s="34">
        <v>0</v>
      </c>
      <c r="G191" s="34" t="s">
        <v>330</v>
      </c>
      <c r="H191" s="34"/>
      <c r="I191" s="34" t="b">
        <v>0</v>
      </c>
      <c r="J191" s="23" t="b">
        <v>1</v>
      </c>
      <c r="K191" s="34" t="b">
        <v>1</v>
      </c>
      <c r="L191" s="34"/>
      <c r="M191" s="34"/>
      <c r="N191" s="34" t="str">
        <f>_xlfn.IFNA(VLOOKUP($M191,Buff.CM!$A:$O,13,FALSE),"")</f>
        <v/>
      </c>
      <c r="O191" s="34" t="str">
        <f>_xlfn.IFNA(VLOOKUP($M191,Buff.CM!$A:$O,14,FALSE),"")</f>
        <v/>
      </c>
      <c r="P191" s="34" t="str">
        <f>_xlfn.IFNA(VLOOKUP($M191,Buff.CM!$A:$O,15,FALSE),"")</f>
        <v/>
      </c>
      <c r="Q191" s="34" t="b">
        <v>0</v>
      </c>
      <c r="R191" s="34" t="b">
        <v>0</v>
      </c>
    </row>
    <row r="192" spans="1:18" s="13" customFormat="1">
      <c r="A192" s="34" t="s">
        <v>331</v>
      </c>
      <c r="B192" s="34"/>
      <c r="C192" s="34"/>
      <c r="D192" s="34">
        <v>0</v>
      </c>
      <c r="E192" s="34">
        <v>0</v>
      </c>
      <c r="F192" s="34">
        <v>0</v>
      </c>
      <c r="G192" s="34" t="s">
        <v>332</v>
      </c>
      <c r="H192" s="34"/>
      <c r="I192" s="34" t="b">
        <v>0</v>
      </c>
      <c r="J192" s="23" t="b">
        <v>1</v>
      </c>
      <c r="K192" s="34" t="b">
        <v>1</v>
      </c>
      <c r="L192" s="34"/>
      <c r="M192" s="34"/>
      <c r="N192" s="34" t="str">
        <f>_xlfn.IFNA(VLOOKUP($M192,Buff.CM!$A:$O,13,FALSE),"")</f>
        <v/>
      </c>
      <c r="O192" s="34" t="str">
        <f>_xlfn.IFNA(VLOOKUP($M192,Buff.CM!$A:$O,14,FALSE),"")</f>
        <v/>
      </c>
      <c r="P192" s="34" t="str">
        <f>_xlfn.IFNA(VLOOKUP($M192,Buff.CM!$A:$O,15,FALSE),"")</f>
        <v/>
      </c>
      <c r="Q192" s="34" t="b">
        <v>0</v>
      </c>
      <c r="R192" s="34" t="b">
        <v>0</v>
      </c>
    </row>
    <row r="193" spans="1:18" s="13" customFormat="1">
      <c r="A193" s="51" t="s">
        <v>6501</v>
      </c>
      <c r="B193" s="51"/>
      <c r="C193" s="51"/>
      <c r="D193" s="51">
        <v>0</v>
      </c>
      <c r="E193" s="51">
        <v>10</v>
      </c>
      <c r="F193" s="51">
        <v>1</v>
      </c>
      <c r="G193" s="52" t="s">
        <v>6502</v>
      </c>
      <c r="H193" s="51"/>
      <c r="I193" s="51" t="b">
        <v>1</v>
      </c>
      <c r="J193" s="23" t="b">
        <v>1</v>
      </c>
      <c r="K193" s="51" t="b">
        <v>1</v>
      </c>
      <c r="L193" s="51"/>
      <c r="M193" s="51" t="s">
        <v>5654</v>
      </c>
      <c r="N193" s="51" t="str">
        <f>_xlfn.IFNA(VLOOKUP($M193,Buff.CM!$A:$O,13,FALSE),"")</f>
        <v>icon_battle_plasma_buff</v>
      </c>
      <c r="O193" s="51" t="str">
        <f>_xlfn.IFNA(VLOOKUP($M193,Buff.CM!$A:$O,14,FALSE),"")</f>
        <v>info.lilian.buff.plasma</v>
      </c>
      <c r="P193" s="51" t="str">
        <f>_xlfn.IFNA(VLOOKUP($M193,Buff.CM!$A:$O,15,FALSE),"")</f>
        <v>Desc.info.lilian.buff.plasma</v>
      </c>
      <c r="Q193" s="51" t="b">
        <v>0</v>
      </c>
      <c r="R193" s="51" t="b">
        <v>0</v>
      </c>
    </row>
    <row r="194" spans="1:18" s="13" customFormat="1">
      <c r="A194" s="53" t="s">
        <v>6503</v>
      </c>
      <c r="B194" s="53"/>
      <c r="C194" s="53"/>
      <c r="D194" s="53">
        <v>0</v>
      </c>
      <c r="E194" s="53">
        <v>0</v>
      </c>
      <c r="F194" s="53">
        <v>0</v>
      </c>
      <c r="G194" s="53" t="s">
        <v>2292</v>
      </c>
      <c r="H194" s="53"/>
      <c r="I194" s="53" t="b">
        <v>0</v>
      </c>
      <c r="J194" s="23" t="b">
        <v>1</v>
      </c>
      <c r="K194" s="53" t="b">
        <v>1</v>
      </c>
      <c r="L194" s="53"/>
      <c r="M194" s="53"/>
      <c r="N194" s="53" t="str">
        <f>_xlfn.IFNA(VLOOKUP($M194,Buff.CM!$A:$O,13,FALSE),"")</f>
        <v/>
      </c>
      <c r="O194" s="53" t="str">
        <f>_xlfn.IFNA(VLOOKUP($M194,Buff.CM!$A:$O,14,FALSE),"")</f>
        <v/>
      </c>
      <c r="P194" s="53" t="str">
        <f>_xlfn.IFNA(VLOOKUP($M194,Buff.CM!$A:$O,15,FALSE),"")</f>
        <v/>
      </c>
      <c r="Q194" s="53" t="b">
        <v>0</v>
      </c>
      <c r="R194" s="53" t="b">
        <v>0</v>
      </c>
    </row>
    <row r="195" spans="1:18" s="13" customFormat="1">
      <c r="A195" s="53" t="s">
        <v>2290</v>
      </c>
      <c r="B195" s="53"/>
      <c r="C195" s="53"/>
      <c r="D195" s="53">
        <v>0</v>
      </c>
      <c r="E195" s="53">
        <v>0</v>
      </c>
      <c r="F195" s="53">
        <v>0</v>
      </c>
      <c r="G195" s="53" t="s">
        <v>2293</v>
      </c>
      <c r="H195" s="53"/>
      <c r="I195" s="53" t="b">
        <v>0</v>
      </c>
      <c r="J195" s="23" t="b">
        <v>1</v>
      </c>
      <c r="K195" s="53" t="b">
        <v>1</v>
      </c>
      <c r="L195" s="53"/>
      <c r="M195" s="53"/>
      <c r="N195" s="53" t="str">
        <f>_xlfn.IFNA(VLOOKUP($M195,Buff.CM!$A:$O,13,FALSE),"")</f>
        <v/>
      </c>
      <c r="O195" s="53" t="str">
        <f>_xlfn.IFNA(VLOOKUP($M195,Buff.CM!$A:$O,14,FALSE),"")</f>
        <v/>
      </c>
      <c r="P195" s="53" t="str">
        <f>_xlfn.IFNA(VLOOKUP($M195,Buff.CM!$A:$O,15,FALSE),"")</f>
        <v/>
      </c>
      <c r="Q195" s="53" t="b">
        <v>0</v>
      </c>
      <c r="R195" s="53" t="b">
        <v>0</v>
      </c>
    </row>
    <row r="196" spans="1:18" s="13" customFormat="1">
      <c r="A196" s="53" t="s">
        <v>2291</v>
      </c>
      <c r="B196" s="53"/>
      <c r="C196" s="53"/>
      <c r="D196" s="53">
        <v>0</v>
      </c>
      <c r="E196" s="53">
        <v>0</v>
      </c>
      <c r="F196" s="53">
        <v>0</v>
      </c>
      <c r="G196" s="53" t="s">
        <v>2294</v>
      </c>
      <c r="H196" s="53"/>
      <c r="I196" s="53" t="b">
        <v>0</v>
      </c>
      <c r="J196" s="23" t="b">
        <v>1</v>
      </c>
      <c r="K196" s="53" t="b">
        <v>1</v>
      </c>
      <c r="L196" s="53"/>
      <c r="M196" s="53"/>
      <c r="N196" s="53" t="str">
        <f>_xlfn.IFNA(VLOOKUP($M196,Buff.CM!$A:$O,13,FALSE),"")</f>
        <v/>
      </c>
      <c r="O196" s="53" t="str">
        <f>_xlfn.IFNA(VLOOKUP($M196,Buff.CM!$A:$O,14,FALSE),"")</f>
        <v/>
      </c>
      <c r="P196" s="53" t="str">
        <f>_xlfn.IFNA(VLOOKUP($M196,Buff.CM!$A:$O,15,FALSE),"")</f>
        <v/>
      </c>
      <c r="Q196" s="53" t="b">
        <v>0</v>
      </c>
      <c r="R196" s="53" t="b">
        <v>0</v>
      </c>
    </row>
    <row r="197" spans="1:18" s="13" customFormat="1">
      <c r="A197" s="34" t="s">
        <v>2558</v>
      </c>
      <c r="B197" s="34"/>
      <c r="C197" s="34"/>
      <c r="D197" s="34">
        <v>0</v>
      </c>
      <c r="E197" s="34">
        <v>0</v>
      </c>
      <c r="F197" s="34">
        <v>0</v>
      </c>
      <c r="G197" s="34" t="s">
        <v>2561</v>
      </c>
      <c r="H197" s="34"/>
      <c r="I197" s="34" t="b">
        <v>0</v>
      </c>
      <c r="J197" s="23" t="b">
        <v>1</v>
      </c>
      <c r="K197" s="34" t="b">
        <v>1</v>
      </c>
      <c r="L197" s="34"/>
      <c r="M197" s="34"/>
      <c r="N197" s="34" t="str">
        <f>_xlfn.IFNA(VLOOKUP($M197,Buff.CM!$A:$O,13,FALSE),"")</f>
        <v/>
      </c>
      <c r="O197" s="34" t="str">
        <f>_xlfn.IFNA(VLOOKUP($M197,Buff.CM!$A:$O,14,FALSE),"")</f>
        <v/>
      </c>
      <c r="P197" s="34" t="str">
        <f>_xlfn.IFNA(VLOOKUP($M197,Buff.CM!$A:$O,15,FALSE),"")</f>
        <v/>
      </c>
      <c r="Q197" s="34" t="b">
        <v>0</v>
      </c>
      <c r="R197" s="34" t="b">
        <v>0</v>
      </c>
    </row>
    <row r="198" spans="1:18" s="13" customFormat="1">
      <c r="A198" s="34" t="s">
        <v>2559</v>
      </c>
      <c r="B198" s="34"/>
      <c r="C198" s="34"/>
      <c r="D198" s="34">
        <v>0</v>
      </c>
      <c r="E198" s="34">
        <v>0</v>
      </c>
      <c r="F198" s="34">
        <v>0</v>
      </c>
      <c r="G198" s="34" t="s">
        <v>2562</v>
      </c>
      <c r="H198" s="34"/>
      <c r="I198" s="34" t="b">
        <v>0</v>
      </c>
      <c r="J198" s="23" t="b">
        <v>1</v>
      </c>
      <c r="K198" s="34" t="b">
        <v>1</v>
      </c>
      <c r="L198" s="34"/>
      <c r="M198" s="34"/>
      <c r="N198" s="34" t="str">
        <f>_xlfn.IFNA(VLOOKUP($M198,Buff.CM!$A:$O,13,FALSE),"")</f>
        <v/>
      </c>
      <c r="O198" s="34" t="str">
        <f>_xlfn.IFNA(VLOOKUP($M198,Buff.CM!$A:$O,14,FALSE),"")</f>
        <v/>
      </c>
      <c r="P198" s="34" t="str">
        <f>_xlfn.IFNA(VLOOKUP($M198,Buff.CM!$A:$O,15,FALSE),"")</f>
        <v/>
      </c>
      <c r="Q198" s="34" t="b">
        <v>0</v>
      </c>
      <c r="R198" s="34" t="b">
        <v>0</v>
      </c>
    </row>
    <row r="199" spans="1:18" s="13" customFormat="1">
      <c r="A199" s="34" t="s">
        <v>2560</v>
      </c>
      <c r="B199" s="34"/>
      <c r="C199" s="34"/>
      <c r="D199" s="34">
        <v>0</v>
      </c>
      <c r="E199" s="34">
        <v>0</v>
      </c>
      <c r="F199" s="34">
        <v>0</v>
      </c>
      <c r="G199" s="34" t="s">
        <v>2563</v>
      </c>
      <c r="H199" s="34"/>
      <c r="I199" s="34" t="b">
        <v>0</v>
      </c>
      <c r="J199" s="23" t="b">
        <v>1</v>
      </c>
      <c r="K199" s="34" t="b">
        <v>1</v>
      </c>
      <c r="L199" s="34"/>
      <c r="M199" s="34"/>
      <c r="N199" s="34" t="str">
        <f>_xlfn.IFNA(VLOOKUP($M199,Buff.CM!$A:$O,13,FALSE),"")</f>
        <v/>
      </c>
      <c r="O199" s="34" t="str">
        <f>_xlfn.IFNA(VLOOKUP($M199,Buff.CM!$A:$O,14,FALSE),"")</f>
        <v/>
      </c>
      <c r="P199" s="34" t="str">
        <f>_xlfn.IFNA(VLOOKUP($M199,Buff.CM!$A:$O,15,FALSE),"")</f>
        <v/>
      </c>
      <c r="Q199" s="34" t="b">
        <v>0</v>
      </c>
      <c r="R199" s="34" t="b">
        <v>0</v>
      </c>
    </row>
    <row r="200" spans="1:18" s="13" customFormat="1">
      <c r="A200" s="53" t="s">
        <v>6504</v>
      </c>
      <c r="B200" s="53" t="s">
        <v>1367</v>
      </c>
      <c r="C200" s="53" t="s">
        <v>4508</v>
      </c>
      <c r="D200" s="53">
        <v>0</v>
      </c>
      <c r="E200" s="53">
        <v>0</v>
      </c>
      <c r="F200" s="53">
        <v>0</v>
      </c>
      <c r="G200" s="54" t="s">
        <v>6505</v>
      </c>
      <c r="H200" s="53"/>
      <c r="I200" s="53" t="b">
        <v>0</v>
      </c>
      <c r="J200" s="23" t="b">
        <v>1</v>
      </c>
      <c r="K200" s="53" t="b">
        <v>1</v>
      </c>
      <c r="L200" s="53"/>
      <c r="M200" s="53"/>
      <c r="N200" s="53" t="str">
        <f>_xlfn.IFNA(VLOOKUP($M200,Buff.CM!$A:$O,13,FALSE),"")</f>
        <v/>
      </c>
      <c r="O200" s="53" t="str">
        <f>_xlfn.IFNA(VLOOKUP($M200,Buff.CM!$A:$O,14,FALSE),"")</f>
        <v/>
      </c>
      <c r="P200" s="53" t="str">
        <f>_xlfn.IFNA(VLOOKUP($M200,Buff.CM!$A:$O,15,FALSE),"")</f>
        <v/>
      </c>
      <c r="Q200" s="53" t="b">
        <v>0</v>
      </c>
      <c r="R200" s="53" t="b">
        <v>0</v>
      </c>
    </row>
    <row r="201" spans="1:18" s="13" customFormat="1">
      <c r="A201" s="53" t="s">
        <v>3654</v>
      </c>
      <c r="B201" s="53" t="s">
        <v>1367</v>
      </c>
      <c r="C201" s="53" t="s">
        <v>4508</v>
      </c>
      <c r="D201" s="53">
        <v>0</v>
      </c>
      <c r="E201" s="53">
        <v>0</v>
      </c>
      <c r="F201" s="53">
        <v>0</v>
      </c>
      <c r="G201" s="54" t="s">
        <v>3659</v>
      </c>
      <c r="H201" s="53"/>
      <c r="I201" s="53" t="b">
        <v>0</v>
      </c>
      <c r="J201" s="23" t="b">
        <v>1</v>
      </c>
      <c r="K201" s="53" t="b">
        <v>1</v>
      </c>
      <c r="L201" s="53"/>
      <c r="M201" s="53"/>
      <c r="N201" s="53" t="str">
        <f>_xlfn.IFNA(VLOOKUP($M201,Buff.CM!$A:$O,13,FALSE),"")</f>
        <v/>
      </c>
      <c r="O201" s="53" t="str">
        <f>_xlfn.IFNA(VLOOKUP($M201,Buff.CM!$A:$O,14,FALSE),"")</f>
        <v/>
      </c>
      <c r="P201" s="53" t="str">
        <f>_xlfn.IFNA(VLOOKUP($M201,Buff.CM!$A:$O,15,FALSE),"")</f>
        <v/>
      </c>
      <c r="Q201" s="53" t="b">
        <v>0</v>
      </c>
      <c r="R201" s="53" t="b">
        <v>0</v>
      </c>
    </row>
    <row r="202" spans="1:18" s="13" customFormat="1">
      <c r="A202" s="53" t="s">
        <v>3655</v>
      </c>
      <c r="B202" s="53" t="s">
        <v>1367</v>
      </c>
      <c r="C202" s="53" t="s">
        <v>4508</v>
      </c>
      <c r="D202" s="53">
        <v>0</v>
      </c>
      <c r="E202" s="53">
        <v>0</v>
      </c>
      <c r="F202" s="53">
        <v>0</v>
      </c>
      <c r="G202" s="54" t="s">
        <v>3660</v>
      </c>
      <c r="H202" s="53"/>
      <c r="I202" s="53" t="b">
        <v>0</v>
      </c>
      <c r="J202" s="23" t="b">
        <v>1</v>
      </c>
      <c r="K202" s="53" t="b">
        <v>1</v>
      </c>
      <c r="L202" s="53"/>
      <c r="M202" s="53"/>
      <c r="N202" s="53" t="str">
        <f>_xlfn.IFNA(VLOOKUP($M202,Buff.CM!$A:$O,13,FALSE),"")</f>
        <v/>
      </c>
      <c r="O202" s="53" t="str">
        <f>_xlfn.IFNA(VLOOKUP($M202,Buff.CM!$A:$O,14,FALSE),"")</f>
        <v/>
      </c>
      <c r="P202" s="53" t="str">
        <f>_xlfn.IFNA(VLOOKUP($M202,Buff.CM!$A:$O,15,FALSE),"")</f>
        <v/>
      </c>
      <c r="Q202" s="53" t="b">
        <v>0</v>
      </c>
      <c r="R202" s="53" t="b">
        <v>0</v>
      </c>
    </row>
    <row r="203" spans="1:18" s="13" customFormat="1">
      <c r="A203" s="34" t="s">
        <v>3656</v>
      </c>
      <c r="B203" s="34" t="s">
        <v>1367</v>
      </c>
      <c r="C203" s="34" t="s">
        <v>4508</v>
      </c>
      <c r="D203" s="34">
        <v>0</v>
      </c>
      <c r="E203" s="34">
        <v>0</v>
      </c>
      <c r="F203" s="34">
        <v>0</v>
      </c>
      <c r="G203" s="40" t="s">
        <v>3661</v>
      </c>
      <c r="H203" s="34"/>
      <c r="I203" s="34" t="b">
        <v>0</v>
      </c>
      <c r="J203" s="23" t="b">
        <v>1</v>
      </c>
      <c r="K203" s="34" t="b">
        <v>1</v>
      </c>
      <c r="L203" s="34"/>
      <c r="M203" s="34"/>
      <c r="N203" s="34" t="str">
        <f>_xlfn.IFNA(VLOOKUP($M203,Buff.CM!$A:$O,13,FALSE),"")</f>
        <v/>
      </c>
      <c r="O203" s="34" t="str">
        <f>_xlfn.IFNA(VLOOKUP($M203,Buff.CM!$A:$O,14,FALSE),"")</f>
        <v/>
      </c>
      <c r="P203" s="34" t="str">
        <f>_xlfn.IFNA(VLOOKUP($M203,Buff.CM!$A:$O,15,FALSE),"")</f>
        <v/>
      </c>
      <c r="Q203" s="34" t="b">
        <v>0</v>
      </c>
      <c r="R203" s="34" t="b">
        <v>0</v>
      </c>
    </row>
    <row r="204" spans="1:18" s="13" customFormat="1">
      <c r="A204" s="34" t="s">
        <v>3657</v>
      </c>
      <c r="B204" s="34" t="s">
        <v>1367</v>
      </c>
      <c r="C204" s="34" t="s">
        <v>4508</v>
      </c>
      <c r="D204" s="34">
        <v>0</v>
      </c>
      <c r="E204" s="34">
        <v>0</v>
      </c>
      <c r="F204" s="34">
        <v>0</v>
      </c>
      <c r="G204" s="40" t="s">
        <v>3662</v>
      </c>
      <c r="H204" s="34"/>
      <c r="I204" s="34" t="b">
        <v>0</v>
      </c>
      <c r="J204" s="23" t="b">
        <v>1</v>
      </c>
      <c r="K204" s="34" t="b">
        <v>1</v>
      </c>
      <c r="L204" s="34"/>
      <c r="M204" s="34"/>
      <c r="N204" s="34" t="str">
        <f>_xlfn.IFNA(VLOOKUP($M204,Buff.CM!$A:$O,13,FALSE),"")</f>
        <v/>
      </c>
      <c r="O204" s="34" t="str">
        <f>_xlfn.IFNA(VLOOKUP($M204,Buff.CM!$A:$O,14,FALSE),"")</f>
        <v/>
      </c>
      <c r="P204" s="34" t="str">
        <f>_xlfn.IFNA(VLOOKUP($M204,Buff.CM!$A:$O,15,FALSE),"")</f>
        <v/>
      </c>
      <c r="Q204" s="34" t="b">
        <v>0</v>
      </c>
      <c r="R204" s="34" t="b">
        <v>0</v>
      </c>
    </row>
    <row r="205" spans="1:18" s="13" customFormat="1">
      <c r="A205" s="34" t="s">
        <v>3658</v>
      </c>
      <c r="B205" s="34" t="s">
        <v>1367</v>
      </c>
      <c r="C205" s="34" t="s">
        <v>4508</v>
      </c>
      <c r="D205" s="34">
        <v>0</v>
      </c>
      <c r="E205" s="34">
        <v>0</v>
      </c>
      <c r="F205" s="34">
        <v>0</v>
      </c>
      <c r="G205" s="40" t="s">
        <v>3663</v>
      </c>
      <c r="H205" s="34"/>
      <c r="I205" s="34" t="b">
        <v>0</v>
      </c>
      <c r="J205" s="23" t="b">
        <v>1</v>
      </c>
      <c r="K205" s="34" t="b">
        <v>1</v>
      </c>
      <c r="L205" s="34"/>
      <c r="M205" s="34"/>
      <c r="N205" s="34" t="str">
        <f>_xlfn.IFNA(VLOOKUP($M205,Buff.CM!$A:$O,13,FALSE),"")</f>
        <v/>
      </c>
      <c r="O205" s="34" t="str">
        <f>_xlfn.IFNA(VLOOKUP($M205,Buff.CM!$A:$O,14,FALSE),"")</f>
        <v/>
      </c>
      <c r="P205" s="34" t="str">
        <f>_xlfn.IFNA(VLOOKUP($M205,Buff.CM!$A:$O,15,FALSE),"")</f>
        <v/>
      </c>
      <c r="Q205" s="34" t="b">
        <v>0</v>
      </c>
      <c r="R205" s="34" t="b">
        <v>0</v>
      </c>
    </row>
    <row r="206" spans="1:18">
      <c r="A206" s="26" t="s">
        <v>2256</v>
      </c>
      <c r="B206" s="26"/>
      <c r="C206" s="26"/>
      <c r="D206" s="26">
        <v>5000</v>
      </c>
      <c r="E206" s="26">
        <v>0</v>
      </c>
      <c r="F206" s="26">
        <v>0</v>
      </c>
      <c r="G206" s="26" t="s">
        <v>266</v>
      </c>
      <c r="H206" s="26"/>
      <c r="I206" s="27" t="b">
        <v>0</v>
      </c>
      <c r="J206" s="27" t="b">
        <v>0</v>
      </c>
      <c r="K206" s="27" t="b">
        <v>1</v>
      </c>
      <c r="L206" s="26" t="s">
        <v>283</v>
      </c>
      <c r="M206" s="26" t="s">
        <v>5464</v>
      </c>
      <c r="N206" s="26" t="str">
        <f>_xlfn.IFNA(VLOOKUP($M206,Buff.CM!$A:$O,13,FALSE),"")</f>
        <v>icon_battle_link</v>
      </c>
      <c r="O206" s="26" t="str">
        <f>_xlfn.IFNA(VLOOKUP($M206,Buff.CM!$A:$O,14,FALSE),"")</f>
        <v>Buff.Name.Link</v>
      </c>
      <c r="P206" s="26" t="str">
        <f>_xlfn.IFNA(VLOOKUP($M206,Buff.CM!$A:$O,15,FALSE),"")</f>
        <v>Buff.Desc.Link</v>
      </c>
      <c r="Q206" s="29" t="b">
        <v>0</v>
      </c>
      <c r="R206" s="27" t="b">
        <v>0</v>
      </c>
    </row>
    <row r="207" spans="1:18">
      <c r="A207" s="26" t="s">
        <v>2257</v>
      </c>
      <c r="B207" s="26"/>
      <c r="C207" s="26"/>
      <c r="D207" s="26">
        <v>6000</v>
      </c>
      <c r="E207" s="26">
        <v>0</v>
      </c>
      <c r="F207" s="26">
        <v>0</v>
      </c>
      <c r="G207" s="26" t="s">
        <v>266</v>
      </c>
      <c r="H207" s="26"/>
      <c r="I207" s="27" t="b">
        <v>0</v>
      </c>
      <c r="J207" s="27" t="b">
        <v>0</v>
      </c>
      <c r="K207" s="27" t="b">
        <v>1</v>
      </c>
      <c r="L207" s="26" t="s">
        <v>283</v>
      </c>
      <c r="M207" s="26" t="s">
        <v>5464</v>
      </c>
      <c r="N207" s="26" t="str">
        <f>_xlfn.IFNA(VLOOKUP($M207,Buff.CM!$A:$O,13,FALSE),"")</f>
        <v>icon_battle_link</v>
      </c>
      <c r="O207" s="26" t="str">
        <f>_xlfn.IFNA(VLOOKUP($M207,Buff.CM!$A:$O,14,FALSE),"")</f>
        <v>Buff.Name.Link</v>
      </c>
      <c r="P207" s="26" t="str">
        <f>_xlfn.IFNA(VLOOKUP($M207,Buff.CM!$A:$O,15,FALSE),"")</f>
        <v>Buff.Desc.Link</v>
      </c>
      <c r="Q207" s="29" t="b">
        <v>0</v>
      </c>
      <c r="R207" s="27" t="b">
        <v>0</v>
      </c>
    </row>
    <row r="208" spans="1:18">
      <c r="A208" s="26" t="s">
        <v>2258</v>
      </c>
      <c r="B208" s="26"/>
      <c r="C208" s="26"/>
      <c r="D208" s="26">
        <v>7000</v>
      </c>
      <c r="E208" s="26">
        <v>0</v>
      </c>
      <c r="F208" s="26">
        <v>0</v>
      </c>
      <c r="G208" s="26" t="s">
        <v>266</v>
      </c>
      <c r="H208" s="26"/>
      <c r="I208" s="27" t="b">
        <v>0</v>
      </c>
      <c r="J208" s="27" t="b">
        <v>0</v>
      </c>
      <c r="K208" s="27" t="b">
        <v>1</v>
      </c>
      <c r="L208" s="28" t="s">
        <v>283</v>
      </c>
      <c r="M208" s="28" t="s">
        <v>5464</v>
      </c>
      <c r="N208" s="28" t="str">
        <f>_xlfn.IFNA(VLOOKUP($M208,Buff.CM!$A:$O,13,FALSE),"")</f>
        <v>icon_battle_link</v>
      </c>
      <c r="O208" s="28" t="str">
        <f>_xlfn.IFNA(VLOOKUP($M208,Buff.CM!$A:$O,14,FALSE),"")</f>
        <v>Buff.Name.Link</v>
      </c>
      <c r="P208" s="28" t="str">
        <f>_xlfn.IFNA(VLOOKUP($M208,Buff.CM!$A:$O,15,FALSE),"")</f>
        <v>Buff.Desc.Link</v>
      </c>
      <c r="Q208" s="29" t="b">
        <v>0</v>
      </c>
      <c r="R208" s="27" t="b">
        <v>0</v>
      </c>
    </row>
    <row r="209" spans="1:18">
      <c r="A209" s="26" t="s">
        <v>2259</v>
      </c>
      <c r="B209" s="26"/>
      <c r="C209" s="26"/>
      <c r="D209" s="26">
        <v>8000</v>
      </c>
      <c r="E209" s="26">
        <v>0</v>
      </c>
      <c r="F209" s="26">
        <v>0</v>
      </c>
      <c r="G209" s="26" t="s">
        <v>266</v>
      </c>
      <c r="H209" s="26"/>
      <c r="I209" s="27" t="b">
        <v>0</v>
      </c>
      <c r="J209" s="27" t="b">
        <v>0</v>
      </c>
      <c r="K209" s="27" t="b">
        <v>1</v>
      </c>
      <c r="L209" s="28" t="s">
        <v>283</v>
      </c>
      <c r="M209" s="28" t="s">
        <v>5464</v>
      </c>
      <c r="N209" s="28" t="str">
        <f>_xlfn.IFNA(VLOOKUP($M209,Buff.CM!$A:$O,13,FALSE),"")</f>
        <v>icon_battle_link</v>
      </c>
      <c r="O209" s="28" t="str">
        <f>_xlfn.IFNA(VLOOKUP($M209,Buff.CM!$A:$O,14,FALSE),"")</f>
        <v>Buff.Name.Link</v>
      </c>
      <c r="P209" s="28" t="str">
        <f>_xlfn.IFNA(VLOOKUP($M209,Buff.CM!$A:$O,15,FALSE),"")</f>
        <v>Buff.Desc.Link</v>
      </c>
      <c r="Q209" s="29" t="b">
        <v>0</v>
      </c>
      <c r="R209" s="27" t="b">
        <v>0</v>
      </c>
    </row>
    <row r="210" spans="1:18">
      <c r="A210" s="34" t="s">
        <v>2260</v>
      </c>
      <c r="B210" s="34"/>
      <c r="C210" s="34"/>
      <c r="D210" s="34">
        <v>9000</v>
      </c>
      <c r="E210" s="34">
        <v>0</v>
      </c>
      <c r="F210" s="34">
        <v>0</v>
      </c>
      <c r="G210" s="34" t="s">
        <v>266</v>
      </c>
      <c r="H210" s="34"/>
      <c r="I210" s="35" t="b">
        <v>0</v>
      </c>
      <c r="J210" s="35" t="b">
        <v>0</v>
      </c>
      <c r="K210" s="35" t="b">
        <v>1</v>
      </c>
      <c r="L210" s="36" t="s">
        <v>283</v>
      </c>
      <c r="M210" s="36" t="s">
        <v>5464</v>
      </c>
      <c r="N210" s="36" t="str">
        <f>_xlfn.IFNA(VLOOKUP($M210,Buff.CM!$A:$O,13,FALSE),"")</f>
        <v>icon_battle_link</v>
      </c>
      <c r="O210" s="36" t="str">
        <f>_xlfn.IFNA(VLOOKUP($M210,Buff.CM!$A:$O,14,FALSE),"")</f>
        <v>Buff.Name.Link</v>
      </c>
      <c r="P210" s="36" t="str">
        <f>_xlfn.IFNA(VLOOKUP($M210,Buff.CM!$A:$O,15,FALSE),"")</f>
        <v>Buff.Desc.Link</v>
      </c>
      <c r="Q210" s="37" t="b">
        <v>0</v>
      </c>
      <c r="R210" s="35" t="b">
        <v>0</v>
      </c>
    </row>
    <row r="211" spans="1:18" s="13" customFormat="1">
      <c r="A211" s="34" t="s">
        <v>2261</v>
      </c>
      <c r="B211" s="34"/>
      <c r="C211" s="34"/>
      <c r="D211" s="34">
        <v>10000</v>
      </c>
      <c r="E211" s="34">
        <v>0</v>
      </c>
      <c r="F211" s="34">
        <v>0</v>
      </c>
      <c r="G211" s="34" t="s">
        <v>266</v>
      </c>
      <c r="H211" s="34"/>
      <c r="I211" s="35" t="b">
        <v>0</v>
      </c>
      <c r="J211" s="35" t="b">
        <v>0</v>
      </c>
      <c r="K211" s="35" t="b">
        <v>1</v>
      </c>
      <c r="L211" s="36" t="s">
        <v>283</v>
      </c>
      <c r="M211" s="36" t="s">
        <v>5464</v>
      </c>
      <c r="N211" s="36" t="str">
        <f>_xlfn.IFNA(VLOOKUP($M211,Buff.CM!$A:$O,13,FALSE),"")</f>
        <v>icon_battle_link</v>
      </c>
      <c r="O211" s="36" t="str">
        <f>_xlfn.IFNA(VLOOKUP($M211,Buff.CM!$A:$O,14,FALSE),"")</f>
        <v>Buff.Name.Link</v>
      </c>
      <c r="P211" s="36" t="str">
        <f>_xlfn.IFNA(VLOOKUP($M211,Buff.CM!$A:$O,15,FALSE),"")</f>
        <v>Buff.Desc.Link</v>
      </c>
      <c r="Q211" s="37" t="b">
        <v>0</v>
      </c>
      <c r="R211" s="35" t="b">
        <v>0</v>
      </c>
    </row>
    <row r="212" spans="1:18" s="13" customFormat="1">
      <c r="A212" s="34" t="s">
        <v>2262</v>
      </c>
      <c r="B212" s="34"/>
      <c r="C212" s="34"/>
      <c r="D212" s="34">
        <v>10000</v>
      </c>
      <c r="E212" s="34">
        <v>0</v>
      </c>
      <c r="F212" s="34">
        <v>0</v>
      </c>
      <c r="G212" s="34" t="s">
        <v>266</v>
      </c>
      <c r="H212" s="34"/>
      <c r="I212" s="35" t="b">
        <v>0</v>
      </c>
      <c r="J212" s="35" t="b">
        <v>0</v>
      </c>
      <c r="K212" s="35" t="b">
        <v>1</v>
      </c>
      <c r="L212" s="36" t="s">
        <v>283</v>
      </c>
      <c r="M212" s="36" t="s">
        <v>5464</v>
      </c>
      <c r="N212" s="36" t="str">
        <f>_xlfn.IFNA(VLOOKUP($M212,Buff.CM!$A:$O,13,FALSE),"")</f>
        <v>icon_battle_link</v>
      </c>
      <c r="O212" s="36" t="str">
        <f>_xlfn.IFNA(VLOOKUP($M212,Buff.CM!$A:$O,14,FALSE),"")</f>
        <v>Buff.Name.Link</v>
      </c>
      <c r="P212" s="36" t="str">
        <f>_xlfn.IFNA(VLOOKUP($M212,Buff.CM!$A:$O,15,FALSE),"")</f>
        <v>Buff.Desc.Link</v>
      </c>
      <c r="Q212" s="37" t="b">
        <v>0</v>
      </c>
      <c r="R212" s="35" t="b">
        <v>0</v>
      </c>
    </row>
    <row r="213" spans="1:18">
      <c r="A213" s="26" t="s">
        <v>2703</v>
      </c>
      <c r="B213" s="26"/>
      <c r="C213" s="26"/>
      <c r="D213" s="26">
        <v>8000</v>
      </c>
      <c r="E213" s="26">
        <v>0</v>
      </c>
      <c r="F213" s="26">
        <v>0</v>
      </c>
      <c r="G213" s="26" t="s">
        <v>6506</v>
      </c>
      <c r="H213" s="26"/>
      <c r="I213" s="27" t="b">
        <v>0</v>
      </c>
      <c r="J213" s="27" t="b">
        <v>0</v>
      </c>
      <c r="K213" s="27" t="b">
        <v>0</v>
      </c>
      <c r="L213" s="26" t="s">
        <v>3810</v>
      </c>
      <c r="M213" s="26" t="s">
        <v>5693</v>
      </c>
      <c r="N213" s="26" t="str">
        <f>_xlfn.IFNA(VLOOKUP($M213,Buff.CM!$A:$O,13,FALSE),"")</f>
        <v>icon_battle_link</v>
      </c>
      <c r="O213" s="26" t="str">
        <f>_xlfn.IFNA(VLOOKUP($M213,Buff.CM!$A:$O,14,FALSE),"")</f>
        <v>info.daria.debuff.counterlink</v>
      </c>
      <c r="P213" s="26" t="str">
        <f>_xlfn.IFNA(VLOOKUP($M213,Buff.CM!$A:$O,15,FALSE),"")</f>
        <v>Desc.info.daria.debuff.counterlink</v>
      </c>
      <c r="Q213" s="29" t="b">
        <v>0</v>
      </c>
      <c r="R213" s="27" t="b">
        <v>0</v>
      </c>
    </row>
    <row r="214" spans="1:18">
      <c r="A214" s="26" t="s">
        <v>2704</v>
      </c>
      <c r="B214" s="26"/>
      <c r="C214" s="26"/>
      <c r="D214" s="26">
        <v>8000</v>
      </c>
      <c r="E214" s="26">
        <v>0</v>
      </c>
      <c r="F214" s="26">
        <v>0</v>
      </c>
      <c r="G214" s="26" t="s">
        <v>4248</v>
      </c>
      <c r="H214" s="26"/>
      <c r="I214" s="27" t="b">
        <v>0</v>
      </c>
      <c r="J214" s="27" t="b">
        <v>0</v>
      </c>
      <c r="K214" s="27" t="b">
        <v>0</v>
      </c>
      <c r="L214" s="26" t="s">
        <v>3810</v>
      </c>
      <c r="M214" s="26" t="s">
        <v>5693</v>
      </c>
      <c r="N214" s="26" t="str">
        <f>_xlfn.IFNA(VLOOKUP($M214,Buff.CM!$A:$O,13,FALSE),"")</f>
        <v>icon_battle_link</v>
      </c>
      <c r="O214" s="26" t="str">
        <f>_xlfn.IFNA(VLOOKUP($M214,Buff.CM!$A:$O,14,FALSE),"")</f>
        <v>info.daria.debuff.counterlink</v>
      </c>
      <c r="P214" s="26" t="str">
        <f>_xlfn.IFNA(VLOOKUP($M214,Buff.CM!$A:$O,15,FALSE),"")</f>
        <v>Desc.info.daria.debuff.counterlink</v>
      </c>
      <c r="Q214" s="29" t="b">
        <v>0</v>
      </c>
      <c r="R214" s="27" t="b">
        <v>0</v>
      </c>
    </row>
    <row r="215" spans="1:18">
      <c r="A215" s="26" t="s">
        <v>2705</v>
      </c>
      <c r="B215" s="26"/>
      <c r="C215" s="26"/>
      <c r="D215" s="26">
        <v>8000</v>
      </c>
      <c r="E215" s="26">
        <v>0</v>
      </c>
      <c r="F215" s="26">
        <v>0</v>
      </c>
      <c r="G215" s="26" t="s">
        <v>4249</v>
      </c>
      <c r="H215" s="26"/>
      <c r="I215" s="27" t="b">
        <v>0</v>
      </c>
      <c r="J215" s="27" t="b">
        <v>0</v>
      </c>
      <c r="K215" s="27" t="b">
        <v>0</v>
      </c>
      <c r="L215" s="28" t="s">
        <v>3810</v>
      </c>
      <c r="M215" s="26" t="s">
        <v>5693</v>
      </c>
      <c r="N215" s="28" t="str">
        <f>_xlfn.IFNA(VLOOKUP($M215,Buff.CM!$A:$O,13,FALSE),"")</f>
        <v>icon_battle_link</v>
      </c>
      <c r="O215" s="28" t="str">
        <f>_xlfn.IFNA(VLOOKUP($M215,Buff.CM!$A:$O,14,FALSE),"")</f>
        <v>info.daria.debuff.counterlink</v>
      </c>
      <c r="P215" s="28" t="str">
        <f>_xlfn.IFNA(VLOOKUP($M215,Buff.CM!$A:$O,15,FALSE),"")</f>
        <v>Desc.info.daria.debuff.counterlink</v>
      </c>
      <c r="Q215" s="29" t="b">
        <v>0</v>
      </c>
      <c r="R215" s="27" t="b">
        <v>0</v>
      </c>
    </row>
    <row r="216" spans="1:18">
      <c r="A216" s="26" t="s">
        <v>2706</v>
      </c>
      <c r="B216" s="26"/>
      <c r="C216" s="26"/>
      <c r="D216" s="34">
        <v>8000</v>
      </c>
      <c r="E216" s="26">
        <v>0</v>
      </c>
      <c r="F216" s="26">
        <v>0</v>
      </c>
      <c r="G216" s="26" t="s">
        <v>4250</v>
      </c>
      <c r="H216" s="26"/>
      <c r="I216" s="27" t="b">
        <v>0</v>
      </c>
      <c r="J216" s="27" t="b">
        <v>0</v>
      </c>
      <c r="K216" s="27" t="b">
        <v>0</v>
      </c>
      <c r="L216" s="28" t="s">
        <v>3810</v>
      </c>
      <c r="M216" s="26" t="s">
        <v>5693</v>
      </c>
      <c r="N216" s="28" t="str">
        <f>_xlfn.IFNA(VLOOKUP($M216,Buff.CM!$A:$O,13,FALSE),"")</f>
        <v>icon_battle_link</v>
      </c>
      <c r="O216" s="28" t="str">
        <f>_xlfn.IFNA(VLOOKUP($M216,Buff.CM!$A:$O,14,FALSE),"")</f>
        <v>info.daria.debuff.counterlink</v>
      </c>
      <c r="P216" s="28" t="str">
        <f>_xlfn.IFNA(VLOOKUP($M216,Buff.CM!$A:$O,15,FALSE),"")</f>
        <v>Desc.info.daria.debuff.counterlink</v>
      </c>
      <c r="Q216" s="29" t="b">
        <v>0</v>
      </c>
      <c r="R216" s="27" t="b">
        <v>0</v>
      </c>
    </row>
    <row r="217" spans="1:18">
      <c r="A217" s="34" t="s">
        <v>2707</v>
      </c>
      <c r="B217" s="34"/>
      <c r="C217" s="34"/>
      <c r="D217" s="34">
        <v>8000</v>
      </c>
      <c r="E217" s="34">
        <v>0</v>
      </c>
      <c r="F217" s="34">
        <v>0</v>
      </c>
      <c r="G217" s="34" t="s">
        <v>4251</v>
      </c>
      <c r="H217" s="34"/>
      <c r="I217" s="35" t="b">
        <v>0</v>
      </c>
      <c r="J217" s="35" t="b">
        <v>0</v>
      </c>
      <c r="K217" s="35" t="b">
        <v>0</v>
      </c>
      <c r="L217" s="36" t="s">
        <v>3810</v>
      </c>
      <c r="M217" s="26" t="s">
        <v>5693</v>
      </c>
      <c r="N217" s="36" t="str">
        <f>_xlfn.IFNA(VLOOKUP($M217,Buff.CM!$A:$O,13,FALSE),"")</f>
        <v>icon_battle_link</v>
      </c>
      <c r="O217" s="36" t="str">
        <f>_xlfn.IFNA(VLOOKUP($M217,Buff.CM!$A:$O,14,FALSE),"")</f>
        <v>info.daria.debuff.counterlink</v>
      </c>
      <c r="P217" s="36" t="str">
        <f>_xlfn.IFNA(VLOOKUP($M217,Buff.CM!$A:$O,15,FALSE),"")</f>
        <v>Desc.info.daria.debuff.counterlink</v>
      </c>
      <c r="Q217" s="37" t="b">
        <v>0</v>
      </c>
      <c r="R217" s="35" t="b">
        <v>0</v>
      </c>
    </row>
    <row r="218" spans="1:18" s="13" customFormat="1">
      <c r="A218" s="34" t="s">
        <v>2708</v>
      </c>
      <c r="B218" s="34"/>
      <c r="C218" s="34"/>
      <c r="D218" s="34">
        <v>10000</v>
      </c>
      <c r="E218" s="34">
        <v>0</v>
      </c>
      <c r="F218" s="34">
        <v>0</v>
      </c>
      <c r="G218" s="34" t="s">
        <v>4252</v>
      </c>
      <c r="H218" s="34"/>
      <c r="I218" s="35" t="b">
        <v>0</v>
      </c>
      <c r="J218" s="35" t="b">
        <v>0</v>
      </c>
      <c r="K218" s="35" t="b">
        <v>0</v>
      </c>
      <c r="L218" s="36" t="s">
        <v>3810</v>
      </c>
      <c r="M218" s="26" t="s">
        <v>5693</v>
      </c>
      <c r="N218" s="36" t="str">
        <f>_xlfn.IFNA(VLOOKUP($M218,Buff.CM!$A:$O,13,FALSE),"")</f>
        <v>icon_battle_link</v>
      </c>
      <c r="O218" s="36" t="str">
        <f>_xlfn.IFNA(VLOOKUP($M218,Buff.CM!$A:$O,14,FALSE),"")</f>
        <v>info.daria.debuff.counterlink</v>
      </c>
      <c r="P218" s="36" t="str">
        <f>_xlfn.IFNA(VLOOKUP($M218,Buff.CM!$A:$O,15,FALSE),"")</f>
        <v>Desc.info.daria.debuff.counterlink</v>
      </c>
      <c r="Q218" s="37" t="b">
        <v>0</v>
      </c>
      <c r="R218" s="35" t="b">
        <v>0</v>
      </c>
    </row>
    <row r="219" spans="1:18" s="13" customFormat="1">
      <c r="A219" s="34" t="s">
        <v>2709</v>
      </c>
      <c r="B219" s="34"/>
      <c r="C219" s="34"/>
      <c r="D219" s="34">
        <v>10000</v>
      </c>
      <c r="E219" s="34">
        <v>0</v>
      </c>
      <c r="F219" s="34">
        <v>0</v>
      </c>
      <c r="G219" s="34" t="s">
        <v>4253</v>
      </c>
      <c r="H219" s="34"/>
      <c r="I219" s="35" t="b">
        <v>0</v>
      </c>
      <c r="J219" s="35" t="b">
        <v>0</v>
      </c>
      <c r="K219" s="35" t="b">
        <v>0</v>
      </c>
      <c r="L219" s="36" t="s">
        <v>3810</v>
      </c>
      <c r="M219" s="26" t="s">
        <v>5693</v>
      </c>
      <c r="N219" s="36" t="str">
        <f>_xlfn.IFNA(VLOOKUP($M219,Buff.CM!$A:$O,13,FALSE),"")</f>
        <v>icon_battle_link</v>
      </c>
      <c r="O219" s="36" t="str">
        <f>_xlfn.IFNA(VLOOKUP($M219,Buff.CM!$A:$O,14,FALSE),"")</f>
        <v>info.daria.debuff.counterlink</v>
      </c>
      <c r="P219" s="36" t="str">
        <f>_xlfn.IFNA(VLOOKUP($M219,Buff.CM!$A:$O,15,FALSE),"")</f>
        <v>Desc.info.daria.debuff.counterlink</v>
      </c>
      <c r="Q219" s="37" t="b">
        <v>0</v>
      </c>
      <c r="R219" s="35" t="b">
        <v>0</v>
      </c>
    </row>
    <row r="220" spans="1:18">
      <c r="A220" s="26" t="s">
        <v>2711</v>
      </c>
      <c r="B220" s="26"/>
      <c r="C220" s="26"/>
      <c r="D220" s="26">
        <v>8000</v>
      </c>
      <c r="E220" s="26">
        <v>0</v>
      </c>
      <c r="F220" s="26">
        <v>0</v>
      </c>
      <c r="G220" s="26" t="s">
        <v>122</v>
      </c>
      <c r="H220" s="26"/>
      <c r="I220" s="26" t="b">
        <v>0</v>
      </c>
      <c r="J220" s="26" t="b">
        <v>0</v>
      </c>
      <c r="K220" s="26" t="b">
        <v>1</v>
      </c>
      <c r="L220" s="26" t="s">
        <v>3810</v>
      </c>
      <c r="M220" s="26" t="s">
        <v>5465</v>
      </c>
      <c r="N220" s="26" t="str">
        <f>_xlfn.IFNA(VLOOKUP($M220,Buff.CM!$A:$O,13,FALSE),"")</f>
        <v>icon_battle_link</v>
      </c>
      <c r="O220" s="26" t="str">
        <f>_xlfn.IFNA(VLOOKUP($M220,Buff.CM!$A:$O,14,FALSE),"")</f>
        <v>Buff.Name.Link</v>
      </c>
      <c r="P220" s="26" t="str">
        <f>_xlfn.IFNA(VLOOKUP($M220,Buff.CM!$A:$O,15,FALSE),"")</f>
        <v>Buff.Desc.Link</v>
      </c>
      <c r="Q220" s="26" t="b">
        <v>0</v>
      </c>
      <c r="R220" s="26" t="b">
        <v>0</v>
      </c>
    </row>
    <row r="221" spans="1:18">
      <c r="A221" s="26" t="s">
        <v>2712</v>
      </c>
      <c r="B221" s="26"/>
      <c r="C221" s="26"/>
      <c r="D221" s="26">
        <v>8000</v>
      </c>
      <c r="E221" s="26">
        <v>0</v>
      </c>
      <c r="F221" s="26">
        <v>0</v>
      </c>
      <c r="G221" s="26" t="s">
        <v>122</v>
      </c>
      <c r="H221" s="26"/>
      <c r="I221" s="26" t="b">
        <v>0</v>
      </c>
      <c r="J221" s="26" t="b">
        <v>0</v>
      </c>
      <c r="K221" s="26" t="b">
        <v>1</v>
      </c>
      <c r="L221" s="26" t="s">
        <v>3810</v>
      </c>
      <c r="M221" s="26" t="s">
        <v>5465</v>
      </c>
      <c r="N221" s="26" t="str">
        <f>_xlfn.IFNA(VLOOKUP($M221,Buff.CM!$A:$O,13,FALSE),"")</f>
        <v>icon_battle_link</v>
      </c>
      <c r="O221" s="26" t="str">
        <f>_xlfn.IFNA(VLOOKUP($M221,Buff.CM!$A:$O,14,FALSE),"")</f>
        <v>Buff.Name.Link</v>
      </c>
      <c r="P221" s="26" t="str">
        <f>_xlfn.IFNA(VLOOKUP($M221,Buff.CM!$A:$O,15,FALSE),"")</f>
        <v>Buff.Desc.Link</v>
      </c>
      <c r="Q221" s="26" t="b">
        <v>0</v>
      </c>
      <c r="R221" s="26" t="b">
        <v>0</v>
      </c>
    </row>
    <row r="222" spans="1:18">
      <c r="A222" s="26" t="s">
        <v>2713</v>
      </c>
      <c r="B222" s="26"/>
      <c r="C222" s="26"/>
      <c r="D222" s="26">
        <v>8000</v>
      </c>
      <c r="E222" s="26">
        <v>0</v>
      </c>
      <c r="F222" s="26">
        <v>0</v>
      </c>
      <c r="G222" s="26" t="s">
        <v>122</v>
      </c>
      <c r="H222" s="26"/>
      <c r="I222" s="26" t="b">
        <v>0</v>
      </c>
      <c r="J222" s="26" t="b">
        <v>0</v>
      </c>
      <c r="K222" s="26" t="b">
        <v>1</v>
      </c>
      <c r="L222" s="28" t="s">
        <v>3810</v>
      </c>
      <c r="M222" s="28" t="s">
        <v>5465</v>
      </c>
      <c r="N222" s="28" t="str">
        <f>_xlfn.IFNA(VLOOKUP($M222,Buff.CM!$A:$O,13,FALSE),"")</f>
        <v>icon_battle_link</v>
      </c>
      <c r="O222" s="28" t="str">
        <f>_xlfn.IFNA(VLOOKUP($M222,Buff.CM!$A:$O,14,FALSE),"")</f>
        <v>Buff.Name.Link</v>
      </c>
      <c r="P222" s="28" t="str">
        <f>_xlfn.IFNA(VLOOKUP($M222,Buff.CM!$A:$O,15,FALSE),"")</f>
        <v>Buff.Desc.Link</v>
      </c>
      <c r="Q222" s="26" t="b">
        <v>0</v>
      </c>
      <c r="R222" s="26" t="b">
        <v>0</v>
      </c>
    </row>
    <row r="223" spans="1:18">
      <c r="A223" s="34" t="s">
        <v>2714</v>
      </c>
      <c r="B223" s="34"/>
      <c r="C223" s="34"/>
      <c r="D223" s="34">
        <v>8000</v>
      </c>
      <c r="E223" s="34">
        <v>0</v>
      </c>
      <c r="F223" s="34">
        <v>0</v>
      </c>
      <c r="G223" s="34" t="s">
        <v>122</v>
      </c>
      <c r="H223" s="34"/>
      <c r="I223" s="34" t="b">
        <v>0</v>
      </c>
      <c r="J223" s="34" t="b">
        <v>0</v>
      </c>
      <c r="K223" s="34" t="b">
        <v>1</v>
      </c>
      <c r="L223" s="28" t="s">
        <v>3810</v>
      </c>
      <c r="M223" s="28" t="s">
        <v>5465</v>
      </c>
      <c r="N223" s="28" t="str">
        <f>_xlfn.IFNA(VLOOKUP($M223,Buff.CM!$A:$O,13,FALSE),"")</f>
        <v>icon_battle_link</v>
      </c>
      <c r="O223" s="28" t="str">
        <f>_xlfn.IFNA(VLOOKUP($M223,Buff.CM!$A:$O,14,FALSE),"")</f>
        <v>Buff.Name.Link</v>
      </c>
      <c r="P223" s="28" t="str">
        <f>_xlfn.IFNA(VLOOKUP($M223,Buff.CM!$A:$O,15,FALSE),"")</f>
        <v>Buff.Desc.Link</v>
      </c>
      <c r="Q223" s="34" t="b">
        <v>0</v>
      </c>
      <c r="R223" s="34" t="b">
        <v>0</v>
      </c>
    </row>
    <row r="224" spans="1:18">
      <c r="A224" s="34" t="s">
        <v>2715</v>
      </c>
      <c r="B224" s="34"/>
      <c r="C224" s="34"/>
      <c r="D224" s="34">
        <v>8000</v>
      </c>
      <c r="E224" s="34">
        <v>0</v>
      </c>
      <c r="F224" s="34">
        <v>0</v>
      </c>
      <c r="G224" s="34" t="s">
        <v>122</v>
      </c>
      <c r="H224" s="34"/>
      <c r="I224" s="34" t="b">
        <v>0</v>
      </c>
      <c r="J224" s="34" t="b">
        <v>0</v>
      </c>
      <c r="K224" s="34" t="b">
        <v>1</v>
      </c>
      <c r="L224" s="36" t="s">
        <v>3810</v>
      </c>
      <c r="M224" s="36" t="s">
        <v>5465</v>
      </c>
      <c r="N224" s="36" t="str">
        <f>_xlfn.IFNA(VLOOKUP($M224,Buff.CM!$A:$O,13,FALSE),"")</f>
        <v>icon_battle_link</v>
      </c>
      <c r="O224" s="36" t="str">
        <f>_xlfn.IFNA(VLOOKUP($M224,Buff.CM!$A:$O,14,FALSE),"")</f>
        <v>Buff.Name.Link</v>
      </c>
      <c r="P224" s="36" t="str">
        <f>_xlfn.IFNA(VLOOKUP($M224,Buff.CM!$A:$O,15,FALSE),"")</f>
        <v>Buff.Desc.Link</v>
      </c>
      <c r="Q224" s="34" t="b">
        <v>0</v>
      </c>
      <c r="R224" s="34" t="b">
        <v>0</v>
      </c>
    </row>
    <row r="225" spans="1:18">
      <c r="A225" s="34" t="s">
        <v>2716</v>
      </c>
      <c r="B225" s="34"/>
      <c r="C225" s="34"/>
      <c r="D225" s="34">
        <v>10000</v>
      </c>
      <c r="E225" s="34">
        <v>0</v>
      </c>
      <c r="F225" s="34">
        <v>0</v>
      </c>
      <c r="G225" s="34" t="s">
        <v>122</v>
      </c>
      <c r="H225" s="34"/>
      <c r="I225" s="34" t="b">
        <v>0</v>
      </c>
      <c r="J225" s="34" t="b">
        <v>0</v>
      </c>
      <c r="K225" s="34" t="b">
        <v>1</v>
      </c>
      <c r="L225" s="36" t="s">
        <v>3810</v>
      </c>
      <c r="M225" s="36" t="s">
        <v>5465</v>
      </c>
      <c r="N225" s="36" t="str">
        <f>_xlfn.IFNA(VLOOKUP($M225,Buff.CM!$A:$O,13,FALSE),"")</f>
        <v>icon_battle_link</v>
      </c>
      <c r="O225" s="36" t="str">
        <f>_xlfn.IFNA(VLOOKUP($M225,Buff.CM!$A:$O,14,FALSE),"")</f>
        <v>Buff.Name.Link</v>
      </c>
      <c r="P225" s="36" t="str">
        <f>_xlfn.IFNA(VLOOKUP($M225,Buff.CM!$A:$O,15,FALSE),"")</f>
        <v>Buff.Desc.Link</v>
      </c>
      <c r="Q225" s="34" t="b">
        <v>0</v>
      </c>
      <c r="R225" s="34" t="b">
        <v>0</v>
      </c>
    </row>
    <row r="226" spans="1:18">
      <c r="A226" s="34" t="s">
        <v>2717</v>
      </c>
      <c r="B226" s="34"/>
      <c r="C226" s="34"/>
      <c r="D226" s="34">
        <v>10000</v>
      </c>
      <c r="E226" s="34">
        <v>0</v>
      </c>
      <c r="F226" s="34">
        <v>0</v>
      </c>
      <c r="G226" s="34" t="s">
        <v>122</v>
      </c>
      <c r="H226" s="34"/>
      <c r="I226" s="34" t="b">
        <v>0</v>
      </c>
      <c r="J226" s="34" t="b">
        <v>0</v>
      </c>
      <c r="K226" s="34" t="b">
        <v>1</v>
      </c>
      <c r="L226" s="36" t="s">
        <v>3810</v>
      </c>
      <c r="M226" s="36" t="s">
        <v>5465</v>
      </c>
      <c r="N226" s="36" t="str">
        <f>_xlfn.IFNA(VLOOKUP($M226,Buff.CM!$A:$O,13,FALSE),"")</f>
        <v>icon_battle_link</v>
      </c>
      <c r="O226" s="36" t="str">
        <f>_xlfn.IFNA(VLOOKUP($M226,Buff.CM!$A:$O,14,FALSE),"")</f>
        <v>Buff.Name.Link</v>
      </c>
      <c r="P226" s="36" t="str">
        <f>_xlfn.IFNA(VLOOKUP($M226,Buff.CM!$A:$O,15,FALSE),"")</f>
        <v>Buff.Desc.Link</v>
      </c>
      <c r="Q226" s="34" t="b">
        <v>0</v>
      </c>
      <c r="R226" s="34" t="b">
        <v>0</v>
      </c>
    </row>
    <row r="227" spans="1:18">
      <c r="A227" s="25" t="s">
        <v>2252</v>
      </c>
      <c r="B227" s="25"/>
      <c r="C227" s="25"/>
      <c r="D227" s="25">
        <v>6000</v>
      </c>
      <c r="E227" s="25">
        <v>0</v>
      </c>
      <c r="F227" s="25">
        <v>0</v>
      </c>
      <c r="G227" s="25" t="s">
        <v>1515</v>
      </c>
      <c r="H227" s="25"/>
      <c r="I227" s="25" t="b">
        <v>0</v>
      </c>
      <c r="J227" s="25" t="b">
        <v>0</v>
      </c>
      <c r="K227" s="25" t="b">
        <v>0</v>
      </c>
      <c r="L227" s="51" t="s">
        <v>5475</v>
      </c>
      <c r="M227" s="25" t="s">
        <v>1515</v>
      </c>
      <c r="N227" s="25" t="str">
        <f>_xlfn.IFNA(VLOOKUP($M227,Buff.CM!$A:$O,13,FALSE),"")</f>
        <v>icon_battle_attack</v>
      </c>
      <c r="O227" s="25" t="str">
        <f>_xlfn.IFNA(VLOOKUP($M227,Buff.CM!$A:$O,14,FALSE),"")</f>
        <v>Buff.Name.Atk.Down.02</v>
      </c>
      <c r="P227" s="25" t="str">
        <f>_xlfn.IFNA(VLOOKUP($M227,Buff.CM!$A:$O,15,FALSE),"")</f>
        <v>Buff.Desc.Atk.Down.02</v>
      </c>
      <c r="Q227" s="25" t="b">
        <v>0</v>
      </c>
      <c r="R227" s="25" t="b">
        <v>0</v>
      </c>
    </row>
    <row r="228" spans="1:18">
      <c r="A228" s="25" t="s">
        <v>2253</v>
      </c>
      <c r="B228" s="25"/>
      <c r="C228" s="25"/>
      <c r="D228" s="25">
        <v>7000</v>
      </c>
      <c r="E228" s="25">
        <v>0</v>
      </c>
      <c r="F228" s="25">
        <v>0</v>
      </c>
      <c r="G228" s="25" t="s">
        <v>1515</v>
      </c>
      <c r="H228" s="25"/>
      <c r="I228" s="25" t="b">
        <v>0</v>
      </c>
      <c r="J228" s="25" t="b">
        <v>0</v>
      </c>
      <c r="K228" s="25" t="b">
        <v>0</v>
      </c>
      <c r="L228" s="51" t="s">
        <v>5475</v>
      </c>
      <c r="M228" s="25" t="s">
        <v>1515</v>
      </c>
      <c r="N228" s="25" t="str">
        <f>_xlfn.IFNA(VLOOKUP($M228,Buff.CM!$A:$O,13,FALSE),"")</f>
        <v>icon_battle_attack</v>
      </c>
      <c r="O228" s="25" t="str">
        <f>_xlfn.IFNA(VLOOKUP($M228,Buff.CM!$A:$O,14,FALSE),"")</f>
        <v>Buff.Name.Atk.Down.02</v>
      </c>
      <c r="P228" s="25" t="str">
        <f>_xlfn.IFNA(VLOOKUP($M228,Buff.CM!$A:$O,15,FALSE),"")</f>
        <v>Buff.Desc.Atk.Down.02</v>
      </c>
      <c r="Q228" s="25" t="b">
        <v>0</v>
      </c>
      <c r="R228" s="25" t="b">
        <v>0</v>
      </c>
    </row>
    <row r="229" spans="1:18">
      <c r="A229" s="25" t="s">
        <v>2254</v>
      </c>
      <c r="B229" s="25"/>
      <c r="C229" s="25"/>
      <c r="D229" s="25">
        <v>7000</v>
      </c>
      <c r="E229" s="25">
        <v>0</v>
      </c>
      <c r="F229" s="25">
        <v>0</v>
      </c>
      <c r="G229" s="25" t="s">
        <v>1516</v>
      </c>
      <c r="H229" s="25"/>
      <c r="I229" s="25" t="b">
        <v>0</v>
      </c>
      <c r="J229" s="25" t="b">
        <v>0</v>
      </c>
      <c r="K229" s="25" t="b">
        <v>0</v>
      </c>
      <c r="L229" s="51" t="s">
        <v>5475</v>
      </c>
      <c r="M229" s="25" t="s">
        <v>1516</v>
      </c>
      <c r="N229" s="25" t="str">
        <f>_xlfn.IFNA(VLOOKUP($M229,Buff.CM!$A:$O,13,FALSE),"")</f>
        <v>icon_battle_attack</v>
      </c>
      <c r="O229" s="25" t="str">
        <f>_xlfn.IFNA(VLOOKUP($M229,Buff.CM!$A:$O,14,FALSE),"")</f>
        <v>Buff.Name.Atk.Down.03</v>
      </c>
      <c r="P229" s="25" t="str">
        <f>_xlfn.IFNA(VLOOKUP($M229,Buff.CM!$A:$O,15,FALSE),"")</f>
        <v>Buff.Desc.Atk.Down.03</v>
      </c>
      <c r="Q229" s="25" t="b">
        <v>0</v>
      </c>
      <c r="R229" s="25" t="b">
        <v>0</v>
      </c>
    </row>
    <row r="230" spans="1:18">
      <c r="A230" s="34" t="s">
        <v>2255</v>
      </c>
      <c r="B230" s="34"/>
      <c r="C230" s="34"/>
      <c r="D230" s="34">
        <v>8000</v>
      </c>
      <c r="E230" s="34">
        <v>0</v>
      </c>
      <c r="F230" s="34">
        <v>0</v>
      </c>
      <c r="G230" s="34" t="s">
        <v>1516</v>
      </c>
      <c r="H230" s="34"/>
      <c r="I230" s="34" t="b">
        <v>0</v>
      </c>
      <c r="J230" s="34" t="b">
        <v>0</v>
      </c>
      <c r="K230" s="34" t="b">
        <v>0</v>
      </c>
      <c r="L230" s="51" t="s">
        <v>5475</v>
      </c>
      <c r="M230" s="34" t="s">
        <v>1516</v>
      </c>
      <c r="N230" s="34" t="str">
        <f>_xlfn.IFNA(VLOOKUP($M230,Buff.CM!$A:$O,13,FALSE),"")</f>
        <v>icon_battle_attack</v>
      </c>
      <c r="O230" s="34" t="str">
        <f>_xlfn.IFNA(VLOOKUP($M230,Buff.CM!$A:$O,14,FALSE),"")</f>
        <v>Buff.Name.Atk.Down.03</v>
      </c>
      <c r="P230" s="34" t="str">
        <f>_xlfn.IFNA(VLOOKUP($M230,Buff.CM!$A:$O,15,FALSE),"")</f>
        <v>Buff.Desc.Atk.Down.03</v>
      </c>
      <c r="Q230" s="34" t="b">
        <v>0</v>
      </c>
      <c r="R230" s="34" t="b">
        <v>0</v>
      </c>
    </row>
    <row r="231" spans="1:18">
      <c r="A231" s="34" t="s">
        <v>2585</v>
      </c>
      <c r="B231" s="34"/>
      <c r="C231" s="34"/>
      <c r="D231" s="34">
        <v>7500</v>
      </c>
      <c r="E231" s="34">
        <v>0</v>
      </c>
      <c r="F231" s="34">
        <v>0</v>
      </c>
      <c r="G231" s="34" t="s">
        <v>1517</v>
      </c>
      <c r="H231" s="34"/>
      <c r="I231" s="34" t="b">
        <v>0</v>
      </c>
      <c r="J231" s="34" t="b">
        <v>0</v>
      </c>
      <c r="K231" s="34" t="b">
        <v>0</v>
      </c>
      <c r="L231" s="51" t="s">
        <v>5475</v>
      </c>
      <c r="M231" s="34" t="s">
        <v>1517</v>
      </c>
      <c r="N231" s="34" t="str">
        <f>_xlfn.IFNA(VLOOKUP($M231,Buff.CM!$A:$O,13,FALSE),"")</f>
        <v>icon_battle_attack</v>
      </c>
      <c r="O231" s="34" t="str">
        <f>_xlfn.IFNA(VLOOKUP($M231,Buff.CM!$A:$O,14,FALSE),"")</f>
        <v>Buff.Name.Atk.Down.04</v>
      </c>
      <c r="P231" s="34" t="str">
        <f>_xlfn.IFNA(VLOOKUP($M231,Buff.CM!$A:$O,15,FALSE),"")</f>
        <v>Buff.Desc.Atk.Down.04</v>
      </c>
      <c r="Q231" s="34" t="b">
        <v>0</v>
      </c>
      <c r="R231" s="34" t="b">
        <v>0</v>
      </c>
    </row>
    <row r="232" spans="1:18">
      <c r="A232" s="34" t="s">
        <v>2586</v>
      </c>
      <c r="B232" s="34"/>
      <c r="C232" s="34"/>
      <c r="D232" s="34">
        <v>8100</v>
      </c>
      <c r="E232" s="34">
        <v>0</v>
      </c>
      <c r="F232" s="34">
        <v>0</v>
      </c>
      <c r="G232" s="34" t="s">
        <v>1517</v>
      </c>
      <c r="H232" s="34"/>
      <c r="I232" s="34" t="b">
        <v>0</v>
      </c>
      <c r="J232" s="34" t="b">
        <v>0</v>
      </c>
      <c r="K232" s="34" t="b">
        <v>0</v>
      </c>
      <c r="L232" s="51" t="s">
        <v>5475</v>
      </c>
      <c r="M232" s="34" t="s">
        <v>1517</v>
      </c>
      <c r="N232" s="34" t="str">
        <f>_xlfn.IFNA(VLOOKUP($M232,Buff.CM!$A:$O,13,FALSE),"")</f>
        <v>icon_battle_attack</v>
      </c>
      <c r="O232" s="34" t="str">
        <f>_xlfn.IFNA(VLOOKUP($M232,Buff.CM!$A:$O,14,FALSE),"")</f>
        <v>Buff.Name.Atk.Down.04</v>
      </c>
      <c r="P232" s="34" t="str">
        <f>_xlfn.IFNA(VLOOKUP($M232,Buff.CM!$A:$O,15,FALSE),"")</f>
        <v>Buff.Desc.Atk.Down.04</v>
      </c>
      <c r="Q232" s="34" t="b">
        <v>0</v>
      </c>
      <c r="R232" s="34" t="b">
        <v>0</v>
      </c>
    </row>
    <row r="233" spans="1:18">
      <c r="A233" s="26" t="s">
        <v>333</v>
      </c>
      <c r="B233" s="26"/>
      <c r="C233" s="26"/>
      <c r="D233" s="26">
        <v>4000</v>
      </c>
      <c r="E233" s="26">
        <v>0</v>
      </c>
      <c r="F233" s="26">
        <v>0</v>
      </c>
      <c r="G233" s="26" t="s">
        <v>267</v>
      </c>
      <c r="H233" s="26"/>
      <c r="I233" s="26" t="b">
        <v>0</v>
      </c>
      <c r="J233" s="26" t="b">
        <v>0</v>
      </c>
      <c r="K233" s="26" t="b">
        <v>1</v>
      </c>
      <c r="L233" s="26" t="s">
        <v>283</v>
      </c>
      <c r="M233" s="26" t="s">
        <v>5464</v>
      </c>
      <c r="N233" s="26" t="str">
        <f>_xlfn.IFNA(VLOOKUP($M233,Buff.CM!$A:$O,13,FALSE),"")</f>
        <v>icon_battle_link</v>
      </c>
      <c r="O233" s="26" t="str">
        <f>_xlfn.IFNA(VLOOKUP($M233,Buff.CM!$A:$O,14,FALSE),"")</f>
        <v>Buff.Name.Link</v>
      </c>
      <c r="P233" s="26" t="str">
        <f>_xlfn.IFNA(VLOOKUP($M233,Buff.CM!$A:$O,15,FALSE),"")</f>
        <v>Buff.Desc.Link</v>
      </c>
      <c r="Q233" s="26" t="b">
        <v>0</v>
      </c>
      <c r="R233" s="26" t="b">
        <v>0</v>
      </c>
    </row>
    <row r="234" spans="1:18">
      <c r="A234" s="26" t="s">
        <v>334</v>
      </c>
      <c r="B234" s="26"/>
      <c r="C234" s="26"/>
      <c r="D234" s="26">
        <v>5000</v>
      </c>
      <c r="E234" s="26">
        <v>0</v>
      </c>
      <c r="F234" s="26">
        <v>0</v>
      </c>
      <c r="G234" s="26" t="s">
        <v>267</v>
      </c>
      <c r="H234" s="26"/>
      <c r="I234" s="26" t="b">
        <v>0</v>
      </c>
      <c r="J234" s="26" t="b">
        <v>0</v>
      </c>
      <c r="K234" s="26" t="b">
        <v>1</v>
      </c>
      <c r="L234" s="26" t="s">
        <v>283</v>
      </c>
      <c r="M234" s="26" t="s">
        <v>5464</v>
      </c>
      <c r="N234" s="26" t="str">
        <f>_xlfn.IFNA(VLOOKUP($M234,Buff.CM!$A:$O,13,FALSE),"")</f>
        <v>icon_battle_link</v>
      </c>
      <c r="O234" s="26" t="str">
        <f>_xlfn.IFNA(VLOOKUP($M234,Buff.CM!$A:$O,14,FALSE),"")</f>
        <v>Buff.Name.Link</v>
      </c>
      <c r="P234" s="26" t="str">
        <f>_xlfn.IFNA(VLOOKUP($M234,Buff.CM!$A:$O,15,FALSE),"")</f>
        <v>Buff.Desc.Link</v>
      </c>
      <c r="Q234" s="26" t="b">
        <v>0</v>
      </c>
      <c r="R234" s="26" t="b">
        <v>0</v>
      </c>
    </row>
    <row r="235" spans="1:18">
      <c r="A235" s="26" t="s">
        <v>335</v>
      </c>
      <c r="B235" s="26"/>
      <c r="C235" s="26"/>
      <c r="D235" s="26">
        <v>5000</v>
      </c>
      <c r="E235" s="26">
        <v>0</v>
      </c>
      <c r="F235" s="26">
        <v>0</v>
      </c>
      <c r="G235" s="26" t="s">
        <v>267</v>
      </c>
      <c r="H235" s="26"/>
      <c r="I235" s="26" t="b">
        <v>0</v>
      </c>
      <c r="J235" s="26" t="b">
        <v>0</v>
      </c>
      <c r="K235" s="26" t="b">
        <v>1</v>
      </c>
      <c r="L235" s="26" t="s">
        <v>283</v>
      </c>
      <c r="M235" s="26" t="s">
        <v>5464</v>
      </c>
      <c r="N235" s="26" t="str">
        <f>_xlfn.IFNA(VLOOKUP($M235,Buff.CM!$A:$O,13,FALSE),"")</f>
        <v>icon_battle_link</v>
      </c>
      <c r="O235" s="26" t="str">
        <f>_xlfn.IFNA(VLOOKUP($M235,Buff.CM!$A:$O,14,FALSE),"")</f>
        <v>Buff.Name.Link</v>
      </c>
      <c r="P235" s="26" t="str">
        <f>_xlfn.IFNA(VLOOKUP($M235,Buff.CM!$A:$O,15,FALSE),"")</f>
        <v>Buff.Desc.Link</v>
      </c>
      <c r="Q235" s="26" t="b">
        <v>0</v>
      </c>
      <c r="R235" s="26" t="b">
        <v>0</v>
      </c>
    </row>
    <row r="236" spans="1:18">
      <c r="A236" s="34" t="s">
        <v>336</v>
      </c>
      <c r="B236" s="34"/>
      <c r="C236" s="34"/>
      <c r="D236" s="34">
        <v>6000</v>
      </c>
      <c r="E236" s="34">
        <v>0</v>
      </c>
      <c r="F236" s="34">
        <v>0</v>
      </c>
      <c r="G236" s="34" t="s">
        <v>267</v>
      </c>
      <c r="H236" s="34"/>
      <c r="I236" s="35" t="b">
        <v>0</v>
      </c>
      <c r="J236" s="35" t="b">
        <v>0</v>
      </c>
      <c r="K236" s="35" t="b">
        <v>1</v>
      </c>
      <c r="L236" s="36" t="s">
        <v>283</v>
      </c>
      <c r="M236" s="36" t="s">
        <v>5464</v>
      </c>
      <c r="N236" s="36" t="str">
        <f>_xlfn.IFNA(VLOOKUP($M236,Buff.CM!$A:$O,13,FALSE),"")</f>
        <v>icon_battle_link</v>
      </c>
      <c r="O236" s="36" t="str">
        <f>_xlfn.IFNA(VLOOKUP($M236,Buff.CM!$A:$O,14,FALSE),"")</f>
        <v>Buff.Name.Link</v>
      </c>
      <c r="P236" s="36" t="str">
        <f>_xlfn.IFNA(VLOOKUP($M236,Buff.CM!$A:$O,15,FALSE),"")</f>
        <v>Buff.Desc.Link</v>
      </c>
      <c r="Q236" s="37" t="b">
        <v>0</v>
      </c>
      <c r="R236" s="35" t="b">
        <v>0</v>
      </c>
    </row>
    <row r="237" spans="1:18">
      <c r="A237" s="34" t="s">
        <v>337</v>
      </c>
      <c r="B237" s="34"/>
      <c r="C237" s="34"/>
      <c r="D237" s="34">
        <v>6500</v>
      </c>
      <c r="E237" s="34">
        <v>0</v>
      </c>
      <c r="F237" s="34">
        <v>0</v>
      </c>
      <c r="G237" s="34" t="s">
        <v>267</v>
      </c>
      <c r="H237" s="34"/>
      <c r="I237" s="35" t="b">
        <v>0</v>
      </c>
      <c r="J237" s="35" t="b">
        <v>0</v>
      </c>
      <c r="K237" s="35" t="b">
        <v>1</v>
      </c>
      <c r="L237" s="36" t="s">
        <v>283</v>
      </c>
      <c r="M237" s="36" t="s">
        <v>5464</v>
      </c>
      <c r="N237" s="36" t="str">
        <f>_xlfn.IFNA(VLOOKUP($M237,Buff.CM!$A:$O,13,FALSE),"")</f>
        <v>icon_battle_link</v>
      </c>
      <c r="O237" s="36" t="str">
        <f>_xlfn.IFNA(VLOOKUP($M237,Buff.CM!$A:$O,14,FALSE),"")</f>
        <v>Buff.Name.Link</v>
      </c>
      <c r="P237" s="36" t="str">
        <f>_xlfn.IFNA(VLOOKUP($M237,Buff.CM!$A:$O,15,FALSE),"")</f>
        <v>Buff.Desc.Link</v>
      </c>
      <c r="Q237" s="37" t="b">
        <v>0</v>
      </c>
      <c r="R237" s="35" t="b">
        <v>0</v>
      </c>
    </row>
    <row r="238" spans="1:18" s="13" customFormat="1">
      <c r="A238" s="34" t="s">
        <v>338</v>
      </c>
      <c r="B238" s="34"/>
      <c r="C238" s="34"/>
      <c r="D238" s="34">
        <v>7100</v>
      </c>
      <c r="E238" s="34">
        <v>0</v>
      </c>
      <c r="F238" s="34">
        <v>0</v>
      </c>
      <c r="G238" s="34" t="s">
        <v>267</v>
      </c>
      <c r="H238" s="34"/>
      <c r="I238" s="35" t="b">
        <v>0</v>
      </c>
      <c r="J238" s="35" t="b">
        <v>0</v>
      </c>
      <c r="K238" s="35" t="b">
        <v>1</v>
      </c>
      <c r="L238" s="36" t="s">
        <v>283</v>
      </c>
      <c r="M238" s="36" t="s">
        <v>5464</v>
      </c>
      <c r="N238" s="36" t="str">
        <f>_xlfn.IFNA(VLOOKUP($M238,Buff.CM!$A:$O,13,FALSE),"")</f>
        <v>icon_battle_link</v>
      </c>
      <c r="O238" s="36" t="str">
        <f>_xlfn.IFNA(VLOOKUP($M238,Buff.CM!$A:$O,14,FALSE),"")</f>
        <v>Buff.Name.Link</v>
      </c>
      <c r="P238" s="36" t="str">
        <f>_xlfn.IFNA(VLOOKUP($M238,Buff.CM!$A:$O,15,FALSE),"")</f>
        <v>Buff.Desc.Link</v>
      </c>
      <c r="Q238" s="37" t="b">
        <v>0</v>
      </c>
      <c r="R238" s="35" t="b">
        <v>0</v>
      </c>
    </row>
    <row r="239" spans="1:18" s="13" customFormat="1">
      <c r="A239" s="25" t="s">
        <v>339</v>
      </c>
      <c r="B239" s="25"/>
      <c r="C239" s="25"/>
      <c r="D239" s="25">
        <v>4000</v>
      </c>
      <c r="E239" s="25">
        <v>0</v>
      </c>
      <c r="F239" s="25">
        <v>0</v>
      </c>
      <c r="G239" s="25" t="s">
        <v>340</v>
      </c>
      <c r="H239" s="25"/>
      <c r="I239" s="25" t="b">
        <v>0</v>
      </c>
      <c r="J239" s="25" t="b">
        <v>0</v>
      </c>
      <c r="K239" s="25" t="b">
        <v>1</v>
      </c>
      <c r="L239" s="25" t="s">
        <v>317</v>
      </c>
      <c r="M239" s="25" t="s">
        <v>5461</v>
      </c>
      <c r="N239" s="25" t="str">
        <f>_xlfn.IFNA(VLOOKUP($M239,Buff.CM!$A:$O,13,FALSE),"")</f>
        <v>icon_battle_shield</v>
      </c>
      <c r="O239" s="25" t="str">
        <f>_xlfn.IFNA(VLOOKUP($M239,Buff.CM!$A:$O,14,FALSE),"")</f>
        <v>Buff.Name.Shield</v>
      </c>
      <c r="P239" s="25" t="str">
        <f>_xlfn.IFNA(VLOOKUP($M239,Buff.CM!$A:$O,15,FALSE),"")</f>
        <v>Buff.Desc.Shield</v>
      </c>
      <c r="Q239" s="25" t="b">
        <v>0</v>
      </c>
      <c r="R239" s="25" t="b">
        <v>0</v>
      </c>
    </row>
    <row r="240" spans="1:18" s="13" customFormat="1">
      <c r="A240" s="25" t="s">
        <v>341</v>
      </c>
      <c r="B240" s="25"/>
      <c r="C240" s="25"/>
      <c r="D240" s="25">
        <v>5000</v>
      </c>
      <c r="E240" s="25">
        <v>0</v>
      </c>
      <c r="F240" s="25">
        <v>0</v>
      </c>
      <c r="G240" s="25" t="s">
        <v>342</v>
      </c>
      <c r="H240" s="25"/>
      <c r="I240" s="25" t="b">
        <v>0</v>
      </c>
      <c r="J240" s="25" t="b">
        <v>0</v>
      </c>
      <c r="K240" s="25" t="b">
        <v>1</v>
      </c>
      <c r="L240" s="25" t="s">
        <v>317</v>
      </c>
      <c r="M240" s="25" t="s">
        <v>5461</v>
      </c>
      <c r="N240" s="25" t="str">
        <f>_xlfn.IFNA(VLOOKUP($M240,Buff.CM!$A:$O,13,FALSE),"")</f>
        <v>icon_battle_shield</v>
      </c>
      <c r="O240" s="25" t="str">
        <f>_xlfn.IFNA(VLOOKUP($M240,Buff.CM!$A:$O,14,FALSE),"")</f>
        <v>Buff.Name.Shield</v>
      </c>
      <c r="P240" s="25" t="str">
        <f>_xlfn.IFNA(VLOOKUP($M240,Buff.CM!$A:$O,15,FALSE),"")</f>
        <v>Buff.Desc.Shield</v>
      </c>
      <c r="Q240" s="25" t="b">
        <v>0</v>
      </c>
      <c r="R240" s="25" t="b">
        <v>0</v>
      </c>
    </row>
    <row r="241" spans="1:18" s="13" customFormat="1">
      <c r="A241" s="25" t="s">
        <v>343</v>
      </c>
      <c r="B241" s="25"/>
      <c r="C241" s="25"/>
      <c r="D241" s="25">
        <v>5000</v>
      </c>
      <c r="E241" s="25">
        <v>0</v>
      </c>
      <c r="F241" s="25">
        <v>0</v>
      </c>
      <c r="G241" s="25" t="s">
        <v>344</v>
      </c>
      <c r="H241" s="25"/>
      <c r="I241" s="25" t="b">
        <v>0</v>
      </c>
      <c r="J241" s="25" t="b">
        <v>0</v>
      </c>
      <c r="K241" s="25" t="b">
        <v>1</v>
      </c>
      <c r="L241" s="25" t="s">
        <v>317</v>
      </c>
      <c r="M241" s="25" t="s">
        <v>5461</v>
      </c>
      <c r="N241" s="25" t="str">
        <f>_xlfn.IFNA(VLOOKUP($M241,Buff.CM!$A:$O,13,FALSE),"")</f>
        <v>icon_battle_shield</v>
      </c>
      <c r="O241" s="25" t="str">
        <f>_xlfn.IFNA(VLOOKUP($M241,Buff.CM!$A:$O,14,FALSE),"")</f>
        <v>Buff.Name.Shield</v>
      </c>
      <c r="P241" s="25" t="str">
        <f>_xlfn.IFNA(VLOOKUP($M241,Buff.CM!$A:$O,15,FALSE),"")</f>
        <v>Buff.Desc.Shield</v>
      </c>
      <c r="Q241" s="25" t="b">
        <v>0</v>
      </c>
      <c r="R241" s="25" t="b">
        <v>0</v>
      </c>
    </row>
    <row r="242" spans="1:18" s="13" customFormat="1">
      <c r="A242" s="34" t="s">
        <v>2587</v>
      </c>
      <c r="B242" s="34"/>
      <c r="C242" s="34"/>
      <c r="D242" s="34">
        <v>6000</v>
      </c>
      <c r="E242" s="34">
        <v>0</v>
      </c>
      <c r="F242" s="34">
        <v>0</v>
      </c>
      <c r="G242" s="34" t="s">
        <v>344</v>
      </c>
      <c r="H242" s="34"/>
      <c r="I242" s="34" t="b">
        <v>0</v>
      </c>
      <c r="J242" s="34" t="b">
        <v>0</v>
      </c>
      <c r="K242" s="34" t="b">
        <v>1</v>
      </c>
      <c r="L242" s="34" t="s">
        <v>317</v>
      </c>
      <c r="M242" s="34" t="s">
        <v>5461</v>
      </c>
      <c r="N242" s="34" t="str">
        <f>_xlfn.IFNA(VLOOKUP($M242,Buff.CM!$A:$O,13,FALSE),"")</f>
        <v>icon_battle_shield</v>
      </c>
      <c r="O242" s="34" t="str">
        <f>_xlfn.IFNA(VLOOKUP($M242,Buff.CM!$A:$O,14,FALSE),"")</f>
        <v>Buff.Name.Shield</v>
      </c>
      <c r="P242" s="34" t="str">
        <f>_xlfn.IFNA(VLOOKUP($M242,Buff.CM!$A:$O,15,FALSE),"")</f>
        <v>Buff.Desc.Shield</v>
      </c>
      <c r="Q242" s="34" t="b">
        <v>0</v>
      </c>
      <c r="R242" s="34" t="b">
        <v>0</v>
      </c>
    </row>
    <row r="243" spans="1:18" s="13" customFormat="1">
      <c r="A243" s="34" t="s">
        <v>2588</v>
      </c>
      <c r="B243" s="34"/>
      <c r="C243" s="34"/>
      <c r="D243" s="34">
        <v>6500</v>
      </c>
      <c r="E243" s="34">
        <v>0</v>
      </c>
      <c r="F243" s="34">
        <v>0</v>
      </c>
      <c r="G243" s="34" t="s">
        <v>344</v>
      </c>
      <c r="H243" s="34"/>
      <c r="I243" s="34" t="b">
        <v>0</v>
      </c>
      <c r="J243" s="34" t="b">
        <v>0</v>
      </c>
      <c r="K243" s="34" t="b">
        <v>1</v>
      </c>
      <c r="L243" s="34" t="s">
        <v>317</v>
      </c>
      <c r="M243" s="34" t="s">
        <v>5461</v>
      </c>
      <c r="N243" s="34" t="str">
        <f>_xlfn.IFNA(VLOOKUP($M243,Buff.CM!$A:$O,13,FALSE),"")</f>
        <v>icon_battle_shield</v>
      </c>
      <c r="O243" s="34" t="str">
        <f>_xlfn.IFNA(VLOOKUP($M243,Buff.CM!$A:$O,14,FALSE),"")</f>
        <v>Buff.Name.Shield</v>
      </c>
      <c r="P243" s="34" t="str">
        <f>_xlfn.IFNA(VLOOKUP($M243,Buff.CM!$A:$O,15,FALSE),"")</f>
        <v>Buff.Desc.Shield</v>
      </c>
      <c r="Q243" s="34" t="b">
        <v>0</v>
      </c>
      <c r="R243" s="34" t="b">
        <v>0</v>
      </c>
    </row>
    <row r="244" spans="1:18" s="13" customFormat="1">
      <c r="A244" s="34" t="s">
        <v>2589</v>
      </c>
      <c r="B244" s="34"/>
      <c r="C244" s="34"/>
      <c r="D244" s="34">
        <v>7100</v>
      </c>
      <c r="E244" s="34">
        <v>0</v>
      </c>
      <c r="F244" s="34">
        <v>0</v>
      </c>
      <c r="G244" s="34" t="s">
        <v>344</v>
      </c>
      <c r="H244" s="34"/>
      <c r="I244" s="34" t="b">
        <v>0</v>
      </c>
      <c r="J244" s="34" t="b">
        <v>0</v>
      </c>
      <c r="K244" s="34" t="b">
        <v>1</v>
      </c>
      <c r="L244" s="34" t="s">
        <v>317</v>
      </c>
      <c r="M244" s="34" t="s">
        <v>5461</v>
      </c>
      <c r="N244" s="34" t="str">
        <f>_xlfn.IFNA(VLOOKUP($M244,Buff.CM!$A:$O,13,FALSE),"")</f>
        <v>icon_battle_shield</v>
      </c>
      <c r="O244" s="34" t="str">
        <f>_xlfn.IFNA(VLOOKUP($M244,Buff.CM!$A:$O,14,FALSE),"")</f>
        <v>Buff.Name.Shield</v>
      </c>
      <c r="P244" s="34" t="str">
        <f>_xlfn.IFNA(VLOOKUP($M244,Buff.CM!$A:$O,15,FALSE),"")</f>
        <v>Buff.Desc.Shield</v>
      </c>
      <c r="Q244" s="34" t="b">
        <v>0</v>
      </c>
      <c r="R244" s="34" t="b">
        <v>0</v>
      </c>
    </row>
    <row r="245" spans="1:18">
      <c r="A245" s="26" t="s">
        <v>345</v>
      </c>
      <c r="B245" s="26"/>
      <c r="C245" s="26"/>
      <c r="D245" s="26">
        <v>5000</v>
      </c>
      <c r="E245" s="26">
        <v>0</v>
      </c>
      <c r="F245" s="26">
        <v>0</v>
      </c>
      <c r="G245" s="26" t="s">
        <v>122</v>
      </c>
      <c r="H245" s="26"/>
      <c r="I245" s="26" t="b">
        <v>0</v>
      </c>
      <c r="J245" s="26" t="b">
        <v>0</v>
      </c>
      <c r="K245" s="26" t="b">
        <v>1</v>
      </c>
      <c r="L245" s="26" t="s">
        <v>283</v>
      </c>
      <c r="M245" s="26" t="s">
        <v>5464</v>
      </c>
      <c r="N245" s="26" t="str">
        <f>_xlfn.IFNA(VLOOKUP($M245,Buff.CM!$A:$O,13,FALSE),"")</f>
        <v>icon_battle_link</v>
      </c>
      <c r="O245" s="26" t="str">
        <f>_xlfn.IFNA(VLOOKUP($M245,Buff.CM!$A:$O,14,FALSE),"")</f>
        <v>Buff.Name.Link</v>
      </c>
      <c r="P245" s="26" t="str">
        <f>_xlfn.IFNA(VLOOKUP($M245,Buff.CM!$A:$O,15,FALSE),"")</f>
        <v>Buff.Desc.Link</v>
      </c>
      <c r="Q245" s="26" t="b">
        <v>0</v>
      </c>
      <c r="R245" s="26" t="b">
        <v>0</v>
      </c>
    </row>
    <row r="246" spans="1:18">
      <c r="A246" s="26" t="s">
        <v>346</v>
      </c>
      <c r="B246" s="26"/>
      <c r="C246" s="26"/>
      <c r="D246" s="26">
        <v>6000</v>
      </c>
      <c r="E246" s="26">
        <v>0</v>
      </c>
      <c r="F246" s="26">
        <v>0</v>
      </c>
      <c r="G246" s="26" t="s">
        <v>122</v>
      </c>
      <c r="H246" s="26"/>
      <c r="I246" s="26" t="b">
        <v>0</v>
      </c>
      <c r="J246" s="26" t="b">
        <v>0</v>
      </c>
      <c r="K246" s="26" t="b">
        <v>1</v>
      </c>
      <c r="L246" s="26" t="s">
        <v>283</v>
      </c>
      <c r="M246" s="26" t="s">
        <v>5464</v>
      </c>
      <c r="N246" s="26" t="str">
        <f>_xlfn.IFNA(VLOOKUP($M246,Buff.CM!$A:$O,13,FALSE),"")</f>
        <v>icon_battle_link</v>
      </c>
      <c r="O246" s="26" t="str">
        <f>_xlfn.IFNA(VLOOKUP($M246,Buff.CM!$A:$O,14,FALSE),"")</f>
        <v>Buff.Name.Link</v>
      </c>
      <c r="P246" s="26" t="str">
        <f>_xlfn.IFNA(VLOOKUP($M246,Buff.CM!$A:$O,15,FALSE),"")</f>
        <v>Buff.Desc.Link</v>
      </c>
      <c r="Q246" s="26" t="b">
        <v>0</v>
      </c>
      <c r="R246" s="26" t="b">
        <v>0</v>
      </c>
    </row>
    <row r="247" spans="1:18">
      <c r="A247" s="26" t="s">
        <v>347</v>
      </c>
      <c r="B247" s="26"/>
      <c r="C247" s="26"/>
      <c r="D247" s="26">
        <v>6000</v>
      </c>
      <c r="E247" s="26">
        <v>0</v>
      </c>
      <c r="F247" s="26">
        <v>0</v>
      </c>
      <c r="G247" s="26" t="s">
        <v>122</v>
      </c>
      <c r="H247" s="26"/>
      <c r="I247" s="26" t="b">
        <v>0</v>
      </c>
      <c r="J247" s="26" t="b">
        <v>0</v>
      </c>
      <c r="K247" s="26" t="b">
        <v>1</v>
      </c>
      <c r="L247" s="26" t="s">
        <v>283</v>
      </c>
      <c r="M247" s="26" t="s">
        <v>5464</v>
      </c>
      <c r="N247" s="26" t="str">
        <f>_xlfn.IFNA(VLOOKUP($M247,Buff.CM!$A:$O,13,FALSE),"")</f>
        <v>icon_battle_link</v>
      </c>
      <c r="O247" s="26" t="str">
        <f>_xlfn.IFNA(VLOOKUP($M247,Buff.CM!$A:$O,14,FALSE),"")</f>
        <v>Buff.Name.Link</v>
      </c>
      <c r="P247" s="26" t="str">
        <f>_xlfn.IFNA(VLOOKUP($M247,Buff.CM!$A:$O,15,FALSE),"")</f>
        <v>Buff.Desc.Link</v>
      </c>
      <c r="Q247" s="26" t="b">
        <v>0</v>
      </c>
      <c r="R247" s="26" t="b">
        <v>0</v>
      </c>
    </row>
    <row r="248" spans="1:18">
      <c r="A248" s="34" t="s">
        <v>2590</v>
      </c>
      <c r="B248" s="34"/>
      <c r="C248" s="34"/>
      <c r="D248" s="34">
        <v>7000</v>
      </c>
      <c r="E248" s="34">
        <v>0</v>
      </c>
      <c r="F248" s="34">
        <v>0</v>
      </c>
      <c r="G248" s="34" t="s">
        <v>122</v>
      </c>
      <c r="H248" s="34"/>
      <c r="I248" s="34" t="b">
        <v>0</v>
      </c>
      <c r="J248" s="34" t="b">
        <v>0</v>
      </c>
      <c r="K248" s="34" t="b">
        <v>1</v>
      </c>
      <c r="L248" s="34" t="s">
        <v>283</v>
      </c>
      <c r="M248" s="34" t="s">
        <v>5464</v>
      </c>
      <c r="N248" s="34" t="str">
        <f>_xlfn.IFNA(VLOOKUP($M248,Buff.CM!$A:$O,13,FALSE),"")</f>
        <v>icon_battle_link</v>
      </c>
      <c r="O248" s="34" t="str">
        <f>_xlfn.IFNA(VLOOKUP($M248,Buff.CM!$A:$O,14,FALSE),"")</f>
        <v>Buff.Name.Link</v>
      </c>
      <c r="P248" s="34" t="str">
        <f>_xlfn.IFNA(VLOOKUP($M248,Buff.CM!$A:$O,15,FALSE),"")</f>
        <v>Buff.Desc.Link</v>
      </c>
      <c r="Q248" s="34" t="b">
        <v>0</v>
      </c>
      <c r="R248" s="34" t="b">
        <v>0</v>
      </c>
    </row>
    <row r="249" spans="1:18">
      <c r="A249" s="34" t="s">
        <v>2591</v>
      </c>
      <c r="B249" s="34"/>
      <c r="C249" s="34"/>
      <c r="D249" s="34">
        <v>7000</v>
      </c>
      <c r="E249" s="34">
        <v>0</v>
      </c>
      <c r="F249" s="34">
        <v>0</v>
      </c>
      <c r="G249" s="34" t="s">
        <v>122</v>
      </c>
      <c r="H249" s="34"/>
      <c r="I249" s="34" t="b">
        <v>0</v>
      </c>
      <c r="J249" s="34" t="b">
        <v>0</v>
      </c>
      <c r="K249" s="34" t="b">
        <v>1</v>
      </c>
      <c r="L249" s="34" t="s">
        <v>283</v>
      </c>
      <c r="M249" s="34" t="s">
        <v>5464</v>
      </c>
      <c r="N249" s="34" t="str">
        <f>_xlfn.IFNA(VLOOKUP($M249,Buff.CM!$A:$O,13,FALSE),"")</f>
        <v>icon_battle_link</v>
      </c>
      <c r="O249" s="34" t="str">
        <f>_xlfn.IFNA(VLOOKUP($M249,Buff.CM!$A:$O,14,FALSE),"")</f>
        <v>Buff.Name.Link</v>
      </c>
      <c r="P249" s="34" t="str">
        <f>_xlfn.IFNA(VLOOKUP($M249,Buff.CM!$A:$O,15,FALSE),"")</f>
        <v>Buff.Desc.Link</v>
      </c>
      <c r="Q249" s="34" t="b">
        <v>0</v>
      </c>
      <c r="R249" s="34" t="b">
        <v>0</v>
      </c>
    </row>
    <row r="250" spans="1:18">
      <c r="A250" s="34" t="s">
        <v>2592</v>
      </c>
      <c r="B250" s="34"/>
      <c r="C250" s="34"/>
      <c r="D250" s="34">
        <v>7000</v>
      </c>
      <c r="E250" s="34">
        <v>0</v>
      </c>
      <c r="F250" s="34">
        <v>0</v>
      </c>
      <c r="G250" s="34" t="s">
        <v>122</v>
      </c>
      <c r="H250" s="34"/>
      <c r="I250" s="34" t="b">
        <v>0</v>
      </c>
      <c r="J250" s="34" t="b">
        <v>0</v>
      </c>
      <c r="K250" s="34" t="b">
        <v>1</v>
      </c>
      <c r="L250" s="34" t="s">
        <v>283</v>
      </c>
      <c r="M250" s="34" t="s">
        <v>5464</v>
      </c>
      <c r="N250" s="34" t="str">
        <f>_xlfn.IFNA(VLOOKUP($M250,Buff.CM!$A:$O,13,FALSE),"")</f>
        <v>icon_battle_link</v>
      </c>
      <c r="O250" s="34" t="str">
        <f>_xlfn.IFNA(VLOOKUP($M250,Buff.CM!$A:$O,14,FALSE),"")</f>
        <v>Buff.Name.Link</v>
      </c>
      <c r="P250" s="34" t="str">
        <f>_xlfn.IFNA(VLOOKUP($M250,Buff.CM!$A:$O,15,FALSE),"")</f>
        <v>Buff.Desc.Link</v>
      </c>
      <c r="Q250" s="34" t="b">
        <v>0</v>
      </c>
      <c r="R250" s="34" t="b">
        <v>0</v>
      </c>
    </row>
    <row r="251" spans="1:18">
      <c r="A251" s="25" t="s">
        <v>6507</v>
      </c>
      <c r="B251" s="25"/>
      <c r="C251" s="25"/>
      <c r="D251" s="25">
        <v>0</v>
      </c>
      <c r="E251" s="25">
        <v>0</v>
      </c>
      <c r="F251" s="25">
        <v>0</v>
      </c>
      <c r="G251" s="25" t="s">
        <v>1373</v>
      </c>
      <c r="H251" s="25"/>
      <c r="I251" s="25" t="b">
        <v>0</v>
      </c>
      <c r="J251" s="23" t="b">
        <v>1</v>
      </c>
      <c r="K251" s="25" t="b">
        <v>1</v>
      </c>
      <c r="L251" s="25"/>
      <c r="M251" s="25"/>
      <c r="N251" s="25" t="str">
        <f>_xlfn.IFNA(VLOOKUP($M251,Buff.CM!$A:$O,13,FALSE),"")</f>
        <v/>
      </c>
      <c r="O251" s="25" t="str">
        <f>_xlfn.IFNA(VLOOKUP($M251,Buff.CM!$A:$O,14,FALSE),"")</f>
        <v/>
      </c>
      <c r="P251" s="25" t="str">
        <f>_xlfn.IFNA(VLOOKUP($M251,Buff.CM!$A:$O,15,FALSE),"")</f>
        <v/>
      </c>
      <c r="Q251" s="25" t="b">
        <v>0</v>
      </c>
      <c r="R251" s="25" t="b">
        <v>0</v>
      </c>
    </row>
    <row r="252" spans="1:18">
      <c r="A252" s="25" t="s">
        <v>1368</v>
      </c>
      <c r="B252" s="25"/>
      <c r="C252" s="25"/>
      <c r="D252" s="25">
        <v>0</v>
      </c>
      <c r="E252" s="25">
        <v>0</v>
      </c>
      <c r="F252" s="25">
        <v>0</v>
      </c>
      <c r="G252" s="25" t="s">
        <v>1374</v>
      </c>
      <c r="H252" s="25"/>
      <c r="I252" s="25" t="b">
        <v>0</v>
      </c>
      <c r="J252" s="23" t="b">
        <v>1</v>
      </c>
      <c r="K252" s="25" t="b">
        <v>1</v>
      </c>
      <c r="L252" s="25"/>
      <c r="M252" s="25"/>
      <c r="N252" s="25" t="str">
        <f>_xlfn.IFNA(VLOOKUP($M252,Buff.CM!$A:$O,13,FALSE),"")</f>
        <v/>
      </c>
      <c r="O252" s="25" t="str">
        <f>_xlfn.IFNA(VLOOKUP($M252,Buff.CM!$A:$O,14,FALSE),"")</f>
        <v/>
      </c>
      <c r="P252" s="25" t="str">
        <f>_xlfn.IFNA(VLOOKUP($M252,Buff.CM!$A:$O,15,FALSE),"")</f>
        <v/>
      </c>
      <c r="Q252" s="25" t="b">
        <v>0</v>
      </c>
      <c r="R252" s="25" t="b">
        <v>0</v>
      </c>
    </row>
    <row r="253" spans="1:18">
      <c r="A253" s="25" t="s">
        <v>1369</v>
      </c>
      <c r="B253" s="25"/>
      <c r="C253" s="25"/>
      <c r="D253" s="25">
        <v>0</v>
      </c>
      <c r="E253" s="25">
        <v>0</v>
      </c>
      <c r="F253" s="25">
        <v>0</v>
      </c>
      <c r="G253" s="25" t="s">
        <v>1375</v>
      </c>
      <c r="H253" s="25"/>
      <c r="I253" s="25" t="b">
        <v>0</v>
      </c>
      <c r="J253" s="23" t="b">
        <v>1</v>
      </c>
      <c r="K253" s="25" t="b">
        <v>1</v>
      </c>
      <c r="L253" s="25"/>
      <c r="M253" s="25"/>
      <c r="N253" s="25" t="str">
        <f>_xlfn.IFNA(VLOOKUP($M253,Buff.CM!$A:$O,13,FALSE),"")</f>
        <v/>
      </c>
      <c r="O253" s="25" t="str">
        <f>_xlfn.IFNA(VLOOKUP($M253,Buff.CM!$A:$O,14,FALSE),"")</f>
        <v/>
      </c>
      <c r="P253" s="25" t="str">
        <f>_xlfn.IFNA(VLOOKUP($M253,Buff.CM!$A:$O,15,FALSE),"")</f>
        <v/>
      </c>
      <c r="Q253" s="25" t="b">
        <v>0</v>
      </c>
      <c r="R253" s="25" t="b">
        <v>0</v>
      </c>
    </row>
    <row r="254" spans="1:18">
      <c r="A254" s="34" t="s">
        <v>1370</v>
      </c>
      <c r="B254" s="34"/>
      <c r="C254" s="34"/>
      <c r="D254" s="34">
        <v>0</v>
      </c>
      <c r="E254" s="34">
        <v>0</v>
      </c>
      <c r="F254" s="34">
        <v>0</v>
      </c>
      <c r="G254" s="34" t="s">
        <v>1376</v>
      </c>
      <c r="H254" s="34"/>
      <c r="I254" s="34" t="b">
        <v>0</v>
      </c>
      <c r="J254" s="23" t="b">
        <v>1</v>
      </c>
      <c r="K254" s="34" t="b">
        <v>1</v>
      </c>
      <c r="L254" s="34"/>
      <c r="M254" s="34"/>
      <c r="N254" s="34" t="str">
        <f>_xlfn.IFNA(VLOOKUP($M254,Buff.CM!$A:$O,13,FALSE),"")</f>
        <v/>
      </c>
      <c r="O254" s="34" t="str">
        <f>_xlfn.IFNA(VLOOKUP($M254,Buff.CM!$A:$O,14,FALSE),"")</f>
        <v/>
      </c>
      <c r="P254" s="34" t="str">
        <f>_xlfn.IFNA(VLOOKUP($M254,Buff.CM!$A:$O,15,FALSE),"")</f>
        <v/>
      </c>
      <c r="Q254" s="34" t="b">
        <v>0</v>
      </c>
      <c r="R254" s="34" t="b">
        <v>0</v>
      </c>
    </row>
    <row r="255" spans="1:18">
      <c r="A255" s="34" t="s">
        <v>1371</v>
      </c>
      <c r="B255" s="34"/>
      <c r="C255" s="34"/>
      <c r="D255" s="34">
        <v>0</v>
      </c>
      <c r="E255" s="34">
        <v>0</v>
      </c>
      <c r="F255" s="34">
        <v>0</v>
      </c>
      <c r="G255" s="34" t="s">
        <v>1377</v>
      </c>
      <c r="H255" s="34"/>
      <c r="I255" s="34" t="b">
        <v>0</v>
      </c>
      <c r="J255" s="23" t="b">
        <v>1</v>
      </c>
      <c r="K255" s="34" t="b">
        <v>1</v>
      </c>
      <c r="L255" s="34"/>
      <c r="M255" s="34"/>
      <c r="N255" s="34" t="str">
        <f>_xlfn.IFNA(VLOOKUP($M255,Buff.CM!$A:$O,13,FALSE),"")</f>
        <v/>
      </c>
      <c r="O255" s="34" t="str">
        <f>_xlfn.IFNA(VLOOKUP($M255,Buff.CM!$A:$O,14,FALSE),"")</f>
        <v/>
      </c>
      <c r="P255" s="34" t="str">
        <f>_xlfn.IFNA(VLOOKUP($M255,Buff.CM!$A:$O,15,FALSE),"")</f>
        <v/>
      </c>
      <c r="Q255" s="34" t="b">
        <v>0</v>
      </c>
      <c r="R255" s="34" t="b">
        <v>0</v>
      </c>
    </row>
    <row r="256" spans="1:18">
      <c r="A256" s="34" t="s">
        <v>1372</v>
      </c>
      <c r="B256" s="34"/>
      <c r="C256" s="34"/>
      <c r="D256" s="34">
        <v>0</v>
      </c>
      <c r="E256" s="34">
        <v>0</v>
      </c>
      <c r="F256" s="34">
        <v>0</v>
      </c>
      <c r="G256" s="34" t="s">
        <v>1378</v>
      </c>
      <c r="H256" s="34"/>
      <c r="I256" s="34" t="b">
        <v>0</v>
      </c>
      <c r="J256" s="23" t="b">
        <v>1</v>
      </c>
      <c r="K256" s="34" t="b">
        <v>1</v>
      </c>
      <c r="L256" s="34"/>
      <c r="M256" s="34"/>
      <c r="N256" s="34" t="str">
        <f>_xlfn.IFNA(VLOOKUP($M256,Buff.CM!$A:$O,13,FALSE),"")</f>
        <v/>
      </c>
      <c r="O256" s="34" t="str">
        <f>_xlfn.IFNA(VLOOKUP($M256,Buff.CM!$A:$O,14,FALSE),"")</f>
        <v/>
      </c>
      <c r="P256" s="34" t="str">
        <f>_xlfn.IFNA(VLOOKUP($M256,Buff.CM!$A:$O,15,FALSE),"")</f>
        <v/>
      </c>
      <c r="Q256" s="34" t="b">
        <v>0</v>
      </c>
      <c r="R256" s="34" t="b">
        <v>0</v>
      </c>
    </row>
    <row r="257" spans="1:18">
      <c r="A257" s="25" t="s">
        <v>3117</v>
      </c>
      <c r="B257" s="25"/>
      <c r="C257" s="25"/>
      <c r="D257" s="25">
        <v>0</v>
      </c>
      <c r="E257" s="25">
        <v>0</v>
      </c>
      <c r="F257" s="25">
        <v>0</v>
      </c>
      <c r="G257" s="25" t="s">
        <v>3118</v>
      </c>
      <c r="H257" s="25"/>
      <c r="I257" s="25" t="b">
        <v>0</v>
      </c>
      <c r="J257" s="23" t="b">
        <v>1</v>
      </c>
      <c r="K257" s="25" t="b">
        <v>1</v>
      </c>
      <c r="L257" s="25"/>
      <c r="M257" s="25"/>
      <c r="N257" s="25" t="str">
        <f>_xlfn.IFNA(VLOOKUP($M257,Buff.CM!$A:$O,13,FALSE),"")</f>
        <v/>
      </c>
      <c r="O257" s="25" t="str">
        <f>_xlfn.IFNA(VLOOKUP($M257,Buff.CM!$A:$O,14,FALSE),"")</f>
        <v/>
      </c>
      <c r="P257" s="25" t="str">
        <f>_xlfn.IFNA(VLOOKUP($M257,Buff.CM!$A:$O,15,FALSE),"")</f>
        <v/>
      </c>
      <c r="Q257" s="25" t="b">
        <v>0</v>
      </c>
      <c r="R257" s="25" t="b">
        <v>0</v>
      </c>
    </row>
    <row r="258" spans="1:18">
      <c r="A258" s="25" t="s">
        <v>3112</v>
      </c>
      <c r="B258" s="25"/>
      <c r="C258" s="25"/>
      <c r="D258" s="25">
        <v>0</v>
      </c>
      <c r="E258" s="25">
        <v>0</v>
      </c>
      <c r="F258" s="25">
        <v>0</v>
      </c>
      <c r="G258" s="25" t="s">
        <v>3119</v>
      </c>
      <c r="H258" s="25"/>
      <c r="I258" s="25" t="b">
        <v>0</v>
      </c>
      <c r="J258" s="23" t="b">
        <v>1</v>
      </c>
      <c r="K258" s="25" t="b">
        <v>1</v>
      </c>
      <c r="L258" s="25"/>
      <c r="M258" s="25"/>
      <c r="N258" s="25" t="str">
        <f>_xlfn.IFNA(VLOOKUP($M258,Buff.CM!$A:$O,13,FALSE),"")</f>
        <v/>
      </c>
      <c r="O258" s="25" t="str">
        <f>_xlfn.IFNA(VLOOKUP($M258,Buff.CM!$A:$O,14,FALSE),"")</f>
        <v/>
      </c>
      <c r="P258" s="25" t="str">
        <f>_xlfn.IFNA(VLOOKUP($M258,Buff.CM!$A:$O,15,FALSE),"")</f>
        <v/>
      </c>
      <c r="Q258" s="25" t="b">
        <v>0</v>
      </c>
      <c r="R258" s="25" t="b">
        <v>0</v>
      </c>
    </row>
    <row r="259" spans="1:18">
      <c r="A259" s="25" t="s">
        <v>3113</v>
      </c>
      <c r="B259" s="25"/>
      <c r="C259" s="25"/>
      <c r="D259" s="25">
        <v>0</v>
      </c>
      <c r="E259" s="25">
        <v>0</v>
      </c>
      <c r="F259" s="25">
        <v>0</v>
      </c>
      <c r="G259" s="25" t="s">
        <v>3120</v>
      </c>
      <c r="H259" s="25"/>
      <c r="I259" s="25" t="b">
        <v>0</v>
      </c>
      <c r="J259" s="23" t="b">
        <v>1</v>
      </c>
      <c r="K259" s="25" t="b">
        <v>1</v>
      </c>
      <c r="L259" s="25"/>
      <c r="M259" s="25"/>
      <c r="N259" s="25" t="str">
        <f>_xlfn.IFNA(VLOOKUP($M259,Buff.CM!$A:$O,13,FALSE),"")</f>
        <v/>
      </c>
      <c r="O259" s="25" t="str">
        <f>_xlfn.IFNA(VLOOKUP($M259,Buff.CM!$A:$O,14,FALSE),"")</f>
        <v/>
      </c>
      <c r="P259" s="25" t="str">
        <f>_xlfn.IFNA(VLOOKUP($M259,Buff.CM!$A:$O,15,FALSE),"")</f>
        <v/>
      </c>
      <c r="Q259" s="25" t="b">
        <v>0</v>
      </c>
      <c r="R259" s="25" t="b">
        <v>0</v>
      </c>
    </row>
    <row r="260" spans="1:18">
      <c r="A260" s="34" t="s">
        <v>3114</v>
      </c>
      <c r="B260" s="34"/>
      <c r="C260" s="34"/>
      <c r="D260" s="34">
        <v>0</v>
      </c>
      <c r="E260" s="34">
        <v>0</v>
      </c>
      <c r="F260" s="34">
        <v>0</v>
      </c>
      <c r="G260" s="34" t="s">
        <v>3121</v>
      </c>
      <c r="H260" s="34"/>
      <c r="I260" s="34" t="b">
        <v>0</v>
      </c>
      <c r="J260" s="23" t="b">
        <v>1</v>
      </c>
      <c r="K260" s="34" t="b">
        <v>1</v>
      </c>
      <c r="L260" s="34"/>
      <c r="M260" s="34"/>
      <c r="N260" s="34" t="str">
        <f>_xlfn.IFNA(VLOOKUP($M260,Buff.CM!$A:$O,13,FALSE),"")</f>
        <v/>
      </c>
      <c r="O260" s="34" t="str">
        <f>_xlfn.IFNA(VLOOKUP($M260,Buff.CM!$A:$O,14,FALSE),"")</f>
        <v/>
      </c>
      <c r="P260" s="34" t="str">
        <f>_xlfn.IFNA(VLOOKUP($M260,Buff.CM!$A:$O,15,FALSE),"")</f>
        <v/>
      </c>
      <c r="Q260" s="34" t="b">
        <v>0</v>
      </c>
      <c r="R260" s="34" t="b">
        <v>0</v>
      </c>
    </row>
    <row r="261" spans="1:18">
      <c r="A261" s="34" t="s">
        <v>3115</v>
      </c>
      <c r="B261" s="34"/>
      <c r="C261" s="34"/>
      <c r="D261" s="34">
        <v>0</v>
      </c>
      <c r="E261" s="34">
        <v>0</v>
      </c>
      <c r="F261" s="34">
        <v>0</v>
      </c>
      <c r="G261" s="34" t="s">
        <v>3122</v>
      </c>
      <c r="H261" s="34"/>
      <c r="I261" s="34" t="b">
        <v>0</v>
      </c>
      <c r="J261" s="23" t="b">
        <v>1</v>
      </c>
      <c r="K261" s="34" t="b">
        <v>1</v>
      </c>
      <c r="L261" s="34"/>
      <c r="M261" s="34"/>
      <c r="N261" s="34" t="str">
        <f>_xlfn.IFNA(VLOOKUP($M261,Buff.CM!$A:$O,13,FALSE),"")</f>
        <v/>
      </c>
      <c r="O261" s="34" t="str">
        <f>_xlfn.IFNA(VLOOKUP($M261,Buff.CM!$A:$O,14,FALSE),"")</f>
        <v/>
      </c>
      <c r="P261" s="34" t="str">
        <f>_xlfn.IFNA(VLOOKUP($M261,Buff.CM!$A:$O,15,FALSE),"")</f>
        <v/>
      </c>
      <c r="Q261" s="34" t="b">
        <v>0</v>
      </c>
      <c r="R261" s="34" t="b">
        <v>0</v>
      </c>
    </row>
    <row r="262" spans="1:18">
      <c r="A262" s="34" t="s">
        <v>3116</v>
      </c>
      <c r="B262" s="34"/>
      <c r="C262" s="34"/>
      <c r="D262" s="34">
        <v>0</v>
      </c>
      <c r="E262" s="34">
        <v>0</v>
      </c>
      <c r="F262" s="34">
        <v>0</v>
      </c>
      <c r="G262" s="34" t="s">
        <v>3123</v>
      </c>
      <c r="H262" s="34"/>
      <c r="I262" s="34" t="b">
        <v>0</v>
      </c>
      <c r="J262" s="23" t="b">
        <v>1</v>
      </c>
      <c r="K262" s="34" t="b">
        <v>1</v>
      </c>
      <c r="L262" s="34"/>
      <c r="M262" s="34"/>
      <c r="N262" s="34" t="str">
        <f>_xlfn.IFNA(VLOOKUP($M262,Buff.CM!$A:$O,13,FALSE),"")</f>
        <v/>
      </c>
      <c r="O262" s="34" t="str">
        <f>_xlfn.IFNA(VLOOKUP($M262,Buff.CM!$A:$O,14,FALSE),"")</f>
        <v/>
      </c>
      <c r="P262" s="34" t="str">
        <f>_xlfn.IFNA(VLOOKUP($M262,Buff.CM!$A:$O,15,FALSE),"")</f>
        <v/>
      </c>
      <c r="Q262" s="34" t="b">
        <v>0</v>
      </c>
      <c r="R262" s="34" t="b">
        <v>0</v>
      </c>
    </row>
    <row r="263" spans="1:18">
      <c r="A263" s="25" t="s">
        <v>6508</v>
      </c>
      <c r="B263" s="25" t="s">
        <v>1365</v>
      </c>
      <c r="C263" s="25" t="s">
        <v>1366</v>
      </c>
      <c r="D263" s="25">
        <v>0</v>
      </c>
      <c r="E263" s="25">
        <v>0</v>
      </c>
      <c r="F263" s="25">
        <v>0</v>
      </c>
      <c r="G263" s="25" t="s">
        <v>3129</v>
      </c>
      <c r="H263" s="25"/>
      <c r="I263" s="25" t="b">
        <v>0</v>
      </c>
      <c r="J263" s="23" t="b">
        <v>1</v>
      </c>
      <c r="K263" s="25" t="b">
        <v>1</v>
      </c>
      <c r="L263" s="25"/>
      <c r="M263" s="25"/>
      <c r="N263" s="25" t="str">
        <f>_xlfn.IFNA(VLOOKUP($M263,Buff.CM!$A:$O,13,FALSE),"")</f>
        <v/>
      </c>
      <c r="O263" s="25" t="str">
        <f>_xlfn.IFNA(VLOOKUP($M263,Buff.CM!$A:$O,14,FALSE),"")</f>
        <v/>
      </c>
      <c r="P263" s="25" t="str">
        <f>_xlfn.IFNA(VLOOKUP($M263,Buff.CM!$A:$O,15,FALSE),"")</f>
        <v/>
      </c>
      <c r="Q263" s="25" t="b">
        <v>0</v>
      </c>
      <c r="R263" s="25" t="b">
        <v>0</v>
      </c>
    </row>
    <row r="264" spans="1:18">
      <c r="A264" s="25" t="s">
        <v>3124</v>
      </c>
      <c r="B264" s="25" t="s">
        <v>1365</v>
      </c>
      <c r="C264" s="25" t="s">
        <v>1366</v>
      </c>
      <c r="D264" s="25">
        <v>0</v>
      </c>
      <c r="E264" s="25">
        <v>0</v>
      </c>
      <c r="F264" s="25">
        <v>0</v>
      </c>
      <c r="G264" s="25" t="s">
        <v>3130</v>
      </c>
      <c r="H264" s="25"/>
      <c r="I264" s="25" t="b">
        <v>0</v>
      </c>
      <c r="J264" s="23" t="b">
        <v>1</v>
      </c>
      <c r="K264" s="25" t="b">
        <v>1</v>
      </c>
      <c r="L264" s="25"/>
      <c r="M264" s="25"/>
      <c r="N264" s="25" t="str">
        <f>_xlfn.IFNA(VLOOKUP($M264,Buff.CM!$A:$O,13,FALSE),"")</f>
        <v/>
      </c>
      <c r="O264" s="25" t="str">
        <f>_xlfn.IFNA(VLOOKUP($M264,Buff.CM!$A:$O,14,FALSE),"")</f>
        <v/>
      </c>
      <c r="P264" s="25" t="str">
        <f>_xlfn.IFNA(VLOOKUP($M264,Buff.CM!$A:$O,15,FALSE),"")</f>
        <v/>
      </c>
      <c r="Q264" s="25" t="b">
        <v>0</v>
      </c>
      <c r="R264" s="25" t="b">
        <v>0</v>
      </c>
    </row>
    <row r="265" spans="1:18">
      <c r="A265" s="25" t="s">
        <v>3125</v>
      </c>
      <c r="B265" s="25" t="s">
        <v>1365</v>
      </c>
      <c r="C265" s="25" t="s">
        <v>1366</v>
      </c>
      <c r="D265" s="25">
        <v>0</v>
      </c>
      <c r="E265" s="25">
        <v>0</v>
      </c>
      <c r="F265" s="25">
        <v>0</v>
      </c>
      <c r="G265" s="25" t="s">
        <v>3131</v>
      </c>
      <c r="H265" s="25"/>
      <c r="I265" s="25" t="b">
        <v>0</v>
      </c>
      <c r="J265" s="23" t="b">
        <v>1</v>
      </c>
      <c r="K265" s="25" t="b">
        <v>1</v>
      </c>
      <c r="L265" s="25"/>
      <c r="M265" s="25"/>
      <c r="N265" s="25" t="str">
        <f>_xlfn.IFNA(VLOOKUP($M265,Buff.CM!$A:$O,13,FALSE),"")</f>
        <v/>
      </c>
      <c r="O265" s="25" t="str">
        <f>_xlfn.IFNA(VLOOKUP($M265,Buff.CM!$A:$O,14,FALSE),"")</f>
        <v/>
      </c>
      <c r="P265" s="25" t="str">
        <f>_xlfn.IFNA(VLOOKUP($M265,Buff.CM!$A:$O,15,FALSE),"")</f>
        <v/>
      </c>
      <c r="Q265" s="25" t="b">
        <v>0</v>
      </c>
      <c r="R265" s="25" t="b">
        <v>0</v>
      </c>
    </row>
    <row r="266" spans="1:18">
      <c r="A266" s="34" t="s">
        <v>3126</v>
      </c>
      <c r="B266" s="34" t="s">
        <v>1365</v>
      </c>
      <c r="C266" s="34" t="s">
        <v>1366</v>
      </c>
      <c r="D266" s="34">
        <v>0</v>
      </c>
      <c r="E266" s="34">
        <v>0</v>
      </c>
      <c r="F266" s="34">
        <v>0</v>
      </c>
      <c r="G266" s="34" t="s">
        <v>3132</v>
      </c>
      <c r="H266" s="34"/>
      <c r="I266" s="34" t="b">
        <v>0</v>
      </c>
      <c r="J266" s="23" t="b">
        <v>1</v>
      </c>
      <c r="K266" s="34" t="b">
        <v>1</v>
      </c>
      <c r="L266" s="34"/>
      <c r="M266" s="34"/>
      <c r="N266" s="34" t="str">
        <f>_xlfn.IFNA(VLOOKUP($M266,Buff.CM!$A:$O,13,FALSE),"")</f>
        <v/>
      </c>
      <c r="O266" s="34" t="str">
        <f>_xlfn.IFNA(VLOOKUP($M266,Buff.CM!$A:$O,14,FALSE),"")</f>
        <v/>
      </c>
      <c r="P266" s="34" t="str">
        <f>_xlfn.IFNA(VLOOKUP($M266,Buff.CM!$A:$O,15,FALSE),"")</f>
        <v/>
      </c>
      <c r="Q266" s="34" t="b">
        <v>0</v>
      </c>
      <c r="R266" s="34" t="b">
        <v>0</v>
      </c>
    </row>
    <row r="267" spans="1:18">
      <c r="A267" s="34" t="s">
        <v>3127</v>
      </c>
      <c r="B267" s="34" t="s">
        <v>1365</v>
      </c>
      <c r="C267" s="34" t="s">
        <v>1366</v>
      </c>
      <c r="D267" s="34">
        <v>0</v>
      </c>
      <c r="E267" s="34">
        <v>0</v>
      </c>
      <c r="F267" s="34">
        <v>0</v>
      </c>
      <c r="G267" s="34" t="s">
        <v>3133</v>
      </c>
      <c r="H267" s="34"/>
      <c r="I267" s="34" t="b">
        <v>0</v>
      </c>
      <c r="J267" s="23" t="b">
        <v>1</v>
      </c>
      <c r="K267" s="34" t="b">
        <v>1</v>
      </c>
      <c r="L267" s="34"/>
      <c r="M267" s="34"/>
      <c r="N267" s="34" t="str">
        <f>_xlfn.IFNA(VLOOKUP($M267,Buff.CM!$A:$O,13,FALSE),"")</f>
        <v/>
      </c>
      <c r="O267" s="34" t="str">
        <f>_xlfn.IFNA(VLOOKUP($M267,Buff.CM!$A:$O,14,FALSE),"")</f>
        <v/>
      </c>
      <c r="P267" s="34" t="str">
        <f>_xlfn.IFNA(VLOOKUP($M267,Buff.CM!$A:$O,15,FALSE),"")</f>
        <v/>
      </c>
      <c r="Q267" s="34" t="b">
        <v>0</v>
      </c>
      <c r="R267" s="34" t="b">
        <v>0</v>
      </c>
    </row>
    <row r="268" spans="1:18">
      <c r="A268" s="34" t="s">
        <v>3128</v>
      </c>
      <c r="B268" s="34" t="s">
        <v>1365</v>
      </c>
      <c r="C268" s="34" t="s">
        <v>1366</v>
      </c>
      <c r="D268" s="34">
        <v>0</v>
      </c>
      <c r="E268" s="34">
        <v>0</v>
      </c>
      <c r="F268" s="34">
        <v>0</v>
      </c>
      <c r="G268" s="34" t="s">
        <v>3134</v>
      </c>
      <c r="H268" s="34"/>
      <c r="I268" s="34" t="b">
        <v>0</v>
      </c>
      <c r="J268" s="23" t="b">
        <v>1</v>
      </c>
      <c r="K268" s="34" t="b">
        <v>1</v>
      </c>
      <c r="L268" s="34"/>
      <c r="M268" s="34"/>
      <c r="N268" s="34" t="str">
        <f>_xlfn.IFNA(VLOOKUP($M268,Buff.CM!$A:$O,13,FALSE),"")</f>
        <v/>
      </c>
      <c r="O268" s="34" t="str">
        <f>_xlfn.IFNA(VLOOKUP($M268,Buff.CM!$A:$O,14,FALSE),"")</f>
        <v/>
      </c>
      <c r="P268" s="34" t="str">
        <f>_xlfn.IFNA(VLOOKUP($M268,Buff.CM!$A:$O,15,FALSE),"")</f>
        <v/>
      </c>
      <c r="Q268" s="34" t="b">
        <v>0</v>
      </c>
      <c r="R268" s="34" t="b">
        <v>0</v>
      </c>
    </row>
    <row r="269" spans="1:18">
      <c r="A269" s="25" t="s">
        <v>6509</v>
      </c>
      <c r="B269" s="25" t="s">
        <v>1365</v>
      </c>
      <c r="C269" s="25" t="s">
        <v>6510</v>
      </c>
      <c r="D269" s="25">
        <v>0</v>
      </c>
      <c r="E269" s="25">
        <v>0</v>
      </c>
      <c r="F269" s="25">
        <v>0</v>
      </c>
      <c r="G269" s="25" t="s">
        <v>6511</v>
      </c>
      <c r="H269" s="25"/>
      <c r="I269" s="25" t="b">
        <v>0</v>
      </c>
      <c r="J269" s="23" t="b">
        <v>1</v>
      </c>
      <c r="K269" s="25" t="b">
        <v>1</v>
      </c>
      <c r="L269" s="25"/>
      <c r="M269" s="25"/>
      <c r="N269" s="25" t="str">
        <f>_xlfn.IFNA(VLOOKUP($M269,Buff.CM!$A:$O,13,FALSE),"")</f>
        <v/>
      </c>
      <c r="O269" s="25" t="str">
        <f>_xlfn.IFNA(VLOOKUP($M269,Buff.CM!$A:$O,14,FALSE),"")</f>
        <v/>
      </c>
      <c r="P269" s="25" t="str">
        <f>_xlfn.IFNA(VLOOKUP($M269,Buff.CM!$A:$O,15,FALSE),"")</f>
        <v/>
      </c>
      <c r="Q269" s="25" t="b">
        <v>0</v>
      </c>
      <c r="R269" s="25" t="b">
        <v>0</v>
      </c>
    </row>
    <row r="270" spans="1:18">
      <c r="A270" s="25" t="s">
        <v>3135</v>
      </c>
      <c r="B270" s="25" t="s">
        <v>1365</v>
      </c>
      <c r="C270" s="25" t="s">
        <v>6510</v>
      </c>
      <c r="D270" s="25">
        <v>0</v>
      </c>
      <c r="E270" s="25">
        <v>0</v>
      </c>
      <c r="F270" s="25">
        <v>0</v>
      </c>
      <c r="G270" s="25" t="s">
        <v>3140</v>
      </c>
      <c r="H270" s="25"/>
      <c r="I270" s="25" t="b">
        <v>0</v>
      </c>
      <c r="J270" s="23" t="b">
        <v>1</v>
      </c>
      <c r="K270" s="25" t="b">
        <v>1</v>
      </c>
      <c r="L270" s="25"/>
      <c r="M270" s="25"/>
      <c r="N270" s="25" t="str">
        <f>_xlfn.IFNA(VLOOKUP($M270,Buff.CM!$A:$O,13,FALSE),"")</f>
        <v/>
      </c>
      <c r="O270" s="25" t="str">
        <f>_xlfn.IFNA(VLOOKUP($M270,Buff.CM!$A:$O,14,FALSE),"")</f>
        <v/>
      </c>
      <c r="P270" s="25" t="str">
        <f>_xlfn.IFNA(VLOOKUP($M270,Buff.CM!$A:$O,15,FALSE),"")</f>
        <v/>
      </c>
      <c r="Q270" s="25" t="b">
        <v>0</v>
      </c>
      <c r="R270" s="25" t="b">
        <v>0</v>
      </c>
    </row>
    <row r="271" spans="1:18">
      <c r="A271" s="25" t="s">
        <v>3136</v>
      </c>
      <c r="B271" s="25" t="s">
        <v>1365</v>
      </c>
      <c r="C271" s="25" t="s">
        <v>6510</v>
      </c>
      <c r="D271" s="25">
        <v>0</v>
      </c>
      <c r="E271" s="25">
        <v>0</v>
      </c>
      <c r="F271" s="25">
        <v>0</v>
      </c>
      <c r="G271" s="25" t="s">
        <v>3141</v>
      </c>
      <c r="H271" s="25"/>
      <c r="I271" s="25" t="b">
        <v>0</v>
      </c>
      <c r="J271" s="23" t="b">
        <v>1</v>
      </c>
      <c r="K271" s="25" t="b">
        <v>1</v>
      </c>
      <c r="L271" s="25"/>
      <c r="M271" s="25"/>
      <c r="N271" s="25" t="str">
        <f>_xlfn.IFNA(VLOOKUP($M271,Buff.CM!$A:$O,13,FALSE),"")</f>
        <v/>
      </c>
      <c r="O271" s="25" t="str">
        <f>_xlfn.IFNA(VLOOKUP($M271,Buff.CM!$A:$O,14,FALSE),"")</f>
        <v/>
      </c>
      <c r="P271" s="25" t="str">
        <f>_xlfn.IFNA(VLOOKUP($M271,Buff.CM!$A:$O,15,FALSE),"")</f>
        <v/>
      </c>
      <c r="Q271" s="25" t="b">
        <v>0</v>
      </c>
      <c r="R271" s="25" t="b">
        <v>0</v>
      </c>
    </row>
    <row r="272" spans="1:18">
      <c r="A272" s="34" t="s">
        <v>3137</v>
      </c>
      <c r="B272" s="34" t="s">
        <v>1365</v>
      </c>
      <c r="C272" s="34" t="s">
        <v>6510</v>
      </c>
      <c r="D272" s="34">
        <v>0</v>
      </c>
      <c r="E272" s="34">
        <v>0</v>
      </c>
      <c r="F272" s="34">
        <v>0</v>
      </c>
      <c r="G272" s="34" t="s">
        <v>3142</v>
      </c>
      <c r="H272" s="34"/>
      <c r="I272" s="34" t="b">
        <v>0</v>
      </c>
      <c r="J272" s="23" t="b">
        <v>1</v>
      </c>
      <c r="K272" s="34" t="b">
        <v>1</v>
      </c>
      <c r="L272" s="34"/>
      <c r="M272" s="34"/>
      <c r="N272" s="34" t="str">
        <f>_xlfn.IFNA(VLOOKUP($M272,Buff.CM!$A:$O,13,FALSE),"")</f>
        <v/>
      </c>
      <c r="O272" s="34" t="str">
        <f>_xlfn.IFNA(VLOOKUP($M272,Buff.CM!$A:$O,14,FALSE),"")</f>
        <v/>
      </c>
      <c r="P272" s="34" t="str">
        <f>_xlfn.IFNA(VLOOKUP($M272,Buff.CM!$A:$O,15,FALSE),"")</f>
        <v/>
      </c>
      <c r="Q272" s="34" t="b">
        <v>0</v>
      </c>
      <c r="R272" s="34" t="b">
        <v>0</v>
      </c>
    </row>
    <row r="273" spans="1:18">
      <c r="A273" s="34" t="s">
        <v>3138</v>
      </c>
      <c r="B273" s="34" t="s">
        <v>1365</v>
      </c>
      <c r="C273" s="34" t="s">
        <v>6510</v>
      </c>
      <c r="D273" s="34">
        <v>0</v>
      </c>
      <c r="E273" s="34">
        <v>0</v>
      </c>
      <c r="F273" s="34">
        <v>0</v>
      </c>
      <c r="G273" s="34" t="s">
        <v>3143</v>
      </c>
      <c r="H273" s="34"/>
      <c r="I273" s="34" t="b">
        <v>0</v>
      </c>
      <c r="J273" s="23" t="b">
        <v>1</v>
      </c>
      <c r="K273" s="34" t="b">
        <v>1</v>
      </c>
      <c r="L273" s="34"/>
      <c r="M273" s="34"/>
      <c r="N273" s="34" t="str">
        <f>_xlfn.IFNA(VLOOKUP($M273,Buff.CM!$A:$O,13,FALSE),"")</f>
        <v/>
      </c>
      <c r="O273" s="34" t="str">
        <f>_xlfn.IFNA(VLOOKUP($M273,Buff.CM!$A:$O,14,FALSE),"")</f>
        <v/>
      </c>
      <c r="P273" s="34" t="str">
        <f>_xlfn.IFNA(VLOOKUP($M273,Buff.CM!$A:$O,15,FALSE),"")</f>
        <v/>
      </c>
      <c r="Q273" s="34" t="b">
        <v>0</v>
      </c>
      <c r="R273" s="34" t="b">
        <v>0</v>
      </c>
    </row>
    <row r="274" spans="1:18">
      <c r="A274" s="34" t="s">
        <v>3139</v>
      </c>
      <c r="B274" s="34" t="s">
        <v>1365</v>
      </c>
      <c r="C274" s="34" t="s">
        <v>6510</v>
      </c>
      <c r="D274" s="34">
        <v>0</v>
      </c>
      <c r="E274" s="34">
        <v>0</v>
      </c>
      <c r="F274" s="34">
        <v>0</v>
      </c>
      <c r="G274" s="34" t="s">
        <v>3144</v>
      </c>
      <c r="H274" s="34"/>
      <c r="I274" s="34" t="b">
        <v>0</v>
      </c>
      <c r="J274" s="23" t="b">
        <v>1</v>
      </c>
      <c r="K274" s="34" t="b">
        <v>1</v>
      </c>
      <c r="L274" s="34"/>
      <c r="M274" s="34"/>
      <c r="N274" s="34" t="str">
        <f>_xlfn.IFNA(VLOOKUP($M274,Buff.CM!$A:$O,13,FALSE),"")</f>
        <v/>
      </c>
      <c r="O274" s="34" t="str">
        <f>_xlfn.IFNA(VLOOKUP($M274,Buff.CM!$A:$O,14,FALSE),"")</f>
        <v/>
      </c>
      <c r="P274" s="34" t="str">
        <f>_xlfn.IFNA(VLOOKUP($M274,Buff.CM!$A:$O,15,FALSE),"")</f>
        <v/>
      </c>
      <c r="Q274" s="34" t="b">
        <v>0</v>
      </c>
      <c r="R274" s="34" t="b">
        <v>0</v>
      </c>
    </row>
    <row r="275" spans="1:18">
      <c r="A275" s="26" t="s">
        <v>6512</v>
      </c>
      <c r="B275" s="26"/>
      <c r="C275" s="26"/>
      <c r="D275" s="26">
        <v>0</v>
      </c>
      <c r="E275" s="26">
        <v>0</v>
      </c>
      <c r="F275" s="26">
        <v>0</v>
      </c>
      <c r="G275" s="26" t="s">
        <v>6513</v>
      </c>
      <c r="H275" s="26"/>
      <c r="I275" s="26" t="b">
        <v>0</v>
      </c>
      <c r="J275" s="23" t="b">
        <v>1</v>
      </c>
      <c r="K275" s="26" t="b">
        <v>1</v>
      </c>
      <c r="L275" s="26"/>
      <c r="M275" s="26"/>
      <c r="N275" s="26" t="str">
        <f>_xlfn.IFNA(VLOOKUP($M275,Buff.CM!$A:$O,13,FALSE),"")</f>
        <v/>
      </c>
      <c r="O275" s="26" t="str">
        <f>_xlfn.IFNA(VLOOKUP($M275,Buff.CM!$A:$O,14,FALSE),"")</f>
        <v/>
      </c>
      <c r="P275" s="26" t="str">
        <f>_xlfn.IFNA(VLOOKUP($M275,Buff.CM!$A:$O,15,FALSE),"")</f>
        <v/>
      </c>
      <c r="Q275" s="26" t="b">
        <v>0</v>
      </c>
      <c r="R275" s="26" t="b">
        <v>0</v>
      </c>
    </row>
    <row r="276" spans="1:18">
      <c r="A276" s="26" t="s">
        <v>1338</v>
      </c>
      <c r="B276" s="26"/>
      <c r="C276" s="26"/>
      <c r="D276" s="26">
        <v>0</v>
      </c>
      <c r="E276" s="26">
        <v>0</v>
      </c>
      <c r="F276" s="26">
        <v>0</v>
      </c>
      <c r="G276" s="26" t="s">
        <v>1347</v>
      </c>
      <c r="H276" s="26"/>
      <c r="I276" s="26" t="b">
        <v>0</v>
      </c>
      <c r="J276" s="23" t="b">
        <v>1</v>
      </c>
      <c r="K276" s="26" t="b">
        <v>1</v>
      </c>
      <c r="L276" s="26"/>
      <c r="M276" s="26"/>
      <c r="N276" s="26" t="str">
        <f>_xlfn.IFNA(VLOOKUP($M276,Buff.CM!$A:$O,13,FALSE),"")</f>
        <v/>
      </c>
      <c r="O276" s="26" t="str">
        <f>_xlfn.IFNA(VLOOKUP($M276,Buff.CM!$A:$O,14,FALSE),"")</f>
        <v/>
      </c>
      <c r="P276" s="26" t="str">
        <f>_xlfn.IFNA(VLOOKUP($M276,Buff.CM!$A:$O,15,FALSE),"")</f>
        <v/>
      </c>
      <c r="Q276" s="26" t="b">
        <v>0</v>
      </c>
      <c r="R276" s="26" t="b">
        <v>0</v>
      </c>
    </row>
    <row r="277" spans="1:18">
      <c r="A277" s="26" t="s">
        <v>1339</v>
      </c>
      <c r="B277" s="26"/>
      <c r="C277" s="26"/>
      <c r="D277" s="26">
        <v>0</v>
      </c>
      <c r="E277" s="26">
        <v>0</v>
      </c>
      <c r="F277" s="26">
        <v>0</v>
      </c>
      <c r="G277" s="26" t="s">
        <v>1348</v>
      </c>
      <c r="H277" s="26"/>
      <c r="I277" s="26" t="b">
        <v>0</v>
      </c>
      <c r="J277" s="23" t="b">
        <v>1</v>
      </c>
      <c r="K277" s="26" t="b">
        <v>1</v>
      </c>
      <c r="L277" s="26"/>
      <c r="M277" s="26"/>
      <c r="N277" s="26" t="str">
        <f>_xlfn.IFNA(VLOOKUP($M277,Buff.CM!$A:$O,13,FALSE),"")</f>
        <v/>
      </c>
      <c r="O277" s="26" t="str">
        <f>_xlfn.IFNA(VLOOKUP($M277,Buff.CM!$A:$O,14,FALSE),"")</f>
        <v/>
      </c>
      <c r="P277" s="26" t="str">
        <f>_xlfn.IFNA(VLOOKUP($M277,Buff.CM!$A:$O,15,FALSE),"")</f>
        <v/>
      </c>
      <c r="Q277" s="26" t="b">
        <v>0</v>
      </c>
      <c r="R277" s="26" t="b">
        <v>0</v>
      </c>
    </row>
    <row r="278" spans="1:18">
      <c r="A278" s="34" t="s">
        <v>6514</v>
      </c>
      <c r="B278" s="34"/>
      <c r="C278" s="34"/>
      <c r="D278" s="34">
        <v>0</v>
      </c>
      <c r="E278" s="34">
        <v>0</v>
      </c>
      <c r="F278" s="34">
        <v>0</v>
      </c>
      <c r="G278" s="34" t="s">
        <v>1349</v>
      </c>
      <c r="H278" s="34"/>
      <c r="I278" s="34" t="b">
        <v>0</v>
      </c>
      <c r="J278" s="23" t="b">
        <v>1</v>
      </c>
      <c r="K278" s="34" t="b">
        <v>1</v>
      </c>
      <c r="L278" s="34"/>
      <c r="M278" s="34"/>
      <c r="N278" s="34" t="str">
        <f>_xlfn.IFNA(VLOOKUP($M278,Buff.CM!$A:$O,13,FALSE),"")</f>
        <v/>
      </c>
      <c r="O278" s="34" t="str">
        <f>_xlfn.IFNA(VLOOKUP($M278,Buff.CM!$A:$O,14,FALSE),"")</f>
        <v/>
      </c>
      <c r="P278" s="34" t="str">
        <f>_xlfn.IFNA(VLOOKUP($M278,Buff.CM!$A:$O,15,FALSE),"")</f>
        <v/>
      </c>
      <c r="Q278" s="34" t="b">
        <v>0</v>
      </c>
      <c r="R278" s="34" t="b">
        <v>0</v>
      </c>
    </row>
    <row r="279" spans="1:18">
      <c r="A279" s="34" t="s">
        <v>1340</v>
      </c>
      <c r="B279" s="34"/>
      <c r="C279" s="34"/>
      <c r="D279" s="34">
        <v>0</v>
      </c>
      <c r="E279" s="34">
        <v>0</v>
      </c>
      <c r="F279" s="34">
        <v>0</v>
      </c>
      <c r="G279" s="34" t="s">
        <v>1350</v>
      </c>
      <c r="H279" s="34"/>
      <c r="I279" s="34" t="b">
        <v>0</v>
      </c>
      <c r="J279" s="23" t="b">
        <v>1</v>
      </c>
      <c r="K279" s="34" t="b">
        <v>1</v>
      </c>
      <c r="L279" s="34"/>
      <c r="M279" s="34"/>
      <c r="N279" s="34" t="str">
        <f>_xlfn.IFNA(VLOOKUP($M279,Buff.CM!$A:$O,13,FALSE),"")</f>
        <v/>
      </c>
      <c r="O279" s="34" t="str">
        <f>_xlfn.IFNA(VLOOKUP($M279,Buff.CM!$A:$O,14,FALSE),"")</f>
        <v/>
      </c>
      <c r="P279" s="34" t="str">
        <f>_xlfn.IFNA(VLOOKUP($M279,Buff.CM!$A:$O,15,FALSE),"")</f>
        <v/>
      </c>
      <c r="Q279" s="34" t="b">
        <v>0</v>
      </c>
      <c r="R279" s="34" t="b">
        <v>0</v>
      </c>
    </row>
    <row r="280" spans="1:18" s="13" customFormat="1">
      <c r="A280" s="34" t="s">
        <v>1341</v>
      </c>
      <c r="B280" s="34"/>
      <c r="C280" s="34"/>
      <c r="D280" s="34">
        <v>0</v>
      </c>
      <c r="E280" s="34">
        <v>0</v>
      </c>
      <c r="F280" s="34">
        <v>0</v>
      </c>
      <c r="G280" s="34" t="s">
        <v>1351</v>
      </c>
      <c r="H280" s="34"/>
      <c r="I280" s="34" t="b">
        <v>0</v>
      </c>
      <c r="J280" s="23" t="b">
        <v>1</v>
      </c>
      <c r="K280" s="34" t="b">
        <v>1</v>
      </c>
      <c r="L280" s="34"/>
      <c r="M280" s="34"/>
      <c r="N280" s="34" t="str">
        <f>_xlfn.IFNA(VLOOKUP($M280,Buff.CM!$A:$O,13,FALSE),"")</f>
        <v/>
      </c>
      <c r="O280" s="34" t="str">
        <f>_xlfn.IFNA(VLOOKUP($M280,Buff.CM!$A:$O,14,FALSE),"")</f>
        <v/>
      </c>
      <c r="P280" s="34" t="str">
        <f>_xlfn.IFNA(VLOOKUP($M280,Buff.CM!$A:$O,15,FALSE),"")</f>
        <v/>
      </c>
      <c r="Q280" s="34" t="b">
        <v>0</v>
      </c>
      <c r="R280" s="34" t="b">
        <v>0</v>
      </c>
    </row>
    <row r="281" spans="1:18">
      <c r="A281" s="25" t="s">
        <v>6515</v>
      </c>
      <c r="B281" s="25"/>
      <c r="C281" s="25"/>
      <c r="D281" s="25">
        <v>0</v>
      </c>
      <c r="E281" s="25">
        <v>0</v>
      </c>
      <c r="F281" s="25">
        <v>0</v>
      </c>
      <c r="G281" s="25" t="s">
        <v>6516</v>
      </c>
      <c r="H281" s="25"/>
      <c r="I281" s="25" t="b">
        <v>0</v>
      </c>
      <c r="J281" s="23" t="b">
        <v>1</v>
      </c>
      <c r="K281" s="34" t="b">
        <v>1</v>
      </c>
      <c r="L281" s="25"/>
      <c r="M281" s="25"/>
      <c r="N281" s="25" t="str">
        <f>_xlfn.IFNA(VLOOKUP($M281,Buff.CM!$A:$O,13,FALSE),"")</f>
        <v/>
      </c>
      <c r="O281" s="25" t="str">
        <f>_xlfn.IFNA(VLOOKUP($M281,Buff.CM!$A:$O,14,FALSE),"")</f>
        <v/>
      </c>
      <c r="P281" s="25" t="str">
        <f>_xlfn.IFNA(VLOOKUP($M281,Buff.CM!$A:$O,15,FALSE),"")</f>
        <v/>
      </c>
      <c r="Q281" s="25" t="b">
        <v>0</v>
      </c>
      <c r="R281" s="25" t="b">
        <v>0</v>
      </c>
    </row>
    <row r="282" spans="1:18">
      <c r="A282" s="25" t="s">
        <v>1342</v>
      </c>
      <c r="B282" s="25"/>
      <c r="C282" s="25"/>
      <c r="D282" s="25">
        <v>0</v>
      </c>
      <c r="E282" s="25">
        <v>0</v>
      </c>
      <c r="F282" s="25">
        <v>0</v>
      </c>
      <c r="G282" s="25" t="s">
        <v>1352</v>
      </c>
      <c r="H282" s="25"/>
      <c r="I282" s="25" t="b">
        <v>0</v>
      </c>
      <c r="J282" s="23" t="b">
        <v>1</v>
      </c>
      <c r="K282" s="34" t="b">
        <v>1</v>
      </c>
      <c r="L282" s="25"/>
      <c r="M282" s="25"/>
      <c r="N282" s="25" t="str">
        <f>_xlfn.IFNA(VLOOKUP($M282,Buff.CM!$A:$O,13,FALSE),"")</f>
        <v/>
      </c>
      <c r="O282" s="25" t="str">
        <f>_xlfn.IFNA(VLOOKUP($M282,Buff.CM!$A:$O,14,FALSE),"")</f>
        <v/>
      </c>
      <c r="P282" s="25" t="str">
        <f>_xlfn.IFNA(VLOOKUP($M282,Buff.CM!$A:$O,15,FALSE),"")</f>
        <v/>
      </c>
      <c r="Q282" s="25" t="b">
        <v>0</v>
      </c>
      <c r="R282" s="25" t="b">
        <v>0</v>
      </c>
    </row>
    <row r="283" spans="1:18">
      <c r="A283" s="25" t="s">
        <v>1343</v>
      </c>
      <c r="B283" s="25"/>
      <c r="C283" s="25"/>
      <c r="D283" s="25">
        <v>0</v>
      </c>
      <c r="E283" s="25">
        <v>0</v>
      </c>
      <c r="F283" s="25">
        <v>0</v>
      </c>
      <c r="G283" s="25" t="s">
        <v>1353</v>
      </c>
      <c r="H283" s="25"/>
      <c r="I283" s="25" t="b">
        <v>0</v>
      </c>
      <c r="J283" s="23" t="b">
        <v>1</v>
      </c>
      <c r="K283" s="34" t="b">
        <v>1</v>
      </c>
      <c r="L283" s="25"/>
      <c r="M283" s="25"/>
      <c r="N283" s="25" t="str">
        <f>_xlfn.IFNA(VLOOKUP($M283,Buff.CM!$A:$O,13,FALSE),"")</f>
        <v/>
      </c>
      <c r="O283" s="25" t="str">
        <f>_xlfn.IFNA(VLOOKUP($M283,Buff.CM!$A:$O,14,FALSE),"")</f>
        <v/>
      </c>
      <c r="P283" s="25" t="str">
        <f>_xlfn.IFNA(VLOOKUP($M283,Buff.CM!$A:$O,15,FALSE),"")</f>
        <v/>
      </c>
      <c r="Q283" s="25" t="b">
        <v>0</v>
      </c>
      <c r="R283" s="25" t="b">
        <v>0</v>
      </c>
    </row>
    <row r="284" spans="1:18">
      <c r="A284" s="34" t="s">
        <v>1344</v>
      </c>
      <c r="B284" s="34"/>
      <c r="C284" s="34"/>
      <c r="D284" s="34">
        <v>0</v>
      </c>
      <c r="E284" s="34">
        <v>0</v>
      </c>
      <c r="F284" s="34">
        <v>0</v>
      </c>
      <c r="G284" s="34" t="s">
        <v>1354</v>
      </c>
      <c r="H284" s="34"/>
      <c r="I284" s="34" t="b">
        <v>0</v>
      </c>
      <c r="J284" s="23" t="b">
        <v>1</v>
      </c>
      <c r="K284" s="34" t="b">
        <v>1</v>
      </c>
      <c r="L284" s="34"/>
      <c r="M284" s="34"/>
      <c r="N284" s="34" t="str">
        <f>_xlfn.IFNA(VLOOKUP($M284,Buff.CM!$A:$O,13,FALSE),"")</f>
        <v/>
      </c>
      <c r="O284" s="34" t="str">
        <f>_xlfn.IFNA(VLOOKUP($M284,Buff.CM!$A:$O,14,FALSE),"")</f>
        <v/>
      </c>
      <c r="P284" s="34" t="str">
        <f>_xlfn.IFNA(VLOOKUP($M284,Buff.CM!$A:$O,15,FALSE),"")</f>
        <v/>
      </c>
      <c r="Q284" s="34" t="b">
        <v>0</v>
      </c>
      <c r="R284" s="34" t="b">
        <v>0</v>
      </c>
    </row>
    <row r="285" spans="1:18">
      <c r="A285" s="34" t="s">
        <v>1345</v>
      </c>
      <c r="B285" s="34"/>
      <c r="C285" s="34"/>
      <c r="D285" s="34">
        <v>0</v>
      </c>
      <c r="E285" s="34">
        <v>0</v>
      </c>
      <c r="F285" s="34">
        <v>0</v>
      </c>
      <c r="G285" s="34" t="s">
        <v>1355</v>
      </c>
      <c r="H285" s="34"/>
      <c r="I285" s="34" t="b">
        <v>0</v>
      </c>
      <c r="J285" s="23" t="b">
        <v>1</v>
      </c>
      <c r="K285" s="34" t="b">
        <v>1</v>
      </c>
      <c r="L285" s="34"/>
      <c r="M285" s="34"/>
      <c r="N285" s="34" t="str">
        <f>_xlfn.IFNA(VLOOKUP($M285,Buff.CM!$A:$O,13,FALSE),"")</f>
        <v/>
      </c>
      <c r="O285" s="34" t="str">
        <f>_xlfn.IFNA(VLOOKUP($M285,Buff.CM!$A:$O,14,FALSE),"")</f>
        <v/>
      </c>
      <c r="P285" s="34" t="str">
        <f>_xlfn.IFNA(VLOOKUP($M285,Buff.CM!$A:$O,15,FALSE),"")</f>
        <v/>
      </c>
      <c r="Q285" s="34" t="b">
        <v>0</v>
      </c>
      <c r="R285" s="34" t="b">
        <v>0</v>
      </c>
    </row>
    <row r="286" spans="1:18">
      <c r="A286" s="34" t="s">
        <v>1346</v>
      </c>
      <c r="B286" s="34"/>
      <c r="C286" s="34"/>
      <c r="D286" s="34">
        <v>0</v>
      </c>
      <c r="E286" s="34">
        <v>0</v>
      </c>
      <c r="F286" s="34">
        <v>0</v>
      </c>
      <c r="G286" s="34" t="s">
        <v>1356</v>
      </c>
      <c r="H286" s="34"/>
      <c r="I286" s="34" t="b">
        <v>0</v>
      </c>
      <c r="J286" s="23" t="b">
        <v>1</v>
      </c>
      <c r="K286" s="34" t="b">
        <v>1</v>
      </c>
      <c r="L286" s="34"/>
      <c r="M286" s="34"/>
      <c r="N286" s="34" t="str">
        <f>_xlfn.IFNA(VLOOKUP($M286,Buff.CM!$A:$O,13,FALSE),"")</f>
        <v/>
      </c>
      <c r="O286" s="34" t="str">
        <f>_xlfn.IFNA(VLOOKUP($M286,Buff.CM!$A:$O,14,FALSE),"")</f>
        <v/>
      </c>
      <c r="P286" s="34" t="str">
        <f>_xlfn.IFNA(VLOOKUP($M286,Buff.CM!$A:$O,15,FALSE),"")</f>
        <v/>
      </c>
      <c r="Q286" s="34" t="b">
        <v>0</v>
      </c>
      <c r="R286" s="34" t="b">
        <v>0</v>
      </c>
    </row>
    <row r="287" spans="1:18">
      <c r="A287" s="51" t="s">
        <v>3555</v>
      </c>
      <c r="B287" s="51"/>
      <c r="C287" s="51"/>
      <c r="D287" s="51">
        <v>0</v>
      </c>
      <c r="E287" s="51">
        <v>0</v>
      </c>
      <c r="F287" s="51">
        <v>0</v>
      </c>
      <c r="G287" s="52" t="s">
        <v>3556</v>
      </c>
      <c r="H287" s="51"/>
      <c r="I287" s="51" t="b">
        <v>0</v>
      </c>
      <c r="J287" s="51" t="b">
        <v>0</v>
      </c>
      <c r="K287" s="51" t="b">
        <v>1</v>
      </c>
      <c r="L287" s="51"/>
      <c r="M287" s="51"/>
      <c r="N287" s="51" t="str">
        <f>_xlfn.IFNA(VLOOKUP($M287,Buff.CM!$A:$O,13,FALSE),"")</f>
        <v/>
      </c>
      <c r="O287" s="51" t="str">
        <f>_xlfn.IFNA(VLOOKUP($M287,Buff.CM!$A:$O,14,FALSE),"")</f>
        <v/>
      </c>
      <c r="P287" s="51" t="str">
        <f>_xlfn.IFNA(VLOOKUP($M287,Buff.CM!$A:$O,15,FALSE),"")</f>
        <v/>
      </c>
      <c r="Q287" s="51" t="b">
        <v>0</v>
      </c>
      <c r="R287" s="51" t="b">
        <v>0</v>
      </c>
    </row>
    <row r="288" spans="1:18">
      <c r="A288" s="53" t="s">
        <v>6517</v>
      </c>
      <c r="B288" s="53"/>
      <c r="C288" s="53"/>
      <c r="D288" s="53">
        <v>1500</v>
      </c>
      <c r="E288" s="53">
        <v>20</v>
      </c>
      <c r="F288" s="53">
        <v>1</v>
      </c>
      <c r="G288" s="54" t="s">
        <v>122</v>
      </c>
      <c r="H288" s="53"/>
      <c r="I288" s="53" t="b">
        <v>0</v>
      </c>
      <c r="J288" s="53" t="b">
        <v>0</v>
      </c>
      <c r="K288" s="34" t="b">
        <v>1</v>
      </c>
      <c r="L288" s="53"/>
      <c r="M288" s="53"/>
      <c r="N288" s="53" t="str">
        <f>_xlfn.IFNA(VLOOKUP($M288,Buff.CM!$A:$O,13,FALSE),"")</f>
        <v/>
      </c>
      <c r="O288" s="53" t="str">
        <f>_xlfn.IFNA(VLOOKUP($M288,Buff.CM!$A:$O,14,FALSE),"")</f>
        <v/>
      </c>
      <c r="P288" s="53" t="str">
        <f>_xlfn.IFNA(VLOOKUP($M288,Buff.CM!$A:$O,15,FALSE),"")</f>
        <v/>
      </c>
      <c r="Q288" s="53" t="b">
        <v>0</v>
      </c>
      <c r="R288" s="53" t="b">
        <v>0</v>
      </c>
    </row>
    <row r="289" spans="1:18">
      <c r="A289" s="51" t="s">
        <v>3557</v>
      </c>
      <c r="B289" s="51"/>
      <c r="C289" s="51"/>
      <c r="D289" s="51">
        <v>0</v>
      </c>
      <c r="E289" s="51">
        <v>0</v>
      </c>
      <c r="F289" s="51">
        <v>0</v>
      </c>
      <c r="G289" s="52" t="s">
        <v>3558</v>
      </c>
      <c r="H289" s="51"/>
      <c r="I289" s="51" t="b">
        <v>0</v>
      </c>
      <c r="J289" s="51" t="b">
        <v>0</v>
      </c>
      <c r="K289" s="51" t="b">
        <v>1</v>
      </c>
      <c r="L289" s="51"/>
      <c r="M289" s="51"/>
      <c r="N289" s="51" t="str">
        <f>_xlfn.IFNA(VLOOKUP($M289,Buff.CM!$A:$O,13,FALSE),"")</f>
        <v/>
      </c>
      <c r="O289" s="51" t="str">
        <f>_xlfn.IFNA(VLOOKUP($M289,Buff.CM!$A:$O,14,FALSE),"")</f>
        <v/>
      </c>
      <c r="P289" s="51" t="str">
        <f>_xlfn.IFNA(VLOOKUP($M289,Buff.CM!$A:$O,15,FALSE),"")</f>
        <v/>
      </c>
      <c r="Q289" s="51" t="b">
        <v>0</v>
      </c>
      <c r="R289" s="51" t="b">
        <v>0</v>
      </c>
    </row>
    <row r="290" spans="1:18" ht="82.5">
      <c r="A290" s="51" t="s">
        <v>6518</v>
      </c>
      <c r="B290" s="51" t="s">
        <v>1414</v>
      </c>
      <c r="C290" s="51" t="s">
        <v>5712</v>
      </c>
      <c r="D290" s="51">
        <v>0</v>
      </c>
      <c r="E290" s="51">
        <v>5</v>
      </c>
      <c r="F290" s="51">
        <v>1</v>
      </c>
      <c r="G290" s="52" t="s">
        <v>6519</v>
      </c>
      <c r="H290" s="51"/>
      <c r="I290" s="51" t="b">
        <v>0</v>
      </c>
      <c r="J290" s="51" t="b">
        <v>0</v>
      </c>
      <c r="K290" s="51" t="b">
        <v>1</v>
      </c>
      <c r="L290" s="51"/>
      <c r="M290" s="51" t="s">
        <v>5680</v>
      </c>
      <c r="N290" s="51" t="str">
        <f>_xlfn.IFNA(VLOOKUP($M290,Buff.CM!$A:$O,13,FALSE),"")</f>
        <v>icon_battle_snopril_bless</v>
      </c>
      <c r="O290" s="51" t="str">
        <f>_xlfn.IFNA(VLOOKUP($M290,Buff.CM!$A:$O,14,FALSE),"")</f>
        <v>info.snopril.buff.bless</v>
      </c>
      <c r="P290" s="51" t="str">
        <f>_xlfn.IFNA(VLOOKUP($M290,Buff.CM!$A:$O,15,FALSE),"")</f>
        <v>Desc.info.snopril.buff.bless</v>
      </c>
      <c r="Q290" s="51" t="b">
        <v>0</v>
      </c>
      <c r="R290" s="51" t="b">
        <v>0</v>
      </c>
    </row>
    <row r="291" spans="1:18" ht="66">
      <c r="A291" s="51" t="s">
        <v>3559</v>
      </c>
      <c r="B291" s="51"/>
      <c r="C291" s="51"/>
      <c r="D291" s="51">
        <v>0</v>
      </c>
      <c r="E291" s="51">
        <v>0</v>
      </c>
      <c r="F291" s="51">
        <v>0</v>
      </c>
      <c r="G291" s="52" t="s">
        <v>6520</v>
      </c>
      <c r="H291" s="51"/>
      <c r="I291" s="51" t="b">
        <v>0</v>
      </c>
      <c r="J291" s="51" t="b">
        <v>0</v>
      </c>
      <c r="K291" s="51" t="b">
        <v>1</v>
      </c>
      <c r="L291" s="51"/>
      <c r="M291" s="51" t="s">
        <v>50</v>
      </c>
      <c r="N291" s="51" t="str">
        <f>_xlfn.IFNA(VLOOKUP($M291,Buff.CM!$A:$O,13,FALSE),"")</f>
        <v>icon_battle_ccimmune</v>
      </c>
      <c r="O291" s="51" t="str">
        <f>_xlfn.IFNA(VLOOKUP($M291,Buff.CM!$A:$O,14,FALSE),"")</f>
        <v>Buff.Name.CCImmune</v>
      </c>
      <c r="P291" s="51" t="str">
        <f>_xlfn.IFNA(VLOOKUP($M291,Buff.CM!$A:$O,15,FALSE),"")</f>
        <v>Buff.Desc.CCImmune</v>
      </c>
      <c r="Q291" s="51" t="b">
        <v>0</v>
      </c>
      <c r="R291" s="51" t="b">
        <v>0</v>
      </c>
    </row>
    <row r="292" spans="1:18" ht="82.5">
      <c r="A292" s="51" t="s">
        <v>6521</v>
      </c>
      <c r="B292" s="51" t="s">
        <v>1414</v>
      </c>
      <c r="C292" s="51" t="s">
        <v>5712</v>
      </c>
      <c r="D292" s="51">
        <v>0</v>
      </c>
      <c r="E292" s="51">
        <v>5</v>
      </c>
      <c r="F292" s="51">
        <v>1</v>
      </c>
      <c r="G292" s="52" t="s">
        <v>3549</v>
      </c>
      <c r="H292" s="51"/>
      <c r="I292" s="51" t="b">
        <v>0</v>
      </c>
      <c r="J292" s="51" t="b">
        <v>0</v>
      </c>
      <c r="K292" s="51" t="b">
        <v>1</v>
      </c>
      <c r="L292" s="51"/>
      <c r="M292" s="51" t="s">
        <v>5680</v>
      </c>
      <c r="N292" s="51" t="str">
        <f>_xlfn.IFNA(VLOOKUP($M292,Buff.CM!$A:$O,13,FALSE),"")</f>
        <v>icon_battle_snopril_bless</v>
      </c>
      <c r="O292" s="51" t="str">
        <f>_xlfn.IFNA(VLOOKUP($M292,Buff.CM!$A:$O,14,FALSE),"")</f>
        <v>info.snopril.buff.bless</v>
      </c>
      <c r="P292" s="51" t="str">
        <f>_xlfn.IFNA(VLOOKUP($M292,Buff.CM!$A:$O,15,FALSE),"")</f>
        <v>Desc.info.snopril.buff.bless</v>
      </c>
      <c r="Q292" s="51" t="b">
        <v>0</v>
      </c>
      <c r="R292" s="51" t="b">
        <v>0</v>
      </c>
    </row>
    <row r="293" spans="1:18">
      <c r="A293" s="53" t="s">
        <v>3536</v>
      </c>
      <c r="B293" s="53"/>
      <c r="C293" s="53"/>
      <c r="D293" s="53">
        <v>1500</v>
      </c>
      <c r="E293" s="53">
        <v>0</v>
      </c>
      <c r="F293" s="53">
        <v>0</v>
      </c>
      <c r="G293" s="54" t="s">
        <v>6522</v>
      </c>
      <c r="H293" s="53"/>
      <c r="I293" s="53" t="b">
        <v>0</v>
      </c>
      <c r="J293" s="53" t="b">
        <v>0</v>
      </c>
      <c r="K293" s="53" t="b">
        <v>0</v>
      </c>
      <c r="L293" s="53" t="s">
        <v>286</v>
      </c>
      <c r="M293" s="53" t="s">
        <v>5757</v>
      </c>
      <c r="N293" s="53" t="str">
        <f>_xlfn.IFNA(VLOOKUP($M293,Buff.CM!$A:$O,13,FALSE),"")</f>
        <v>icon_battle_provoke</v>
      </c>
      <c r="O293" s="53" t="str">
        <f>_xlfn.IFNA(VLOOKUP($M293,Buff.CM!$A:$O,14,FALSE),"")</f>
        <v>Buff.Name.Aggro</v>
      </c>
      <c r="P293" s="53" t="str">
        <f>_xlfn.IFNA(VLOOKUP($M293,Buff.CM!$A:$O,15,FALSE),"")</f>
        <v>Buff.Desc.Aggro</v>
      </c>
      <c r="Q293" s="53" t="b">
        <v>0</v>
      </c>
      <c r="R293" s="53" t="b">
        <v>0</v>
      </c>
    </row>
    <row r="294" spans="1:18">
      <c r="A294" s="51" t="s">
        <v>6523</v>
      </c>
      <c r="B294" s="51"/>
      <c r="C294" s="51"/>
      <c r="D294" s="51">
        <v>1000</v>
      </c>
      <c r="E294" s="51">
        <v>0</v>
      </c>
      <c r="F294" s="51">
        <v>0</v>
      </c>
      <c r="G294" s="52" t="s">
        <v>6524</v>
      </c>
      <c r="H294" s="51"/>
      <c r="I294" s="51" t="b">
        <v>0</v>
      </c>
      <c r="J294" s="51" t="b">
        <v>0</v>
      </c>
      <c r="K294" s="51" t="b">
        <v>1</v>
      </c>
      <c r="L294" s="51"/>
      <c r="M294" s="51"/>
      <c r="N294" s="51" t="str">
        <f>_xlfn.IFNA(VLOOKUP($M294,Buff.CM!$A:$O,13,FALSE),"")</f>
        <v/>
      </c>
      <c r="O294" s="51" t="str">
        <f>_xlfn.IFNA(VLOOKUP($M294,Buff.CM!$A:$O,14,FALSE),"")</f>
        <v/>
      </c>
      <c r="P294" s="51" t="str">
        <f>_xlfn.IFNA(VLOOKUP($M294,Buff.CM!$A:$O,15,FALSE),"")</f>
        <v/>
      </c>
      <c r="Q294" s="51" t="b">
        <v>0</v>
      </c>
      <c r="R294" s="51" t="b">
        <v>0</v>
      </c>
    </row>
    <row r="295" spans="1:18">
      <c r="A295" s="51" t="s">
        <v>6525</v>
      </c>
      <c r="B295" s="51"/>
      <c r="C295" s="51"/>
      <c r="D295" s="51">
        <v>1000</v>
      </c>
      <c r="E295" s="51">
        <v>0</v>
      </c>
      <c r="F295" s="51">
        <v>0</v>
      </c>
      <c r="G295" s="52" t="s">
        <v>6526</v>
      </c>
      <c r="H295" s="51"/>
      <c r="I295" s="51" t="b">
        <v>0</v>
      </c>
      <c r="J295" s="51" t="b">
        <v>0</v>
      </c>
      <c r="K295" s="51" t="b">
        <v>1</v>
      </c>
      <c r="L295" s="51"/>
      <c r="M295" s="51"/>
      <c r="N295" s="51" t="str">
        <f>_xlfn.IFNA(VLOOKUP($M295,Buff.CM!$A:$O,13,FALSE),"")</f>
        <v/>
      </c>
      <c r="O295" s="51" t="str">
        <f>_xlfn.IFNA(VLOOKUP($M295,Buff.CM!$A:$O,14,FALSE),"")</f>
        <v/>
      </c>
      <c r="P295" s="51" t="str">
        <f>_xlfn.IFNA(VLOOKUP($M295,Buff.CM!$A:$O,15,FALSE),"")</f>
        <v/>
      </c>
      <c r="Q295" s="51" t="b">
        <v>0</v>
      </c>
      <c r="R295" s="51" t="b">
        <v>0</v>
      </c>
    </row>
    <row r="296" spans="1:18" ht="33">
      <c r="A296" s="53" t="s">
        <v>6527</v>
      </c>
      <c r="B296" s="53"/>
      <c r="C296" s="53"/>
      <c r="D296" s="53">
        <v>5000</v>
      </c>
      <c r="E296" s="53">
        <v>2</v>
      </c>
      <c r="F296" s="53">
        <v>1</v>
      </c>
      <c r="G296" s="54" t="s">
        <v>6528</v>
      </c>
      <c r="H296" s="53"/>
      <c r="I296" s="53" t="b">
        <v>0</v>
      </c>
      <c r="J296" s="53" t="b">
        <v>0</v>
      </c>
      <c r="K296" s="53" t="b">
        <v>0</v>
      </c>
      <c r="L296" s="53"/>
      <c r="M296" s="53" t="s">
        <v>5708</v>
      </c>
      <c r="N296" s="53" t="str">
        <f>_xlfn.IFNA(VLOOKUP($M296,Buff.CM!$A:$O,13,FALSE),"")</f>
        <v>icon_battle_debuffresist_freeze</v>
      </c>
      <c r="O296" s="53" t="str">
        <f>_xlfn.IFNA(VLOOKUP($M296,Buff.CM!$A:$O,14,FALSE),"")</f>
        <v>info.snopril.debuff.cold</v>
      </c>
      <c r="P296" s="53" t="str">
        <f>_xlfn.IFNA(VLOOKUP($M296,Buff.CM!$A:$O,15,FALSE),"")</f>
        <v>Desc.info.snopril.debuff.cold</v>
      </c>
      <c r="Q296" s="53" t="b">
        <v>0</v>
      </c>
      <c r="R296" s="53" t="b">
        <v>0</v>
      </c>
    </row>
    <row r="297" spans="1:18">
      <c r="A297" s="53" t="s">
        <v>6529</v>
      </c>
      <c r="B297" s="53"/>
      <c r="C297" s="53"/>
      <c r="D297" s="53">
        <v>2000</v>
      </c>
      <c r="E297" s="53">
        <v>0</v>
      </c>
      <c r="F297" s="53">
        <v>0</v>
      </c>
      <c r="G297" s="54" t="s">
        <v>246</v>
      </c>
      <c r="H297" s="53"/>
      <c r="I297" s="53" t="b">
        <v>0</v>
      </c>
      <c r="J297" s="53" t="b">
        <v>0</v>
      </c>
      <c r="K297" s="53" t="b">
        <v>0</v>
      </c>
      <c r="L297" s="53" t="s">
        <v>348</v>
      </c>
      <c r="M297" s="53" t="s">
        <v>5466</v>
      </c>
      <c r="N297" s="53" t="str">
        <f>_xlfn.IFNA(VLOOKUP($M297,Buff.CM!$A:$O,13,FALSE),"")</f>
        <v>icon_battle_freezing</v>
      </c>
      <c r="O297" s="53" t="str">
        <f>_xlfn.IFNA(VLOOKUP($M297,Buff.CM!$A:$O,14,FALSE),"")</f>
        <v>Buff.Name.Freeze</v>
      </c>
      <c r="P297" s="53" t="str">
        <f>_xlfn.IFNA(VLOOKUP($M297,Buff.CM!$A:$O,15,FALSE),"")</f>
        <v>Buff.Desc.Freeze</v>
      </c>
      <c r="Q297" s="53" t="b">
        <v>0</v>
      </c>
      <c r="R297" s="53" t="b">
        <v>0</v>
      </c>
    </row>
    <row r="298" spans="1:18">
      <c r="A298" s="51" t="s">
        <v>2215</v>
      </c>
      <c r="B298" s="51"/>
      <c r="C298" s="51"/>
      <c r="D298" s="51">
        <v>3000</v>
      </c>
      <c r="E298" s="51">
        <v>0</v>
      </c>
      <c r="F298" s="51">
        <v>0</v>
      </c>
      <c r="G298" s="52" t="s">
        <v>1515</v>
      </c>
      <c r="H298" s="51"/>
      <c r="I298" s="51" t="b">
        <v>0</v>
      </c>
      <c r="J298" s="51" t="b">
        <v>0</v>
      </c>
      <c r="K298" s="51" t="b">
        <v>0</v>
      </c>
      <c r="L298" s="51" t="s">
        <v>5475</v>
      </c>
      <c r="M298" s="52" t="s">
        <v>1515</v>
      </c>
      <c r="N298" s="51" t="str">
        <f>_xlfn.IFNA(VLOOKUP($M298,Buff.CM!$A:$O,13,FALSE),"")</f>
        <v>icon_battle_attack</v>
      </c>
      <c r="O298" s="51" t="str">
        <f>_xlfn.IFNA(VLOOKUP($M298,Buff.CM!$A:$O,14,FALSE),"")</f>
        <v>Buff.Name.Atk.Down.02</v>
      </c>
      <c r="P298" s="51" t="str">
        <f>_xlfn.IFNA(VLOOKUP($M298,Buff.CM!$A:$O,15,FALSE),"")</f>
        <v>Buff.Desc.Atk.Down.02</v>
      </c>
      <c r="Q298" s="51" t="b">
        <v>0</v>
      </c>
      <c r="R298" s="51" t="b">
        <v>0</v>
      </c>
    </row>
    <row r="299" spans="1:18">
      <c r="A299" s="51" t="s">
        <v>2216</v>
      </c>
      <c r="B299" s="51"/>
      <c r="C299" s="51"/>
      <c r="D299" s="51">
        <v>4000</v>
      </c>
      <c r="E299" s="51">
        <v>0</v>
      </c>
      <c r="F299" s="51">
        <v>0</v>
      </c>
      <c r="G299" s="52" t="s">
        <v>1515</v>
      </c>
      <c r="H299" s="51"/>
      <c r="I299" s="51" t="b">
        <v>0</v>
      </c>
      <c r="J299" s="51" t="b">
        <v>0</v>
      </c>
      <c r="K299" s="51" t="b">
        <v>0</v>
      </c>
      <c r="L299" s="51" t="s">
        <v>5475</v>
      </c>
      <c r="M299" s="52" t="s">
        <v>1515</v>
      </c>
      <c r="N299" s="51" t="str">
        <f>_xlfn.IFNA(VLOOKUP($M299,Buff.CM!$A:$O,13,FALSE),"")</f>
        <v>icon_battle_attack</v>
      </c>
      <c r="O299" s="51" t="str">
        <f>_xlfn.IFNA(VLOOKUP($M299,Buff.CM!$A:$O,14,FALSE),"")</f>
        <v>Buff.Name.Atk.Down.02</v>
      </c>
      <c r="P299" s="51" t="str">
        <f>_xlfn.IFNA(VLOOKUP($M299,Buff.CM!$A:$O,15,FALSE),"")</f>
        <v>Buff.Desc.Atk.Down.02</v>
      </c>
      <c r="Q299" s="51" t="b">
        <v>0</v>
      </c>
      <c r="R299" s="51" t="b">
        <v>0</v>
      </c>
    </row>
    <row r="300" spans="1:18">
      <c r="A300" s="51" t="s">
        <v>2217</v>
      </c>
      <c r="B300" s="51"/>
      <c r="C300" s="51"/>
      <c r="D300" s="51">
        <v>4000</v>
      </c>
      <c r="E300" s="51">
        <v>0</v>
      </c>
      <c r="F300" s="51">
        <v>0</v>
      </c>
      <c r="G300" s="52" t="s">
        <v>1516</v>
      </c>
      <c r="H300" s="51"/>
      <c r="I300" s="51" t="b">
        <v>0</v>
      </c>
      <c r="J300" s="51" t="b">
        <v>0</v>
      </c>
      <c r="K300" s="51" t="b">
        <v>0</v>
      </c>
      <c r="L300" s="51" t="s">
        <v>5475</v>
      </c>
      <c r="M300" s="52" t="s">
        <v>1516</v>
      </c>
      <c r="N300" s="51" t="str">
        <f>_xlfn.IFNA(VLOOKUP($M300,Buff.CM!$A:$O,13,FALSE),"")</f>
        <v>icon_battle_attack</v>
      </c>
      <c r="O300" s="51" t="str">
        <f>_xlfn.IFNA(VLOOKUP($M300,Buff.CM!$A:$O,14,FALSE),"")</f>
        <v>Buff.Name.Atk.Down.03</v>
      </c>
      <c r="P300" s="51" t="str">
        <f>_xlfn.IFNA(VLOOKUP($M300,Buff.CM!$A:$O,15,FALSE),"")</f>
        <v>Buff.Desc.Atk.Down.03</v>
      </c>
      <c r="Q300" s="51" t="b">
        <v>0</v>
      </c>
      <c r="R300" s="51" t="b">
        <v>0</v>
      </c>
    </row>
    <row r="301" spans="1:18">
      <c r="A301" s="34" t="s">
        <v>2218</v>
      </c>
      <c r="B301" s="34"/>
      <c r="C301" s="34"/>
      <c r="D301" s="34">
        <v>5000</v>
      </c>
      <c r="E301" s="34">
        <v>0</v>
      </c>
      <c r="F301" s="34">
        <v>0</v>
      </c>
      <c r="G301" s="40" t="s">
        <v>1516</v>
      </c>
      <c r="H301" s="34"/>
      <c r="I301" s="34" t="b">
        <v>0</v>
      </c>
      <c r="J301" s="34" t="b">
        <v>0</v>
      </c>
      <c r="K301" s="34" t="b">
        <v>0</v>
      </c>
      <c r="L301" s="51" t="s">
        <v>5475</v>
      </c>
      <c r="M301" s="40" t="s">
        <v>1516</v>
      </c>
      <c r="N301" s="34" t="str">
        <f>_xlfn.IFNA(VLOOKUP($M301,Buff.CM!$A:$O,13,FALSE),"")</f>
        <v>icon_battle_attack</v>
      </c>
      <c r="O301" s="34" t="str">
        <f>_xlfn.IFNA(VLOOKUP($M301,Buff.CM!$A:$O,14,FALSE),"")</f>
        <v>Buff.Name.Atk.Down.03</v>
      </c>
      <c r="P301" s="34" t="str">
        <f>_xlfn.IFNA(VLOOKUP($M301,Buff.CM!$A:$O,15,FALSE),"")</f>
        <v>Buff.Desc.Atk.Down.03</v>
      </c>
      <c r="Q301" s="34" t="b">
        <v>0</v>
      </c>
      <c r="R301" s="34" t="b">
        <v>0</v>
      </c>
    </row>
    <row r="302" spans="1:18">
      <c r="A302" s="34" t="s">
        <v>2579</v>
      </c>
      <c r="B302" s="34"/>
      <c r="C302" s="34"/>
      <c r="D302" s="34">
        <v>6000</v>
      </c>
      <c r="E302" s="34">
        <v>0</v>
      </c>
      <c r="F302" s="34">
        <v>0</v>
      </c>
      <c r="G302" s="40" t="s">
        <v>1518</v>
      </c>
      <c r="H302" s="34"/>
      <c r="I302" s="34" t="b">
        <v>0</v>
      </c>
      <c r="J302" s="34" t="b">
        <v>0</v>
      </c>
      <c r="K302" s="34" t="b">
        <v>0</v>
      </c>
      <c r="L302" s="51" t="s">
        <v>5475</v>
      </c>
      <c r="M302" s="40" t="s">
        <v>1518</v>
      </c>
      <c r="N302" s="34" t="str">
        <f>_xlfn.IFNA(VLOOKUP($M302,Buff.CM!$A:$O,13,FALSE),"")</f>
        <v>icon_battle_attack</v>
      </c>
      <c r="O302" s="34" t="str">
        <f>_xlfn.IFNA(VLOOKUP($M302,Buff.CM!$A:$O,14,FALSE),"")</f>
        <v>Buff.Name.Atk.Down.05</v>
      </c>
      <c r="P302" s="34" t="str">
        <f>_xlfn.IFNA(VLOOKUP($M302,Buff.CM!$A:$O,15,FALSE),"")</f>
        <v>Buff.Desc.Atk.Down.05</v>
      </c>
      <c r="Q302" s="34" t="b">
        <v>0</v>
      </c>
      <c r="R302" s="34" t="b">
        <v>0</v>
      </c>
    </row>
    <row r="303" spans="1:18">
      <c r="A303" s="34" t="s">
        <v>2580</v>
      </c>
      <c r="B303" s="34"/>
      <c r="C303" s="34"/>
      <c r="D303" s="34">
        <v>6000</v>
      </c>
      <c r="E303" s="34">
        <v>0</v>
      </c>
      <c r="F303" s="34">
        <v>0</v>
      </c>
      <c r="G303" s="40" t="s">
        <v>1518</v>
      </c>
      <c r="H303" s="34"/>
      <c r="I303" s="34" t="b">
        <v>0</v>
      </c>
      <c r="J303" s="34" t="b">
        <v>0</v>
      </c>
      <c r="K303" s="34" t="b">
        <v>0</v>
      </c>
      <c r="L303" s="51" t="s">
        <v>5475</v>
      </c>
      <c r="M303" s="40" t="s">
        <v>1518</v>
      </c>
      <c r="N303" s="34" t="str">
        <f>_xlfn.IFNA(VLOOKUP($M303,Buff.CM!$A:$O,13,FALSE),"")</f>
        <v>icon_battle_attack</v>
      </c>
      <c r="O303" s="34" t="str">
        <f>_xlfn.IFNA(VLOOKUP($M303,Buff.CM!$A:$O,14,FALSE),"")</f>
        <v>Buff.Name.Atk.Down.05</v>
      </c>
      <c r="P303" s="34" t="str">
        <f>_xlfn.IFNA(VLOOKUP($M303,Buff.CM!$A:$O,15,FALSE),"")</f>
        <v>Buff.Desc.Atk.Down.05</v>
      </c>
      <c r="Q303" s="34" t="b">
        <v>0</v>
      </c>
      <c r="R303" s="34" t="b">
        <v>0</v>
      </c>
    </row>
    <row r="304" spans="1:18">
      <c r="A304" s="53" t="s">
        <v>2219</v>
      </c>
      <c r="B304" s="53"/>
      <c r="C304" s="53"/>
      <c r="D304" s="53">
        <v>4000</v>
      </c>
      <c r="E304" s="53">
        <v>0</v>
      </c>
      <c r="F304" s="53">
        <v>0</v>
      </c>
      <c r="G304" s="54" t="s">
        <v>2223</v>
      </c>
      <c r="H304" s="53"/>
      <c r="I304" s="53" t="b">
        <v>0</v>
      </c>
      <c r="J304" s="53" t="b">
        <v>0</v>
      </c>
      <c r="K304" s="53" t="b">
        <v>1</v>
      </c>
      <c r="L304" s="53" t="s">
        <v>317</v>
      </c>
      <c r="M304" s="53" t="s">
        <v>5461</v>
      </c>
      <c r="N304" s="53" t="str">
        <f>_xlfn.IFNA(VLOOKUP($M304,Buff.CM!$A:$O,13,FALSE),"")</f>
        <v>icon_battle_shield</v>
      </c>
      <c r="O304" s="53" t="str">
        <f>_xlfn.IFNA(VLOOKUP($M304,Buff.CM!$A:$O,14,FALSE),"")</f>
        <v>Buff.Name.Shield</v>
      </c>
      <c r="P304" s="53" t="str">
        <f>_xlfn.IFNA(VLOOKUP($M304,Buff.CM!$A:$O,15,FALSE),"")</f>
        <v>Buff.Desc.Shield</v>
      </c>
      <c r="Q304" s="53" t="b">
        <v>0</v>
      </c>
      <c r="R304" s="53" t="b">
        <v>0</v>
      </c>
    </row>
    <row r="305" spans="1:18">
      <c r="A305" s="53" t="s">
        <v>2220</v>
      </c>
      <c r="B305" s="53"/>
      <c r="C305" s="53"/>
      <c r="D305" s="53">
        <v>5000</v>
      </c>
      <c r="E305" s="53">
        <v>0</v>
      </c>
      <c r="F305" s="53">
        <v>0</v>
      </c>
      <c r="G305" s="54" t="s">
        <v>2224</v>
      </c>
      <c r="H305" s="53"/>
      <c r="I305" s="53" t="b">
        <v>0</v>
      </c>
      <c r="J305" s="53" t="b">
        <v>0</v>
      </c>
      <c r="K305" s="53" t="b">
        <v>1</v>
      </c>
      <c r="L305" s="53" t="s">
        <v>317</v>
      </c>
      <c r="M305" s="53" t="s">
        <v>5461</v>
      </c>
      <c r="N305" s="53" t="str">
        <f>_xlfn.IFNA(VLOOKUP($M305,Buff.CM!$A:$O,13,FALSE),"")</f>
        <v>icon_battle_shield</v>
      </c>
      <c r="O305" s="53" t="str">
        <f>_xlfn.IFNA(VLOOKUP($M305,Buff.CM!$A:$O,14,FALSE),"")</f>
        <v>Buff.Name.Shield</v>
      </c>
      <c r="P305" s="53" t="str">
        <f>_xlfn.IFNA(VLOOKUP($M305,Buff.CM!$A:$O,15,FALSE),"")</f>
        <v>Buff.Desc.Shield</v>
      </c>
      <c r="Q305" s="53" t="b">
        <v>0</v>
      </c>
      <c r="R305" s="53" t="b">
        <v>0</v>
      </c>
    </row>
    <row r="306" spans="1:18">
      <c r="A306" s="53" t="s">
        <v>2221</v>
      </c>
      <c r="B306" s="53"/>
      <c r="C306" s="53"/>
      <c r="D306" s="53">
        <v>5000</v>
      </c>
      <c r="E306" s="53">
        <v>0</v>
      </c>
      <c r="F306" s="53">
        <v>0</v>
      </c>
      <c r="G306" s="54" t="s">
        <v>2225</v>
      </c>
      <c r="H306" s="53"/>
      <c r="I306" s="53" t="b">
        <v>0</v>
      </c>
      <c r="J306" s="53" t="b">
        <v>0</v>
      </c>
      <c r="K306" s="53" t="b">
        <v>1</v>
      </c>
      <c r="L306" s="53" t="s">
        <v>317</v>
      </c>
      <c r="M306" s="53" t="s">
        <v>5461</v>
      </c>
      <c r="N306" s="53" t="str">
        <f>_xlfn.IFNA(VLOOKUP($M306,Buff.CM!$A:$O,13,FALSE),"")</f>
        <v>icon_battle_shield</v>
      </c>
      <c r="O306" s="53" t="str">
        <f>_xlfn.IFNA(VLOOKUP($M306,Buff.CM!$A:$O,14,FALSE),"")</f>
        <v>Buff.Name.Shield</v>
      </c>
      <c r="P306" s="53" t="str">
        <f>_xlfn.IFNA(VLOOKUP($M306,Buff.CM!$A:$O,15,FALSE),"")</f>
        <v>Buff.Desc.Shield</v>
      </c>
      <c r="Q306" s="53" t="b">
        <v>0</v>
      </c>
      <c r="R306" s="53" t="b">
        <v>0</v>
      </c>
    </row>
    <row r="307" spans="1:18">
      <c r="A307" s="34" t="s">
        <v>2222</v>
      </c>
      <c r="B307" s="34"/>
      <c r="C307" s="34"/>
      <c r="D307" s="34">
        <v>6000</v>
      </c>
      <c r="E307" s="34">
        <v>0</v>
      </c>
      <c r="F307" s="34">
        <v>0</v>
      </c>
      <c r="G307" s="40" t="s">
        <v>2226</v>
      </c>
      <c r="H307" s="34"/>
      <c r="I307" s="34" t="b">
        <v>0</v>
      </c>
      <c r="J307" s="34" t="b">
        <v>0</v>
      </c>
      <c r="K307" s="34" t="b">
        <v>1</v>
      </c>
      <c r="L307" s="34" t="s">
        <v>317</v>
      </c>
      <c r="M307" s="34" t="s">
        <v>5461</v>
      </c>
      <c r="N307" s="34" t="str">
        <f>_xlfn.IFNA(VLOOKUP($M307,Buff.CM!$A:$O,13,FALSE),"")</f>
        <v>icon_battle_shield</v>
      </c>
      <c r="O307" s="34" t="str">
        <f>_xlfn.IFNA(VLOOKUP($M307,Buff.CM!$A:$O,14,FALSE),"")</f>
        <v>Buff.Name.Shield</v>
      </c>
      <c r="P307" s="34" t="str">
        <f>_xlfn.IFNA(VLOOKUP($M307,Buff.CM!$A:$O,15,FALSE),"")</f>
        <v>Buff.Desc.Shield</v>
      </c>
      <c r="Q307" s="34" t="b">
        <v>0</v>
      </c>
      <c r="R307" s="34" t="b">
        <v>0</v>
      </c>
    </row>
    <row r="308" spans="1:18">
      <c r="A308" s="34" t="s">
        <v>2581</v>
      </c>
      <c r="B308" s="34"/>
      <c r="C308" s="34"/>
      <c r="D308" s="34">
        <v>8000</v>
      </c>
      <c r="E308" s="34">
        <v>0</v>
      </c>
      <c r="F308" s="34">
        <v>0</v>
      </c>
      <c r="G308" s="40" t="s">
        <v>2583</v>
      </c>
      <c r="H308" s="34"/>
      <c r="I308" s="34" t="b">
        <v>0</v>
      </c>
      <c r="J308" s="34" t="b">
        <v>0</v>
      </c>
      <c r="K308" s="34" t="b">
        <v>1</v>
      </c>
      <c r="L308" s="34" t="s">
        <v>317</v>
      </c>
      <c r="M308" s="34" t="s">
        <v>5461</v>
      </c>
      <c r="N308" s="34" t="str">
        <f>_xlfn.IFNA(VLOOKUP($M308,Buff.CM!$A:$O,13,FALSE),"")</f>
        <v>icon_battle_shield</v>
      </c>
      <c r="O308" s="34" t="str">
        <f>_xlfn.IFNA(VLOOKUP($M308,Buff.CM!$A:$O,14,FALSE),"")</f>
        <v>Buff.Name.Shield</v>
      </c>
      <c r="P308" s="34" t="str">
        <f>_xlfn.IFNA(VLOOKUP($M308,Buff.CM!$A:$O,15,FALSE),"")</f>
        <v>Buff.Desc.Shield</v>
      </c>
      <c r="Q308" s="34" t="b">
        <v>0</v>
      </c>
      <c r="R308" s="34" t="b">
        <v>0</v>
      </c>
    </row>
    <row r="309" spans="1:18">
      <c r="A309" s="34" t="s">
        <v>2582</v>
      </c>
      <c r="B309" s="34"/>
      <c r="C309" s="34"/>
      <c r="D309" s="34">
        <v>8000</v>
      </c>
      <c r="E309" s="34">
        <v>0</v>
      </c>
      <c r="F309" s="34">
        <v>0</v>
      </c>
      <c r="G309" s="40" t="s">
        <v>2584</v>
      </c>
      <c r="H309" s="34"/>
      <c r="I309" s="34" t="b">
        <v>0</v>
      </c>
      <c r="J309" s="34" t="b">
        <v>0</v>
      </c>
      <c r="K309" s="34" t="b">
        <v>1</v>
      </c>
      <c r="L309" s="34" t="s">
        <v>317</v>
      </c>
      <c r="M309" s="34" t="s">
        <v>5461</v>
      </c>
      <c r="N309" s="34" t="str">
        <f>_xlfn.IFNA(VLOOKUP($M309,Buff.CM!$A:$O,13,FALSE),"")</f>
        <v>icon_battle_shield</v>
      </c>
      <c r="O309" s="34" t="str">
        <f>_xlfn.IFNA(VLOOKUP($M309,Buff.CM!$A:$O,14,FALSE),"")</f>
        <v>Buff.Name.Shield</v>
      </c>
      <c r="P309" s="34" t="str">
        <f>_xlfn.IFNA(VLOOKUP($M309,Buff.CM!$A:$O,15,FALSE),"")</f>
        <v>Buff.Desc.Shield</v>
      </c>
      <c r="Q309" s="34" t="b">
        <v>0</v>
      </c>
      <c r="R309" s="34" t="b">
        <v>0</v>
      </c>
    </row>
    <row r="310" spans="1:18">
      <c r="A310" s="51" t="s">
        <v>6530</v>
      </c>
      <c r="B310" s="51"/>
      <c r="C310" s="51"/>
      <c r="D310" s="51">
        <v>0</v>
      </c>
      <c r="E310" s="51">
        <v>0</v>
      </c>
      <c r="F310" s="51">
        <v>0</v>
      </c>
      <c r="G310" s="51" t="s">
        <v>6531</v>
      </c>
      <c r="H310" s="51"/>
      <c r="I310" s="51" t="b">
        <v>0</v>
      </c>
      <c r="J310" s="23" t="b">
        <v>1</v>
      </c>
      <c r="K310" s="51" t="b">
        <v>1</v>
      </c>
      <c r="L310" s="51"/>
      <c r="M310" s="51"/>
      <c r="N310" s="51" t="str">
        <f>_xlfn.IFNA(VLOOKUP($M310,Buff.CM!$A:$O,13,FALSE),"")</f>
        <v/>
      </c>
      <c r="O310" s="51" t="str">
        <f>_xlfn.IFNA(VLOOKUP($M310,Buff.CM!$A:$O,14,FALSE),"")</f>
        <v/>
      </c>
      <c r="P310" s="51" t="str">
        <f>_xlfn.IFNA(VLOOKUP($M310,Buff.CM!$A:$O,15,FALSE),"")</f>
        <v/>
      </c>
      <c r="Q310" s="51" t="b">
        <v>0</v>
      </c>
      <c r="R310" s="51" t="b">
        <v>0</v>
      </c>
    </row>
    <row r="311" spans="1:18">
      <c r="A311" s="51" t="s">
        <v>349</v>
      </c>
      <c r="B311" s="51"/>
      <c r="C311" s="51"/>
      <c r="D311" s="51">
        <v>0</v>
      </c>
      <c r="E311" s="51">
        <v>0</v>
      </c>
      <c r="F311" s="51">
        <v>0</v>
      </c>
      <c r="G311" s="51" t="s">
        <v>350</v>
      </c>
      <c r="H311" s="51"/>
      <c r="I311" s="51" t="b">
        <v>0</v>
      </c>
      <c r="J311" s="23" t="b">
        <v>1</v>
      </c>
      <c r="K311" s="51" t="b">
        <v>1</v>
      </c>
      <c r="L311" s="51"/>
      <c r="M311" s="51"/>
      <c r="N311" s="51" t="str">
        <f>_xlfn.IFNA(VLOOKUP($M311,Buff.CM!$A:$O,13,FALSE),"")</f>
        <v/>
      </c>
      <c r="O311" s="51" t="str">
        <f>_xlfn.IFNA(VLOOKUP($M311,Buff.CM!$A:$O,14,FALSE),"")</f>
        <v/>
      </c>
      <c r="P311" s="51" t="str">
        <f>_xlfn.IFNA(VLOOKUP($M311,Buff.CM!$A:$O,15,FALSE),"")</f>
        <v/>
      </c>
      <c r="Q311" s="51" t="b">
        <v>0</v>
      </c>
      <c r="R311" s="51" t="b">
        <v>0</v>
      </c>
    </row>
    <row r="312" spans="1:18">
      <c r="A312" s="51" t="s">
        <v>351</v>
      </c>
      <c r="B312" s="51"/>
      <c r="C312" s="51"/>
      <c r="D312" s="51">
        <v>0</v>
      </c>
      <c r="E312" s="51">
        <v>0</v>
      </c>
      <c r="F312" s="51">
        <v>0</v>
      </c>
      <c r="G312" s="51" t="s">
        <v>352</v>
      </c>
      <c r="H312" s="51"/>
      <c r="I312" s="51" t="b">
        <v>0</v>
      </c>
      <c r="J312" s="23" t="b">
        <v>1</v>
      </c>
      <c r="K312" s="51" t="b">
        <v>1</v>
      </c>
      <c r="L312" s="51"/>
      <c r="M312" s="51"/>
      <c r="N312" s="51" t="str">
        <f>_xlfn.IFNA(VLOOKUP($M312,Buff.CM!$A:$O,13,FALSE),"")</f>
        <v/>
      </c>
      <c r="O312" s="51" t="str">
        <f>_xlfn.IFNA(VLOOKUP($M312,Buff.CM!$A:$O,14,FALSE),"")</f>
        <v/>
      </c>
      <c r="P312" s="51" t="str">
        <f>_xlfn.IFNA(VLOOKUP($M312,Buff.CM!$A:$O,15,FALSE),"")</f>
        <v/>
      </c>
      <c r="Q312" s="51" t="b">
        <v>0</v>
      </c>
      <c r="R312" s="51" t="b">
        <v>0</v>
      </c>
    </row>
    <row r="313" spans="1:18">
      <c r="A313" s="34" t="s">
        <v>353</v>
      </c>
      <c r="B313" s="34"/>
      <c r="C313" s="34"/>
      <c r="D313" s="34">
        <v>0</v>
      </c>
      <c r="E313" s="34">
        <v>0</v>
      </c>
      <c r="F313" s="34">
        <v>0</v>
      </c>
      <c r="G313" s="34" t="s">
        <v>354</v>
      </c>
      <c r="H313" s="34"/>
      <c r="I313" s="34" t="b">
        <v>0</v>
      </c>
      <c r="J313" s="23" t="b">
        <v>1</v>
      </c>
      <c r="K313" s="34" t="b">
        <v>1</v>
      </c>
      <c r="L313" s="34"/>
      <c r="M313" s="34"/>
      <c r="N313" s="34" t="str">
        <f>_xlfn.IFNA(VLOOKUP($M313,Buff.CM!$A:$O,13,FALSE),"")</f>
        <v/>
      </c>
      <c r="O313" s="34" t="str">
        <f>_xlfn.IFNA(VLOOKUP($M313,Buff.CM!$A:$O,14,FALSE),"")</f>
        <v/>
      </c>
      <c r="P313" s="34" t="str">
        <f>_xlfn.IFNA(VLOOKUP($M313,Buff.CM!$A:$O,15,FALSE),"")</f>
        <v/>
      </c>
      <c r="Q313" s="34" t="b">
        <v>0</v>
      </c>
      <c r="R313" s="34" t="b">
        <v>0</v>
      </c>
    </row>
    <row r="314" spans="1:18">
      <c r="A314" s="34" t="s">
        <v>355</v>
      </c>
      <c r="B314" s="34"/>
      <c r="C314" s="34"/>
      <c r="D314" s="34">
        <v>0</v>
      </c>
      <c r="E314" s="34">
        <v>0</v>
      </c>
      <c r="F314" s="34">
        <v>0</v>
      </c>
      <c r="G314" s="34" t="s">
        <v>356</v>
      </c>
      <c r="H314" s="34"/>
      <c r="I314" s="34" t="b">
        <v>0</v>
      </c>
      <c r="J314" s="23" t="b">
        <v>1</v>
      </c>
      <c r="K314" s="34" t="b">
        <v>1</v>
      </c>
      <c r="L314" s="34"/>
      <c r="M314" s="34"/>
      <c r="N314" s="34" t="str">
        <f>_xlfn.IFNA(VLOOKUP($M314,Buff.CM!$A:$O,13,FALSE),"")</f>
        <v/>
      </c>
      <c r="O314" s="34" t="str">
        <f>_xlfn.IFNA(VLOOKUP($M314,Buff.CM!$A:$O,14,FALSE),"")</f>
        <v/>
      </c>
      <c r="P314" s="34" t="str">
        <f>_xlfn.IFNA(VLOOKUP($M314,Buff.CM!$A:$O,15,FALSE),"")</f>
        <v/>
      </c>
      <c r="Q314" s="34" t="b">
        <v>0</v>
      </c>
      <c r="R314" s="34" t="b">
        <v>0</v>
      </c>
    </row>
    <row r="315" spans="1:18">
      <c r="A315" s="34" t="s">
        <v>357</v>
      </c>
      <c r="B315" s="34"/>
      <c r="C315" s="34"/>
      <c r="D315" s="34">
        <v>0</v>
      </c>
      <c r="E315" s="34">
        <v>0</v>
      </c>
      <c r="F315" s="34">
        <v>0</v>
      </c>
      <c r="G315" s="34" t="s">
        <v>358</v>
      </c>
      <c r="H315" s="34"/>
      <c r="I315" s="34" t="b">
        <v>0</v>
      </c>
      <c r="J315" s="23" t="b">
        <v>1</v>
      </c>
      <c r="K315" s="34" t="b">
        <v>1</v>
      </c>
      <c r="L315" s="34"/>
      <c r="M315" s="34"/>
      <c r="N315" s="34" t="str">
        <f>_xlfn.IFNA(VLOOKUP($M315,Buff.CM!$A:$O,13,FALSE),"")</f>
        <v/>
      </c>
      <c r="O315" s="34" t="str">
        <f>_xlfn.IFNA(VLOOKUP($M315,Buff.CM!$A:$O,14,FALSE),"")</f>
        <v/>
      </c>
      <c r="P315" s="34" t="str">
        <f>_xlfn.IFNA(VLOOKUP($M315,Buff.CM!$A:$O,15,FALSE),"")</f>
        <v/>
      </c>
      <c r="Q315" s="34" t="b">
        <v>0</v>
      </c>
      <c r="R315" s="34" t="b">
        <v>0</v>
      </c>
    </row>
    <row r="316" spans="1:18">
      <c r="A316" s="51" t="s">
        <v>3548</v>
      </c>
      <c r="B316" s="51"/>
      <c r="C316" s="51"/>
      <c r="D316" s="51">
        <v>0</v>
      </c>
      <c r="E316" s="51">
        <v>0</v>
      </c>
      <c r="F316" s="51">
        <v>0</v>
      </c>
      <c r="G316" s="52" t="s">
        <v>5712</v>
      </c>
      <c r="H316" s="51"/>
      <c r="I316" s="51" t="b">
        <v>0</v>
      </c>
      <c r="J316" s="23" t="b">
        <v>1</v>
      </c>
      <c r="K316" s="51" t="b">
        <v>1</v>
      </c>
      <c r="L316" s="51"/>
      <c r="M316" s="51"/>
      <c r="N316" s="51" t="str">
        <f>_xlfn.IFNA(VLOOKUP($M316,Buff.CM!$A:$O,13,FALSE),"")</f>
        <v/>
      </c>
      <c r="O316" s="51" t="str">
        <f>_xlfn.IFNA(VLOOKUP($M316,Buff.CM!$A:$O,14,FALSE),"")</f>
        <v/>
      </c>
      <c r="P316" s="51" t="str">
        <f>_xlfn.IFNA(VLOOKUP($M316,Buff.CM!$A:$O,15,FALSE),"")</f>
        <v/>
      </c>
      <c r="Q316" s="51" t="b">
        <v>0</v>
      </c>
      <c r="R316" s="51" t="b">
        <v>0</v>
      </c>
    </row>
    <row r="317" spans="1:18">
      <c r="A317" s="51" t="s">
        <v>3538</v>
      </c>
      <c r="B317" s="51"/>
      <c r="C317" s="51"/>
      <c r="D317" s="51">
        <v>0</v>
      </c>
      <c r="E317" s="51">
        <v>0</v>
      </c>
      <c r="F317" s="51">
        <v>0</v>
      </c>
      <c r="G317" s="52" t="s">
        <v>5712</v>
      </c>
      <c r="H317" s="51"/>
      <c r="I317" s="51" t="b">
        <v>0</v>
      </c>
      <c r="J317" s="23" t="b">
        <v>1</v>
      </c>
      <c r="K317" s="51" t="b">
        <v>1</v>
      </c>
      <c r="L317" s="51"/>
      <c r="M317" s="51"/>
      <c r="N317" s="51" t="str">
        <f>_xlfn.IFNA(VLOOKUP($M317,Buff.CM!$A:$O,13,FALSE),"")</f>
        <v/>
      </c>
      <c r="O317" s="51" t="str">
        <f>_xlfn.IFNA(VLOOKUP($M317,Buff.CM!$A:$O,14,FALSE),"")</f>
        <v/>
      </c>
      <c r="P317" s="51" t="str">
        <f>_xlfn.IFNA(VLOOKUP($M317,Buff.CM!$A:$O,15,FALSE),"")</f>
        <v/>
      </c>
      <c r="Q317" s="51" t="b">
        <v>0</v>
      </c>
      <c r="R317" s="51" t="b">
        <v>0</v>
      </c>
    </row>
    <row r="318" spans="1:18">
      <c r="A318" s="51" t="s">
        <v>3539</v>
      </c>
      <c r="B318" s="51"/>
      <c r="C318" s="51"/>
      <c r="D318" s="51">
        <v>0</v>
      </c>
      <c r="E318" s="51">
        <v>0</v>
      </c>
      <c r="F318" s="51">
        <v>0</v>
      </c>
      <c r="G318" s="52" t="s">
        <v>5712</v>
      </c>
      <c r="H318" s="51"/>
      <c r="I318" s="51" t="b">
        <v>0</v>
      </c>
      <c r="J318" s="23" t="b">
        <v>1</v>
      </c>
      <c r="K318" s="51" t="b">
        <v>1</v>
      </c>
      <c r="L318" s="51"/>
      <c r="M318" s="51"/>
      <c r="N318" s="51" t="str">
        <f>_xlfn.IFNA(VLOOKUP($M318,Buff.CM!$A:$O,13,FALSE),"")</f>
        <v/>
      </c>
      <c r="O318" s="51" t="str">
        <f>_xlfn.IFNA(VLOOKUP($M318,Buff.CM!$A:$O,14,FALSE),"")</f>
        <v/>
      </c>
      <c r="P318" s="51" t="str">
        <f>_xlfn.IFNA(VLOOKUP($M318,Buff.CM!$A:$O,15,FALSE),"")</f>
        <v/>
      </c>
      <c r="Q318" s="51" t="b">
        <v>0</v>
      </c>
      <c r="R318" s="51" t="b">
        <v>0</v>
      </c>
    </row>
    <row r="319" spans="1:18">
      <c r="A319" s="34" t="s">
        <v>3540</v>
      </c>
      <c r="B319" s="34"/>
      <c r="C319" s="34"/>
      <c r="D319" s="34">
        <v>0</v>
      </c>
      <c r="E319" s="34">
        <v>0</v>
      </c>
      <c r="F319" s="34">
        <v>0</v>
      </c>
      <c r="G319" s="40" t="s">
        <v>5712</v>
      </c>
      <c r="H319" s="34"/>
      <c r="I319" s="34" t="b">
        <v>0</v>
      </c>
      <c r="J319" s="23" t="b">
        <v>1</v>
      </c>
      <c r="K319" s="34" t="b">
        <v>1</v>
      </c>
      <c r="L319" s="34"/>
      <c r="M319" s="34"/>
      <c r="N319" s="34" t="str">
        <f>_xlfn.IFNA(VLOOKUP($M319,Buff.CM!$A:$O,13,FALSE),"")</f>
        <v/>
      </c>
      <c r="O319" s="34" t="str">
        <f>_xlfn.IFNA(VLOOKUP($M319,Buff.CM!$A:$O,14,FALSE),"")</f>
        <v/>
      </c>
      <c r="P319" s="34" t="str">
        <f>_xlfn.IFNA(VLOOKUP($M319,Buff.CM!$A:$O,15,FALSE),"")</f>
        <v/>
      </c>
      <c r="Q319" s="34" t="b">
        <v>0</v>
      </c>
      <c r="R319" s="34" t="b">
        <v>0</v>
      </c>
    </row>
    <row r="320" spans="1:18">
      <c r="A320" s="34" t="s">
        <v>3541</v>
      </c>
      <c r="B320" s="34"/>
      <c r="C320" s="34"/>
      <c r="D320" s="34">
        <v>0</v>
      </c>
      <c r="E320" s="34">
        <v>0</v>
      </c>
      <c r="F320" s="34">
        <v>0</v>
      </c>
      <c r="G320" s="40" t="s">
        <v>5712</v>
      </c>
      <c r="H320" s="34"/>
      <c r="I320" s="34" t="b">
        <v>0</v>
      </c>
      <c r="J320" s="23" t="b">
        <v>1</v>
      </c>
      <c r="K320" s="34" t="b">
        <v>1</v>
      </c>
      <c r="L320" s="34"/>
      <c r="M320" s="34"/>
      <c r="N320" s="34" t="str">
        <f>_xlfn.IFNA(VLOOKUP($M320,Buff.CM!$A:$O,13,FALSE),"")</f>
        <v/>
      </c>
      <c r="O320" s="34" t="str">
        <f>_xlfn.IFNA(VLOOKUP($M320,Buff.CM!$A:$O,14,FALSE),"")</f>
        <v/>
      </c>
      <c r="P320" s="34" t="str">
        <f>_xlfn.IFNA(VLOOKUP($M320,Buff.CM!$A:$O,15,FALSE),"")</f>
        <v/>
      </c>
      <c r="Q320" s="34" t="b">
        <v>0</v>
      </c>
      <c r="R320" s="34" t="b">
        <v>0</v>
      </c>
    </row>
    <row r="321" spans="1:18">
      <c r="A321" s="34" t="s">
        <v>3542</v>
      </c>
      <c r="B321" s="34"/>
      <c r="C321" s="34"/>
      <c r="D321" s="34">
        <v>0</v>
      </c>
      <c r="E321" s="34">
        <v>0</v>
      </c>
      <c r="F321" s="34">
        <v>0</v>
      </c>
      <c r="G321" s="40" t="s">
        <v>5712</v>
      </c>
      <c r="H321" s="34"/>
      <c r="I321" s="34" t="b">
        <v>0</v>
      </c>
      <c r="J321" s="23" t="b">
        <v>1</v>
      </c>
      <c r="K321" s="34" t="b">
        <v>1</v>
      </c>
      <c r="L321" s="34"/>
      <c r="M321" s="34"/>
      <c r="N321" s="34" t="str">
        <f>_xlfn.IFNA(VLOOKUP($M321,Buff.CM!$A:$O,13,FALSE),"")</f>
        <v/>
      </c>
      <c r="O321" s="34" t="str">
        <f>_xlfn.IFNA(VLOOKUP($M321,Buff.CM!$A:$O,14,FALSE),"")</f>
        <v/>
      </c>
      <c r="P321" s="34" t="str">
        <f>_xlfn.IFNA(VLOOKUP($M321,Buff.CM!$A:$O,15,FALSE),"")</f>
        <v/>
      </c>
      <c r="Q321" s="34" t="b">
        <v>0</v>
      </c>
      <c r="R321" s="34" t="b">
        <v>0</v>
      </c>
    </row>
    <row r="322" spans="1:18">
      <c r="A322" s="26" t="s">
        <v>6532</v>
      </c>
      <c r="B322" s="26"/>
      <c r="C322" s="26"/>
      <c r="D322" s="26">
        <v>4000</v>
      </c>
      <c r="E322" s="26">
        <v>0</v>
      </c>
      <c r="F322" s="26">
        <v>0</v>
      </c>
      <c r="G322" s="26" t="s">
        <v>6533</v>
      </c>
      <c r="H322" s="26"/>
      <c r="I322" s="26" t="b">
        <v>0</v>
      </c>
      <c r="J322" s="26" t="b">
        <v>0</v>
      </c>
      <c r="K322" s="26" t="b">
        <v>0</v>
      </c>
      <c r="L322" s="26" t="s">
        <v>175</v>
      </c>
      <c r="M322" s="26"/>
      <c r="N322" s="26" t="str">
        <f>_xlfn.IFNA(VLOOKUP($M322,Buff.CM!$A:$O,13,FALSE),"")</f>
        <v/>
      </c>
      <c r="O322" s="26" t="str">
        <f>_xlfn.IFNA(VLOOKUP($M322,Buff.CM!$A:$O,14,FALSE),"")</f>
        <v/>
      </c>
      <c r="P322" s="26" t="str">
        <f>_xlfn.IFNA(VLOOKUP($M322,Buff.CM!$A:$O,15,FALSE),"")</f>
        <v/>
      </c>
      <c r="Q322" s="26" t="b">
        <v>0</v>
      </c>
      <c r="R322" s="26" t="b">
        <v>0</v>
      </c>
    </row>
    <row r="323" spans="1:18">
      <c r="A323" s="26" t="s">
        <v>1077</v>
      </c>
      <c r="B323" s="26"/>
      <c r="C323" s="26"/>
      <c r="D323" s="26">
        <v>4000</v>
      </c>
      <c r="E323" s="26">
        <v>0</v>
      </c>
      <c r="F323" s="26">
        <v>0</v>
      </c>
      <c r="G323" s="26" t="s">
        <v>1079</v>
      </c>
      <c r="H323" s="26"/>
      <c r="I323" s="26" t="b">
        <v>0</v>
      </c>
      <c r="J323" s="26" t="b">
        <v>0</v>
      </c>
      <c r="K323" s="26" t="b">
        <v>0</v>
      </c>
      <c r="L323" s="26" t="s">
        <v>175</v>
      </c>
      <c r="M323" s="26"/>
      <c r="N323" s="26" t="str">
        <f>_xlfn.IFNA(VLOOKUP($M323,Buff.CM!$A:$O,13,FALSE),"")</f>
        <v/>
      </c>
      <c r="O323" s="26" t="str">
        <f>_xlfn.IFNA(VLOOKUP($M323,Buff.CM!$A:$O,14,FALSE),"")</f>
        <v/>
      </c>
      <c r="P323" s="26" t="str">
        <f>_xlfn.IFNA(VLOOKUP($M323,Buff.CM!$A:$O,15,FALSE),"")</f>
        <v/>
      </c>
      <c r="Q323" s="26" t="b">
        <v>0</v>
      </c>
      <c r="R323" s="26" t="b">
        <v>0</v>
      </c>
    </row>
    <row r="324" spans="1:18">
      <c r="A324" s="26" t="s">
        <v>1078</v>
      </c>
      <c r="B324" s="26"/>
      <c r="C324" s="26"/>
      <c r="D324" s="26">
        <v>4000</v>
      </c>
      <c r="E324" s="26">
        <v>0</v>
      </c>
      <c r="F324" s="26">
        <v>0</v>
      </c>
      <c r="G324" s="26" t="s">
        <v>1080</v>
      </c>
      <c r="H324" s="26"/>
      <c r="I324" s="26" t="b">
        <v>0</v>
      </c>
      <c r="J324" s="26" t="b">
        <v>0</v>
      </c>
      <c r="K324" s="26" t="b">
        <v>0</v>
      </c>
      <c r="L324" s="26" t="s">
        <v>175</v>
      </c>
      <c r="M324" s="26"/>
      <c r="N324" s="26" t="str">
        <f>_xlfn.IFNA(VLOOKUP($M324,Buff.CM!$A:$O,13,FALSE),"")</f>
        <v/>
      </c>
      <c r="O324" s="26" t="str">
        <f>_xlfn.IFNA(VLOOKUP($M324,Buff.CM!$A:$O,14,FALSE),"")</f>
        <v/>
      </c>
      <c r="P324" s="26" t="str">
        <f>_xlfn.IFNA(VLOOKUP($M324,Buff.CM!$A:$O,15,FALSE),"")</f>
        <v/>
      </c>
      <c r="Q324" s="26" t="b">
        <v>0</v>
      </c>
      <c r="R324" s="26" t="b">
        <v>0</v>
      </c>
    </row>
    <row r="325" spans="1:18">
      <c r="A325" s="25" t="s">
        <v>359</v>
      </c>
      <c r="B325" s="25"/>
      <c r="C325" s="25"/>
      <c r="D325" s="25">
        <v>6000</v>
      </c>
      <c r="E325" s="25">
        <v>0</v>
      </c>
      <c r="F325" s="25">
        <v>0</v>
      </c>
      <c r="G325" s="25" t="s">
        <v>360</v>
      </c>
      <c r="H325" s="25"/>
      <c r="I325" s="25" t="b">
        <v>0</v>
      </c>
      <c r="J325" s="25" t="b">
        <v>0</v>
      </c>
      <c r="K325" s="25" t="b">
        <v>0</v>
      </c>
      <c r="L325" s="25" t="s">
        <v>175</v>
      </c>
      <c r="M325" s="25"/>
      <c r="N325" s="25" t="str">
        <f>_xlfn.IFNA(VLOOKUP($M325,Buff.CM!$A:$O,13,FALSE),"")</f>
        <v/>
      </c>
      <c r="O325" s="25" t="str">
        <f>_xlfn.IFNA(VLOOKUP($M325,Buff.CM!$A:$O,14,FALSE),"")</f>
        <v/>
      </c>
      <c r="P325" s="25" t="str">
        <f>_xlfn.IFNA(VLOOKUP($M325,Buff.CM!$A:$O,15,FALSE),"")</f>
        <v/>
      </c>
      <c r="Q325" s="25" t="b">
        <v>0</v>
      </c>
      <c r="R325" s="25" t="b">
        <v>0</v>
      </c>
    </row>
    <row r="326" spans="1:18">
      <c r="A326" s="25" t="s">
        <v>362</v>
      </c>
      <c r="B326" s="25"/>
      <c r="C326" s="25"/>
      <c r="D326" s="25">
        <v>6000</v>
      </c>
      <c r="E326" s="25">
        <v>0</v>
      </c>
      <c r="F326" s="25">
        <v>0</v>
      </c>
      <c r="G326" s="25" t="s">
        <v>363</v>
      </c>
      <c r="H326" s="25"/>
      <c r="I326" s="25" t="b">
        <v>0</v>
      </c>
      <c r="J326" s="25" t="b">
        <v>0</v>
      </c>
      <c r="K326" s="25" t="b">
        <v>0</v>
      </c>
      <c r="L326" s="25" t="s">
        <v>175</v>
      </c>
      <c r="M326" s="25"/>
      <c r="N326" s="25" t="str">
        <f>_xlfn.IFNA(VLOOKUP($M326,Buff.CM!$A:$O,13,FALSE),"")</f>
        <v/>
      </c>
      <c r="O326" s="25" t="str">
        <f>_xlfn.IFNA(VLOOKUP($M326,Buff.CM!$A:$O,14,FALSE),"")</f>
        <v/>
      </c>
      <c r="P326" s="25" t="str">
        <f>_xlfn.IFNA(VLOOKUP($M326,Buff.CM!$A:$O,15,FALSE),"")</f>
        <v/>
      </c>
      <c r="Q326" s="25" t="b">
        <v>0</v>
      </c>
      <c r="R326" s="25" t="b">
        <v>0</v>
      </c>
    </row>
    <row r="327" spans="1:18">
      <c r="A327" s="25" t="s">
        <v>364</v>
      </c>
      <c r="B327" s="25"/>
      <c r="C327" s="25"/>
      <c r="D327" s="25">
        <v>6000</v>
      </c>
      <c r="E327" s="25">
        <v>0</v>
      </c>
      <c r="F327" s="25">
        <v>0</v>
      </c>
      <c r="G327" s="25" t="s">
        <v>365</v>
      </c>
      <c r="H327" s="25"/>
      <c r="I327" s="25" t="b">
        <v>0</v>
      </c>
      <c r="J327" s="25" t="b">
        <v>0</v>
      </c>
      <c r="K327" s="25" t="b">
        <v>0</v>
      </c>
      <c r="L327" s="25" t="s">
        <v>175</v>
      </c>
      <c r="M327" s="25"/>
      <c r="N327" s="25" t="str">
        <f>_xlfn.IFNA(VLOOKUP($M327,Buff.CM!$A:$O,13,FALSE),"")</f>
        <v/>
      </c>
      <c r="O327" s="25" t="str">
        <f>_xlfn.IFNA(VLOOKUP($M327,Buff.CM!$A:$O,14,FALSE),"")</f>
        <v/>
      </c>
      <c r="P327" s="25" t="str">
        <f>_xlfn.IFNA(VLOOKUP($M327,Buff.CM!$A:$O,15,FALSE),"")</f>
        <v/>
      </c>
      <c r="Q327" s="25" t="b">
        <v>0</v>
      </c>
      <c r="R327" s="25" t="b">
        <v>0</v>
      </c>
    </row>
    <row r="328" spans="1:18">
      <c r="A328" s="25" t="s">
        <v>6534</v>
      </c>
      <c r="B328" s="25"/>
      <c r="C328" s="25"/>
      <c r="D328" s="25">
        <v>6000</v>
      </c>
      <c r="E328" s="25">
        <v>0</v>
      </c>
      <c r="F328" s="25">
        <v>0</v>
      </c>
      <c r="G328" s="25" t="s">
        <v>6535</v>
      </c>
      <c r="H328" s="25"/>
      <c r="I328" s="25" t="b">
        <v>0</v>
      </c>
      <c r="J328" s="25" t="b">
        <v>0</v>
      </c>
      <c r="K328" s="25" t="b">
        <v>0</v>
      </c>
      <c r="L328" s="25" t="s">
        <v>175</v>
      </c>
      <c r="M328" s="25"/>
      <c r="N328" s="25" t="str">
        <f>_xlfn.IFNA(VLOOKUP($M328,Buff.CM!$A:$O,13,FALSE),"")</f>
        <v/>
      </c>
      <c r="O328" s="25" t="str">
        <f>_xlfn.IFNA(VLOOKUP($M328,Buff.CM!$A:$O,14,FALSE),"")</f>
        <v/>
      </c>
      <c r="P328" s="25" t="str">
        <f>_xlfn.IFNA(VLOOKUP($M328,Buff.CM!$A:$O,15,FALSE),"")</f>
        <v/>
      </c>
      <c r="Q328" s="25" t="b">
        <v>0</v>
      </c>
      <c r="R328" s="25" t="b">
        <v>0</v>
      </c>
    </row>
    <row r="329" spans="1:18">
      <c r="A329" s="44" t="s">
        <v>1000</v>
      </c>
      <c r="B329" s="44"/>
      <c r="C329" s="44"/>
      <c r="D329" s="44">
        <v>0</v>
      </c>
      <c r="E329" s="44">
        <v>0</v>
      </c>
      <c r="F329" s="44">
        <v>0</v>
      </c>
      <c r="G329" s="44" t="str">
        <f>A329&amp;".buffeffect"</f>
        <v>anne.ult.ex.buff.buffeffect</v>
      </c>
      <c r="H329" s="44"/>
      <c r="I329" s="44" t="b">
        <v>0</v>
      </c>
      <c r="J329" s="44" t="b">
        <v>0</v>
      </c>
      <c r="K329" s="44" t="b">
        <v>0</v>
      </c>
      <c r="L329" s="44"/>
      <c r="M329" s="44"/>
      <c r="N329" s="44" t="str">
        <f>_xlfn.IFNA(VLOOKUP($M329,Buff.CM!$A:$O,13,FALSE),"")</f>
        <v/>
      </c>
      <c r="O329" s="44" t="str">
        <f>_xlfn.IFNA(VLOOKUP($M329,Buff.CM!$A:$O,14,FALSE),"")</f>
        <v/>
      </c>
      <c r="P329" s="44" t="str">
        <f>_xlfn.IFNA(VLOOKUP($M329,Buff.CM!$A:$O,15,FALSE),"")</f>
        <v/>
      </c>
      <c r="Q329" s="44" t="b">
        <v>0</v>
      </c>
      <c r="R329" s="44" t="b">
        <v>0</v>
      </c>
    </row>
    <row r="330" spans="1:18">
      <c r="A330" s="44" t="s">
        <v>1001</v>
      </c>
      <c r="B330" s="44"/>
      <c r="C330" s="44"/>
      <c r="D330" s="44">
        <v>6000</v>
      </c>
      <c r="E330" s="44">
        <v>0</v>
      </c>
      <c r="F330" s="44">
        <v>0</v>
      </c>
      <c r="G330" s="44" t="str">
        <f>A330&amp;".buffeffect"</f>
        <v>anne.ult.ex.hitdown.buff.buffeffect</v>
      </c>
      <c r="H330" s="44"/>
      <c r="I330" s="44" t="b">
        <v>0</v>
      </c>
      <c r="J330" s="44" t="b">
        <v>0</v>
      </c>
      <c r="K330" s="44" t="b">
        <v>0</v>
      </c>
      <c r="L330" s="44"/>
      <c r="M330" s="44"/>
      <c r="N330" s="44" t="str">
        <f>_xlfn.IFNA(VLOOKUP($M330,Buff.CM!$A:$O,13,FALSE),"")</f>
        <v/>
      </c>
      <c r="O330" s="44" t="str">
        <f>_xlfn.IFNA(VLOOKUP($M330,Buff.CM!$A:$O,14,FALSE),"")</f>
        <v/>
      </c>
      <c r="P330" s="44" t="str">
        <f>_xlfn.IFNA(VLOOKUP($M330,Buff.CM!$A:$O,15,FALSE),"")</f>
        <v/>
      </c>
      <c r="Q330" s="44" t="b">
        <v>0</v>
      </c>
      <c r="R330" s="44" t="b">
        <v>0</v>
      </c>
    </row>
    <row r="331" spans="1:18">
      <c r="A331" s="25" t="s">
        <v>366</v>
      </c>
      <c r="B331" s="25"/>
      <c r="C331" s="25"/>
      <c r="D331" s="25">
        <v>0</v>
      </c>
      <c r="E331" s="25">
        <v>0</v>
      </c>
      <c r="F331" s="25">
        <v>0</v>
      </c>
      <c r="G331" s="25" t="s">
        <v>74</v>
      </c>
      <c r="H331" s="25"/>
      <c r="I331" s="25" t="b">
        <v>0</v>
      </c>
      <c r="J331" s="25" t="b">
        <v>0</v>
      </c>
      <c r="K331" s="25" t="b">
        <v>1</v>
      </c>
      <c r="L331" s="25" t="s">
        <v>66</v>
      </c>
      <c r="M331" s="25"/>
      <c r="N331" s="25" t="str">
        <f>_xlfn.IFNA(VLOOKUP($M331,Buff.CM!$A:$O,13,FALSE),"")</f>
        <v/>
      </c>
      <c r="O331" s="25" t="str">
        <f>_xlfn.IFNA(VLOOKUP($M331,Buff.CM!$A:$O,14,FALSE),"")</f>
        <v/>
      </c>
      <c r="P331" s="25" t="str">
        <f>_xlfn.IFNA(VLOOKUP($M331,Buff.CM!$A:$O,15,FALSE),"")</f>
        <v/>
      </c>
      <c r="Q331" s="25" t="b">
        <v>0</v>
      </c>
      <c r="R331" s="25" t="b">
        <v>0</v>
      </c>
    </row>
    <row r="332" spans="1:18">
      <c r="A332" s="26" t="s">
        <v>367</v>
      </c>
      <c r="B332" s="26"/>
      <c r="C332" s="26"/>
      <c r="D332" s="26">
        <v>3000</v>
      </c>
      <c r="E332" s="26">
        <v>0</v>
      </c>
      <c r="F332" s="26">
        <v>0</v>
      </c>
      <c r="G332" s="26" t="s">
        <v>243</v>
      </c>
      <c r="H332" s="26"/>
      <c r="I332" s="26" t="b">
        <v>0</v>
      </c>
      <c r="J332" s="26" t="b">
        <v>0</v>
      </c>
      <c r="K332" s="26" t="b">
        <v>0</v>
      </c>
      <c r="L332" s="26" t="s">
        <v>314</v>
      </c>
      <c r="M332" s="26"/>
      <c r="N332" s="26" t="str">
        <f>_xlfn.IFNA(VLOOKUP($M332,Buff.CM!$A:$O,13,FALSE),"")</f>
        <v/>
      </c>
      <c r="O332" s="26" t="str">
        <f>_xlfn.IFNA(VLOOKUP($M332,Buff.CM!$A:$O,14,FALSE),"")</f>
        <v/>
      </c>
      <c r="P332" s="26" t="str">
        <f>_xlfn.IFNA(VLOOKUP($M332,Buff.CM!$A:$O,15,FALSE),"")</f>
        <v/>
      </c>
      <c r="Q332" s="26" t="b">
        <v>0</v>
      </c>
      <c r="R332" s="26" t="b">
        <v>0</v>
      </c>
    </row>
    <row r="333" spans="1:18">
      <c r="A333" s="26" t="s">
        <v>368</v>
      </c>
      <c r="B333" s="26"/>
      <c r="C333" s="26"/>
      <c r="D333" s="26">
        <v>4000</v>
      </c>
      <c r="E333" s="26">
        <v>0</v>
      </c>
      <c r="F333" s="26">
        <v>0</v>
      </c>
      <c r="G333" s="26" t="s">
        <v>243</v>
      </c>
      <c r="H333" s="26"/>
      <c r="I333" s="26" t="b">
        <v>0</v>
      </c>
      <c r="J333" s="26" t="b">
        <v>0</v>
      </c>
      <c r="K333" s="26" t="b">
        <v>0</v>
      </c>
      <c r="L333" s="26" t="s">
        <v>314</v>
      </c>
      <c r="M333" s="26"/>
      <c r="N333" s="26" t="str">
        <f>_xlfn.IFNA(VLOOKUP($M333,Buff.CM!$A:$O,13,FALSE),"")</f>
        <v/>
      </c>
      <c r="O333" s="26" t="str">
        <f>_xlfn.IFNA(VLOOKUP($M333,Buff.CM!$A:$O,14,FALSE),"")</f>
        <v/>
      </c>
      <c r="P333" s="26" t="str">
        <f>_xlfn.IFNA(VLOOKUP($M333,Buff.CM!$A:$O,15,FALSE),"")</f>
        <v/>
      </c>
      <c r="Q333" s="26" t="b">
        <v>0</v>
      </c>
      <c r="R333" s="26" t="b">
        <v>0</v>
      </c>
    </row>
    <row r="334" spans="1:18">
      <c r="A334" s="26" t="s">
        <v>369</v>
      </c>
      <c r="B334" s="26"/>
      <c r="C334" s="26"/>
      <c r="D334" s="26">
        <v>0</v>
      </c>
      <c r="E334" s="26">
        <v>0</v>
      </c>
      <c r="F334" s="26">
        <v>0</v>
      </c>
      <c r="G334" s="26" t="s">
        <v>370</v>
      </c>
      <c r="H334" s="26"/>
      <c r="I334" s="26" t="b">
        <v>0</v>
      </c>
      <c r="J334" s="26" t="b">
        <v>0</v>
      </c>
      <c r="K334" s="26" t="b">
        <v>1</v>
      </c>
      <c r="L334" s="26"/>
      <c r="M334" s="26"/>
      <c r="N334" s="26" t="str">
        <f>_xlfn.IFNA(VLOOKUP($M334,Buff.CM!$A:$O,13,FALSE),"")</f>
        <v/>
      </c>
      <c r="O334" s="26" t="str">
        <f>_xlfn.IFNA(VLOOKUP($M334,Buff.CM!$A:$O,14,FALSE),"")</f>
        <v/>
      </c>
      <c r="P334" s="26" t="str">
        <f>_xlfn.IFNA(VLOOKUP($M334,Buff.CM!$A:$O,15,FALSE),"")</f>
        <v/>
      </c>
      <c r="Q334" s="26" t="b">
        <v>0</v>
      </c>
      <c r="R334" s="26" t="b">
        <v>0</v>
      </c>
    </row>
    <row r="335" spans="1:18">
      <c r="A335" s="26" t="s">
        <v>371</v>
      </c>
      <c r="B335" s="26"/>
      <c r="C335" s="26"/>
      <c r="D335" s="26">
        <v>0</v>
      </c>
      <c r="E335" s="26">
        <v>0</v>
      </c>
      <c r="F335" s="26">
        <v>0</v>
      </c>
      <c r="G335" s="26" t="s">
        <v>372</v>
      </c>
      <c r="H335" s="26"/>
      <c r="I335" s="26" t="b">
        <v>0</v>
      </c>
      <c r="J335" s="26" t="b">
        <v>0</v>
      </c>
      <c r="K335" s="26" t="b">
        <v>1</v>
      </c>
      <c r="L335" s="26"/>
      <c r="M335" s="26"/>
      <c r="N335" s="26" t="str">
        <f>_xlfn.IFNA(VLOOKUP($M335,Buff.CM!$A:$O,13,FALSE),"")</f>
        <v/>
      </c>
      <c r="O335" s="26" t="str">
        <f>_xlfn.IFNA(VLOOKUP($M335,Buff.CM!$A:$O,14,FALSE),"")</f>
        <v/>
      </c>
      <c r="P335" s="26" t="str">
        <f>_xlfn.IFNA(VLOOKUP($M335,Buff.CM!$A:$O,15,FALSE),"")</f>
        <v/>
      </c>
      <c r="Q335" s="26" t="b">
        <v>0</v>
      </c>
      <c r="R335" s="26" t="b">
        <v>0</v>
      </c>
    </row>
    <row r="336" spans="1:18">
      <c r="A336" s="26" t="s">
        <v>373</v>
      </c>
      <c r="B336" s="26"/>
      <c r="C336" s="26"/>
      <c r="D336" s="26">
        <v>5000</v>
      </c>
      <c r="E336" s="26">
        <v>0</v>
      </c>
      <c r="F336" s="26">
        <v>0</v>
      </c>
      <c r="G336" s="26" t="s">
        <v>374</v>
      </c>
      <c r="H336" s="26"/>
      <c r="I336" s="26" t="b">
        <v>0</v>
      </c>
      <c r="J336" s="26" t="b">
        <v>0</v>
      </c>
      <c r="K336" s="26" t="b">
        <v>0</v>
      </c>
      <c r="L336" s="26" t="s">
        <v>175</v>
      </c>
      <c r="M336" s="26"/>
      <c r="N336" s="26" t="str">
        <f>_xlfn.IFNA(VLOOKUP($M336,Buff.CM!$A:$O,13,FALSE),"")</f>
        <v/>
      </c>
      <c r="O336" s="26" t="str">
        <f>_xlfn.IFNA(VLOOKUP($M336,Buff.CM!$A:$O,14,FALSE),"")</f>
        <v/>
      </c>
      <c r="P336" s="26" t="str">
        <f>_xlfn.IFNA(VLOOKUP($M336,Buff.CM!$A:$O,15,FALSE),"")</f>
        <v/>
      </c>
      <c r="Q336" s="26" t="b">
        <v>0</v>
      </c>
      <c r="R336" s="26" t="b">
        <v>0</v>
      </c>
    </row>
    <row r="337" spans="1:18">
      <c r="A337" s="26" t="s">
        <v>377</v>
      </c>
      <c r="B337" s="26"/>
      <c r="C337" s="26"/>
      <c r="D337" s="26">
        <v>5000</v>
      </c>
      <c r="E337" s="26">
        <v>0</v>
      </c>
      <c r="F337" s="26">
        <v>0</v>
      </c>
      <c r="G337" s="26" t="s">
        <v>378</v>
      </c>
      <c r="H337" s="26"/>
      <c r="I337" s="26" t="b">
        <v>0</v>
      </c>
      <c r="J337" s="26" t="b">
        <v>0</v>
      </c>
      <c r="K337" s="26" t="b">
        <v>0</v>
      </c>
      <c r="L337" s="26" t="s">
        <v>175</v>
      </c>
      <c r="M337" s="26"/>
      <c r="N337" s="26" t="str">
        <f>_xlfn.IFNA(VLOOKUP($M337,Buff.CM!$A:$O,13,FALSE),"")</f>
        <v/>
      </c>
      <c r="O337" s="26" t="str">
        <f>_xlfn.IFNA(VLOOKUP($M337,Buff.CM!$A:$O,14,FALSE),"")</f>
        <v/>
      </c>
      <c r="P337" s="26" t="str">
        <f>_xlfn.IFNA(VLOOKUP($M337,Buff.CM!$A:$O,15,FALSE),"")</f>
        <v/>
      </c>
      <c r="Q337" s="26" t="b">
        <v>0</v>
      </c>
      <c r="R337" s="26" t="b">
        <v>0</v>
      </c>
    </row>
    <row r="338" spans="1:18">
      <c r="A338" s="25" t="s">
        <v>379</v>
      </c>
      <c r="B338" s="25"/>
      <c r="C338" s="25"/>
      <c r="D338" s="25">
        <v>0</v>
      </c>
      <c r="E338" s="25">
        <v>0</v>
      </c>
      <c r="F338" s="25">
        <v>0</v>
      </c>
      <c r="G338" s="25" t="s">
        <v>380</v>
      </c>
      <c r="H338" s="25"/>
      <c r="I338" s="25" t="b">
        <v>0</v>
      </c>
      <c r="J338" s="25" t="b">
        <v>0</v>
      </c>
      <c r="K338" s="25" t="b">
        <v>1</v>
      </c>
      <c r="L338" s="25"/>
      <c r="M338" s="25"/>
      <c r="N338" s="25" t="str">
        <f>_xlfn.IFNA(VLOOKUP($M338,Buff.CM!$A:$O,13,FALSE),"")</f>
        <v/>
      </c>
      <c r="O338" s="25" t="str">
        <f>_xlfn.IFNA(VLOOKUP($M338,Buff.CM!$A:$O,14,FALSE),"")</f>
        <v/>
      </c>
      <c r="P338" s="25" t="str">
        <f>_xlfn.IFNA(VLOOKUP($M338,Buff.CM!$A:$O,15,FALSE),"")</f>
        <v/>
      </c>
      <c r="Q338" s="25" t="b">
        <v>0</v>
      </c>
      <c r="R338" s="25" t="b">
        <v>0</v>
      </c>
    </row>
    <row r="339" spans="1:18">
      <c r="A339" s="25" t="s">
        <v>381</v>
      </c>
      <c r="B339" s="25"/>
      <c r="C339" s="25"/>
      <c r="D339" s="25">
        <v>0</v>
      </c>
      <c r="E339" s="25">
        <v>0</v>
      </c>
      <c r="F339" s="25">
        <v>0</v>
      </c>
      <c r="G339" s="25" t="s">
        <v>382</v>
      </c>
      <c r="H339" s="25"/>
      <c r="I339" s="25" t="b">
        <v>0</v>
      </c>
      <c r="J339" s="25" t="b">
        <v>0</v>
      </c>
      <c r="K339" s="25" t="b">
        <v>1</v>
      </c>
      <c r="L339" s="25"/>
      <c r="M339" s="25"/>
      <c r="N339" s="25" t="str">
        <f>_xlfn.IFNA(VLOOKUP($M339,Buff.CM!$A:$O,13,FALSE),"")</f>
        <v/>
      </c>
      <c r="O339" s="25" t="str">
        <f>_xlfn.IFNA(VLOOKUP($M339,Buff.CM!$A:$O,14,FALSE),"")</f>
        <v/>
      </c>
      <c r="P339" s="25" t="str">
        <f>_xlfn.IFNA(VLOOKUP($M339,Buff.CM!$A:$O,15,FALSE),"")</f>
        <v/>
      </c>
      <c r="Q339" s="25" t="b">
        <v>0</v>
      </c>
      <c r="R339" s="25" t="b">
        <v>0</v>
      </c>
    </row>
    <row r="340" spans="1:18">
      <c r="A340" s="25" t="s">
        <v>383</v>
      </c>
      <c r="B340" s="25"/>
      <c r="C340" s="25"/>
      <c r="D340" s="25">
        <v>0</v>
      </c>
      <c r="E340" s="25">
        <v>0</v>
      </c>
      <c r="F340" s="25">
        <v>0</v>
      </c>
      <c r="G340" s="25" t="s">
        <v>384</v>
      </c>
      <c r="H340" s="25"/>
      <c r="I340" s="25" t="b">
        <v>0</v>
      </c>
      <c r="J340" s="25" t="b">
        <v>0</v>
      </c>
      <c r="K340" s="25" t="b">
        <v>1</v>
      </c>
      <c r="L340" s="25"/>
      <c r="M340" s="25"/>
      <c r="N340" s="25" t="str">
        <f>_xlfn.IFNA(VLOOKUP($M340,Buff.CM!$A:$O,13,FALSE),"")</f>
        <v/>
      </c>
      <c r="O340" s="25" t="str">
        <f>_xlfn.IFNA(VLOOKUP($M340,Buff.CM!$A:$O,14,FALSE),"")</f>
        <v/>
      </c>
      <c r="P340" s="25" t="str">
        <f>_xlfn.IFNA(VLOOKUP($M340,Buff.CM!$A:$O,15,FALSE),"")</f>
        <v/>
      </c>
      <c r="Q340" s="25" t="b">
        <v>0</v>
      </c>
      <c r="R340" s="25" t="b">
        <v>0</v>
      </c>
    </row>
    <row r="341" spans="1:18">
      <c r="A341" s="34" t="s">
        <v>385</v>
      </c>
      <c r="B341" s="34"/>
      <c r="C341" s="34"/>
      <c r="D341" s="34">
        <v>0</v>
      </c>
      <c r="E341" s="34">
        <v>0</v>
      </c>
      <c r="F341" s="34">
        <v>0</v>
      </c>
      <c r="G341" s="34" t="s">
        <v>386</v>
      </c>
      <c r="H341" s="34"/>
      <c r="I341" s="34" t="b">
        <v>0</v>
      </c>
      <c r="J341" s="34" t="b">
        <v>0</v>
      </c>
      <c r="K341" s="34" t="b">
        <v>1</v>
      </c>
      <c r="L341" s="34"/>
      <c r="M341" s="34"/>
      <c r="N341" s="34" t="str">
        <f>_xlfn.IFNA(VLOOKUP($M341,Buff.CM!$A:$O,13,FALSE),"")</f>
        <v/>
      </c>
      <c r="O341" s="34" t="str">
        <f>_xlfn.IFNA(VLOOKUP($M341,Buff.CM!$A:$O,14,FALSE),"")</f>
        <v/>
      </c>
      <c r="P341" s="34" t="str">
        <f>_xlfn.IFNA(VLOOKUP($M341,Buff.CM!$A:$O,15,FALSE),"")</f>
        <v/>
      </c>
      <c r="Q341" s="34" t="b">
        <v>0</v>
      </c>
      <c r="R341" s="34" t="b">
        <v>0</v>
      </c>
    </row>
    <row r="342" spans="1:18">
      <c r="A342" s="34" t="s">
        <v>387</v>
      </c>
      <c r="B342" s="34"/>
      <c r="C342" s="34"/>
      <c r="D342" s="34">
        <v>0</v>
      </c>
      <c r="E342" s="34">
        <v>0</v>
      </c>
      <c r="F342" s="34">
        <v>0</v>
      </c>
      <c r="G342" s="34" t="s">
        <v>388</v>
      </c>
      <c r="H342" s="34"/>
      <c r="I342" s="34" t="b">
        <v>0</v>
      </c>
      <c r="J342" s="34" t="b">
        <v>0</v>
      </c>
      <c r="K342" s="34" t="b">
        <v>1</v>
      </c>
      <c r="L342" s="34"/>
      <c r="M342" s="34"/>
      <c r="N342" s="34" t="str">
        <f>_xlfn.IFNA(VLOOKUP($M342,Buff.CM!$A:$O,13,FALSE),"")</f>
        <v/>
      </c>
      <c r="O342" s="34" t="str">
        <f>_xlfn.IFNA(VLOOKUP($M342,Buff.CM!$A:$O,14,FALSE),"")</f>
        <v/>
      </c>
      <c r="P342" s="34" t="str">
        <f>_xlfn.IFNA(VLOOKUP($M342,Buff.CM!$A:$O,15,FALSE),"")</f>
        <v/>
      </c>
      <c r="Q342" s="34" t="b">
        <v>0</v>
      </c>
      <c r="R342" s="34" t="b">
        <v>0</v>
      </c>
    </row>
    <row r="343" spans="1:18" s="13" customFormat="1">
      <c r="A343" s="34" t="s">
        <v>389</v>
      </c>
      <c r="B343" s="34"/>
      <c r="C343" s="34"/>
      <c r="D343" s="34">
        <v>0</v>
      </c>
      <c r="E343" s="34">
        <v>0</v>
      </c>
      <c r="F343" s="34">
        <v>0</v>
      </c>
      <c r="G343" s="34" t="s">
        <v>390</v>
      </c>
      <c r="H343" s="34"/>
      <c r="I343" s="34" t="b">
        <v>0</v>
      </c>
      <c r="J343" s="34" t="b">
        <v>0</v>
      </c>
      <c r="K343" s="34" t="b">
        <v>1</v>
      </c>
      <c r="L343" s="34"/>
      <c r="M343" s="34"/>
      <c r="N343" s="34" t="str">
        <f>_xlfn.IFNA(VLOOKUP($M343,Buff.CM!$A:$O,13,FALSE),"")</f>
        <v/>
      </c>
      <c r="O343" s="34" t="str">
        <f>_xlfn.IFNA(VLOOKUP($M343,Buff.CM!$A:$O,14,FALSE),"")</f>
        <v/>
      </c>
      <c r="P343" s="34" t="str">
        <f>_xlfn.IFNA(VLOOKUP($M343,Buff.CM!$A:$O,15,FALSE),"")</f>
        <v/>
      </c>
      <c r="Q343" s="34" t="b">
        <v>0</v>
      </c>
      <c r="R343" s="34" t="b">
        <v>0</v>
      </c>
    </row>
    <row r="344" spans="1:18" s="13" customFormat="1">
      <c r="A344" s="25" t="s">
        <v>1259</v>
      </c>
      <c r="B344" s="25"/>
      <c r="C344" s="25"/>
      <c r="D344" s="25">
        <v>0</v>
      </c>
      <c r="E344" s="25">
        <v>0</v>
      </c>
      <c r="F344" s="25">
        <v>0</v>
      </c>
      <c r="G344" s="25" t="s">
        <v>1260</v>
      </c>
      <c r="H344" s="25"/>
      <c r="I344" s="25" t="b">
        <v>0</v>
      </c>
      <c r="J344" s="25" t="b">
        <v>0</v>
      </c>
      <c r="K344" s="25" t="b">
        <v>1</v>
      </c>
      <c r="L344" s="25"/>
      <c r="M344" s="25"/>
      <c r="N344" s="25" t="str">
        <f>_xlfn.IFNA(VLOOKUP($M344,Buff.CM!$A:$O,13,FALSE),"")</f>
        <v/>
      </c>
      <c r="O344" s="25" t="str">
        <f>_xlfn.IFNA(VLOOKUP($M344,Buff.CM!$A:$O,14,FALSE),"")</f>
        <v/>
      </c>
      <c r="P344" s="25" t="str">
        <f>_xlfn.IFNA(VLOOKUP($M344,Buff.CM!$A:$O,15,FALSE),"")</f>
        <v/>
      </c>
      <c r="Q344" s="25" t="b">
        <v>0</v>
      </c>
      <c r="R344" s="25" t="b">
        <v>0</v>
      </c>
    </row>
    <row r="345" spans="1:18" s="13" customFormat="1">
      <c r="A345" s="25" t="s">
        <v>1261</v>
      </c>
      <c r="B345" s="25"/>
      <c r="C345" s="25"/>
      <c r="D345" s="25">
        <v>0</v>
      </c>
      <c r="E345" s="25">
        <v>0</v>
      </c>
      <c r="F345" s="25">
        <v>0</v>
      </c>
      <c r="G345" s="25" t="s">
        <v>1262</v>
      </c>
      <c r="H345" s="25"/>
      <c r="I345" s="25" t="b">
        <v>0</v>
      </c>
      <c r="J345" s="25" t="b">
        <v>0</v>
      </c>
      <c r="K345" s="25" t="b">
        <v>1</v>
      </c>
      <c r="L345" s="25"/>
      <c r="M345" s="25"/>
      <c r="N345" s="25" t="str">
        <f>_xlfn.IFNA(VLOOKUP($M345,Buff.CM!$A:$O,13,FALSE),"")</f>
        <v/>
      </c>
      <c r="O345" s="25" t="str">
        <f>_xlfn.IFNA(VLOOKUP($M345,Buff.CM!$A:$O,14,FALSE),"")</f>
        <v/>
      </c>
      <c r="P345" s="25" t="str">
        <f>_xlfn.IFNA(VLOOKUP($M345,Buff.CM!$A:$O,15,FALSE),"")</f>
        <v/>
      </c>
      <c r="Q345" s="25" t="b">
        <v>0</v>
      </c>
      <c r="R345" s="25" t="b">
        <v>0</v>
      </c>
    </row>
    <row r="346" spans="1:18" s="13" customFormat="1">
      <c r="A346" s="25" t="s">
        <v>1263</v>
      </c>
      <c r="B346" s="25"/>
      <c r="C346" s="25"/>
      <c r="D346" s="25">
        <v>0</v>
      </c>
      <c r="E346" s="25">
        <v>0</v>
      </c>
      <c r="F346" s="25">
        <v>0</v>
      </c>
      <c r="G346" s="25" t="s">
        <v>1264</v>
      </c>
      <c r="H346" s="25"/>
      <c r="I346" s="25" t="b">
        <v>0</v>
      </c>
      <c r="J346" s="25" t="b">
        <v>0</v>
      </c>
      <c r="K346" s="25" t="b">
        <v>1</v>
      </c>
      <c r="L346" s="25"/>
      <c r="M346" s="25"/>
      <c r="N346" s="25" t="str">
        <f>_xlfn.IFNA(VLOOKUP($M346,Buff.CM!$A:$O,13,FALSE),"")</f>
        <v/>
      </c>
      <c r="O346" s="25" t="str">
        <f>_xlfn.IFNA(VLOOKUP($M346,Buff.CM!$A:$O,14,FALSE),"")</f>
        <v/>
      </c>
      <c r="P346" s="25" t="str">
        <f>_xlfn.IFNA(VLOOKUP($M346,Buff.CM!$A:$O,15,FALSE),"")</f>
        <v/>
      </c>
      <c r="Q346" s="25" t="b">
        <v>0</v>
      </c>
      <c r="R346" s="25" t="b">
        <v>0</v>
      </c>
    </row>
    <row r="347" spans="1:18" s="13" customFormat="1">
      <c r="A347" s="26" t="s">
        <v>1255</v>
      </c>
      <c r="B347" s="26"/>
      <c r="C347" s="26"/>
      <c r="D347" s="26">
        <v>0</v>
      </c>
      <c r="E347" s="26">
        <v>0</v>
      </c>
      <c r="F347" s="26">
        <v>0</v>
      </c>
      <c r="G347" s="26" t="s">
        <v>1256</v>
      </c>
      <c r="H347" s="26"/>
      <c r="I347" s="26" t="b">
        <v>0</v>
      </c>
      <c r="J347" s="26" t="b">
        <v>0</v>
      </c>
      <c r="K347" s="26" t="b">
        <v>1</v>
      </c>
      <c r="L347" s="26"/>
      <c r="M347" s="26"/>
      <c r="N347" s="26" t="str">
        <f>_xlfn.IFNA(VLOOKUP($M347,Buff.CM!$A:$O,13,FALSE),"")</f>
        <v/>
      </c>
      <c r="O347" s="26" t="str">
        <f>_xlfn.IFNA(VLOOKUP($M347,Buff.CM!$A:$O,14,FALSE),"")</f>
        <v/>
      </c>
      <c r="P347" s="26" t="str">
        <f>_xlfn.IFNA(VLOOKUP($M347,Buff.CM!$A:$O,15,FALSE),"")</f>
        <v/>
      </c>
      <c r="Q347" s="26" t="b">
        <v>0</v>
      </c>
      <c r="R347" s="26" t="b">
        <v>0</v>
      </c>
    </row>
    <row r="348" spans="1:18" s="13" customFormat="1">
      <c r="A348" s="26" t="s">
        <v>1257</v>
      </c>
      <c r="B348" s="26"/>
      <c r="C348" s="26"/>
      <c r="D348" s="26">
        <v>0</v>
      </c>
      <c r="E348" s="26">
        <v>0</v>
      </c>
      <c r="F348" s="26">
        <v>0</v>
      </c>
      <c r="G348" s="26" t="s">
        <v>1089</v>
      </c>
      <c r="H348" s="26"/>
      <c r="I348" s="26" t="b">
        <v>0</v>
      </c>
      <c r="J348" s="26" t="b">
        <v>0</v>
      </c>
      <c r="K348" s="26" t="b">
        <v>1</v>
      </c>
      <c r="L348" s="26"/>
      <c r="M348" s="26"/>
      <c r="N348" s="26" t="str">
        <f>_xlfn.IFNA(VLOOKUP($M348,Buff.CM!$A:$O,13,FALSE),"")</f>
        <v/>
      </c>
      <c r="O348" s="26" t="str">
        <f>_xlfn.IFNA(VLOOKUP($M348,Buff.CM!$A:$O,14,FALSE),"")</f>
        <v/>
      </c>
      <c r="P348" s="26" t="str">
        <f>_xlfn.IFNA(VLOOKUP($M348,Buff.CM!$A:$O,15,FALSE),"")</f>
        <v/>
      </c>
      <c r="Q348" s="26" t="b">
        <v>0</v>
      </c>
      <c r="R348" s="26" t="b">
        <v>0</v>
      </c>
    </row>
    <row r="349" spans="1:18" s="13" customFormat="1">
      <c r="A349" s="26" t="s">
        <v>1258</v>
      </c>
      <c r="B349" s="26"/>
      <c r="C349" s="26"/>
      <c r="D349" s="26">
        <v>0</v>
      </c>
      <c r="E349" s="26">
        <v>0</v>
      </c>
      <c r="F349" s="26">
        <v>0</v>
      </c>
      <c r="G349" s="26" t="s">
        <v>1090</v>
      </c>
      <c r="H349" s="26"/>
      <c r="I349" s="26" t="b">
        <v>0</v>
      </c>
      <c r="J349" s="26" t="b">
        <v>0</v>
      </c>
      <c r="K349" s="26" t="b">
        <v>1</v>
      </c>
      <c r="L349" s="26"/>
      <c r="M349" s="26"/>
      <c r="N349" s="26" t="str">
        <f>_xlfn.IFNA(VLOOKUP($M349,Buff.CM!$A:$O,13,FALSE),"")</f>
        <v/>
      </c>
      <c r="O349" s="26" t="str">
        <f>_xlfn.IFNA(VLOOKUP($M349,Buff.CM!$A:$O,14,FALSE),"")</f>
        <v/>
      </c>
      <c r="P349" s="26" t="str">
        <f>_xlfn.IFNA(VLOOKUP($M349,Buff.CM!$A:$O,15,FALSE),"")</f>
        <v/>
      </c>
      <c r="Q349" s="26" t="b">
        <v>0</v>
      </c>
      <c r="R349" s="26" t="b">
        <v>0</v>
      </c>
    </row>
    <row r="350" spans="1:18">
      <c r="A350" s="53" t="s">
        <v>6536</v>
      </c>
      <c r="B350" s="53"/>
      <c r="C350" s="53"/>
      <c r="D350" s="53">
        <v>700</v>
      </c>
      <c r="E350" s="53">
        <v>0</v>
      </c>
      <c r="F350" s="53">
        <v>0</v>
      </c>
      <c r="G350" s="53" t="s">
        <v>269</v>
      </c>
      <c r="H350" s="157"/>
      <c r="I350" s="53" t="b">
        <v>0</v>
      </c>
      <c r="J350" s="53" t="b">
        <v>1</v>
      </c>
      <c r="K350" s="53" t="b">
        <v>0</v>
      </c>
      <c r="L350" s="53"/>
      <c r="M350" s="53"/>
      <c r="N350" s="53" t="str">
        <f>_xlfn.IFNA(VLOOKUP($M350,Buff.CM!$A:$O,13,FALSE),"")</f>
        <v/>
      </c>
      <c r="O350" s="53" t="str">
        <f>_xlfn.IFNA(VLOOKUP($M350,Buff.CM!$A:$O,14,FALSE),"")</f>
        <v/>
      </c>
      <c r="P350" s="53" t="str">
        <f>_xlfn.IFNA(VLOOKUP($M350,Buff.CM!$A:$O,15,FALSE),"")</f>
        <v/>
      </c>
      <c r="Q350" s="53" t="b">
        <v>0</v>
      </c>
      <c r="R350" s="53" t="b">
        <v>0</v>
      </c>
    </row>
    <row r="351" spans="1:18">
      <c r="A351" s="53" t="s">
        <v>3264</v>
      </c>
      <c r="B351" s="53"/>
      <c r="C351" s="53"/>
      <c r="D351" s="53">
        <v>700</v>
      </c>
      <c r="E351" s="53">
        <v>0</v>
      </c>
      <c r="F351" s="53">
        <v>0</v>
      </c>
      <c r="G351" s="53" t="s">
        <v>269</v>
      </c>
      <c r="H351" s="157"/>
      <c r="I351" s="53" t="b">
        <v>0</v>
      </c>
      <c r="J351" s="53" t="b">
        <v>1</v>
      </c>
      <c r="K351" s="53" t="b">
        <v>0</v>
      </c>
      <c r="L351" s="53"/>
      <c r="M351" s="53"/>
      <c r="N351" s="53" t="str">
        <f>_xlfn.IFNA(VLOOKUP($M351,Buff.CM!$A:$O,13,FALSE),"")</f>
        <v/>
      </c>
      <c r="O351" s="53" t="str">
        <f>_xlfn.IFNA(VLOOKUP($M351,Buff.CM!$A:$O,14,FALSE),"")</f>
        <v/>
      </c>
      <c r="P351" s="53" t="str">
        <f>_xlfn.IFNA(VLOOKUP($M351,Buff.CM!$A:$O,15,FALSE),"")</f>
        <v/>
      </c>
      <c r="Q351" s="53" t="b">
        <v>0</v>
      </c>
      <c r="R351" s="53" t="b">
        <v>0</v>
      </c>
    </row>
    <row r="352" spans="1:18">
      <c r="A352" s="53" t="s">
        <v>3265</v>
      </c>
      <c r="B352" s="53"/>
      <c r="C352" s="53"/>
      <c r="D352" s="53">
        <v>700</v>
      </c>
      <c r="E352" s="53">
        <v>0</v>
      </c>
      <c r="F352" s="53">
        <v>0</v>
      </c>
      <c r="G352" s="53" t="s">
        <v>269</v>
      </c>
      <c r="H352" s="157"/>
      <c r="I352" s="53" t="b">
        <v>0</v>
      </c>
      <c r="J352" s="53" t="b">
        <v>1</v>
      </c>
      <c r="K352" s="53" t="b">
        <v>0</v>
      </c>
      <c r="L352" s="53"/>
      <c r="M352" s="53"/>
      <c r="N352" s="53" t="str">
        <f>_xlfn.IFNA(VLOOKUP($M352,Buff.CM!$A:$O,13,FALSE),"")</f>
        <v/>
      </c>
      <c r="O352" s="53" t="str">
        <f>_xlfn.IFNA(VLOOKUP($M352,Buff.CM!$A:$O,14,FALSE),"")</f>
        <v/>
      </c>
      <c r="P352" s="53" t="str">
        <f>_xlfn.IFNA(VLOOKUP($M352,Buff.CM!$A:$O,15,FALSE),"")</f>
        <v/>
      </c>
      <c r="Q352" s="53" t="b">
        <v>0</v>
      </c>
      <c r="R352" s="53" t="b">
        <v>0</v>
      </c>
    </row>
    <row r="353" spans="1:18">
      <c r="A353" s="53" t="s">
        <v>3266</v>
      </c>
      <c r="B353" s="53"/>
      <c r="C353" s="53"/>
      <c r="D353" s="53">
        <v>700</v>
      </c>
      <c r="E353" s="53">
        <v>0</v>
      </c>
      <c r="F353" s="53">
        <v>0</v>
      </c>
      <c r="G353" s="53" t="s">
        <v>269</v>
      </c>
      <c r="H353" s="157"/>
      <c r="I353" s="53" t="b">
        <v>0</v>
      </c>
      <c r="J353" s="53" t="b">
        <v>1</v>
      </c>
      <c r="K353" s="53" t="b">
        <v>0</v>
      </c>
      <c r="L353" s="53"/>
      <c r="M353" s="53"/>
      <c r="N353" s="53" t="str">
        <f>_xlfn.IFNA(VLOOKUP($M353,Buff.CM!$A:$O,13,FALSE),"")</f>
        <v/>
      </c>
      <c r="O353" s="53" t="str">
        <f>_xlfn.IFNA(VLOOKUP($M353,Buff.CM!$A:$O,14,FALSE),"")</f>
        <v/>
      </c>
      <c r="P353" s="53" t="str">
        <f>_xlfn.IFNA(VLOOKUP($M353,Buff.CM!$A:$O,15,FALSE),"")</f>
        <v/>
      </c>
      <c r="Q353" s="53" t="b">
        <v>0</v>
      </c>
      <c r="R353" s="53" t="b">
        <v>0</v>
      </c>
    </row>
    <row r="354" spans="1:18">
      <c r="A354" s="53" t="s">
        <v>3267</v>
      </c>
      <c r="B354" s="53"/>
      <c r="C354" s="53"/>
      <c r="D354" s="53">
        <v>700</v>
      </c>
      <c r="E354" s="53">
        <v>0</v>
      </c>
      <c r="F354" s="53">
        <v>0</v>
      </c>
      <c r="G354" s="53" t="s">
        <v>269</v>
      </c>
      <c r="H354" s="157"/>
      <c r="I354" s="53" t="b">
        <v>0</v>
      </c>
      <c r="J354" s="53" t="b">
        <v>1</v>
      </c>
      <c r="K354" s="53" t="b">
        <v>0</v>
      </c>
      <c r="L354" s="53"/>
      <c r="M354" s="53"/>
      <c r="N354" s="53" t="str">
        <f>_xlfn.IFNA(VLOOKUP($M354,Buff.CM!$A:$O,13,FALSE),"")</f>
        <v/>
      </c>
      <c r="O354" s="53" t="str">
        <f>_xlfn.IFNA(VLOOKUP($M354,Buff.CM!$A:$O,14,FALSE),"")</f>
        <v/>
      </c>
      <c r="P354" s="53" t="str">
        <f>_xlfn.IFNA(VLOOKUP($M354,Buff.CM!$A:$O,15,FALSE),"")</f>
        <v/>
      </c>
      <c r="Q354" s="53" t="b">
        <v>0</v>
      </c>
      <c r="R354" s="53" t="b">
        <v>0</v>
      </c>
    </row>
    <row r="355" spans="1:18">
      <c r="A355" s="53" t="s">
        <v>3268</v>
      </c>
      <c r="B355" s="53"/>
      <c r="C355" s="53"/>
      <c r="D355" s="53">
        <v>700</v>
      </c>
      <c r="E355" s="53">
        <v>0</v>
      </c>
      <c r="F355" s="53">
        <v>0</v>
      </c>
      <c r="G355" s="53" t="s">
        <v>269</v>
      </c>
      <c r="H355" s="57"/>
      <c r="I355" s="53" t="b">
        <v>0</v>
      </c>
      <c r="J355" s="53" t="b">
        <v>1</v>
      </c>
      <c r="K355" s="53" t="b">
        <v>0</v>
      </c>
      <c r="L355" s="53"/>
      <c r="M355" s="53"/>
      <c r="N355" s="53" t="str">
        <f>_xlfn.IFNA(VLOOKUP($M355,Buff.CM!$A:$O,13,FALSE),"")</f>
        <v/>
      </c>
      <c r="O355" s="53" t="str">
        <f>_xlfn.IFNA(VLOOKUP($M355,Buff.CM!$A:$O,14,FALSE),"")</f>
        <v/>
      </c>
      <c r="P355" s="53" t="str">
        <f>_xlfn.IFNA(VLOOKUP($M355,Buff.CM!$A:$O,15,FALSE),"")</f>
        <v/>
      </c>
      <c r="Q355" s="53" t="b">
        <v>0</v>
      </c>
      <c r="R355" s="53" t="b">
        <v>0</v>
      </c>
    </row>
    <row r="356" spans="1:18">
      <c r="A356" s="53" t="s">
        <v>3269</v>
      </c>
      <c r="B356" s="53"/>
      <c r="C356" s="53"/>
      <c r="D356" s="53">
        <v>700</v>
      </c>
      <c r="E356" s="53">
        <v>0</v>
      </c>
      <c r="F356" s="53">
        <v>0</v>
      </c>
      <c r="G356" s="53" t="s">
        <v>269</v>
      </c>
      <c r="H356" s="57"/>
      <c r="I356" s="53" t="b">
        <v>0</v>
      </c>
      <c r="J356" s="53" t="b">
        <v>1</v>
      </c>
      <c r="K356" s="53" t="b">
        <v>0</v>
      </c>
      <c r="L356" s="53"/>
      <c r="M356" s="53"/>
      <c r="N356" s="53" t="str">
        <f>_xlfn.IFNA(VLOOKUP($M356,Buff.CM!$A:$O,13,FALSE),"")</f>
        <v/>
      </c>
      <c r="O356" s="53" t="str">
        <f>_xlfn.IFNA(VLOOKUP($M356,Buff.CM!$A:$O,14,FALSE),"")</f>
        <v/>
      </c>
      <c r="P356" s="53" t="str">
        <f>_xlfn.IFNA(VLOOKUP($M356,Buff.CM!$A:$O,15,FALSE),"")</f>
        <v/>
      </c>
      <c r="Q356" s="53" t="b">
        <v>0</v>
      </c>
      <c r="R356" s="53" t="b">
        <v>0</v>
      </c>
    </row>
    <row r="357" spans="1:18">
      <c r="A357" s="53" t="s">
        <v>6537</v>
      </c>
      <c r="B357" s="53"/>
      <c r="C357" s="53"/>
      <c r="D357" s="53">
        <v>700</v>
      </c>
      <c r="E357" s="53">
        <v>0</v>
      </c>
      <c r="F357" s="53">
        <v>0</v>
      </c>
      <c r="G357" s="53" t="s">
        <v>112</v>
      </c>
      <c r="H357" s="53"/>
      <c r="I357" s="53" t="b">
        <v>0</v>
      </c>
      <c r="J357" s="53" t="b">
        <v>1</v>
      </c>
      <c r="K357" s="53" t="b">
        <v>0</v>
      </c>
      <c r="L357" s="53"/>
      <c r="M357" s="53"/>
      <c r="N357" s="53" t="str">
        <f>_xlfn.IFNA(VLOOKUP($M357,Buff.CM!$A:$O,13,FALSE),"")</f>
        <v/>
      </c>
      <c r="O357" s="53" t="str">
        <f>_xlfn.IFNA(VLOOKUP($M357,Buff.CM!$A:$O,14,FALSE),"")</f>
        <v/>
      </c>
      <c r="P357" s="53" t="str">
        <f>_xlfn.IFNA(VLOOKUP($M357,Buff.CM!$A:$O,15,FALSE),"")</f>
        <v/>
      </c>
      <c r="Q357" s="53" t="b">
        <v>0</v>
      </c>
      <c r="R357" s="53" t="b">
        <v>0</v>
      </c>
    </row>
    <row r="358" spans="1:18">
      <c r="A358" s="51" t="s">
        <v>2295</v>
      </c>
      <c r="B358" s="51"/>
      <c r="C358" s="51"/>
      <c r="D358" s="51">
        <v>4000</v>
      </c>
      <c r="E358" s="51">
        <v>0</v>
      </c>
      <c r="F358" s="51">
        <v>0</v>
      </c>
      <c r="G358" s="51" t="s">
        <v>1674</v>
      </c>
      <c r="H358" s="51"/>
      <c r="I358" s="51" t="b">
        <v>0</v>
      </c>
      <c r="J358" s="51" t="b">
        <v>0</v>
      </c>
      <c r="K358" s="51" t="b">
        <v>1</v>
      </c>
      <c r="L358" s="51" t="s">
        <v>66</v>
      </c>
      <c r="M358" s="51" t="s">
        <v>1674</v>
      </c>
      <c r="N358" s="51" t="str">
        <f>_xlfn.IFNA(VLOOKUP($M358,Buff.CM!$A:$O,13,FALSE),"")</f>
        <v>icon_battle_defense</v>
      </c>
      <c r="O358" s="51" t="str">
        <f>_xlfn.IFNA(VLOOKUP($M358,Buff.CM!$A:$O,14,FALSE),"")</f>
        <v>Buff.Name.Def.Up.01</v>
      </c>
      <c r="P358" s="51" t="str">
        <f>_xlfn.IFNA(VLOOKUP($M358,Buff.CM!$A:$O,15,FALSE),"")</f>
        <v>Buff.Desc.Def.Up.01</v>
      </c>
      <c r="Q358" s="51" t="b">
        <v>0</v>
      </c>
      <c r="R358" s="51" t="b">
        <v>0</v>
      </c>
    </row>
    <row r="359" spans="1:18">
      <c r="A359" s="51" t="s">
        <v>2296</v>
      </c>
      <c r="B359" s="51"/>
      <c r="C359" s="51"/>
      <c r="D359" s="51">
        <v>5000</v>
      </c>
      <c r="E359" s="51">
        <v>0</v>
      </c>
      <c r="F359" s="51">
        <v>0</v>
      </c>
      <c r="G359" s="51" t="s">
        <v>1674</v>
      </c>
      <c r="H359" s="51"/>
      <c r="I359" s="51" t="b">
        <v>0</v>
      </c>
      <c r="J359" s="51" t="b">
        <v>0</v>
      </c>
      <c r="K359" s="51" t="b">
        <v>1</v>
      </c>
      <c r="L359" s="51" t="s">
        <v>66</v>
      </c>
      <c r="M359" s="51" t="s">
        <v>1674</v>
      </c>
      <c r="N359" s="51" t="str">
        <f>_xlfn.IFNA(VLOOKUP($M359,Buff.CM!$A:$O,13,FALSE),"")</f>
        <v>icon_battle_defense</v>
      </c>
      <c r="O359" s="51" t="str">
        <f>_xlfn.IFNA(VLOOKUP($M359,Buff.CM!$A:$O,14,FALSE),"")</f>
        <v>Buff.Name.Def.Up.01</v>
      </c>
      <c r="P359" s="51" t="str">
        <f>_xlfn.IFNA(VLOOKUP($M359,Buff.CM!$A:$O,15,FALSE),"")</f>
        <v>Buff.Desc.Def.Up.01</v>
      </c>
      <c r="Q359" s="51" t="b">
        <v>0</v>
      </c>
      <c r="R359" s="51" t="b">
        <v>0</v>
      </c>
    </row>
    <row r="360" spans="1:18">
      <c r="A360" s="51" t="s">
        <v>2596</v>
      </c>
      <c r="B360" s="51"/>
      <c r="C360" s="51"/>
      <c r="D360" s="51">
        <v>5000</v>
      </c>
      <c r="E360" s="51">
        <v>0</v>
      </c>
      <c r="F360" s="51">
        <v>0</v>
      </c>
      <c r="G360" s="51" t="s">
        <v>1420</v>
      </c>
      <c r="H360" s="51"/>
      <c r="I360" s="51" t="b">
        <v>0</v>
      </c>
      <c r="J360" s="51" t="b">
        <v>0</v>
      </c>
      <c r="K360" s="51" t="b">
        <v>1</v>
      </c>
      <c r="L360" s="51" t="s">
        <v>66</v>
      </c>
      <c r="M360" s="51" t="s">
        <v>1420</v>
      </c>
      <c r="N360" s="51" t="str">
        <f>_xlfn.IFNA(VLOOKUP($M360,Buff.CM!$A:$O,13,FALSE),"")</f>
        <v>icon_battle_defense</v>
      </c>
      <c r="O360" s="51" t="str">
        <f>_xlfn.IFNA(VLOOKUP($M360,Buff.CM!$A:$O,14,FALSE),"")</f>
        <v>Buff.Name.Def.Up.02</v>
      </c>
      <c r="P360" s="51" t="str">
        <f>_xlfn.IFNA(VLOOKUP($M360,Buff.CM!$A:$O,15,FALSE),"")</f>
        <v>Buff.Desc.Def.Up.02</v>
      </c>
      <c r="Q360" s="51" t="b">
        <v>0</v>
      </c>
      <c r="R360" s="51" t="b">
        <v>0</v>
      </c>
    </row>
    <row r="361" spans="1:18">
      <c r="A361" s="34" t="s">
        <v>2597</v>
      </c>
      <c r="B361" s="34"/>
      <c r="C361" s="34"/>
      <c r="D361" s="34">
        <v>6000</v>
      </c>
      <c r="E361" s="34">
        <v>0</v>
      </c>
      <c r="F361" s="34">
        <v>0</v>
      </c>
      <c r="G361" s="34" t="s">
        <v>1420</v>
      </c>
      <c r="H361" s="34"/>
      <c r="I361" s="34" t="b">
        <v>0</v>
      </c>
      <c r="J361" s="34" t="b">
        <v>0</v>
      </c>
      <c r="K361" s="34" t="b">
        <v>1</v>
      </c>
      <c r="L361" s="34" t="s">
        <v>66</v>
      </c>
      <c r="M361" s="34" t="s">
        <v>1420</v>
      </c>
      <c r="N361" s="34" t="str">
        <f>_xlfn.IFNA(VLOOKUP($M361,Buff.CM!$A:$O,13,FALSE),"")</f>
        <v>icon_battle_defense</v>
      </c>
      <c r="O361" s="34" t="str">
        <f>_xlfn.IFNA(VLOOKUP($M361,Buff.CM!$A:$O,14,FALSE),"")</f>
        <v>Buff.Name.Def.Up.02</v>
      </c>
      <c r="P361" s="34" t="str">
        <f>_xlfn.IFNA(VLOOKUP($M361,Buff.CM!$A:$O,15,FALSE),"")</f>
        <v>Buff.Desc.Def.Up.02</v>
      </c>
      <c r="Q361" s="34" t="b">
        <v>0</v>
      </c>
      <c r="R361" s="34" t="b">
        <v>0</v>
      </c>
    </row>
    <row r="362" spans="1:18">
      <c r="A362" s="34" t="s">
        <v>2598</v>
      </c>
      <c r="B362" s="34"/>
      <c r="C362" s="34"/>
      <c r="D362" s="34">
        <v>6000</v>
      </c>
      <c r="E362" s="34">
        <v>0</v>
      </c>
      <c r="F362" s="34">
        <v>0</v>
      </c>
      <c r="G362" s="34" t="s">
        <v>1422</v>
      </c>
      <c r="H362" s="34"/>
      <c r="I362" s="34" t="b">
        <v>0</v>
      </c>
      <c r="J362" s="34" t="b">
        <v>0</v>
      </c>
      <c r="K362" s="34" t="b">
        <v>1</v>
      </c>
      <c r="L362" s="34" t="s">
        <v>66</v>
      </c>
      <c r="M362" s="34" t="s">
        <v>1422</v>
      </c>
      <c r="N362" s="34" t="str">
        <f>_xlfn.IFNA(VLOOKUP($M362,Buff.CM!$A:$O,13,FALSE),"")</f>
        <v>icon_battle_defense</v>
      </c>
      <c r="O362" s="34" t="str">
        <f>_xlfn.IFNA(VLOOKUP($M362,Buff.CM!$A:$O,14,FALSE),"")</f>
        <v>Buff.Name.Def.Up.04</v>
      </c>
      <c r="P362" s="34" t="str">
        <f>_xlfn.IFNA(VLOOKUP($M362,Buff.CM!$A:$O,15,FALSE),"")</f>
        <v>Buff.Desc.Def.Up.04</v>
      </c>
      <c r="Q362" s="34" t="b">
        <v>0</v>
      </c>
      <c r="R362" s="34" t="b">
        <v>0</v>
      </c>
    </row>
    <row r="363" spans="1:18">
      <c r="A363" s="34" t="s">
        <v>2599</v>
      </c>
      <c r="B363" s="34"/>
      <c r="C363" s="34"/>
      <c r="D363" s="34">
        <v>6000</v>
      </c>
      <c r="E363" s="34">
        <v>0</v>
      </c>
      <c r="F363" s="34">
        <v>0</v>
      </c>
      <c r="G363" s="34" t="s">
        <v>1422</v>
      </c>
      <c r="H363" s="34"/>
      <c r="I363" s="34" t="b">
        <v>0</v>
      </c>
      <c r="J363" s="34" t="b">
        <v>0</v>
      </c>
      <c r="K363" s="34" t="b">
        <v>1</v>
      </c>
      <c r="L363" s="34" t="s">
        <v>66</v>
      </c>
      <c r="M363" s="34" t="s">
        <v>1422</v>
      </c>
      <c r="N363" s="34" t="str">
        <f>_xlfn.IFNA(VLOOKUP($M363,Buff.CM!$A:$O,13,FALSE),"")</f>
        <v>icon_battle_defense</v>
      </c>
      <c r="O363" s="34" t="str">
        <f>_xlfn.IFNA(VLOOKUP($M363,Buff.CM!$A:$O,14,FALSE),"")</f>
        <v>Buff.Name.Def.Up.04</v>
      </c>
      <c r="P363" s="34" t="str">
        <f>_xlfn.IFNA(VLOOKUP($M363,Buff.CM!$A:$O,15,FALSE),"")</f>
        <v>Buff.Desc.Def.Up.04</v>
      </c>
      <c r="Q363" s="34" t="b">
        <v>0</v>
      </c>
      <c r="R363" s="34" t="b">
        <v>0</v>
      </c>
    </row>
    <row r="364" spans="1:18">
      <c r="A364" s="53" t="s">
        <v>2297</v>
      </c>
      <c r="B364" s="53"/>
      <c r="C364" s="53"/>
      <c r="D364" s="53">
        <v>3000</v>
      </c>
      <c r="E364" s="53">
        <v>0</v>
      </c>
      <c r="F364" s="53">
        <v>0</v>
      </c>
      <c r="G364" s="53" t="s">
        <v>265</v>
      </c>
      <c r="H364" s="53"/>
      <c r="I364" s="53" t="b">
        <v>0</v>
      </c>
      <c r="J364" s="53" t="b">
        <v>0</v>
      </c>
      <c r="K364" s="53" t="b">
        <v>0</v>
      </c>
      <c r="L364" s="53" t="s">
        <v>286</v>
      </c>
      <c r="M364" s="53" t="s">
        <v>5462</v>
      </c>
      <c r="N364" s="53" t="str">
        <f>_xlfn.IFNA(VLOOKUP($M364,Buff.CM!$A:$O,13,FALSE),"")</f>
        <v>icon_battle_provoke</v>
      </c>
      <c r="O364" s="53" t="str">
        <f>_xlfn.IFNA(VLOOKUP($M364,Buff.CM!$A:$O,14,FALSE),"")</f>
        <v>Buff.Name.Provoke</v>
      </c>
      <c r="P364" s="53" t="str">
        <f>_xlfn.IFNA(VLOOKUP($M364,Buff.CM!$A:$O,15,FALSE),"")</f>
        <v>Buff.Desc.Provoke</v>
      </c>
      <c r="Q364" s="53" t="b">
        <v>0</v>
      </c>
      <c r="R364" s="53" t="b">
        <v>0</v>
      </c>
    </row>
    <row r="365" spans="1:18">
      <c r="A365" s="53" t="s">
        <v>2298</v>
      </c>
      <c r="B365" s="53"/>
      <c r="C365" s="53"/>
      <c r="D365" s="53">
        <v>3000</v>
      </c>
      <c r="E365" s="53">
        <v>0</v>
      </c>
      <c r="F365" s="53">
        <v>0</v>
      </c>
      <c r="G365" s="53" t="s">
        <v>265</v>
      </c>
      <c r="H365" s="53"/>
      <c r="I365" s="53" t="b">
        <v>0</v>
      </c>
      <c r="J365" s="53" t="b">
        <v>0</v>
      </c>
      <c r="K365" s="53" t="b">
        <v>0</v>
      </c>
      <c r="L365" s="53" t="s">
        <v>286</v>
      </c>
      <c r="M365" s="53" t="s">
        <v>5462</v>
      </c>
      <c r="N365" s="53" t="str">
        <f>_xlfn.IFNA(VLOOKUP($M365,Buff.CM!$A:$O,13,FALSE),"")</f>
        <v>icon_battle_provoke</v>
      </c>
      <c r="O365" s="53" t="str">
        <f>_xlfn.IFNA(VLOOKUP($M365,Buff.CM!$A:$O,14,FALSE),"")</f>
        <v>Buff.Name.Provoke</v>
      </c>
      <c r="P365" s="53" t="str">
        <f>_xlfn.IFNA(VLOOKUP($M365,Buff.CM!$A:$O,15,FALSE),"")</f>
        <v>Buff.Desc.Provoke</v>
      </c>
      <c r="Q365" s="53" t="b">
        <v>0</v>
      </c>
      <c r="R365" s="53" t="b">
        <v>0</v>
      </c>
    </row>
    <row r="366" spans="1:18">
      <c r="A366" s="53" t="s">
        <v>2299</v>
      </c>
      <c r="B366" s="53"/>
      <c r="C366" s="53"/>
      <c r="D366" s="53">
        <v>3000</v>
      </c>
      <c r="E366" s="53">
        <v>0</v>
      </c>
      <c r="F366" s="53">
        <v>0</v>
      </c>
      <c r="G366" s="53" t="s">
        <v>265</v>
      </c>
      <c r="H366" s="53"/>
      <c r="I366" s="53" t="b">
        <v>0</v>
      </c>
      <c r="J366" s="53" t="b">
        <v>0</v>
      </c>
      <c r="K366" s="53" t="b">
        <v>0</v>
      </c>
      <c r="L366" s="53" t="s">
        <v>286</v>
      </c>
      <c r="M366" s="53" t="s">
        <v>5462</v>
      </c>
      <c r="N366" s="53" t="str">
        <f>_xlfn.IFNA(VLOOKUP($M366,Buff.CM!$A:$O,13,FALSE),"")</f>
        <v>icon_battle_provoke</v>
      </c>
      <c r="O366" s="53" t="str">
        <f>_xlfn.IFNA(VLOOKUP($M366,Buff.CM!$A:$O,14,FALSE),"")</f>
        <v>Buff.Name.Provoke</v>
      </c>
      <c r="P366" s="53" t="str">
        <f>_xlfn.IFNA(VLOOKUP($M366,Buff.CM!$A:$O,15,FALSE),"")</f>
        <v>Buff.Desc.Provoke</v>
      </c>
      <c r="Q366" s="53" t="b">
        <v>0</v>
      </c>
      <c r="R366" s="53" t="b">
        <v>0</v>
      </c>
    </row>
    <row r="367" spans="1:18">
      <c r="A367" s="53" t="s">
        <v>2300</v>
      </c>
      <c r="B367" s="53"/>
      <c r="C367" s="53"/>
      <c r="D367" s="53">
        <v>4000</v>
      </c>
      <c r="E367" s="53">
        <v>0</v>
      </c>
      <c r="F367" s="53">
        <v>0</v>
      </c>
      <c r="G367" s="53" t="s">
        <v>265</v>
      </c>
      <c r="H367" s="53"/>
      <c r="I367" s="53" t="b">
        <v>0</v>
      </c>
      <c r="J367" s="53" t="b">
        <v>0</v>
      </c>
      <c r="K367" s="53" t="b">
        <v>0</v>
      </c>
      <c r="L367" s="53" t="s">
        <v>286</v>
      </c>
      <c r="M367" s="53" t="s">
        <v>5462</v>
      </c>
      <c r="N367" s="53" t="str">
        <f>_xlfn.IFNA(VLOOKUP($M367,Buff.CM!$A:$O,13,FALSE),"")</f>
        <v>icon_battle_provoke</v>
      </c>
      <c r="O367" s="53" t="str">
        <f>_xlfn.IFNA(VLOOKUP($M367,Buff.CM!$A:$O,14,FALSE),"")</f>
        <v>Buff.Name.Provoke</v>
      </c>
      <c r="P367" s="53" t="str">
        <f>_xlfn.IFNA(VLOOKUP($M367,Buff.CM!$A:$O,15,FALSE),"")</f>
        <v>Buff.Desc.Provoke</v>
      </c>
      <c r="Q367" s="53" t="b">
        <v>0</v>
      </c>
      <c r="R367" s="53" t="b">
        <v>0</v>
      </c>
    </row>
    <row r="368" spans="1:18">
      <c r="A368" s="51" t="s">
        <v>392</v>
      </c>
      <c r="B368" s="51"/>
      <c r="C368" s="51"/>
      <c r="D368" s="51">
        <v>0</v>
      </c>
      <c r="E368" s="51">
        <v>0</v>
      </c>
      <c r="F368" s="51">
        <v>0</v>
      </c>
      <c r="G368" s="51" t="s">
        <v>393</v>
      </c>
      <c r="H368" s="51"/>
      <c r="I368" s="51" t="b">
        <v>0</v>
      </c>
      <c r="J368" s="23" t="b">
        <v>1</v>
      </c>
      <c r="K368" s="51" t="b">
        <v>1</v>
      </c>
      <c r="L368" s="51"/>
      <c r="M368" s="51"/>
      <c r="N368" s="51" t="str">
        <f>_xlfn.IFNA(VLOOKUP($M368,Buff.CM!$A:$O,13,FALSE),"")</f>
        <v/>
      </c>
      <c r="O368" s="51" t="str">
        <f>_xlfn.IFNA(VLOOKUP($M368,Buff.CM!$A:$O,14,FALSE),"")</f>
        <v/>
      </c>
      <c r="P368" s="51" t="str">
        <f>_xlfn.IFNA(VLOOKUP($M368,Buff.CM!$A:$O,15,FALSE),"")</f>
        <v/>
      </c>
      <c r="Q368" s="51" t="b">
        <v>0</v>
      </c>
      <c r="R368" s="51" t="b">
        <v>0</v>
      </c>
    </row>
    <row r="369" spans="1:18">
      <c r="A369" s="51" t="s">
        <v>394</v>
      </c>
      <c r="B369" s="51"/>
      <c r="C369" s="51"/>
      <c r="D369" s="51">
        <v>0</v>
      </c>
      <c r="E369" s="51">
        <v>0</v>
      </c>
      <c r="F369" s="51">
        <v>0</v>
      </c>
      <c r="G369" s="51" t="s">
        <v>395</v>
      </c>
      <c r="H369" s="51"/>
      <c r="I369" s="51" t="b">
        <v>0</v>
      </c>
      <c r="J369" s="23" t="b">
        <v>1</v>
      </c>
      <c r="K369" s="51" t="b">
        <v>1</v>
      </c>
      <c r="L369" s="51"/>
      <c r="M369" s="51"/>
      <c r="N369" s="51" t="str">
        <f>_xlfn.IFNA(VLOOKUP($M369,Buff.CM!$A:$O,13,FALSE),"")</f>
        <v/>
      </c>
      <c r="O369" s="51" t="str">
        <f>_xlfn.IFNA(VLOOKUP($M369,Buff.CM!$A:$O,14,FALSE),"")</f>
        <v/>
      </c>
      <c r="P369" s="51" t="str">
        <f>_xlfn.IFNA(VLOOKUP($M369,Buff.CM!$A:$O,15,FALSE),"")</f>
        <v/>
      </c>
      <c r="Q369" s="51" t="b">
        <v>0</v>
      </c>
      <c r="R369" s="51" t="b">
        <v>0</v>
      </c>
    </row>
    <row r="370" spans="1:18">
      <c r="A370" s="51" t="s">
        <v>396</v>
      </c>
      <c r="B370" s="51"/>
      <c r="C370" s="51"/>
      <c r="D370" s="51">
        <v>0</v>
      </c>
      <c r="E370" s="51">
        <v>0</v>
      </c>
      <c r="F370" s="51">
        <v>0</v>
      </c>
      <c r="G370" s="51" t="s">
        <v>397</v>
      </c>
      <c r="H370" s="51"/>
      <c r="I370" s="51" t="b">
        <v>0</v>
      </c>
      <c r="J370" s="23" t="b">
        <v>1</v>
      </c>
      <c r="K370" s="51" t="b">
        <v>1</v>
      </c>
      <c r="L370" s="51"/>
      <c r="M370" s="51"/>
      <c r="N370" s="51" t="str">
        <f>_xlfn.IFNA(VLOOKUP($M370,Buff.CM!$A:$O,13,FALSE),"")</f>
        <v/>
      </c>
      <c r="O370" s="51" t="str">
        <f>_xlfn.IFNA(VLOOKUP($M370,Buff.CM!$A:$O,14,FALSE),"")</f>
        <v/>
      </c>
      <c r="P370" s="51" t="str">
        <f>_xlfn.IFNA(VLOOKUP($M370,Buff.CM!$A:$O,15,FALSE),"")</f>
        <v/>
      </c>
      <c r="Q370" s="51" t="b">
        <v>0</v>
      </c>
      <c r="R370" s="51" t="b">
        <v>0</v>
      </c>
    </row>
    <row r="371" spans="1:18">
      <c r="A371" s="34" t="s">
        <v>398</v>
      </c>
      <c r="B371" s="34"/>
      <c r="C371" s="34"/>
      <c r="D371" s="34">
        <v>0</v>
      </c>
      <c r="E371" s="34">
        <v>0</v>
      </c>
      <c r="F371" s="34">
        <v>0</v>
      </c>
      <c r="G371" s="34" t="s">
        <v>399</v>
      </c>
      <c r="H371" s="34"/>
      <c r="I371" s="34" t="b">
        <v>0</v>
      </c>
      <c r="J371" s="23" t="b">
        <v>1</v>
      </c>
      <c r="K371" s="34" t="b">
        <v>1</v>
      </c>
      <c r="L371" s="34"/>
      <c r="M371" s="34"/>
      <c r="N371" s="34" t="str">
        <f>_xlfn.IFNA(VLOOKUP($M371,Buff.CM!$A:$O,13,FALSE),"")</f>
        <v/>
      </c>
      <c r="O371" s="34" t="str">
        <f>_xlfn.IFNA(VLOOKUP($M371,Buff.CM!$A:$O,14,FALSE),"")</f>
        <v/>
      </c>
      <c r="P371" s="34" t="str">
        <f>_xlfn.IFNA(VLOOKUP($M371,Buff.CM!$A:$O,15,FALSE),"")</f>
        <v/>
      </c>
      <c r="Q371" s="34" t="b">
        <v>0</v>
      </c>
      <c r="R371" s="34" t="b">
        <v>0</v>
      </c>
    </row>
    <row r="372" spans="1:18">
      <c r="A372" s="34" t="s">
        <v>400</v>
      </c>
      <c r="B372" s="34"/>
      <c r="C372" s="34"/>
      <c r="D372" s="34">
        <v>0</v>
      </c>
      <c r="E372" s="34">
        <v>0</v>
      </c>
      <c r="F372" s="34">
        <v>0</v>
      </c>
      <c r="G372" s="34" t="s">
        <v>401</v>
      </c>
      <c r="H372" s="34"/>
      <c r="I372" s="34" t="b">
        <v>0</v>
      </c>
      <c r="J372" s="23" t="b">
        <v>1</v>
      </c>
      <c r="K372" s="34" t="b">
        <v>1</v>
      </c>
      <c r="L372" s="34"/>
      <c r="M372" s="34"/>
      <c r="N372" s="34" t="str">
        <f>_xlfn.IFNA(VLOOKUP($M372,Buff.CM!$A:$O,13,FALSE),"")</f>
        <v/>
      </c>
      <c r="O372" s="34" t="str">
        <f>_xlfn.IFNA(VLOOKUP($M372,Buff.CM!$A:$O,14,FALSE),"")</f>
        <v/>
      </c>
      <c r="P372" s="34" t="str">
        <f>_xlfn.IFNA(VLOOKUP($M372,Buff.CM!$A:$O,15,FALSE),"")</f>
        <v/>
      </c>
      <c r="Q372" s="34" t="b">
        <v>0</v>
      </c>
      <c r="R372" s="34" t="b">
        <v>0</v>
      </c>
    </row>
    <row r="373" spans="1:18">
      <c r="A373" s="34" t="s">
        <v>402</v>
      </c>
      <c r="B373" s="34"/>
      <c r="C373" s="34"/>
      <c r="D373" s="34">
        <v>0</v>
      </c>
      <c r="E373" s="34">
        <v>0</v>
      </c>
      <c r="F373" s="34">
        <v>0</v>
      </c>
      <c r="G373" s="34" t="s">
        <v>403</v>
      </c>
      <c r="H373" s="34"/>
      <c r="I373" s="34" t="b">
        <v>0</v>
      </c>
      <c r="J373" s="23" t="b">
        <v>1</v>
      </c>
      <c r="K373" s="34" t="b">
        <v>1</v>
      </c>
      <c r="L373" s="34"/>
      <c r="M373" s="34"/>
      <c r="N373" s="34" t="str">
        <f>_xlfn.IFNA(VLOOKUP($M373,Buff.CM!$A:$O,13,FALSE),"")</f>
        <v/>
      </c>
      <c r="O373" s="34" t="str">
        <f>_xlfn.IFNA(VLOOKUP($M373,Buff.CM!$A:$O,14,FALSE),"")</f>
        <v/>
      </c>
      <c r="P373" s="34" t="str">
        <f>_xlfn.IFNA(VLOOKUP($M373,Buff.CM!$A:$O,15,FALSE),"")</f>
        <v/>
      </c>
      <c r="Q373" s="34" t="b">
        <v>0</v>
      </c>
      <c r="R373" s="34" t="b">
        <v>0</v>
      </c>
    </row>
    <row r="374" spans="1:18">
      <c r="A374" s="53" t="s">
        <v>2315</v>
      </c>
      <c r="B374" s="53"/>
      <c r="C374" s="53"/>
      <c r="D374" s="53">
        <v>0</v>
      </c>
      <c r="E374" s="53">
        <v>0</v>
      </c>
      <c r="F374" s="53">
        <v>0</v>
      </c>
      <c r="G374" s="53" t="s">
        <v>2321</v>
      </c>
      <c r="H374" s="53"/>
      <c r="I374" s="53" t="b">
        <v>0</v>
      </c>
      <c r="J374" s="23" t="b">
        <v>1</v>
      </c>
      <c r="K374" s="53" t="b">
        <v>1</v>
      </c>
      <c r="L374" s="53" t="s">
        <v>66</v>
      </c>
      <c r="M374" s="53" t="s">
        <v>5544</v>
      </c>
      <c r="N374" s="53" t="str">
        <f>_xlfn.IFNA(VLOOKUP($M374,Buff.CM!$A:$O,13,FALSE),"")</f>
        <v>icon_battle_defense</v>
      </c>
      <c r="O374" s="53" t="str">
        <f>_xlfn.IFNA(VLOOKUP($M374,Buff.CM!$A:$O,14,FALSE),"")</f>
        <v>Buff.Name.Def.Up.00</v>
      </c>
      <c r="P374" s="53" t="str">
        <f>_xlfn.IFNA(VLOOKUP($M374,Buff.CM!$A:$O,15,FALSE),"")</f>
        <v>Buff.Desc.Def.Up.00</v>
      </c>
      <c r="Q374" s="53" t="b">
        <v>0</v>
      </c>
      <c r="R374" s="53" t="b">
        <v>0</v>
      </c>
    </row>
    <row r="375" spans="1:18">
      <c r="A375" s="53" t="s">
        <v>2316</v>
      </c>
      <c r="B375" s="53"/>
      <c r="C375" s="53"/>
      <c r="D375" s="53">
        <v>0</v>
      </c>
      <c r="E375" s="53">
        <v>0</v>
      </c>
      <c r="F375" s="53">
        <v>0</v>
      </c>
      <c r="G375" s="53" t="s">
        <v>2322</v>
      </c>
      <c r="H375" s="53"/>
      <c r="I375" s="53" t="b">
        <v>0</v>
      </c>
      <c r="J375" s="23" t="b">
        <v>1</v>
      </c>
      <c r="K375" s="53" t="b">
        <v>1</v>
      </c>
      <c r="L375" s="53" t="s">
        <v>66</v>
      </c>
      <c r="M375" s="53" t="s">
        <v>5544</v>
      </c>
      <c r="N375" s="53" t="str">
        <f>_xlfn.IFNA(VLOOKUP($M375,Buff.CM!$A:$O,13,FALSE),"")</f>
        <v>icon_battle_defense</v>
      </c>
      <c r="O375" s="53" t="str">
        <f>_xlfn.IFNA(VLOOKUP($M375,Buff.CM!$A:$O,14,FALSE),"")</f>
        <v>Buff.Name.Def.Up.00</v>
      </c>
      <c r="P375" s="53" t="str">
        <f>_xlfn.IFNA(VLOOKUP($M375,Buff.CM!$A:$O,15,FALSE),"")</f>
        <v>Buff.Desc.Def.Up.00</v>
      </c>
      <c r="Q375" s="53" t="b">
        <v>0</v>
      </c>
      <c r="R375" s="53" t="b">
        <v>0</v>
      </c>
    </row>
    <row r="376" spans="1:18">
      <c r="A376" s="53" t="s">
        <v>2317</v>
      </c>
      <c r="B376" s="53"/>
      <c r="C376" s="53"/>
      <c r="D376" s="53">
        <v>0</v>
      </c>
      <c r="E376" s="53">
        <v>0</v>
      </c>
      <c r="F376" s="53">
        <v>0</v>
      </c>
      <c r="G376" s="53" t="s">
        <v>2323</v>
      </c>
      <c r="H376" s="53"/>
      <c r="I376" s="53" t="b">
        <v>0</v>
      </c>
      <c r="J376" s="23" t="b">
        <v>1</v>
      </c>
      <c r="K376" s="53" t="b">
        <v>1</v>
      </c>
      <c r="L376" s="53" t="s">
        <v>66</v>
      </c>
      <c r="M376" s="53" t="s">
        <v>5544</v>
      </c>
      <c r="N376" s="53" t="str">
        <f>_xlfn.IFNA(VLOOKUP($M376,Buff.CM!$A:$O,13,FALSE),"")</f>
        <v>icon_battle_defense</v>
      </c>
      <c r="O376" s="53" t="str">
        <f>_xlfn.IFNA(VLOOKUP($M376,Buff.CM!$A:$O,14,FALSE),"")</f>
        <v>Buff.Name.Def.Up.00</v>
      </c>
      <c r="P376" s="53" t="str">
        <f>_xlfn.IFNA(VLOOKUP($M376,Buff.CM!$A:$O,15,FALSE),"")</f>
        <v>Buff.Desc.Def.Up.00</v>
      </c>
      <c r="Q376" s="53" t="b">
        <v>0</v>
      </c>
      <c r="R376" s="53" t="b">
        <v>0</v>
      </c>
    </row>
    <row r="377" spans="1:18">
      <c r="A377" s="34" t="s">
        <v>2318</v>
      </c>
      <c r="B377" s="34"/>
      <c r="C377" s="34"/>
      <c r="D377" s="34">
        <v>0</v>
      </c>
      <c r="E377" s="34">
        <v>0</v>
      </c>
      <c r="F377" s="34">
        <v>0</v>
      </c>
      <c r="G377" s="34" t="s">
        <v>2324</v>
      </c>
      <c r="H377" s="34"/>
      <c r="I377" s="34" t="b">
        <v>0</v>
      </c>
      <c r="J377" s="23" t="b">
        <v>1</v>
      </c>
      <c r="K377" s="34" t="b">
        <v>1</v>
      </c>
      <c r="L377" s="34" t="s">
        <v>66</v>
      </c>
      <c r="M377" s="34" t="s">
        <v>5544</v>
      </c>
      <c r="N377" s="34" t="str">
        <f>_xlfn.IFNA(VLOOKUP($M377,Buff.CM!$A:$O,13,FALSE),"")</f>
        <v>icon_battle_defense</v>
      </c>
      <c r="O377" s="34" t="str">
        <f>_xlfn.IFNA(VLOOKUP($M377,Buff.CM!$A:$O,14,FALSE),"")</f>
        <v>Buff.Name.Def.Up.00</v>
      </c>
      <c r="P377" s="34" t="str">
        <f>_xlfn.IFNA(VLOOKUP($M377,Buff.CM!$A:$O,15,FALSE),"")</f>
        <v>Buff.Desc.Def.Up.00</v>
      </c>
      <c r="Q377" s="34" t="b">
        <v>0</v>
      </c>
      <c r="R377" s="34" t="b">
        <v>0</v>
      </c>
    </row>
    <row r="378" spans="1:18">
      <c r="A378" s="34" t="s">
        <v>2319</v>
      </c>
      <c r="B378" s="34"/>
      <c r="C378" s="34"/>
      <c r="D378" s="34">
        <v>0</v>
      </c>
      <c r="E378" s="34">
        <v>0</v>
      </c>
      <c r="F378" s="34">
        <v>0</v>
      </c>
      <c r="G378" s="34" t="s">
        <v>2325</v>
      </c>
      <c r="H378" s="34"/>
      <c r="I378" s="34" t="b">
        <v>0</v>
      </c>
      <c r="J378" s="23" t="b">
        <v>1</v>
      </c>
      <c r="K378" s="34" t="b">
        <v>1</v>
      </c>
      <c r="L378" s="34" t="s">
        <v>66</v>
      </c>
      <c r="M378" s="34" t="s">
        <v>5544</v>
      </c>
      <c r="N378" s="34" t="str">
        <f>_xlfn.IFNA(VLOOKUP($M378,Buff.CM!$A:$O,13,FALSE),"")</f>
        <v>icon_battle_defense</v>
      </c>
      <c r="O378" s="34" t="str">
        <f>_xlfn.IFNA(VLOOKUP($M378,Buff.CM!$A:$O,14,FALSE),"")</f>
        <v>Buff.Name.Def.Up.00</v>
      </c>
      <c r="P378" s="34" t="str">
        <f>_xlfn.IFNA(VLOOKUP($M378,Buff.CM!$A:$O,15,FALSE),"")</f>
        <v>Buff.Desc.Def.Up.00</v>
      </c>
      <c r="Q378" s="34" t="b">
        <v>0</v>
      </c>
      <c r="R378" s="34" t="b">
        <v>0</v>
      </c>
    </row>
    <row r="379" spans="1:18">
      <c r="A379" s="34" t="s">
        <v>2320</v>
      </c>
      <c r="B379" s="34"/>
      <c r="C379" s="34"/>
      <c r="D379" s="34">
        <v>0</v>
      </c>
      <c r="E379" s="34">
        <v>0</v>
      </c>
      <c r="F379" s="34">
        <v>0</v>
      </c>
      <c r="G379" s="34" t="s">
        <v>2326</v>
      </c>
      <c r="H379" s="34"/>
      <c r="I379" s="34" t="b">
        <v>0</v>
      </c>
      <c r="J379" s="23" t="b">
        <v>1</v>
      </c>
      <c r="K379" s="34" t="b">
        <v>1</v>
      </c>
      <c r="L379" s="34" t="s">
        <v>66</v>
      </c>
      <c r="M379" s="34" t="s">
        <v>5544</v>
      </c>
      <c r="N379" s="34" t="str">
        <f>_xlfn.IFNA(VLOOKUP($M379,Buff.CM!$A:$O,13,FALSE),"")</f>
        <v>icon_battle_defense</v>
      </c>
      <c r="O379" s="34" t="str">
        <f>_xlfn.IFNA(VLOOKUP($M379,Buff.CM!$A:$O,14,FALSE),"")</f>
        <v>Buff.Name.Def.Up.00</v>
      </c>
      <c r="P379" s="34" t="str">
        <f>_xlfn.IFNA(VLOOKUP($M379,Buff.CM!$A:$O,15,FALSE),"")</f>
        <v>Buff.Desc.Def.Up.00</v>
      </c>
      <c r="Q379" s="34" t="b">
        <v>0</v>
      </c>
      <c r="R379" s="34" t="b">
        <v>0</v>
      </c>
    </row>
    <row r="380" spans="1:18">
      <c r="A380" s="51" t="s">
        <v>2301</v>
      </c>
      <c r="B380" s="51"/>
      <c r="C380" s="51"/>
      <c r="D380" s="51">
        <v>0</v>
      </c>
      <c r="E380" s="51">
        <v>0</v>
      </c>
      <c r="F380" s="51">
        <v>0</v>
      </c>
      <c r="G380" s="51" t="s">
        <v>2309</v>
      </c>
      <c r="H380" s="51"/>
      <c r="I380" s="51" t="b">
        <v>0</v>
      </c>
      <c r="J380" s="23" t="b">
        <v>1</v>
      </c>
      <c r="K380" s="51" t="b">
        <v>1</v>
      </c>
      <c r="L380" s="51"/>
      <c r="M380" s="51"/>
      <c r="N380" s="51" t="str">
        <f>_xlfn.IFNA(VLOOKUP($M380,Buff.CM!$A:$O,13,FALSE),"")</f>
        <v/>
      </c>
      <c r="O380" s="51" t="str">
        <f>_xlfn.IFNA(VLOOKUP($M380,Buff.CM!$A:$O,14,FALSE),"")</f>
        <v/>
      </c>
      <c r="P380" s="51" t="str">
        <f>_xlfn.IFNA(VLOOKUP($M380,Buff.CM!$A:$O,15,FALSE),"")</f>
        <v/>
      </c>
      <c r="Q380" s="51" t="b">
        <v>0</v>
      </c>
      <c r="R380" s="51" t="b">
        <v>0</v>
      </c>
    </row>
    <row r="381" spans="1:18">
      <c r="A381" s="51" t="s">
        <v>6538</v>
      </c>
      <c r="B381" s="51"/>
      <c r="C381" s="51"/>
      <c r="D381" s="51">
        <v>0</v>
      </c>
      <c r="E381" s="51">
        <v>0</v>
      </c>
      <c r="F381" s="51">
        <v>0</v>
      </c>
      <c r="G381" s="51" t="s">
        <v>2310</v>
      </c>
      <c r="H381" s="51"/>
      <c r="I381" s="51" t="b">
        <v>0</v>
      </c>
      <c r="J381" s="23" t="b">
        <v>1</v>
      </c>
      <c r="K381" s="51" t="b">
        <v>1</v>
      </c>
      <c r="L381" s="51"/>
      <c r="M381" s="51"/>
      <c r="N381" s="51" t="str">
        <f>_xlfn.IFNA(VLOOKUP($M381,Buff.CM!$A:$O,13,FALSE),"")</f>
        <v/>
      </c>
      <c r="O381" s="51" t="str">
        <f>_xlfn.IFNA(VLOOKUP($M381,Buff.CM!$A:$O,14,FALSE),"")</f>
        <v/>
      </c>
      <c r="P381" s="51" t="str">
        <f>_xlfn.IFNA(VLOOKUP($M381,Buff.CM!$A:$O,15,FALSE),"")</f>
        <v/>
      </c>
      <c r="Q381" s="51" t="b">
        <v>0</v>
      </c>
      <c r="R381" s="51" t="b">
        <v>0</v>
      </c>
    </row>
    <row r="382" spans="1:18">
      <c r="A382" s="51" t="s">
        <v>2302</v>
      </c>
      <c r="B382" s="51"/>
      <c r="C382" s="51"/>
      <c r="D382" s="51">
        <v>0</v>
      </c>
      <c r="E382" s="51">
        <v>0</v>
      </c>
      <c r="F382" s="51">
        <v>0</v>
      </c>
      <c r="G382" s="51" t="s">
        <v>2311</v>
      </c>
      <c r="H382" s="51"/>
      <c r="I382" s="51" t="b">
        <v>0</v>
      </c>
      <c r="J382" s="23" t="b">
        <v>1</v>
      </c>
      <c r="K382" s="51" t="b">
        <v>1</v>
      </c>
      <c r="L382" s="51"/>
      <c r="M382" s="51"/>
      <c r="N382" s="51" t="str">
        <f>_xlfn.IFNA(VLOOKUP($M382,Buff.CM!$A:$O,13,FALSE),"")</f>
        <v/>
      </c>
      <c r="O382" s="51" t="str">
        <f>_xlfn.IFNA(VLOOKUP($M382,Buff.CM!$A:$O,14,FALSE),"")</f>
        <v/>
      </c>
      <c r="P382" s="51" t="str">
        <f>_xlfn.IFNA(VLOOKUP($M382,Buff.CM!$A:$O,15,FALSE),"")</f>
        <v/>
      </c>
      <c r="Q382" s="51" t="b">
        <v>0</v>
      </c>
      <c r="R382" s="51" t="b">
        <v>0</v>
      </c>
    </row>
    <row r="383" spans="1:18">
      <c r="A383" s="34" t="s">
        <v>2303</v>
      </c>
      <c r="B383" s="34"/>
      <c r="C383" s="34"/>
      <c r="D383" s="34">
        <v>0</v>
      </c>
      <c r="E383" s="34">
        <v>0</v>
      </c>
      <c r="F383" s="34">
        <v>0</v>
      </c>
      <c r="G383" s="34" t="s">
        <v>2312</v>
      </c>
      <c r="H383" s="34"/>
      <c r="I383" s="34" t="b">
        <v>0</v>
      </c>
      <c r="J383" s="23" t="b">
        <v>1</v>
      </c>
      <c r="K383" s="34" t="b">
        <v>1</v>
      </c>
      <c r="L383" s="34"/>
      <c r="M383" s="34"/>
      <c r="N383" s="34" t="str">
        <f>_xlfn.IFNA(VLOOKUP($M383,Buff.CM!$A:$O,13,FALSE),"")</f>
        <v/>
      </c>
      <c r="O383" s="34" t="str">
        <f>_xlfn.IFNA(VLOOKUP($M383,Buff.CM!$A:$O,14,FALSE),"")</f>
        <v/>
      </c>
      <c r="P383" s="34" t="str">
        <f>_xlfn.IFNA(VLOOKUP($M383,Buff.CM!$A:$O,15,FALSE),"")</f>
        <v/>
      </c>
      <c r="Q383" s="34" t="b">
        <v>0</v>
      </c>
      <c r="R383" s="34" t="b">
        <v>0</v>
      </c>
    </row>
    <row r="384" spans="1:18">
      <c r="A384" s="34" t="s">
        <v>2304</v>
      </c>
      <c r="B384" s="34"/>
      <c r="C384" s="34"/>
      <c r="D384" s="34">
        <v>0</v>
      </c>
      <c r="E384" s="34">
        <v>0</v>
      </c>
      <c r="F384" s="34">
        <v>0</v>
      </c>
      <c r="G384" s="34" t="s">
        <v>2313</v>
      </c>
      <c r="H384" s="34"/>
      <c r="I384" s="34" t="b">
        <v>0</v>
      </c>
      <c r="J384" s="23" t="b">
        <v>1</v>
      </c>
      <c r="K384" s="34" t="b">
        <v>1</v>
      </c>
      <c r="L384" s="34"/>
      <c r="M384" s="34"/>
      <c r="N384" s="34" t="str">
        <f>_xlfn.IFNA(VLOOKUP($M384,Buff.CM!$A:$O,13,FALSE),"")</f>
        <v/>
      </c>
      <c r="O384" s="34" t="str">
        <f>_xlfn.IFNA(VLOOKUP($M384,Buff.CM!$A:$O,14,FALSE),"")</f>
        <v/>
      </c>
      <c r="P384" s="34" t="str">
        <f>_xlfn.IFNA(VLOOKUP($M384,Buff.CM!$A:$O,15,FALSE),"")</f>
        <v/>
      </c>
      <c r="Q384" s="34" t="b">
        <v>0</v>
      </c>
      <c r="R384" s="34" t="b">
        <v>0</v>
      </c>
    </row>
    <row r="385" spans="1:18">
      <c r="A385" s="34" t="s">
        <v>2305</v>
      </c>
      <c r="B385" s="34"/>
      <c r="C385" s="34"/>
      <c r="D385" s="34">
        <v>0</v>
      </c>
      <c r="E385" s="34">
        <v>0</v>
      </c>
      <c r="F385" s="34">
        <v>0</v>
      </c>
      <c r="G385" s="34" t="s">
        <v>2314</v>
      </c>
      <c r="H385" s="34"/>
      <c r="I385" s="34" t="b">
        <v>0</v>
      </c>
      <c r="J385" s="23" t="b">
        <v>1</v>
      </c>
      <c r="K385" s="34" t="b">
        <v>1</v>
      </c>
      <c r="L385" s="34"/>
      <c r="M385" s="34"/>
      <c r="N385" s="34" t="str">
        <f>_xlfn.IFNA(VLOOKUP($M385,Buff.CM!$A:$O,13,FALSE),"")</f>
        <v/>
      </c>
      <c r="O385" s="34" t="str">
        <f>_xlfn.IFNA(VLOOKUP($M385,Buff.CM!$A:$O,14,FALSE),"")</f>
        <v/>
      </c>
      <c r="P385" s="34" t="str">
        <f>_xlfn.IFNA(VLOOKUP($M385,Buff.CM!$A:$O,15,FALSE),"")</f>
        <v/>
      </c>
      <c r="Q385" s="34" t="b">
        <v>0</v>
      </c>
      <c r="R385" s="34" t="b">
        <v>0</v>
      </c>
    </row>
    <row r="386" spans="1:18">
      <c r="A386" s="51" t="s">
        <v>8674</v>
      </c>
      <c r="B386" s="51"/>
      <c r="C386" s="51"/>
      <c r="D386" s="51">
        <v>0</v>
      </c>
      <c r="E386" s="51">
        <v>0</v>
      </c>
      <c r="F386" s="51">
        <v>0</v>
      </c>
      <c r="G386" s="51" t="s">
        <v>8661</v>
      </c>
      <c r="H386" s="51"/>
      <c r="I386" s="51" t="b">
        <v>0</v>
      </c>
      <c r="J386" s="23" t="b">
        <v>0</v>
      </c>
      <c r="K386" s="51" t="b">
        <v>1</v>
      </c>
      <c r="L386" s="51"/>
      <c r="M386" s="51"/>
      <c r="N386" s="51" t="str">
        <f>_xlfn.IFNA(VLOOKUP($M386,Buff.CM!$A:$O,13,FALSE),"")</f>
        <v/>
      </c>
      <c r="O386" s="51" t="str">
        <f>_xlfn.IFNA(VLOOKUP($M386,Buff.CM!$A:$O,14,FALSE),"")</f>
        <v/>
      </c>
      <c r="P386" s="51" t="str">
        <f>_xlfn.IFNA(VLOOKUP($M386,Buff.CM!$A:$O,15,FALSE),"")</f>
        <v/>
      </c>
      <c r="Q386" s="51" t="b">
        <v>0</v>
      </c>
      <c r="R386" s="51" t="b">
        <v>0</v>
      </c>
    </row>
    <row r="387" spans="1:18">
      <c r="A387" s="51" t="s">
        <v>8675</v>
      </c>
      <c r="B387" s="51"/>
      <c r="C387" s="51"/>
      <c r="D387" s="51">
        <v>0</v>
      </c>
      <c r="E387" s="51">
        <v>0</v>
      </c>
      <c r="F387" s="51">
        <v>0</v>
      </c>
      <c r="G387" s="51" t="s">
        <v>8650</v>
      </c>
      <c r="H387" s="51"/>
      <c r="I387" s="51" t="b">
        <v>0</v>
      </c>
      <c r="J387" s="23" t="b">
        <v>0</v>
      </c>
      <c r="K387" s="51" t="b">
        <v>1</v>
      </c>
      <c r="L387" s="51"/>
      <c r="M387" s="51"/>
      <c r="N387" s="51" t="str">
        <f>_xlfn.IFNA(VLOOKUP($M387,Buff.CM!$A:$O,13,FALSE),"")</f>
        <v/>
      </c>
      <c r="O387" s="51" t="str">
        <f>_xlfn.IFNA(VLOOKUP($M387,Buff.CM!$A:$O,14,FALSE),"")</f>
        <v/>
      </c>
      <c r="P387" s="51" t="str">
        <f>_xlfn.IFNA(VLOOKUP($M387,Buff.CM!$A:$O,15,FALSE),"")</f>
        <v/>
      </c>
      <c r="Q387" s="51" t="b">
        <v>0</v>
      </c>
      <c r="R387" s="51" t="b">
        <v>0</v>
      </c>
    </row>
    <row r="388" spans="1:18">
      <c r="A388" s="51" t="s">
        <v>8676</v>
      </c>
      <c r="B388" s="51"/>
      <c r="C388" s="51"/>
      <c r="D388" s="51">
        <v>0</v>
      </c>
      <c r="E388" s="51">
        <v>0</v>
      </c>
      <c r="F388" s="51">
        <v>0</v>
      </c>
      <c r="G388" s="51" t="s">
        <v>8651</v>
      </c>
      <c r="H388" s="51"/>
      <c r="I388" s="51" t="b">
        <v>0</v>
      </c>
      <c r="J388" s="23" t="b">
        <v>0</v>
      </c>
      <c r="K388" s="51" t="b">
        <v>1</v>
      </c>
      <c r="L388" s="51"/>
      <c r="M388" s="51"/>
      <c r="N388" s="51" t="str">
        <f>_xlfn.IFNA(VLOOKUP($M388,Buff.CM!$A:$O,13,FALSE),"")</f>
        <v/>
      </c>
      <c r="O388" s="51" t="str">
        <f>_xlfn.IFNA(VLOOKUP($M388,Buff.CM!$A:$O,14,FALSE),"")</f>
        <v/>
      </c>
      <c r="P388" s="51" t="str">
        <f>_xlfn.IFNA(VLOOKUP($M388,Buff.CM!$A:$O,15,FALSE),"")</f>
        <v/>
      </c>
      <c r="Q388" s="51" t="b">
        <v>0</v>
      </c>
      <c r="R388" s="51" t="b">
        <v>0</v>
      </c>
    </row>
    <row r="389" spans="1:18">
      <c r="A389" s="34" t="s">
        <v>8677</v>
      </c>
      <c r="B389" s="34"/>
      <c r="C389" s="34"/>
      <c r="D389" s="34">
        <v>0</v>
      </c>
      <c r="E389" s="34">
        <v>0</v>
      </c>
      <c r="F389" s="34">
        <v>0</v>
      </c>
      <c r="G389" s="34" t="s">
        <v>8652</v>
      </c>
      <c r="H389" s="34"/>
      <c r="I389" s="34" t="b">
        <v>0</v>
      </c>
      <c r="J389" s="23" t="b">
        <v>0</v>
      </c>
      <c r="K389" s="34" t="b">
        <v>1</v>
      </c>
      <c r="L389" s="34"/>
      <c r="M389" s="34"/>
      <c r="N389" s="34" t="str">
        <f>_xlfn.IFNA(VLOOKUP($M389,Buff.CM!$A:$O,13,FALSE),"")</f>
        <v/>
      </c>
      <c r="O389" s="34" t="str">
        <f>_xlfn.IFNA(VLOOKUP($M389,Buff.CM!$A:$O,14,FALSE),"")</f>
        <v/>
      </c>
      <c r="P389" s="34" t="str">
        <f>_xlfn.IFNA(VLOOKUP($M389,Buff.CM!$A:$O,15,FALSE),"")</f>
        <v/>
      </c>
      <c r="Q389" s="34" t="b">
        <v>0</v>
      </c>
      <c r="R389" s="34" t="b">
        <v>0</v>
      </c>
    </row>
    <row r="390" spans="1:18">
      <c r="A390" s="34" t="s">
        <v>8678</v>
      </c>
      <c r="B390" s="34"/>
      <c r="C390" s="34"/>
      <c r="D390" s="34">
        <v>0</v>
      </c>
      <c r="E390" s="34">
        <v>0</v>
      </c>
      <c r="F390" s="34">
        <v>0</v>
      </c>
      <c r="G390" s="34" t="s">
        <v>8653</v>
      </c>
      <c r="H390" s="34"/>
      <c r="I390" s="34" t="b">
        <v>0</v>
      </c>
      <c r="J390" s="23" t="b">
        <v>0</v>
      </c>
      <c r="K390" s="34" t="b">
        <v>1</v>
      </c>
      <c r="L390" s="34"/>
      <c r="M390" s="34"/>
      <c r="N390" s="34" t="str">
        <f>_xlfn.IFNA(VLOOKUP($M390,Buff.CM!$A:$O,13,FALSE),"")</f>
        <v/>
      </c>
      <c r="O390" s="34" t="str">
        <f>_xlfn.IFNA(VLOOKUP($M390,Buff.CM!$A:$O,14,FALSE),"")</f>
        <v/>
      </c>
      <c r="P390" s="34" t="str">
        <f>_xlfn.IFNA(VLOOKUP($M390,Buff.CM!$A:$O,15,FALSE),"")</f>
        <v/>
      </c>
      <c r="Q390" s="34" t="b">
        <v>0</v>
      </c>
      <c r="R390" s="34" t="b">
        <v>0</v>
      </c>
    </row>
    <row r="391" spans="1:18">
      <c r="A391" s="34" t="s">
        <v>8679</v>
      </c>
      <c r="B391" s="34"/>
      <c r="C391" s="34"/>
      <c r="D391" s="34">
        <v>0</v>
      </c>
      <c r="E391" s="34">
        <v>0</v>
      </c>
      <c r="F391" s="34">
        <v>0</v>
      </c>
      <c r="G391" s="34" t="s">
        <v>8654</v>
      </c>
      <c r="H391" s="34"/>
      <c r="I391" s="34" t="b">
        <v>0</v>
      </c>
      <c r="J391" s="23" t="b">
        <v>0</v>
      </c>
      <c r="K391" s="34" t="b">
        <v>1</v>
      </c>
      <c r="L391" s="34"/>
      <c r="M391" s="34"/>
      <c r="N391" s="34" t="str">
        <f>_xlfn.IFNA(VLOOKUP($M391,Buff.CM!$A:$O,13,FALSE),"")</f>
        <v/>
      </c>
      <c r="O391" s="34" t="str">
        <f>_xlfn.IFNA(VLOOKUP($M391,Buff.CM!$A:$O,14,FALSE),"")</f>
        <v/>
      </c>
      <c r="P391" s="34" t="str">
        <f>_xlfn.IFNA(VLOOKUP($M391,Buff.CM!$A:$O,15,FALSE),"")</f>
        <v/>
      </c>
      <c r="Q391" s="34" t="b">
        <v>0</v>
      </c>
      <c r="R391" s="34" t="b">
        <v>0</v>
      </c>
    </row>
    <row r="392" spans="1:18" ht="33">
      <c r="A392" s="51" t="s">
        <v>8662</v>
      </c>
      <c r="B392" s="51"/>
      <c r="C392" s="51"/>
      <c r="D392" s="51">
        <v>2000</v>
      </c>
      <c r="E392" s="51">
        <v>0</v>
      </c>
      <c r="F392" s="51">
        <v>0</v>
      </c>
      <c r="G392" s="52" t="s">
        <v>8668</v>
      </c>
      <c r="H392" s="51"/>
      <c r="I392" s="23" t="b">
        <v>1</v>
      </c>
      <c r="J392" s="23" t="b">
        <v>1</v>
      </c>
      <c r="K392" s="51" t="b">
        <v>1</v>
      </c>
      <c r="L392" s="51"/>
      <c r="M392" s="51"/>
      <c r="N392" s="51" t="str">
        <f>_xlfn.IFNA(VLOOKUP($M392,Buff.CM!$A:$O,13,FALSE),"")</f>
        <v/>
      </c>
      <c r="O392" s="51" t="str">
        <f>_xlfn.IFNA(VLOOKUP($M392,Buff.CM!$A:$O,14,FALSE),"")</f>
        <v/>
      </c>
      <c r="P392" s="51" t="str">
        <f>_xlfn.IFNA(VLOOKUP($M392,Buff.CM!$A:$O,15,FALSE),"")</f>
        <v/>
      </c>
      <c r="Q392" s="51" t="b">
        <v>0</v>
      </c>
      <c r="R392" s="51" t="b">
        <v>0</v>
      </c>
    </row>
    <row r="393" spans="1:18" ht="33">
      <c r="A393" s="51" t="s">
        <v>8663</v>
      </c>
      <c r="B393" s="51"/>
      <c r="C393" s="51"/>
      <c r="D393" s="51">
        <v>2000</v>
      </c>
      <c r="E393" s="51">
        <v>0</v>
      </c>
      <c r="F393" s="51">
        <v>0</v>
      </c>
      <c r="G393" s="52" t="s">
        <v>8669</v>
      </c>
      <c r="H393" s="51"/>
      <c r="I393" s="23" t="b">
        <v>1</v>
      </c>
      <c r="J393" s="23" t="b">
        <v>1</v>
      </c>
      <c r="K393" s="51" t="b">
        <v>1</v>
      </c>
      <c r="L393" s="51"/>
      <c r="M393" s="51"/>
      <c r="N393" s="51" t="str">
        <f>_xlfn.IFNA(VLOOKUP($M393,Buff.CM!$A:$O,13,FALSE),"")</f>
        <v/>
      </c>
      <c r="O393" s="51" t="str">
        <f>_xlfn.IFNA(VLOOKUP($M393,Buff.CM!$A:$O,14,FALSE),"")</f>
        <v/>
      </c>
      <c r="P393" s="51" t="str">
        <f>_xlfn.IFNA(VLOOKUP($M393,Buff.CM!$A:$O,15,FALSE),"")</f>
        <v/>
      </c>
      <c r="Q393" s="51" t="b">
        <v>0</v>
      </c>
      <c r="R393" s="51" t="b">
        <v>0</v>
      </c>
    </row>
    <row r="394" spans="1:18" ht="33">
      <c r="A394" s="51" t="s">
        <v>8664</v>
      </c>
      <c r="B394" s="51"/>
      <c r="C394" s="51"/>
      <c r="D394" s="51">
        <v>2000</v>
      </c>
      <c r="E394" s="51">
        <v>0</v>
      </c>
      <c r="F394" s="51">
        <v>0</v>
      </c>
      <c r="G394" s="52" t="s">
        <v>8670</v>
      </c>
      <c r="H394" s="51"/>
      <c r="I394" s="23" t="b">
        <v>1</v>
      </c>
      <c r="J394" s="23" t="b">
        <v>1</v>
      </c>
      <c r="K394" s="51" t="b">
        <v>1</v>
      </c>
      <c r="L394" s="51"/>
      <c r="M394" s="51"/>
      <c r="N394" s="51" t="str">
        <f>_xlfn.IFNA(VLOOKUP($M394,Buff.CM!$A:$O,13,FALSE),"")</f>
        <v/>
      </c>
      <c r="O394" s="51" t="str">
        <f>_xlfn.IFNA(VLOOKUP($M394,Buff.CM!$A:$O,14,FALSE),"")</f>
        <v/>
      </c>
      <c r="P394" s="51" t="str">
        <f>_xlfn.IFNA(VLOOKUP($M394,Buff.CM!$A:$O,15,FALSE),"")</f>
        <v/>
      </c>
      <c r="Q394" s="51" t="b">
        <v>0</v>
      </c>
      <c r="R394" s="51" t="b">
        <v>0</v>
      </c>
    </row>
    <row r="395" spans="1:18" ht="33">
      <c r="A395" s="34" t="s">
        <v>8665</v>
      </c>
      <c r="B395" s="34"/>
      <c r="C395" s="34"/>
      <c r="D395" s="34">
        <v>2000</v>
      </c>
      <c r="E395" s="34">
        <v>0</v>
      </c>
      <c r="F395" s="34">
        <v>0</v>
      </c>
      <c r="G395" s="40" t="s">
        <v>8671</v>
      </c>
      <c r="H395" s="34"/>
      <c r="I395" s="23" t="b">
        <v>1</v>
      </c>
      <c r="J395" s="23" t="b">
        <v>1</v>
      </c>
      <c r="K395" s="34" t="b">
        <v>1</v>
      </c>
      <c r="L395" s="34"/>
      <c r="M395" s="34"/>
      <c r="N395" s="34" t="str">
        <f>_xlfn.IFNA(VLOOKUP($M395,Buff.CM!$A:$O,13,FALSE),"")</f>
        <v/>
      </c>
      <c r="O395" s="34" t="str">
        <f>_xlfn.IFNA(VLOOKUP($M395,Buff.CM!$A:$O,14,FALSE),"")</f>
        <v/>
      </c>
      <c r="P395" s="34" t="str">
        <f>_xlfn.IFNA(VLOOKUP($M395,Buff.CM!$A:$O,15,FALSE),"")</f>
        <v/>
      </c>
      <c r="Q395" s="34" t="b">
        <v>0</v>
      </c>
      <c r="R395" s="34" t="b">
        <v>0</v>
      </c>
    </row>
    <row r="396" spans="1:18" ht="33">
      <c r="A396" s="34" t="s">
        <v>8666</v>
      </c>
      <c r="B396" s="34"/>
      <c r="C396" s="34"/>
      <c r="D396" s="34">
        <v>2000</v>
      </c>
      <c r="E396" s="34">
        <v>0</v>
      </c>
      <c r="F396" s="34">
        <v>0</v>
      </c>
      <c r="G396" s="40" t="s">
        <v>8672</v>
      </c>
      <c r="H396" s="34"/>
      <c r="I396" s="23" t="b">
        <v>1</v>
      </c>
      <c r="J396" s="23" t="b">
        <v>1</v>
      </c>
      <c r="K396" s="34" t="b">
        <v>1</v>
      </c>
      <c r="L396" s="34"/>
      <c r="M396" s="34"/>
      <c r="N396" s="34" t="str">
        <f>_xlfn.IFNA(VLOOKUP($M396,Buff.CM!$A:$O,13,FALSE),"")</f>
        <v/>
      </c>
      <c r="O396" s="34" t="str">
        <f>_xlfn.IFNA(VLOOKUP($M396,Buff.CM!$A:$O,14,FALSE),"")</f>
        <v/>
      </c>
      <c r="P396" s="34" t="str">
        <f>_xlfn.IFNA(VLOOKUP($M396,Buff.CM!$A:$O,15,FALSE),"")</f>
        <v/>
      </c>
      <c r="Q396" s="34" t="b">
        <v>0</v>
      </c>
      <c r="R396" s="34" t="b">
        <v>0</v>
      </c>
    </row>
    <row r="397" spans="1:18" ht="33">
      <c r="A397" s="34" t="s">
        <v>8667</v>
      </c>
      <c r="B397" s="34"/>
      <c r="C397" s="34"/>
      <c r="D397" s="34">
        <v>2000</v>
      </c>
      <c r="E397" s="34">
        <v>0</v>
      </c>
      <c r="F397" s="34">
        <v>0</v>
      </c>
      <c r="G397" s="40" t="s">
        <v>8673</v>
      </c>
      <c r="H397" s="34"/>
      <c r="I397" s="23" t="b">
        <v>1</v>
      </c>
      <c r="J397" s="23" t="b">
        <v>1</v>
      </c>
      <c r="K397" s="34" t="b">
        <v>1</v>
      </c>
      <c r="L397" s="34"/>
      <c r="M397" s="34"/>
      <c r="N397" s="34" t="str">
        <f>_xlfn.IFNA(VLOOKUP($M397,Buff.CM!$A:$O,13,FALSE),"")</f>
        <v/>
      </c>
      <c r="O397" s="34" t="str">
        <f>_xlfn.IFNA(VLOOKUP($M397,Buff.CM!$A:$O,14,FALSE),"")</f>
        <v/>
      </c>
      <c r="P397" s="34" t="str">
        <f>_xlfn.IFNA(VLOOKUP($M397,Buff.CM!$A:$O,15,FALSE),"")</f>
        <v/>
      </c>
      <c r="Q397" s="34" t="b">
        <v>0</v>
      </c>
      <c r="R397" s="34" t="b">
        <v>0</v>
      </c>
    </row>
    <row r="398" spans="1:18">
      <c r="A398" s="25" t="s">
        <v>404</v>
      </c>
      <c r="B398" s="25"/>
      <c r="C398" s="25"/>
      <c r="D398" s="25">
        <v>3000</v>
      </c>
      <c r="E398" s="25">
        <v>0</v>
      </c>
      <c r="F398" s="25">
        <v>0</v>
      </c>
      <c r="G398" s="25" t="s">
        <v>405</v>
      </c>
      <c r="H398" s="25"/>
      <c r="I398" s="25" t="b">
        <v>0</v>
      </c>
      <c r="J398" s="25" t="b">
        <v>0</v>
      </c>
      <c r="K398" s="25" t="b">
        <v>1</v>
      </c>
      <c r="L398" s="25" t="s">
        <v>317</v>
      </c>
      <c r="M398" s="25" t="s">
        <v>5461</v>
      </c>
      <c r="N398" s="25" t="str">
        <f>_xlfn.IFNA(VLOOKUP($M398,Buff.CM!$A:$O,13,FALSE),"")</f>
        <v>icon_battle_shield</v>
      </c>
      <c r="O398" s="25" t="str">
        <f>_xlfn.IFNA(VLOOKUP($M398,Buff.CM!$A:$O,14,FALSE),"")</f>
        <v>Buff.Name.Shield</v>
      </c>
      <c r="P398" s="25" t="str">
        <f>_xlfn.IFNA(VLOOKUP($M398,Buff.CM!$A:$O,15,FALSE),"")</f>
        <v>Buff.Desc.Shield</v>
      </c>
      <c r="Q398" s="25" t="b">
        <v>0</v>
      </c>
      <c r="R398" s="25" t="b">
        <v>0</v>
      </c>
    </row>
    <row r="399" spans="1:18">
      <c r="A399" s="25" t="s">
        <v>406</v>
      </c>
      <c r="B399" s="25"/>
      <c r="C399" s="25"/>
      <c r="D399" s="25">
        <v>4000</v>
      </c>
      <c r="E399" s="25">
        <v>0</v>
      </c>
      <c r="F399" s="25">
        <v>0</v>
      </c>
      <c r="G399" s="25" t="s">
        <v>407</v>
      </c>
      <c r="H399" s="25"/>
      <c r="I399" s="25" t="b">
        <v>0</v>
      </c>
      <c r="J399" s="25" t="b">
        <v>0</v>
      </c>
      <c r="K399" s="25" t="b">
        <v>1</v>
      </c>
      <c r="L399" s="25" t="s">
        <v>317</v>
      </c>
      <c r="M399" s="25" t="s">
        <v>5461</v>
      </c>
      <c r="N399" s="25" t="str">
        <f>_xlfn.IFNA(VLOOKUP($M399,Buff.CM!$A:$O,13,FALSE),"")</f>
        <v>icon_battle_shield</v>
      </c>
      <c r="O399" s="25" t="str">
        <f>_xlfn.IFNA(VLOOKUP($M399,Buff.CM!$A:$O,14,FALSE),"")</f>
        <v>Buff.Name.Shield</v>
      </c>
      <c r="P399" s="25" t="str">
        <f>_xlfn.IFNA(VLOOKUP($M399,Buff.CM!$A:$O,15,FALSE),"")</f>
        <v>Buff.Desc.Shield</v>
      </c>
      <c r="Q399" s="25" t="b">
        <v>0</v>
      </c>
      <c r="R399" s="25" t="b">
        <v>0</v>
      </c>
    </row>
    <row r="400" spans="1:18">
      <c r="A400" s="25" t="s">
        <v>408</v>
      </c>
      <c r="B400" s="25"/>
      <c r="C400" s="25"/>
      <c r="D400" s="25">
        <v>4000</v>
      </c>
      <c r="E400" s="25">
        <v>0</v>
      </c>
      <c r="F400" s="25">
        <v>0</v>
      </c>
      <c r="G400" s="25" t="s">
        <v>409</v>
      </c>
      <c r="H400" s="25"/>
      <c r="I400" s="25" t="b">
        <v>0</v>
      </c>
      <c r="J400" s="25" t="b">
        <v>0</v>
      </c>
      <c r="K400" s="25" t="b">
        <v>1</v>
      </c>
      <c r="L400" s="25" t="s">
        <v>317</v>
      </c>
      <c r="M400" s="25" t="s">
        <v>5461</v>
      </c>
      <c r="N400" s="25" t="str">
        <f>_xlfn.IFNA(VLOOKUP($M400,Buff.CM!$A:$O,13,FALSE),"")</f>
        <v>icon_battle_shield</v>
      </c>
      <c r="O400" s="25" t="str">
        <f>_xlfn.IFNA(VLOOKUP($M400,Buff.CM!$A:$O,14,FALSE),"")</f>
        <v>Buff.Name.Shield</v>
      </c>
      <c r="P400" s="25" t="str">
        <f>_xlfn.IFNA(VLOOKUP($M400,Buff.CM!$A:$O,15,FALSE),"")</f>
        <v>Buff.Desc.Shield</v>
      </c>
      <c r="Q400" s="25" t="b">
        <v>0</v>
      </c>
      <c r="R400" s="25" t="b">
        <v>0</v>
      </c>
    </row>
    <row r="401" spans="1:18">
      <c r="A401" s="25" t="s">
        <v>6539</v>
      </c>
      <c r="B401" s="25"/>
      <c r="C401" s="25"/>
      <c r="D401" s="25">
        <v>5000</v>
      </c>
      <c r="E401" s="25">
        <v>0</v>
      </c>
      <c r="F401" s="25">
        <v>0</v>
      </c>
      <c r="G401" s="25" t="s">
        <v>6540</v>
      </c>
      <c r="H401" s="25"/>
      <c r="I401" s="25" t="b">
        <v>0</v>
      </c>
      <c r="J401" s="25" t="b">
        <v>0</v>
      </c>
      <c r="K401" s="25" t="b">
        <v>1</v>
      </c>
      <c r="L401" s="25" t="s">
        <v>317</v>
      </c>
      <c r="M401" s="25" t="s">
        <v>5461</v>
      </c>
      <c r="N401" s="25" t="str">
        <f>_xlfn.IFNA(VLOOKUP($M401,Buff.CM!$A:$O,13,FALSE),"")</f>
        <v>icon_battle_shield</v>
      </c>
      <c r="O401" s="25" t="str">
        <f>_xlfn.IFNA(VLOOKUP($M401,Buff.CM!$A:$O,14,FALSE),"")</f>
        <v>Buff.Name.Shield</v>
      </c>
      <c r="P401" s="25" t="str">
        <f>_xlfn.IFNA(VLOOKUP($M401,Buff.CM!$A:$O,15,FALSE),"")</f>
        <v>Buff.Desc.Shield</v>
      </c>
      <c r="Q401" s="25" t="b">
        <v>0</v>
      </c>
      <c r="R401" s="25" t="b">
        <v>0</v>
      </c>
    </row>
    <row r="402" spans="1:18">
      <c r="A402" s="26" t="s">
        <v>2331</v>
      </c>
      <c r="B402" s="26"/>
      <c r="C402" s="26"/>
      <c r="D402" s="26">
        <v>3000</v>
      </c>
      <c r="E402" s="26">
        <v>0</v>
      </c>
      <c r="F402" s="26">
        <v>0</v>
      </c>
      <c r="G402" s="26" t="s">
        <v>2340</v>
      </c>
      <c r="H402" s="26"/>
      <c r="I402" s="26" t="b">
        <v>0</v>
      </c>
      <c r="J402" s="26" t="b">
        <v>0</v>
      </c>
      <c r="K402" s="26" t="b">
        <v>1</v>
      </c>
      <c r="L402" s="26" t="s">
        <v>317</v>
      </c>
      <c r="M402" s="26" t="s">
        <v>5461</v>
      </c>
      <c r="N402" s="26" t="str">
        <f>_xlfn.IFNA(VLOOKUP($M402,Buff.CM!$A:$O,13,FALSE),"")</f>
        <v>icon_battle_shield</v>
      </c>
      <c r="O402" s="26" t="str">
        <f>_xlfn.IFNA(VLOOKUP($M402,Buff.CM!$A:$O,14,FALSE),"")</f>
        <v>Buff.Name.Shield</v>
      </c>
      <c r="P402" s="26" t="str">
        <f>_xlfn.IFNA(VLOOKUP($M402,Buff.CM!$A:$O,15,FALSE),"")</f>
        <v>Buff.Desc.Shield</v>
      </c>
      <c r="Q402" s="26" t="b">
        <v>0</v>
      </c>
      <c r="R402" s="26" t="b">
        <v>0</v>
      </c>
    </row>
    <row r="403" spans="1:18">
      <c r="A403" s="26" t="s">
        <v>2332</v>
      </c>
      <c r="B403" s="26"/>
      <c r="C403" s="26"/>
      <c r="D403" s="26">
        <v>4000</v>
      </c>
      <c r="E403" s="26">
        <v>0</v>
      </c>
      <c r="F403" s="26">
        <v>0</v>
      </c>
      <c r="G403" s="26" t="s">
        <v>2341</v>
      </c>
      <c r="H403" s="26"/>
      <c r="I403" s="26" t="b">
        <v>0</v>
      </c>
      <c r="J403" s="26" t="b">
        <v>0</v>
      </c>
      <c r="K403" s="26" t="b">
        <v>1</v>
      </c>
      <c r="L403" s="26" t="s">
        <v>317</v>
      </c>
      <c r="M403" s="26" t="s">
        <v>5461</v>
      </c>
      <c r="N403" s="26" t="str">
        <f>_xlfn.IFNA(VLOOKUP($M403,Buff.CM!$A:$O,13,FALSE),"")</f>
        <v>icon_battle_shield</v>
      </c>
      <c r="O403" s="26" t="str">
        <f>_xlfn.IFNA(VLOOKUP($M403,Buff.CM!$A:$O,14,FALSE),"")</f>
        <v>Buff.Name.Shield</v>
      </c>
      <c r="P403" s="26" t="str">
        <f>_xlfn.IFNA(VLOOKUP($M403,Buff.CM!$A:$O,15,FALSE),"")</f>
        <v>Buff.Desc.Shield</v>
      </c>
      <c r="Q403" s="26" t="b">
        <v>0</v>
      </c>
      <c r="R403" s="26" t="b">
        <v>0</v>
      </c>
    </row>
    <row r="404" spans="1:18">
      <c r="A404" s="26" t="s">
        <v>2333</v>
      </c>
      <c r="B404" s="26"/>
      <c r="C404" s="26"/>
      <c r="D404" s="26">
        <v>4000</v>
      </c>
      <c r="E404" s="26">
        <v>0</v>
      </c>
      <c r="F404" s="26">
        <v>0</v>
      </c>
      <c r="G404" s="26" t="s">
        <v>2342</v>
      </c>
      <c r="H404" s="26"/>
      <c r="I404" s="26" t="b">
        <v>0</v>
      </c>
      <c r="J404" s="26" t="b">
        <v>0</v>
      </c>
      <c r="K404" s="26" t="b">
        <v>1</v>
      </c>
      <c r="L404" s="26" t="s">
        <v>317</v>
      </c>
      <c r="M404" s="26" t="s">
        <v>5461</v>
      </c>
      <c r="N404" s="26" t="str">
        <f>_xlfn.IFNA(VLOOKUP($M404,Buff.CM!$A:$O,13,FALSE),"")</f>
        <v>icon_battle_shield</v>
      </c>
      <c r="O404" s="26" t="str">
        <f>_xlfn.IFNA(VLOOKUP($M404,Buff.CM!$A:$O,14,FALSE),"")</f>
        <v>Buff.Name.Shield</v>
      </c>
      <c r="P404" s="26" t="str">
        <f>_xlfn.IFNA(VLOOKUP($M404,Buff.CM!$A:$O,15,FALSE),"")</f>
        <v>Buff.Desc.Shield</v>
      </c>
      <c r="Q404" s="26" t="b">
        <v>0</v>
      </c>
      <c r="R404" s="26" t="b">
        <v>0</v>
      </c>
    </row>
    <row r="405" spans="1:18">
      <c r="A405" s="34" t="s">
        <v>2334</v>
      </c>
      <c r="B405" s="34"/>
      <c r="C405" s="34"/>
      <c r="D405" s="34">
        <v>5000</v>
      </c>
      <c r="E405" s="34">
        <v>0</v>
      </c>
      <c r="F405" s="34">
        <v>0</v>
      </c>
      <c r="G405" s="34" t="s">
        <v>2343</v>
      </c>
      <c r="H405" s="34"/>
      <c r="I405" s="34" t="b">
        <v>0</v>
      </c>
      <c r="J405" s="34" t="b">
        <v>0</v>
      </c>
      <c r="K405" s="34" t="b">
        <v>1</v>
      </c>
      <c r="L405" s="34" t="s">
        <v>317</v>
      </c>
      <c r="M405" s="34" t="s">
        <v>5461</v>
      </c>
      <c r="N405" s="34" t="str">
        <f>_xlfn.IFNA(VLOOKUP($M405,Buff.CM!$A:$O,13,FALSE),"")</f>
        <v>icon_battle_shield</v>
      </c>
      <c r="O405" s="34" t="str">
        <f>_xlfn.IFNA(VLOOKUP($M405,Buff.CM!$A:$O,14,FALSE),"")</f>
        <v>Buff.Name.Shield</v>
      </c>
      <c r="P405" s="34" t="str">
        <f>_xlfn.IFNA(VLOOKUP($M405,Buff.CM!$A:$O,15,FALSE),"")</f>
        <v>Buff.Desc.Shield</v>
      </c>
      <c r="Q405" s="34" t="b">
        <v>0</v>
      </c>
      <c r="R405" s="34" t="b">
        <v>0</v>
      </c>
    </row>
    <row r="406" spans="1:18">
      <c r="A406" s="34" t="s">
        <v>2335</v>
      </c>
      <c r="B406" s="34"/>
      <c r="C406" s="34"/>
      <c r="D406" s="34">
        <v>5500</v>
      </c>
      <c r="E406" s="34">
        <v>0</v>
      </c>
      <c r="F406" s="34">
        <v>0</v>
      </c>
      <c r="G406" s="34" t="s">
        <v>2344</v>
      </c>
      <c r="H406" s="34"/>
      <c r="I406" s="34" t="b">
        <v>0</v>
      </c>
      <c r="J406" s="34" t="b">
        <v>0</v>
      </c>
      <c r="K406" s="34" t="b">
        <v>1</v>
      </c>
      <c r="L406" s="34" t="s">
        <v>317</v>
      </c>
      <c r="M406" s="34" t="s">
        <v>5461</v>
      </c>
      <c r="N406" s="34" t="str">
        <f>_xlfn.IFNA(VLOOKUP($M406,Buff.CM!$A:$O,13,FALSE),"")</f>
        <v>icon_battle_shield</v>
      </c>
      <c r="O406" s="34" t="str">
        <f>_xlfn.IFNA(VLOOKUP($M406,Buff.CM!$A:$O,14,FALSE),"")</f>
        <v>Buff.Name.Shield</v>
      </c>
      <c r="P406" s="34" t="str">
        <f>_xlfn.IFNA(VLOOKUP($M406,Buff.CM!$A:$O,15,FALSE),"")</f>
        <v>Buff.Desc.Shield</v>
      </c>
      <c r="Q406" s="34" t="b">
        <v>0</v>
      </c>
      <c r="R406" s="34" t="b">
        <v>0</v>
      </c>
    </row>
    <row r="407" spans="1:18">
      <c r="A407" s="34" t="s">
        <v>2336</v>
      </c>
      <c r="B407" s="34"/>
      <c r="C407" s="34"/>
      <c r="D407" s="34">
        <v>8000</v>
      </c>
      <c r="E407" s="34">
        <v>0</v>
      </c>
      <c r="F407" s="34">
        <v>0</v>
      </c>
      <c r="G407" s="34" t="s">
        <v>2345</v>
      </c>
      <c r="H407" s="34"/>
      <c r="I407" s="34" t="b">
        <v>0</v>
      </c>
      <c r="J407" s="34" t="b">
        <v>0</v>
      </c>
      <c r="K407" s="34" t="b">
        <v>1</v>
      </c>
      <c r="L407" s="34" t="s">
        <v>317</v>
      </c>
      <c r="M407" s="34" t="s">
        <v>5461</v>
      </c>
      <c r="N407" s="34" t="str">
        <f>_xlfn.IFNA(VLOOKUP($M407,Buff.CM!$A:$O,13,FALSE),"")</f>
        <v>icon_battle_shield</v>
      </c>
      <c r="O407" s="34" t="str">
        <f>_xlfn.IFNA(VLOOKUP($M407,Buff.CM!$A:$O,14,FALSE),"")</f>
        <v>Buff.Name.Shield</v>
      </c>
      <c r="P407" s="34" t="str">
        <f>_xlfn.IFNA(VLOOKUP($M407,Buff.CM!$A:$O,15,FALSE),"")</f>
        <v>Buff.Desc.Shield</v>
      </c>
      <c r="Q407" s="34" t="b">
        <v>0</v>
      </c>
      <c r="R407" s="34" t="b">
        <v>0</v>
      </c>
    </row>
    <row r="408" spans="1:18">
      <c r="A408" s="25" t="s">
        <v>2337</v>
      </c>
      <c r="B408" s="25"/>
      <c r="C408" s="25"/>
      <c r="D408" s="25">
        <v>3000</v>
      </c>
      <c r="E408" s="25">
        <v>0</v>
      </c>
      <c r="F408" s="25">
        <v>0</v>
      </c>
      <c r="G408" s="25" t="s">
        <v>6490</v>
      </c>
      <c r="H408" s="25"/>
      <c r="I408" s="25" t="b">
        <v>0</v>
      </c>
      <c r="J408" s="25" t="b">
        <v>0</v>
      </c>
      <c r="K408" s="25" t="b">
        <v>0</v>
      </c>
      <c r="L408" s="25" t="s">
        <v>175</v>
      </c>
      <c r="M408" s="25" t="s">
        <v>6490</v>
      </c>
      <c r="N408" s="25" t="str">
        <f>_xlfn.IFNA(VLOOKUP($M408,Buff.CM!$A:$O,13,FALSE),"")</f>
        <v>icon_battle_attackspeed</v>
      </c>
      <c r="O408" s="25" t="str">
        <f>_xlfn.IFNA(VLOOKUP($M408,Buff.CM!$A:$O,14,FALSE),"")</f>
        <v>Buff.Name.AtkSpeed.Down.01</v>
      </c>
      <c r="P408" s="25" t="str">
        <f>_xlfn.IFNA(VLOOKUP($M408,Buff.CM!$A:$O,15,FALSE),"")</f>
        <v>Buff.Desc.AtkSpeed.Down.01</v>
      </c>
      <c r="Q408" s="25" t="b">
        <v>0</v>
      </c>
      <c r="R408" s="25" t="b">
        <v>0</v>
      </c>
    </row>
    <row r="409" spans="1:18">
      <c r="A409" s="25" t="s">
        <v>2338</v>
      </c>
      <c r="B409" s="25"/>
      <c r="C409" s="25"/>
      <c r="D409" s="25">
        <v>4000</v>
      </c>
      <c r="E409" s="25">
        <v>0</v>
      </c>
      <c r="F409" s="25">
        <v>0</v>
      </c>
      <c r="G409" s="25" t="s">
        <v>6490</v>
      </c>
      <c r="H409" s="25"/>
      <c r="I409" s="25" t="b">
        <v>0</v>
      </c>
      <c r="J409" s="25" t="b">
        <v>0</v>
      </c>
      <c r="K409" s="25" t="b">
        <v>0</v>
      </c>
      <c r="L409" s="25" t="s">
        <v>175</v>
      </c>
      <c r="M409" s="25" t="s">
        <v>6490</v>
      </c>
      <c r="N409" s="25" t="str">
        <f>_xlfn.IFNA(VLOOKUP($M409,Buff.CM!$A:$O,13,FALSE),"")</f>
        <v>icon_battle_attackspeed</v>
      </c>
      <c r="O409" s="25" t="str">
        <f>_xlfn.IFNA(VLOOKUP($M409,Buff.CM!$A:$O,14,FALSE),"")</f>
        <v>Buff.Name.AtkSpeed.Down.01</v>
      </c>
      <c r="P409" s="25" t="str">
        <f>_xlfn.IFNA(VLOOKUP($M409,Buff.CM!$A:$O,15,FALSE),"")</f>
        <v>Buff.Desc.AtkSpeed.Down.01</v>
      </c>
      <c r="Q409" s="25" t="b">
        <v>0</v>
      </c>
      <c r="R409" s="25" t="b">
        <v>0</v>
      </c>
    </row>
    <row r="410" spans="1:18">
      <c r="A410" s="25" t="s">
        <v>2339</v>
      </c>
      <c r="B410" s="25"/>
      <c r="C410" s="25"/>
      <c r="D410" s="25">
        <v>4000</v>
      </c>
      <c r="E410" s="25">
        <v>0</v>
      </c>
      <c r="F410" s="25">
        <v>0</v>
      </c>
      <c r="G410" s="25" t="s">
        <v>1531</v>
      </c>
      <c r="H410" s="25"/>
      <c r="I410" s="25" t="b">
        <v>0</v>
      </c>
      <c r="J410" s="25" t="b">
        <v>0</v>
      </c>
      <c r="K410" s="25" t="b">
        <v>0</v>
      </c>
      <c r="L410" s="25" t="s">
        <v>175</v>
      </c>
      <c r="M410" s="25" t="s">
        <v>1531</v>
      </c>
      <c r="N410" s="25" t="str">
        <f>_xlfn.IFNA(VLOOKUP($M410,Buff.CM!$A:$O,13,FALSE),"")</f>
        <v>icon_battle_attackspeed</v>
      </c>
      <c r="O410" s="25" t="str">
        <f>_xlfn.IFNA(VLOOKUP($M410,Buff.CM!$A:$O,14,FALSE),"")</f>
        <v>Buff.Name.AtkSpeed.Down.02</v>
      </c>
      <c r="P410" s="25" t="str">
        <f>_xlfn.IFNA(VLOOKUP($M410,Buff.CM!$A:$O,15,FALSE),"")</f>
        <v>Buff.Desc.AtkSpeed.Down.02</v>
      </c>
      <c r="Q410" s="25" t="b">
        <v>0</v>
      </c>
      <c r="R410" s="25" t="b">
        <v>0</v>
      </c>
    </row>
    <row r="411" spans="1:18">
      <c r="A411" s="25" t="s">
        <v>3347</v>
      </c>
      <c r="B411" s="25"/>
      <c r="C411" s="25"/>
      <c r="D411" s="25">
        <v>5000</v>
      </c>
      <c r="E411" s="25">
        <v>0</v>
      </c>
      <c r="F411" s="25">
        <v>0</v>
      </c>
      <c r="G411" s="25" t="s">
        <v>1531</v>
      </c>
      <c r="H411" s="25"/>
      <c r="I411" s="25" t="b">
        <v>0</v>
      </c>
      <c r="J411" s="25" t="b">
        <v>0</v>
      </c>
      <c r="K411" s="25" t="b">
        <v>0</v>
      </c>
      <c r="L411" s="25" t="s">
        <v>175</v>
      </c>
      <c r="M411" s="25" t="s">
        <v>1531</v>
      </c>
      <c r="N411" s="25" t="str">
        <f>_xlfn.IFNA(VLOOKUP($M411,Buff.CM!$A:$O,13,FALSE),"")</f>
        <v>icon_battle_attackspeed</v>
      </c>
      <c r="O411" s="25" t="str">
        <f>_xlfn.IFNA(VLOOKUP($M411,Buff.CM!$A:$O,14,FALSE),"")</f>
        <v>Buff.Name.AtkSpeed.Down.02</v>
      </c>
      <c r="P411" s="25" t="str">
        <f>_xlfn.IFNA(VLOOKUP($M411,Buff.CM!$A:$O,15,FALSE),"")</f>
        <v>Buff.Desc.AtkSpeed.Down.02</v>
      </c>
      <c r="Q411" s="25" t="b">
        <v>0</v>
      </c>
      <c r="R411" s="25" t="b">
        <v>0</v>
      </c>
    </row>
    <row r="412" spans="1:18">
      <c r="A412" s="26" t="s">
        <v>1265</v>
      </c>
      <c r="B412" s="26"/>
      <c r="C412" s="26"/>
      <c r="D412" s="26">
        <v>0</v>
      </c>
      <c r="E412" s="26">
        <v>0</v>
      </c>
      <c r="F412" s="26">
        <v>0</v>
      </c>
      <c r="G412" s="26" t="s">
        <v>1266</v>
      </c>
      <c r="H412" s="26"/>
      <c r="I412" s="26" t="b">
        <v>0</v>
      </c>
      <c r="J412" s="23" t="b">
        <v>1</v>
      </c>
      <c r="K412" s="26" t="b">
        <v>1</v>
      </c>
      <c r="L412" s="26"/>
      <c r="M412" s="26"/>
      <c r="N412" s="26" t="str">
        <f>_xlfn.IFNA(VLOOKUP($M412,Buff.CM!$A:$O,13,FALSE),"")</f>
        <v/>
      </c>
      <c r="O412" s="26" t="str">
        <f>_xlfn.IFNA(VLOOKUP($M412,Buff.CM!$A:$O,14,FALSE),"")</f>
        <v/>
      </c>
      <c r="P412" s="26" t="str">
        <f>_xlfn.IFNA(VLOOKUP($M412,Buff.CM!$A:$O,15,FALSE),"")</f>
        <v/>
      </c>
      <c r="Q412" s="26" t="b">
        <v>0</v>
      </c>
      <c r="R412" s="26" t="b">
        <v>0</v>
      </c>
    </row>
    <row r="413" spans="1:18">
      <c r="A413" s="26" t="s">
        <v>1267</v>
      </c>
      <c r="B413" s="26"/>
      <c r="C413" s="26"/>
      <c r="D413" s="26">
        <v>0</v>
      </c>
      <c r="E413" s="26">
        <v>0</v>
      </c>
      <c r="F413" s="26">
        <v>0</v>
      </c>
      <c r="G413" s="26" t="s">
        <v>1268</v>
      </c>
      <c r="H413" s="26"/>
      <c r="I413" s="26" t="b">
        <v>0</v>
      </c>
      <c r="J413" s="23" t="b">
        <v>1</v>
      </c>
      <c r="K413" s="26" t="b">
        <v>1</v>
      </c>
      <c r="L413" s="26"/>
      <c r="M413" s="26"/>
      <c r="N413" s="26" t="str">
        <f>_xlfn.IFNA(VLOOKUP($M413,Buff.CM!$A:$O,13,FALSE),"")</f>
        <v/>
      </c>
      <c r="O413" s="26" t="str">
        <f>_xlfn.IFNA(VLOOKUP($M413,Buff.CM!$A:$O,14,FALSE),"")</f>
        <v/>
      </c>
      <c r="P413" s="26" t="str">
        <f>_xlfn.IFNA(VLOOKUP($M413,Buff.CM!$A:$O,15,FALSE),"")</f>
        <v/>
      </c>
      <c r="Q413" s="26" t="b">
        <v>0</v>
      </c>
      <c r="R413" s="26" t="b">
        <v>0</v>
      </c>
    </row>
    <row r="414" spans="1:18">
      <c r="A414" s="26" t="s">
        <v>1269</v>
      </c>
      <c r="B414" s="26"/>
      <c r="C414" s="26"/>
      <c r="D414" s="26">
        <v>0</v>
      </c>
      <c r="E414" s="26">
        <v>0</v>
      </c>
      <c r="F414" s="26">
        <v>0</v>
      </c>
      <c r="G414" s="26" t="s">
        <v>1270</v>
      </c>
      <c r="H414" s="26"/>
      <c r="I414" s="26" t="b">
        <v>0</v>
      </c>
      <c r="J414" s="23" t="b">
        <v>1</v>
      </c>
      <c r="K414" s="26" t="b">
        <v>1</v>
      </c>
      <c r="L414" s="26"/>
      <c r="M414" s="26"/>
      <c r="N414" s="26" t="str">
        <f>_xlfn.IFNA(VLOOKUP($M414,Buff.CM!$A:$O,13,FALSE),"")</f>
        <v/>
      </c>
      <c r="O414" s="26" t="str">
        <f>_xlfn.IFNA(VLOOKUP($M414,Buff.CM!$A:$O,14,FALSE),"")</f>
        <v/>
      </c>
      <c r="P414" s="26" t="str">
        <f>_xlfn.IFNA(VLOOKUP($M414,Buff.CM!$A:$O,15,FALSE),"")</f>
        <v/>
      </c>
      <c r="Q414" s="26" t="b">
        <v>0</v>
      </c>
      <c r="R414" s="26" t="b">
        <v>0</v>
      </c>
    </row>
    <row r="415" spans="1:18">
      <c r="A415" s="34" t="s">
        <v>1271</v>
      </c>
      <c r="B415" s="34"/>
      <c r="C415" s="34"/>
      <c r="D415" s="34">
        <v>0</v>
      </c>
      <c r="E415" s="34">
        <v>0</v>
      </c>
      <c r="F415" s="34">
        <v>0</v>
      </c>
      <c r="G415" s="34" t="s">
        <v>1272</v>
      </c>
      <c r="H415" s="34"/>
      <c r="I415" s="34" t="b">
        <v>0</v>
      </c>
      <c r="J415" s="23" t="b">
        <v>1</v>
      </c>
      <c r="K415" s="34" t="b">
        <v>1</v>
      </c>
      <c r="L415" s="34"/>
      <c r="M415" s="34"/>
      <c r="N415" s="34" t="str">
        <f>_xlfn.IFNA(VLOOKUP($M415,Buff.CM!$A:$O,13,FALSE),"")</f>
        <v/>
      </c>
      <c r="O415" s="34" t="str">
        <f>_xlfn.IFNA(VLOOKUP($M415,Buff.CM!$A:$O,14,FALSE),"")</f>
        <v/>
      </c>
      <c r="P415" s="34" t="str">
        <f>_xlfn.IFNA(VLOOKUP($M415,Buff.CM!$A:$O,15,FALSE),"")</f>
        <v/>
      </c>
      <c r="Q415" s="34" t="b">
        <v>0</v>
      </c>
      <c r="R415" s="34" t="b">
        <v>0</v>
      </c>
    </row>
    <row r="416" spans="1:18">
      <c r="A416" s="34" t="s">
        <v>1273</v>
      </c>
      <c r="B416" s="34"/>
      <c r="C416" s="34"/>
      <c r="D416" s="34">
        <v>0</v>
      </c>
      <c r="E416" s="34">
        <v>0</v>
      </c>
      <c r="F416" s="34">
        <v>0</v>
      </c>
      <c r="G416" s="34" t="s">
        <v>1274</v>
      </c>
      <c r="H416" s="34"/>
      <c r="I416" s="34" t="b">
        <v>0</v>
      </c>
      <c r="J416" s="23" t="b">
        <v>1</v>
      </c>
      <c r="K416" s="34" t="b">
        <v>1</v>
      </c>
      <c r="L416" s="34"/>
      <c r="M416" s="34"/>
      <c r="N416" s="34" t="str">
        <f>_xlfn.IFNA(VLOOKUP($M416,Buff.CM!$A:$O,13,FALSE),"")</f>
        <v/>
      </c>
      <c r="O416" s="34" t="str">
        <f>_xlfn.IFNA(VLOOKUP($M416,Buff.CM!$A:$O,14,FALSE),"")</f>
        <v/>
      </c>
      <c r="P416" s="34" t="str">
        <f>_xlfn.IFNA(VLOOKUP($M416,Buff.CM!$A:$O,15,FALSE),"")</f>
        <v/>
      </c>
      <c r="Q416" s="34" t="b">
        <v>0</v>
      </c>
      <c r="R416" s="34" t="b">
        <v>0</v>
      </c>
    </row>
    <row r="417" spans="1:18">
      <c r="A417" s="34" t="s">
        <v>1275</v>
      </c>
      <c r="B417" s="34"/>
      <c r="C417" s="34"/>
      <c r="D417" s="34">
        <v>0</v>
      </c>
      <c r="E417" s="34">
        <v>0</v>
      </c>
      <c r="F417" s="34">
        <v>0</v>
      </c>
      <c r="G417" s="34" t="s">
        <v>1276</v>
      </c>
      <c r="H417" s="34"/>
      <c r="I417" s="34" t="b">
        <v>0</v>
      </c>
      <c r="J417" s="23" t="b">
        <v>1</v>
      </c>
      <c r="K417" s="34" t="b">
        <v>1</v>
      </c>
      <c r="L417" s="34"/>
      <c r="M417" s="34"/>
      <c r="N417" s="34" t="str">
        <f>_xlfn.IFNA(VLOOKUP($M417,Buff.CM!$A:$O,13,FALSE),"")</f>
        <v/>
      </c>
      <c r="O417" s="34" t="str">
        <f>_xlfn.IFNA(VLOOKUP($M417,Buff.CM!$A:$O,14,FALSE),"")</f>
        <v/>
      </c>
      <c r="P417" s="34" t="str">
        <f>_xlfn.IFNA(VLOOKUP($M417,Buff.CM!$A:$O,15,FALSE),"")</f>
        <v/>
      </c>
      <c r="Q417" s="34" t="b">
        <v>0</v>
      </c>
      <c r="R417" s="34" t="b">
        <v>0</v>
      </c>
    </row>
    <row r="418" spans="1:18">
      <c r="A418" s="53" t="s">
        <v>2229</v>
      </c>
      <c r="B418" s="53"/>
      <c r="C418" s="53"/>
      <c r="D418" s="53">
        <v>0</v>
      </c>
      <c r="E418" s="53">
        <v>99</v>
      </c>
      <c r="F418" s="53">
        <v>1</v>
      </c>
      <c r="G418" s="53" t="s">
        <v>122</v>
      </c>
      <c r="H418" s="53"/>
      <c r="I418" s="53" t="b">
        <v>1</v>
      </c>
      <c r="J418" s="53" t="b">
        <v>0</v>
      </c>
      <c r="K418" s="53" t="b">
        <v>1</v>
      </c>
      <c r="L418" s="54"/>
      <c r="M418" s="54" t="s">
        <v>5606</v>
      </c>
      <c r="N418" s="54" t="str">
        <f>_xlfn.IFNA(VLOOKUP($M418,Buff.CM!$A:$O,13,FALSE),"")</f>
        <v>icon_battle_ambrosia_buff</v>
      </c>
      <c r="O418" s="54" t="str">
        <f>_xlfn.IFNA(VLOOKUP($M418,Buff.CM!$A:$O,14,FALSE),"")</f>
        <v>info.ambrosia.buff.bullet</v>
      </c>
      <c r="P418" s="54" t="str">
        <f>_xlfn.IFNA(VLOOKUP($M418,Buff.CM!$A:$O,15,FALSE),"")</f>
        <v>Desc.info.ambrosia.buff.bullet</v>
      </c>
      <c r="Q418" s="53" t="b">
        <v>0</v>
      </c>
      <c r="R418" s="53" t="b">
        <v>0</v>
      </c>
    </row>
    <row r="419" spans="1:18" ht="82.5">
      <c r="A419" s="53" t="s">
        <v>6541</v>
      </c>
      <c r="B419" s="53"/>
      <c r="C419" s="53"/>
      <c r="D419" s="53">
        <v>0</v>
      </c>
      <c r="E419" s="53">
        <v>99</v>
      </c>
      <c r="F419" s="53">
        <v>1</v>
      </c>
      <c r="G419" s="54" t="s">
        <v>6542</v>
      </c>
      <c r="H419" s="53"/>
      <c r="I419" s="53" t="b">
        <v>1</v>
      </c>
      <c r="J419" s="53" t="b">
        <v>0</v>
      </c>
      <c r="K419" s="53" t="b">
        <v>1</v>
      </c>
      <c r="L419" s="54"/>
      <c r="M419" s="54"/>
      <c r="N419" s="54" t="str">
        <f>_xlfn.IFNA(VLOOKUP($M419,Buff.CM!$A:$O,13,FALSE),"")</f>
        <v/>
      </c>
      <c r="O419" s="54" t="str">
        <f>_xlfn.IFNA(VLOOKUP($M419,Buff.CM!$A:$O,14,FALSE),"")</f>
        <v/>
      </c>
      <c r="P419" s="54" t="str">
        <f>_xlfn.IFNA(VLOOKUP($M419,Buff.CM!$A:$O,15,FALSE),"")</f>
        <v/>
      </c>
      <c r="Q419" s="53" t="b">
        <v>0</v>
      </c>
      <c r="R419" s="53" t="b">
        <v>0</v>
      </c>
    </row>
    <row r="420" spans="1:18">
      <c r="A420" s="53" t="s">
        <v>6543</v>
      </c>
      <c r="B420" s="53" t="s">
        <v>1367</v>
      </c>
      <c r="C420" s="53" t="s">
        <v>2229</v>
      </c>
      <c r="D420" s="53">
        <v>0</v>
      </c>
      <c r="E420" s="53">
        <v>0</v>
      </c>
      <c r="F420" s="53">
        <v>0</v>
      </c>
      <c r="G420" s="53" t="s">
        <v>6544</v>
      </c>
      <c r="H420" s="53"/>
      <c r="I420" s="53" t="b">
        <v>1</v>
      </c>
      <c r="J420" s="53" t="b">
        <v>0</v>
      </c>
      <c r="K420" s="53" t="b">
        <v>1</v>
      </c>
      <c r="L420" s="54"/>
      <c r="M420" s="54"/>
      <c r="N420" s="54" t="str">
        <f>_xlfn.IFNA(VLOOKUP($M420,Buff.CM!$A:$O,13,FALSE),"")</f>
        <v/>
      </c>
      <c r="O420" s="54" t="str">
        <f>_xlfn.IFNA(VLOOKUP($M420,Buff.CM!$A:$O,14,FALSE),"")</f>
        <v/>
      </c>
      <c r="P420" s="54" t="str">
        <f>_xlfn.IFNA(VLOOKUP($M420,Buff.CM!$A:$O,15,FALSE),"")</f>
        <v/>
      </c>
      <c r="Q420" s="53" t="b">
        <v>0</v>
      </c>
      <c r="R420" s="53" t="b">
        <v>0</v>
      </c>
    </row>
    <row r="421" spans="1:18">
      <c r="A421" s="53" t="s">
        <v>2725</v>
      </c>
      <c r="B421" s="53" t="s">
        <v>1367</v>
      </c>
      <c r="C421" s="53" t="s">
        <v>2229</v>
      </c>
      <c r="D421" s="53">
        <v>0</v>
      </c>
      <c r="E421" s="53">
        <v>0</v>
      </c>
      <c r="F421" s="53">
        <v>0</v>
      </c>
      <c r="G421" s="53" t="s">
        <v>2731</v>
      </c>
      <c r="H421" s="53"/>
      <c r="I421" s="53" t="b">
        <v>1</v>
      </c>
      <c r="J421" s="53" t="b">
        <v>0</v>
      </c>
      <c r="K421" s="53" t="b">
        <v>1</v>
      </c>
      <c r="L421" s="54"/>
      <c r="M421" s="54"/>
      <c r="N421" s="54" t="str">
        <f>_xlfn.IFNA(VLOOKUP($M421,Buff.CM!$A:$O,13,FALSE),"")</f>
        <v/>
      </c>
      <c r="O421" s="54" t="str">
        <f>_xlfn.IFNA(VLOOKUP($M421,Buff.CM!$A:$O,14,FALSE),"")</f>
        <v/>
      </c>
      <c r="P421" s="54" t="str">
        <f>_xlfn.IFNA(VLOOKUP($M421,Buff.CM!$A:$O,15,FALSE),"")</f>
        <v/>
      </c>
      <c r="Q421" s="53" t="b">
        <v>0</v>
      </c>
      <c r="R421" s="53" t="b">
        <v>0</v>
      </c>
    </row>
    <row r="422" spans="1:18">
      <c r="A422" s="53" t="s">
        <v>2726</v>
      </c>
      <c r="B422" s="53" t="s">
        <v>1367</v>
      </c>
      <c r="C422" s="53" t="s">
        <v>2229</v>
      </c>
      <c r="D422" s="53">
        <v>0</v>
      </c>
      <c r="E422" s="53">
        <v>0</v>
      </c>
      <c r="F422" s="53">
        <v>0</v>
      </c>
      <c r="G422" s="53" t="s">
        <v>2732</v>
      </c>
      <c r="H422" s="53"/>
      <c r="I422" s="53" t="b">
        <v>1</v>
      </c>
      <c r="J422" s="53" t="b">
        <v>0</v>
      </c>
      <c r="K422" s="53" t="b">
        <v>1</v>
      </c>
      <c r="L422" s="54"/>
      <c r="M422" s="54"/>
      <c r="N422" s="54" t="str">
        <f>_xlfn.IFNA(VLOOKUP($M422,Buff.CM!$A:$O,13,FALSE),"")</f>
        <v/>
      </c>
      <c r="O422" s="54" t="str">
        <f>_xlfn.IFNA(VLOOKUP($M422,Buff.CM!$A:$O,14,FALSE),"")</f>
        <v/>
      </c>
      <c r="P422" s="54" t="str">
        <f>_xlfn.IFNA(VLOOKUP($M422,Buff.CM!$A:$O,15,FALSE),"")</f>
        <v/>
      </c>
      <c r="Q422" s="53" t="b">
        <v>0</v>
      </c>
      <c r="R422" s="53" t="b">
        <v>0</v>
      </c>
    </row>
    <row r="423" spans="1:18">
      <c r="A423" s="53" t="s">
        <v>2727</v>
      </c>
      <c r="B423" s="53" t="s">
        <v>1367</v>
      </c>
      <c r="C423" s="53" t="s">
        <v>2229</v>
      </c>
      <c r="D423" s="53">
        <v>0</v>
      </c>
      <c r="E423" s="53">
        <v>0</v>
      </c>
      <c r="F423" s="53">
        <v>0</v>
      </c>
      <c r="G423" s="53" t="s">
        <v>2733</v>
      </c>
      <c r="H423" s="53"/>
      <c r="I423" s="53" t="b">
        <v>1</v>
      </c>
      <c r="J423" s="53" t="b">
        <v>0</v>
      </c>
      <c r="K423" s="53" t="b">
        <v>1</v>
      </c>
      <c r="L423" s="54"/>
      <c r="M423" s="54"/>
      <c r="N423" s="54" t="str">
        <f>_xlfn.IFNA(VLOOKUP($M423,Buff.CM!$A:$O,13,FALSE),"")</f>
        <v/>
      </c>
      <c r="O423" s="54" t="str">
        <f>_xlfn.IFNA(VLOOKUP($M423,Buff.CM!$A:$O,14,FALSE),"")</f>
        <v/>
      </c>
      <c r="P423" s="54" t="str">
        <f>_xlfn.IFNA(VLOOKUP($M423,Buff.CM!$A:$O,15,FALSE),"")</f>
        <v/>
      </c>
      <c r="Q423" s="53" t="b">
        <v>0</v>
      </c>
      <c r="R423" s="53" t="b">
        <v>0</v>
      </c>
    </row>
    <row r="424" spans="1:18">
      <c r="A424" s="53" t="s">
        <v>2728</v>
      </c>
      <c r="B424" s="53" t="s">
        <v>1367</v>
      </c>
      <c r="C424" s="53" t="s">
        <v>2229</v>
      </c>
      <c r="D424" s="53">
        <v>0</v>
      </c>
      <c r="E424" s="53">
        <v>0</v>
      </c>
      <c r="F424" s="53">
        <v>0</v>
      </c>
      <c r="G424" s="53" t="s">
        <v>2734</v>
      </c>
      <c r="H424" s="53"/>
      <c r="I424" s="53" t="b">
        <v>1</v>
      </c>
      <c r="J424" s="53" t="b">
        <v>0</v>
      </c>
      <c r="K424" s="53" t="b">
        <v>1</v>
      </c>
      <c r="L424" s="54"/>
      <c r="M424" s="54"/>
      <c r="N424" s="54" t="str">
        <f>_xlfn.IFNA(VLOOKUP($M424,Buff.CM!$A:$O,13,FALSE),"")</f>
        <v/>
      </c>
      <c r="O424" s="54" t="str">
        <f>_xlfn.IFNA(VLOOKUP($M424,Buff.CM!$A:$O,14,FALSE),"")</f>
        <v/>
      </c>
      <c r="P424" s="54" t="str">
        <f>_xlfn.IFNA(VLOOKUP($M424,Buff.CM!$A:$O,15,FALSE),"")</f>
        <v/>
      </c>
      <c r="Q424" s="53" t="b">
        <v>0</v>
      </c>
      <c r="R424" s="53" t="b">
        <v>0</v>
      </c>
    </row>
    <row r="425" spans="1:18">
      <c r="A425" s="53" t="s">
        <v>2729</v>
      </c>
      <c r="B425" s="53" t="s">
        <v>1367</v>
      </c>
      <c r="C425" s="53" t="s">
        <v>2229</v>
      </c>
      <c r="D425" s="53">
        <v>0</v>
      </c>
      <c r="E425" s="53">
        <v>0</v>
      </c>
      <c r="F425" s="53">
        <v>0</v>
      </c>
      <c r="G425" s="53" t="s">
        <v>2735</v>
      </c>
      <c r="H425" s="53"/>
      <c r="I425" s="53" t="b">
        <v>1</v>
      </c>
      <c r="J425" s="53" t="b">
        <v>0</v>
      </c>
      <c r="K425" s="53" t="b">
        <v>1</v>
      </c>
      <c r="L425" s="54"/>
      <c r="M425" s="54"/>
      <c r="N425" s="54" t="str">
        <f>_xlfn.IFNA(VLOOKUP($M425,Buff.CM!$A:$O,13,FALSE),"")</f>
        <v/>
      </c>
      <c r="O425" s="54" t="str">
        <f>_xlfn.IFNA(VLOOKUP($M425,Buff.CM!$A:$O,14,FALSE),"")</f>
        <v/>
      </c>
      <c r="P425" s="54" t="str">
        <f>_xlfn.IFNA(VLOOKUP($M425,Buff.CM!$A:$O,15,FALSE),"")</f>
        <v/>
      </c>
      <c r="Q425" s="53" t="b">
        <v>0</v>
      </c>
      <c r="R425" s="53" t="b">
        <v>0</v>
      </c>
    </row>
    <row r="426" spans="1:18">
      <c r="A426" s="53" t="s">
        <v>2730</v>
      </c>
      <c r="B426" s="53" t="s">
        <v>1367</v>
      </c>
      <c r="C426" s="53" t="s">
        <v>2229</v>
      </c>
      <c r="D426" s="53">
        <v>0</v>
      </c>
      <c r="E426" s="53">
        <v>0</v>
      </c>
      <c r="F426" s="53">
        <v>0</v>
      </c>
      <c r="G426" s="53" t="s">
        <v>2736</v>
      </c>
      <c r="H426" s="53"/>
      <c r="I426" s="53" t="b">
        <v>1</v>
      </c>
      <c r="J426" s="53" t="b">
        <v>0</v>
      </c>
      <c r="K426" s="53" t="b">
        <v>1</v>
      </c>
      <c r="L426" s="54"/>
      <c r="M426" s="54"/>
      <c r="N426" s="54" t="str">
        <f>_xlfn.IFNA(VLOOKUP($M426,Buff.CM!$A:$O,13,FALSE),"")</f>
        <v/>
      </c>
      <c r="O426" s="54" t="str">
        <f>_xlfn.IFNA(VLOOKUP($M426,Buff.CM!$A:$O,14,FALSE),"")</f>
        <v/>
      </c>
      <c r="P426" s="54" t="str">
        <f>_xlfn.IFNA(VLOOKUP($M426,Buff.CM!$A:$O,15,FALSE),"")</f>
        <v/>
      </c>
      <c r="Q426" s="53" t="b">
        <v>0</v>
      </c>
      <c r="R426" s="53" t="b">
        <v>0</v>
      </c>
    </row>
    <row r="427" spans="1:18">
      <c r="A427" s="53" t="s">
        <v>2865</v>
      </c>
      <c r="B427" s="53"/>
      <c r="C427" s="53"/>
      <c r="D427" s="53">
        <v>0</v>
      </c>
      <c r="E427" s="53">
        <v>0</v>
      </c>
      <c r="F427" s="53">
        <v>0</v>
      </c>
      <c r="G427" s="53" t="s">
        <v>2866</v>
      </c>
      <c r="H427" s="53"/>
      <c r="I427" s="53" t="b">
        <v>1</v>
      </c>
      <c r="J427" s="53" t="b">
        <v>0</v>
      </c>
      <c r="K427" s="53" t="b">
        <v>1</v>
      </c>
      <c r="L427" s="54"/>
      <c r="M427" s="54"/>
      <c r="N427" s="54" t="str">
        <f>_xlfn.IFNA(VLOOKUP($M427,Buff.CM!$A:$O,13,FALSE),"")</f>
        <v/>
      </c>
      <c r="O427" s="54" t="str">
        <f>_xlfn.IFNA(VLOOKUP($M427,Buff.CM!$A:$O,14,FALSE),"")</f>
        <v/>
      </c>
      <c r="P427" s="54" t="str">
        <f>_xlfn.IFNA(VLOOKUP($M427,Buff.CM!$A:$O,15,FALSE),"")</f>
        <v/>
      </c>
      <c r="Q427" s="53" t="b">
        <v>0</v>
      </c>
      <c r="R427" s="53" t="b">
        <v>0</v>
      </c>
    </row>
    <row r="428" spans="1:18">
      <c r="A428" s="53" t="s">
        <v>2867</v>
      </c>
      <c r="B428" s="53"/>
      <c r="C428" s="53"/>
      <c r="D428" s="53">
        <v>0</v>
      </c>
      <c r="E428" s="53">
        <v>0</v>
      </c>
      <c r="F428" s="53">
        <v>0</v>
      </c>
      <c r="G428" s="53" t="s">
        <v>2868</v>
      </c>
      <c r="H428" s="53"/>
      <c r="I428" s="53" t="b">
        <v>1</v>
      </c>
      <c r="J428" s="53" t="b">
        <v>0</v>
      </c>
      <c r="K428" s="53" t="b">
        <v>1</v>
      </c>
      <c r="L428" s="54"/>
      <c r="M428" s="54"/>
      <c r="N428" s="54" t="str">
        <f>_xlfn.IFNA(VLOOKUP($M428,Buff.CM!$A:$O,13,FALSE),"")</f>
        <v/>
      </c>
      <c r="O428" s="54" t="str">
        <f>_xlfn.IFNA(VLOOKUP($M428,Buff.CM!$A:$O,14,FALSE),"")</f>
        <v/>
      </c>
      <c r="P428" s="54" t="str">
        <f>_xlfn.IFNA(VLOOKUP($M428,Buff.CM!$A:$O,15,FALSE),"")</f>
        <v/>
      </c>
      <c r="Q428" s="53" t="b">
        <v>0</v>
      </c>
      <c r="R428" s="53" t="b">
        <v>0</v>
      </c>
    </row>
    <row r="429" spans="1:18">
      <c r="A429" s="53" t="s">
        <v>2869</v>
      </c>
      <c r="B429" s="53"/>
      <c r="C429" s="53"/>
      <c r="D429" s="53">
        <v>0</v>
      </c>
      <c r="E429" s="53">
        <v>0</v>
      </c>
      <c r="F429" s="53">
        <v>0</v>
      </c>
      <c r="G429" s="53" t="s">
        <v>2870</v>
      </c>
      <c r="H429" s="53"/>
      <c r="I429" s="53" t="b">
        <v>1</v>
      </c>
      <c r="J429" s="53" t="b">
        <v>0</v>
      </c>
      <c r="K429" s="53" t="b">
        <v>1</v>
      </c>
      <c r="L429" s="54"/>
      <c r="M429" s="54"/>
      <c r="N429" s="54" t="str">
        <f>_xlfn.IFNA(VLOOKUP($M429,Buff.CM!$A:$O,13,FALSE),"")</f>
        <v/>
      </c>
      <c r="O429" s="54" t="str">
        <f>_xlfn.IFNA(VLOOKUP($M429,Buff.CM!$A:$O,14,FALSE),"")</f>
        <v/>
      </c>
      <c r="P429" s="54" t="str">
        <f>_xlfn.IFNA(VLOOKUP($M429,Buff.CM!$A:$O,15,FALSE),"")</f>
        <v/>
      </c>
      <c r="Q429" s="53" t="b">
        <v>0</v>
      </c>
      <c r="R429" s="53" t="b">
        <v>0</v>
      </c>
    </row>
    <row r="430" spans="1:18">
      <c r="A430" s="53" t="s">
        <v>2871</v>
      </c>
      <c r="B430" s="53"/>
      <c r="C430" s="53"/>
      <c r="D430" s="53">
        <v>0</v>
      </c>
      <c r="E430" s="53">
        <v>0</v>
      </c>
      <c r="F430" s="53">
        <v>0</v>
      </c>
      <c r="G430" s="53" t="s">
        <v>2872</v>
      </c>
      <c r="H430" s="53"/>
      <c r="I430" s="53" t="b">
        <v>1</v>
      </c>
      <c r="J430" s="53" t="b">
        <v>0</v>
      </c>
      <c r="K430" s="53" t="b">
        <v>1</v>
      </c>
      <c r="L430" s="54"/>
      <c r="M430" s="54"/>
      <c r="N430" s="54" t="str">
        <f>_xlfn.IFNA(VLOOKUP($M430,Buff.CM!$A:$O,13,FALSE),"")</f>
        <v/>
      </c>
      <c r="O430" s="54" t="str">
        <f>_xlfn.IFNA(VLOOKUP($M430,Buff.CM!$A:$O,14,FALSE),"")</f>
        <v/>
      </c>
      <c r="P430" s="54" t="str">
        <f>_xlfn.IFNA(VLOOKUP($M430,Buff.CM!$A:$O,15,FALSE),"")</f>
        <v/>
      </c>
      <c r="Q430" s="53" t="b">
        <v>0</v>
      </c>
      <c r="R430" s="53" t="b">
        <v>0</v>
      </c>
    </row>
    <row r="431" spans="1:18">
      <c r="A431" s="53" t="s">
        <v>2873</v>
      </c>
      <c r="B431" s="53"/>
      <c r="C431" s="53"/>
      <c r="D431" s="53">
        <v>0</v>
      </c>
      <c r="E431" s="53">
        <v>0</v>
      </c>
      <c r="F431" s="53">
        <v>0</v>
      </c>
      <c r="G431" s="53" t="s">
        <v>2874</v>
      </c>
      <c r="H431" s="53"/>
      <c r="I431" s="53" t="b">
        <v>1</v>
      </c>
      <c r="J431" s="53" t="b">
        <v>0</v>
      </c>
      <c r="K431" s="53" t="b">
        <v>1</v>
      </c>
      <c r="L431" s="54"/>
      <c r="M431" s="54"/>
      <c r="N431" s="54" t="str">
        <f>_xlfn.IFNA(VLOOKUP($M431,Buff.CM!$A:$O,13,FALSE),"")</f>
        <v/>
      </c>
      <c r="O431" s="54" t="str">
        <f>_xlfn.IFNA(VLOOKUP($M431,Buff.CM!$A:$O,14,FALSE),"")</f>
        <v/>
      </c>
      <c r="P431" s="54" t="str">
        <f>_xlfn.IFNA(VLOOKUP($M431,Buff.CM!$A:$O,15,FALSE),"")</f>
        <v/>
      </c>
      <c r="Q431" s="53" t="b">
        <v>0</v>
      </c>
      <c r="R431" s="53" t="b">
        <v>0</v>
      </c>
    </row>
    <row r="432" spans="1:18">
      <c r="A432" s="53" t="s">
        <v>2875</v>
      </c>
      <c r="B432" s="53"/>
      <c r="C432" s="53"/>
      <c r="D432" s="53">
        <v>0</v>
      </c>
      <c r="E432" s="53">
        <v>0</v>
      </c>
      <c r="F432" s="53">
        <v>0</v>
      </c>
      <c r="G432" s="53" t="s">
        <v>2876</v>
      </c>
      <c r="H432" s="53"/>
      <c r="I432" s="53" t="b">
        <v>1</v>
      </c>
      <c r="J432" s="53" t="b">
        <v>0</v>
      </c>
      <c r="K432" s="53" t="b">
        <v>1</v>
      </c>
      <c r="L432" s="54"/>
      <c r="M432" s="54"/>
      <c r="N432" s="54" t="str">
        <f>_xlfn.IFNA(VLOOKUP($M432,Buff.CM!$A:$O,13,FALSE),"")</f>
        <v/>
      </c>
      <c r="O432" s="54" t="str">
        <f>_xlfn.IFNA(VLOOKUP($M432,Buff.CM!$A:$O,14,FALSE),"")</f>
        <v/>
      </c>
      <c r="P432" s="54" t="str">
        <f>_xlfn.IFNA(VLOOKUP($M432,Buff.CM!$A:$O,15,FALSE),"")</f>
        <v/>
      </c>
      <c r="Q432" s="53" t="b">
        <v>0</v>
      </c>
      <c r="R432" s="53" t="b">
        <v>0</v>
      </c>
    </row>
    <row r="433" spans="1:18">
      <c r="A433" s="53" t="s">
        <v>2877</v>
      </c>
      <c r="B433" s="53"/>
      <c r="C433" s="53"/>
      <c r="D433" s="53">
        <v>0</v>
      </c>
      <c r="E433" s="53">
        <v>0</v>
      </c>
      <c r="F433" s="53">
        <v>0</v>
      </c>
      <c r="G433" s="53" t="s">
        <v>2878</v>
      </c>
      <c r="H433" s="53"/>
      <c r="I433" s="53" t="b">
        <v>1</v>
      </c>
      <c r="J433" s="53" t="b">
        <v>0</v>
      </c>
      <c r="K433" s="53" t="b">
        <v>1</v>
      </c>
      <c r="L433" s="54"/>
      <c r="M433" s="54"/>
      <c r="N433" s="54" t="str">
        <f>_xlfn.IFNA(VLOOKUP($M433,Buff.CM!$A:$O,13,FALSE),"")</f>
        <v/>
      </c>
      <c r="O433" s="54" t="str">
        <f>_xlfn.IFNA(VLOOKUP($M433,Buff.CM!$A:$O,14,FALSE),"")</f>
        <v/>
      </c>
      <c r="P433" s="54" t="str">
        <f>_xlfn.IFNA(VLOOKUP($M433,Buff.CM!$A:$O,15,FALSE),"")</f>
        <v/>
      </c>
      <c r="Q433" s="53" t="b">
        <v>0</v>
      </c>
      <c r="R433" s="53" t="b">
        <v>0</v>
      </c>
    </row>
    <row r="434" spans="1:18">
      <c r="A434" s="51" t="s">
        <v>2718</v>
      </c>
      <c r="B434" s="51"/>
      <c r="C434" s="51"/>
      <c r="D434" s="51">
        <v>6000</v>
      </c>
      <c r="E434" s="51">
        <v>0</v>
      </c>
      <c r="F434" s="51">
        <v>0</v>
      </c>
      <c r="G434" s="51" t="s">
        <v>1516</v>
      </c>
      <c r="H434" s="51"/>
      <c r="I434" s="51" t="b">
        <v>0</v>
      </c>
      <c r="J434" s="51" t="b">
        <v>0</v>
      </c>
      <c r="K434" s="51" t="b">
        <v>0</v>
      </c>
      <c r="L434" s="51" t="s">
        <v>5475</v>
      </c>
      <c r="M434" s="51" t="s">
        <v>1516</v>
      </c>
      <c r="N434" s="52" t="str">
        <f>_xlfn.IFNA(VLOOKUP($M434,Buff.CM!$A:$O,13,FALSE),"")</f>
        <v>icon_battle_attack</v>
      </c>
      <c r="O434" s="52" t="str">
        <f>_xlfn.IFNA(VLOOKUP($M434,Buff.CM!$A:$O,14,FALSE),"")</f>
        <v>Buff.Name.Atk.Down.03</v>
      </c>
      <c r="P434" s="52" t="str">
        <f>_xlfn.IFNA(VLOOKUP($M434,Buff.CM!$A:$O,15,FALSE),"")</f>
        <v>Buff.Desc.Atk.Down.03</v>
      </c>
      <c r="Q434" s="51" t="b">
        <v>0</v>
      </c>
      <c r="R434" s="51" t="b">
        <v>0</v>
      </c>
    </row>
    <row r="435" spans="1:18">
      <c r="A435" s="51" t="s">
        <v>2719</v>
      </c>
      <c r="B435" s="51"/>
      <c r="C435" s="51"/>
      <c r="D435" s="51">
        <v>7000</v>
      </c>
      <c r="E435" s="51">
        <v>0</v>
      </c>
      <c r="F435" s="51">
        <v>0</v>
      </c>
      <c r="G435" s="51" t="s">
        <v>1516</v>
      </c>
      <c r="H435" s="51"/>
      <c r="I435" s="51" t="b">
        <v>0</v>
      </c>
      <c r="J435" s="51" t="b">
        <v>0</v>
      </c>
      <c r="K435" s="51" t="b">
        <v>0</v>
      </c>
      <c r="L435" s="51" t="s">
        <v>5475</v>
      </c>
      <c r="M435" s="51" t="s">
        <v>1516</v>
      </c>
      <c r="N435" s="52" t="str">
        <f>_xlfn.IFNA(VLOOKUP($M435,Buff.CM!$A:$O,13,FALSE),"")</f>
        <v>icon_battle_attack</v>
      </c>
      <c r="O435" s="52" t="str">
        <f>_xlfn.IFNA(VLOOKUP($M435,Buff.CM!$A:$O,14,FALSE),"")</f>
        <v>Buff.Name.Atk.Down.03</v>
      </c>
      <c r="P435" s="52" t="str">
        <f>_xlfn.IFNA(VLOOKUP($M435,Buff.CM!$A:$O,15,FALSE),"")</f>
        <v>Buff.Desc.Atk.Down.03</v>
      </c>
      <c r="Q435" s="51" t="b">
        <v>0</v>
      </c>
      <c r="R435" s="51" t="b">
        <v>0</v>
      </c>
    </row>
    <row r="436" spans="1:18">
      <c r="A436" s="51" t="s">
        <v>2720</v>
      </c>
      <c r="B436" s="51"/>
      <c r="C436" s="51"/>
      <c r="D436" s="51">
        <v>7000</v>
      </c>
      <c r="E436" s="51">
        <v>0</v>
      </c>
      <c r="F436" s="51">
        <v>0</v>
      </c>
      <c r="G436" s="51" t="s">
        <v>1517</v>
      </c>
      <c r="H436" s="51"/>
      <c r="I436" s="51" t="b">
        <v>0</v>
      </c>
      <c r="J436" s="51" t="b">
        <v>0</v>
      </c>
      <c r="K436" s="51" t="b">
        <v>0</v>
      </c>
      <c r="L436" s="51" t="s">
        <v>5475</v>
      </c>
      <c r="M436" s="51" t="s">
        <v>1517</v>
      </c>
      <c r="N436" s="52" t="str">
        <f>_xlfn.IFNA(VLOOKUP($M436,Buff.CM!$A:$O,13,FALSE),"")</f>
        <v>icon_battle_attack</v>
      </c>
      <c r="O436" s="52" t="str">
        <f>_xlfn.IFNA(VLOOKUP($M436,Buff.CM!$A:$O,14,FALSE),"")</f>
        <v>Buff.Name.Atk.Down.04</v>
      </c>
      <c r="P436" s="52" t="str">
        <f>_xlfn.IFNA(VLOOKUP($M436,Buff.CM!$A:$O,15,FALSE),"")</f>
        <v>Buff.Desc.Atk.Down.04</v>
      </c>
      <c r="Q436" s="51" t="b">
        <v>0</v>
      </c>
      <c r="R436" s="51" t="b">
        <v>0</v>
      </c>
    </row>
    <row r="437" spans="1:18">
      <c r="A437" s="51" t="s">
        <v>2721</v>
      </c>
      <c r="B437" s="51"/>
      <c r="C437" s="51"/>
      <c r="D437" s="51">
        <v>8000</v>
      </c>
      <c r="E437" s="51">
        <v>0</v>
      </c>
      <c r="F437" s="51">
        <v>0</v>
      </c>
      <c r="G437" s="51" t="s">
        <v>1517</v>
      </c>
      <c r="H437" s="51"/>
      <c r="I437" s="51" t="b">
        <v>0</v>
      </c>
      <c r="J437" s="51" t="b">
        <v>0</v>
      </c>
      <c r="K437" s="51" t="b">
        <v>0</v>
      </c>
      <c r="L437" s="51" t="s">
        <v>5475</v>
      </c>
      <c r="M437" s="51" t="s">
        <v>1517</v>
      </c>
      <c r="N437" s="52" t="str">
        <f>_xlfn.IFNA(VLOOKUP($M437,Buff.CM!$A:$O,13,FALSE),"")</f>
        <v>icon_battle_attack</v>
      </c>
      <c r="O437" s="52" t="str">
        <f>_xlfn.IFNA(VLOOKUP($M437,Buff.CM!$A:$O,14,FALSE),"")</f>
        <v>Buff.Name.Atk.Down.04</v>
      </c>
      <c r="P437" s="52" t="str">
        <f>_xlfn.IFNA(VLOOKUP($M437,Buff.CM!$A:$O,15,FALSE),"")</f>
        <v>Buff.Desc.Atk.Down.04</v>
      </c>
      <c r="Q437" s="51" t="b">
        <v>0</v>
      </c>
      <c r="R437" s="51" t="b">
        <v>0</v>
      </c>
    </row>
    <row r="438" spans="1:18">
      <c r="A438" s="51" t="s">
        <v>2722</v>
      </c>
      <c r="B438" s="51"/>
      <c r="C438" s="51"/>
      <c r="D438" s="51">
        <v>8000</v>
      </c>
      <c r="E438" s="51">
        <v>0</v>
      </c>
      <c r="F438" s="51">
        <v>0</v>
      </c>
      <c r="G438" s="51" t="s">
        <v>1518</v>
      </c>
      <c r="H438" s="51"/>
      <c r="I438" s="51" t="b">
        <v>0</v>
      </c>
      <c r="J438" s="51" t="b">
        <v>0</v>
      </c>
      <c r="K438" s="51" t="b">
        <v>0</v>
      </c>
      <c r="L438" s="51" t="s">
        <v>5475</v>
      </c>
      <c r="M438" s="51" t="s">
        <v>1518</v>
      </c>
      <c r="N438" s="52" t="str">
        <f>_xlfn.IFNA(VLOOKUP($M438,Buff.CM!$A:$O,13,FALSE),"")</f>
        <v>icon_battle_attack</v>
      </c>
      <c r="O438" s="52" t="str">
        <f>_xlfn.IFNA(VLOOKUP($M438,Buff.CM!$A:$O,14,FALSE),"")</f>
        <v>Buff.Name.Atk.Down.05</v>
      </c>
      <c r="P438" s="52" t="str">
        <f>_xlfn.IFNA(VLOOKUP($M438,Buff.CM!$A:$O,15,FALSE),"")</f>
        <v>Buff.Desc.Atk.Down.05</v>
      </c>
      <c r="Q438" s="51" t="b">
        <v>0</v>
      </c>
      <c r="R438" s="51" t="b">
        <v>0</v>
      </c>
    </row>
    <row r="439" spans="1:18">
      <c r="A439" s="34" t="s">
        <v>2723</v>
      </c>
      <c r="B439" s="34"/>
      <c r="C439" s="34"/>
      <c r="D439" s="34">
        <v>10000</v>
      </c>
      <c r="E439" s="34">
        <v>0</v>
      </c>
      <c r="F439" s="34">
        <v>0</v>
      </c>
      <c r="G439" s="34" t="s">
        <v>1518</v>
      </c>
      <c r="H439" s="34"/>
      <c r="I439" s="34" t="b">
        <v>0</v>
      </c>
      <c r="J439" s="34" t="b">
        <v>0</v>
      </c>
      <c r="K439" s="34" t="b">
        <v>0</v>
      </c>
      <c r="L439" s="51" t="s">
        <v>5475</v>
      </c>
      <c r="M439" s="34" t="s">
        <v>1518</v>
      </c>
      <c r="N439" s="40" t="str">
        <f>_xlfn.IFNA(VLOOKUP($M439,Buff.CM!$A:$O,13,FALSE),"")</f>
        <v>icon_battle_attack</v>
      </c>
      <c r="O439" s="40" t="str">
        <f>_xlfn.IFNA(VLOOKUP($M439,Buff.CM!$A:$O,14,FALSE),"")</f>
        <v>Buff.Name.Atk.Down.05</v>
      </c>
      <c r="P439" s="40" t="str">
        <f>_xlfn.IFNA(VLOOKUP($M439,Buff.CM!$A:$O,15,FALSE),"")</f>
        <v>Buff.Desc.Atk.Down.05</v>
      </c>
      <c r="Q439" s="34" t="b">
        <v>0</v>
      </c>
      <c r="R439" s="34" t="b">
        <v>0</v>
      </c>
    </row>
    <row r="440" spans="1:18">
      <c r="A440" s="34" t="s">
        <v>2724</v>
      </c>
      <c r="B440" s="34"/>
      <c r="C440" s="34"/>
      <c r="D440" s="34">
        <v>10000</v>
      </c>
      <c r="E440" s="34">
        <v>0</v>
      </c>
      <c r="F440" s="34">
        <v>0</v>
      </c>
      <c r="G440" s="34" t="s">
        <v>1518</v>
      </c>
      <c r="H440" s="34"/>
      <c r="I440" s="34" t="b">
        <v>0</v>
      </c>
      <c r="J440" s="34" t="b">
        <v>0</v>
      </c>
      <c r="K440" s="34" t="b">
        <v>0</v>
      </c>
      <c r="L440" s="51" t="s">
        <v>5475</v>
      </c>
      <c r="M440" s="34" t="s">
        <v>1518</v>
      </c>
      <c r="N440" s="40" t="str">
        <f>_xlfn.IFNA(VLOOKUP($M440,Buff.CM!$A:$O,13,FALSE),"")</f>
        <v>icon_battle_attack</v>
      </c>
      <c r="O440" s="40" t="str">
        <f>_xlfn.IFNA(VLOOKUP($M440,Buff.CM!$A:$O,14,FALSE),"")</f>
        <v>Buff.Name.Atk.Down.05</v>
      </c>
      <c r="P440" s="40" t="str">
        <f>_xlfn.IFNA(VLOOKUP($M440,Buff.CM!$A:$O,15,FALSE),"")</f>
        <v>Buff.Desc.Atk.Down.05</v>
      </c>
      <c r="Q440" s="34" t="b">
        <v>0</v>
      </c>
      <c r="R440" s="34" t="b">
        <v>0</v>
      </c>
    </row>
    <row r="441" spans="1:18">
      <c r="A441" s="53" t="s">
        <v>410</v>
      </c>
      <c r="B441" s="53"/>
      <c r="C441" s="53"/>
      <c r="D441" s="53">
        <v>500</v>
      </c>
      <c r="E441" s="53">
        <v>0</v>
      </c>
      <c r="F441" s="53">
        <v>0</v>
      </c>
      <c r="G441" s="53" t="s">
        <v>263</v>
      </c>
      <c r="H441" s="53"/>
      <c r="I441" s="53" t="b">
        <v>0</v>
      </c>
      <c r="J441" s="53" t="b">
        <v>0</v>
      </c>
      <c r="K441" s="53" t="b">
        <v>0</v>
      </c>
      <c r="L441" s="26" t="s">
        <v>314</v>
      </c>
      <c r="M441" s="26" t="s">
        <v>5467</v>
      </c>
      <c r="N441" s="26" t="str">
        <f>_xlfn.IFNA(VLOOKUP($M441,Buff.CM!$A:$O,13,FALSE),"")</f>
        <v>icon_cha_skill_backstep_u</v>
      </c>
      <c r="O441" s="26" t="str">
        <f>_xlfn.IFNA(VLOOKUP($M441,Buff.CM!$A:$O,14,FALSE),"")</f>
        <v>Buff.Name.Airborne</v>
      </c>
      <c r="P441" s="26" t="str">
        <f>_xlfn.IFNA(VLOOKUP($M441,Buff.CM!$A:$O,15,FALSE),"")</f>
        <v>Buff.Desc.Airborne</v>
      </c>
      <c r="Q441" s="53" t="b">
        <v>0</v>
      </c>
      <c r="R441" s="53" t="b">
        <v>0</v>
      </c>
    </row>
    <row r="442" spans="1:18">
      <c r="A442" s="60" t="s">
        <v>6545</v>
      </c>
      <c r="B442" s="60"/>
      <c r="C442" s="60"/>
      <c r="D442" s="60">
        <v>2500</v>
      </c>
      <c r="E442" s="60">
        <v>0</v>
      </c>
      <c r="F442" s="60">
        <v>0</v>
      </c>
      <c r="G442" s="60" t="s">
        <v>6546</v>
      </c>
      <c r="H442" s="60"/>
      <c r="I442" s="60" t="b">
        <v>0</v>
      </c>
      <c r="J442" s="60" t="b">
        <v>0</v>
      </c>
      <c r="K442" s="60" t="b">
        <v>1</v>
      </c>
      <c r="L442" s="61" t="s">
        <v>317</v>
      </c>
      <c r="M442" s="61" t="s">
        <v>5461</v>
      </c>
      <c r="N442" s="61" t="str">
        <f>_xlfn.IFNA(VLOOKUP($M442,Buff.CM!$A:$O,13,FALSE),"")</f>
        <v>icon_battle_shield</v>
      </c>
      <c r="O442" s="61" t="str">
        <f>_xlfn.IFNA(VLOOKUP($M442,Buff.CM!$A:$O,14,FALSE),"")</f>
        <v>Buff.Name.Shield</v>
      </c>
      <c r="P442" s="61" t="str">
        <f>_xlfn.IFNA(VLOOKUP($M442,Buff.CM!$A:$O,15,FALSE),"")</f>
        <v>Buff.Desc.Shield</v>
      </c>
      <c r="Q442" s="60" t="b">
        <v>0</v>
      </c>
      <c r="R442" s="60" t="b">
        <v>0</v>
      </c>
    </row>
    <row r="443" spans="1:18">
      <c r="A443" s="60" t="s">
        <v>2885</v>
      </c>
      <c r="B443" s="60"/>
      <c r="C443" s="60"/>
      <c r="D443" s="60">
        <v>2500</v>
      </c>
      <c r="E443" s="60">
        <v>0</v>
      </c>
      <c r="F443" s="60">
        <v>0</v>
      </c>
      <c r="G443" s="60" t="s">
        <v>2879</v>
      </c>
      <c r="H443" s="60"/>
      <c r="I443" s="60" t="b">
        <v>0</v>
      </c>
      <c r="J443" s="60" t="b">
        <v>0</v>
      </c>
      <c r="K443" s="60" t="b">
        <v>1</v>
      </c>
      <c r="L443" s="61" t="s">
        <v>317</v>
      </c>
      <c r="M443" s="61" t="s">
        <v>5461</v>
      </c>
      <c r="N443" s="61" t="str">
        <f>_xlfn.IFNA(VLOOKUP($M443,Buff.CM!$A:$O,13,FALSE),"")</f>
        <v>icon_battle_shield</v>
      </c>
      <c r="O443" s="61" t="str">
        <f>_xlfn.IFNA(VLOOKUP($M443,Buff.CM!$A:$O,14,FALSE),"")</f>
        <v>Buff.Name.Shield</v>
      </c>
      <c r="P443" s="61" t="str">
        <f>_xlfn.IFNA(VLOOKUP($M443,Buff.CM!$A:$O,15,FALSE),"")</f>
        <v>Buff.Desc.Shield</v>
      </c>
      <c r="Q443" s="60" t="b">
        <v>0</v>
      </c>
      <c r="R443" s="60" t="b">
        <v>0</v>
      </c>
    </row>
    <row r="444" spans="1:18">
      <c r="A444" s="60" t="s">
        <v>2886</v>
      </c>
      <c r="B444" s="60"/>
      <c r="C444" s="60"/>
      <c r="D444" s="60">
        <v>2500</v>
      </c>
      <c r="E444" s="60">
        <v>0</v>
      </c>
      <c r="F444" s="60">
        <v>0</v>
      </c>
      <c r="G444" s="60" t="s">
        <v>2880</v>
      </c>
      <c r="H444" s="60"/>
      <c r="I444" s="60" t="b">
        <v>0</v>
      </c>
      <c r="J444" s="60" t="b">
        <v>0</v>
      </c>
      <c r="K444" s="60" t="b">
        <v>1</v>
      </c>
      <c r="L444" s="61" t="s">
        <v>317</v>
      </c>
      <c r="M444" s="61" t="s">
        <v>5461</v>
      </c>
      <c r="N444" s="61" t="str">
        <f>_xlfn.IFNA(VLOOKUP($M444,Buff.CM!$A:$O,13,FALSE),"")</f>
        <v>icon_battle_shield</v>
      </c>
      <c r="O444" s="61" t="str">
        <f>_xlfn.IFNA(VLOOKUP($M444,Buff.CM!$A:$O,14,FALSE),"")</f>
        <v>Buff.Name.Shield</v>
      </c>
      <c r="P444" s="61" t="str">
        <f>_xlfn.IFNA(VLOOKUP($M444,Buff.CM!$A:$O,15,FALSE),"")</f>
        <v>Buff.Desc.Shield</v>
      </c>
      <c r="Q444" s="60" t="b">
        <v>0</v>
      </c>
      <c r="R444" s="60" t="b">
        <v>0</v>
      </c>
    </row>
    <row r="445" spans="1:18">
      <c r="A445" s="60" t="s">
        <v>2887</v>
      </c>
      <c r="B445" s="60"/>
      <c r="C445" s="60"/>
      <c r="D445" s="60">
        <v>2500</v>
      </c>
      <c r="E445" s="60">
        <v>0</v>
      </c>
      <c r="F445" s="60">
        <v>0</v>
      </c>
      <c r="G445" s="60" t="s">
        <v>2881</v>
      </c>
      <c r="H445" s="60"/>
      <c r="I445" s="60" t="b">
        <v>0</v>
      </c>
      <c r="J445" s="60" t="b">
        <v>0</v>
      </c>
      <c r="K445" s="60" t="b">
        <v>1</v>
      </c>
      <c r="L445" s="61" t="s">
        <v>317</v>
      </c>
      <c r="M445" s="61" t="s">
        <v>5461</v>
      </c>
      <c r="N445" s="61" t="str">
        <f>_xlfn.IFNA(VLOOKUP($M445,Buff.CM!$A:$O,13,FALSE),"")</f>
        <v>icon_battle_shield</v>
      </c>
      <c r="O445" s="61" t="str">
        <f>_xlfn.IFNA(VLOOKUP($M445,Buff.CM!$A:$O,14,FALSE),"")</f>
        <v>Buff.Name.Shield</v>
      </c>
      <c r="P445" s="61" t="str">
        <f>_xlfn.IFNA(VLOOKUP($M445,Buff.CM!$A:$O,15,FALSE),"")</f>
        <v>Buff.Desc.Shield</v>
      </c>
      <c r="Q445" s="60" t="b">
        <v>0</v>
      </c>
      <c r="R445" s="60" t="b">
        <v>0</v>
      </c>
    </row>
    <row r="446" spans="1:18">
      <c r="A446" s="60" t="s">
        <v>2888</v>
      </c>
      <c r="B446" s="60"/>
      <c r="C446" s="60"/>
      <c r="D446" s="60">
        <v>2500</v>
      </c>
      <c r="E446" s="60">
        <v>0</v>
      </c>
      <c r="F446" s="60">
        <v>0</v>
      </c>
      <c r="G446" s="60" t="s">
        <v>2882</v>
      </c>
      <c r="H446" s="60"/>
      <c r="I446" s="60" t="b">
        <v>0</v>
      </c>
      <c r="J446" s="60" t="b">
        <v>0</v>
      </c>
      <c r="K446" s="60" t="b">
        <v>1</v>
      </c>
      <c r="L446" s="61" t="s">
        <v>317</v>
      </c>
      <c r="M446" s="61" t="s">
        <v>5461</v>
      </c>
      <c r="N446" s="61" t="str">
        <f>_xlfn.IFNA(VLOOKUP($M446,Buff.CM!$A:$O,13,FALSE),"")</f>
        <v>icon_battle_shield</v>
      </c>
      <c r="O446" s="61" t="str">
        <f>_xlfn.IFNA(VLOOKUP($M446,Buff.CM!$A:$O,14,FALSE),"")</f>
        <v>Buff.Name.Shield</v>
      </c>
      <c r="P446" s="61" t="str">
        <f>_xlfn.IFNA(VLOOKUP($M446,Buff.CM!$A:$O,15,FALSE),"")</f>
        <v>Buff.Desc.Shield</v>
      </c>
      <c r="Q446" s="60" t="b">
        <v>0</v>
      </c>
      <c r="R446" s="60" t="b">
        <v>0</v>
      </c>
    </row>
    <row r="447" spans="1:18">
      <c r="A447" s="60" t="s">
        <v>2889</v>
      </c>
      <c r="B447" s="60"/>
      <c r="C447" s="60"/>
      <c r="D447" s="60">
        <v>2500</v>
      </c>
      <c r="E447" s="60">
        <v>0</v>
      </c>
      <c r="F447" s="60">
        <v>0</v>
      </c>
      <c r="G447" s="60" t="s">
        <v>2883</v>
      </c>
      <c r="H447" s="60"/>
      <c r="I447" s="60" t="b">
        <v>0</v>
      </c>
      <c r="J447" s="60" t="b">
        <v>0</v>
      </c>
      <c r="K447" s="60" t="b">
        <v>1</v>
      </c>
      <c r="L447" s="61" t="s">
        <v>317</v>
      </c>
      <c r="M447" s="61" t="s">
        <v>5461</v>
      </c>
      <c r="N447" s="61" t="str">
        <f>_xlfn.IFNA(VLOOKUP($M447,Buff.CM!$A:$O,13,FALSE),"")</f>
        <v>icon_battle_shield</v>
      </c>
      <c r="O447" s="61" t="str">
        <f>_xlfn.IFNA(VLOOKUP($M447,Buff.CM!$A:$O,14,FALSE),"")</f>
        <v>Buff.Name.Shield</v>
      </c>
      <c r="P447" s="61" t="str">
        <f>_xlfn.IFNA(VLOOKUP($M447,Buff.CM!$A:$O,15,FALSE),"")</f>
        <v>Buff.Desc.Shield</v>
      </c>
      <c r="Q447" s="60" t="b">
        <v>0</v>
      </c>
      <c r="R447" s="60" t="b">
        <v>0</v>
      </c>
    </row>
    <row r="448" spans="1:18">
      <c r="A448" s="60" t="s">
        <v>2890</v>
      </c>
      <c r="B448" s="60"/>
      <c r="C448" s="60"/>
      <c r="D448" s="60">
        <v>2500</v>
      </c>
      <c r="E448" s="60">
        <v>0</v>
      </c>
      <c r="F448" s="60">
        <v>0</v>
      </c>
      <c r="G448" s="60" t="s">
        <v>2884</v>
      </c>
      <c r="H448" s="60"/>
      <c r="I448" s="60" t="b">
        <v>0</v>
      </c>
      <c r="J448" s="60" t="b">
        <v>0</v>
      </c>
      <c r="K448" s="60" t="b">
        <v>1</v>
      </c>
      <c r="L448" s="61" t="s">
        <v>317</v>
      </c>
      <c r="M448" s="61" t="s">
        <v>5461</v>
      </c>
      <c r="N448" s="61" t="str">
        <f>_xlfn.IFNA(VLOOKUP($M448,Buff.CM!$A:$O,13,FALSE),"")</f>
        <v>icon_battle_shield</v>
      </c>
      <c r="O448" s="61" t="str">
        <f>_xlfn.IFNA(VLOOKUP($M448,Buff.CM!$A:$O,14,FALSE),"")</f>
        <v>Buff.Name.Shield</v>
      </c>
      <c r="P448" s="61" t="str">
        <f>_xlfn.IFNA(VLOOKUP($M448,Buff.CM!$A:$O,15,FALSE),"")</f>
        <v>Buff.Desc.Shield</v>
      </c>
      <c r="Q448" s="60" t="b">
        <v>0</v>
      </c>
      <c r="R448" s="60" t="b">
        <v>0</v>
      </c>
    </row>
    <row r="449" spans="1:18">
      <c r="A449" s="51" t="s">
        <v>411</v>
      </c>
      <c r="B449" s="51"/>
      <c r="C449" s="51"/>
      <c r="D449" s="51">
        <v>6000</v>
      </c>
      <c r="E449" s="51">
        <v>0</v>
      </c>
      <c r="F449" s="51">
        <v>0</v>
      </c>
      <c r="G449" s="51" t="s">
        <v>1422</v>
      </c>
      <c r="H449" s="51"/>
      <c r="I449" s="51" t="b">
        <v>0</v>
      </c>
      <c r="J449" s="51" t="b">
        <v>0</v>
      </c>
      <c r="K449" s="51" t="b">
        <v>1</v>
      </c>
      <c r="L449" s="52" t="s">
        <v>66</v>
      </c>
      <c r="M449" s="51" t="s">
        <v>1422</v>
      </c>
      <c r="N449" s="52" t="str">
        <f>_xlfn.IFNA(VLOOKUP($M449,Buff.CM!$A:$O,13,FALSE),"")</f>
        <v>icon_battle_defense</v>
      </c>
      <c r="O449" s="52" t="str">
        <f>_xlfn.IFNA(VLOOKUP($M449,Buff.CM!$A:$O,14,FALSE),"")</f>
        <v>Buff.Name.Def.Up.04</v>
      </c>
      <c r="P449" s="52" t="str">
        <f>_xlfn.IFNA(VLOOKUP($M449,Buff.CM!$A:$O,15,FALSE),"")</f>
        <v>Buff.Desc.Def.Up.04</v>
      </c>
      <c r="Q449" s="51" t="b">
        <v>0</v>
      </c>
      <c r="R449" s="51" t="b">
        <v>0</v>
      </c>
    </row>
    <row r="450" spans="1:18">
      <c r="A450" s="51" t="s">
        <v>412</v>
      </c>
      <c r="B450" s="51"/>
      <c r="C450" s="51"/>
      <c r="D450" s="51">
        <v>7000</v>
      </c>
      <c r="E450" s="51">
        <v>0</v>
      </c>
      <c r="F450" s="51">
        <v>0</v>
      </c>
      <c r="G450" s="51" t="s">
        <v>1422</v>
      </c>
      <c r="H450" s="51"/>
      <c r="I450" s="51" t="b">
        <v>0</v>
      </c>
      <c r="J450" s="51" t="b">
        <v>0</v>
      </c>
      <c r="K450" s="51" t="b">
        <v>1</v>
      </c>
      <c r="L450" s="52" t="s">
        <v>66</v>
      </c>
      <c r="M450" s="51" t="s">
        <v>1422</v>
      </c>
      <c r="N450" s="52" t="str">
        <f>_xlfn.IFNA(VLOOKUP($M450,Buff.CM!$A:$O,13,FALSE),"")</f>
        <v>icon_battle_defense</v>
      </c>
      <c r="O450" s="52" t="str">
        <f>_xlfn.IFNA(VLOOKUP($M450,Buff.CM!$A:$O,14,FALSE),"")</f>
        <v>Buff.Name.Def.Up.04</v>
      </c>
      <c r="P450" s="52" t="str">
        <f>_xlfn.IFNA(VLOOKUP($M450,Buff.CM!$A:$O,15,FALSE),"")</f>
        <v>Buff.Desc.Def.Up.04</v>
      </c>
      <c r="Q450" s="51" t="b">
        <v>0</v>
      </c>
      <c r="R450" s="51" t="b">
        <v>0</v>
      </c>
    </row>
    <row r="451" spans="1:18">
      <c r="A451" s="51" t="s">
        <v>413</v>
      </c>
      <c r="B451" s="51"/>
      <c r="C451" s="51"/>
      <c r="D451" s="51">
        <v>7000</v>
      </c>
      <c r="E451" s="51">
        <v>0</v>
      </c>
      <c r="F451" s="51">
        <v>0</v>
      </c>
      <c r="G451" s="51" t="s">
        <v>1423</v>
      </c>
      <c r="H451" s="51"/>
      <c r="I451" s="51" t="b">
        <v>0</v>
      </c>
      <c r="J451" s="51" t="b">
        <v>0</v>
      </c>
      <c r="K451" s="51" t="b">
        <v>1</v>
      </c>
      <c r="L451" s="52" t="s">
        <v>66</v>
      </c>
      <c r="M451" s="51" t="s">
        <v>1423</v>
      </c>
      <c r="N451" s="52" t="str">
        <f>_xlfn.IFNA(VLOOKUP($M451,Buff.CM!$A:$O,13,FALSE),"")</f>
        <v>icon_battle_defense</v>
      </c>
      <c r="O451" s="52" t="str">
        <f>_xlfn.IFNA(VLOOKUP($M451,Buff.CM!$A:$O,14,FALSE),"")</f>
        <v>Buff.Name.Def.Up.05</v>
      </c>
      <c r="P451" s="52" t="str">
        <f>_xlfn.IFNA(VLOOKUP($M451,Buff.CM!$A:$O,15,FALSE),"")</f>
        <v>Buff.Desc.Def.Up.05</v>
      </c>
      <c r="Q451" s="51" t="b">
        <v>0</v>
      </c>
      <c r="R451" s="51" t="b">
        <v>0</v>
      </c>
    </row>
    <row r="452" spans="1:18">
      <c r="A452" s="34" t="s">
        <v>414</v>
      </c>
      <c r="B452" s="34"/>
      <c r="C452" s="34"/>
      <c r="D452" s="34">
        <v>8000</v>
      </c>
      <c r="E452" s="34">
        <v>0</v>
      </c>
      <c r="F452" s="34">
        <v>0</v>
      </c>
      <c r="G452" s="34" t="s">
        <v>1423</v>
      </c>
      <c r="H452" s="34"/>
      <c r="I452" s="34" t="b">
        <v>0</v>
      </c>
      <c r="J452" s="34" t="b">
        <v>0</v>
      </c>
      <c r="K452" s="34" t="b">
        <v>1</v>
      </c>
      <c r="L452" s="40" t="s">
        <v>66</v>
      </c>
      <c r="M452" s="34" t="s">
        <v>1423</v>
      </c>
      <c r="N452" s="40" t="str">
        <f>_xlfn.IFNA(VLOOKUP($M452,Buff.CM!$A:$O,13,FALSE),"")</f>
        <v>icon_battle_defense</v>
      </c>
      <c r="O452" s="40" t="str">
        <f>_xlfn.IFNA(VLOOKUP($M452,Buff.CM!$A:$O,14,FALSE),"")</f>
        <v>Buff.Name.Def.Up.05</v>
      </c>
      <c r="P452" s="40" t="str">
        <f>_xlfn.IFNA(VLOOKUP($M452,Buff.CM!$A:$O,15,FALSE),"")</f>
        <v>Buff.Desc.Def.Up.05</v>
      </c>
      <c r="Q452" s="34" t="b">
        <v>0</v>
      </c>
      <c r="R452" s="34" t="b">
        <v>0</v>
      </c>
    </row>
    <row r="453" spans="1:18">
      <c r="A453" s="34" t="s">
        <v>415</v>
      </c>
      <c r="B453" s="34"/>
      <c r="C453" s="34"/>
      <c r="D453" s="34">
        <v>7000</v>
      </c>
      <c r="E453" s="34">
        <v>0</v>
      </c>
      <c r="F453" s="34">
        <v>0</v>
      </c>
      <c r="G453" s="34" t="s">
        <v>1423</v>
      </c>
      <c r="H453" s="34"/>
      <c r="I453" s="34" t="b">
        <v>0</v>
      </c>
      <c r="J453" s="34" t="b">
        <v>0</v>
      </c>
      <c r="K453" s="34" t="b">
        <v>1</v>
      </c>
      <c r="L453" s="40" t="s">
        <v>66</v>
      </c>
      <c r="M453" s="34" t="s">
        <v>1423</v>
      </c>
      <c r="N453" s="40" t="str">
        <f>_xlfn.IFNA(VLOOKUP($M453,Buff.CM!$A:$O,13,FALSE),"")</f>
        <v>icon_battle_defense</v>
      </c>
      <c r="O453" s="40" t="str">
        <f>_xlfn.IFNA(VLOOKUP($M453,Buff.CM!$A:$O,14,FALSE),"")</f>
        <v>Buff.Name.Def.Up.05</v>
      </c>
      <c r="P453" s="40" t="str">
        <f>_xlfn.IFNA(VLOOKUP($M453,Buff.CM!$A:$O,15,FALSE),"")</f>
        <v>Buff.Desc.Def.Up.05</v>
      </c>
      <c r="Q453" s="34" t="b">
        <v>0</v>
      </c>
      <c r="R453" s="34" t="b">
        <v>0</v>
      </c>
    </row>
    <row r="454" spans="1:18">
      <c r="A454" s="34" t="s">
        <v>416</v>
      </c>
      <c r="B454" s="34"/>
      <c r="C454" s="34"/>
      <c r="D454" s="34">
        <v>7000</v>
      </c>
      <c r="E454" s="34">
        <v>0</v>
      </c>
      <c r="F454" s="34">
        <v>0</v>
      </c>
      <c r="G454" s="34" t="s">
        <v>1423</v>
      </c>
      <c r="H454" s="34"/>
      <c r="I454" s="34" t="b">
        <v>0</v>
      </c>
      <c r="J454" s="34" t="b">
        <v>0</v>
      </c>
      <c r="K454" s="34" t="b">
        <v>1</v>
      </c>
      <c r="L454" s="40" t="s">
        <v>66</v>
      </c>
      <c r="M454" s="34" t="s">
        <v>1423</v>
      </c>
      <c r="N454" s="40" t="str">
        <f>_xlfn.IFNA(VLOOKUP($M454,Buff.CM!$A:$O,13,FALSE),"")</f>
        <v>icon_battle_defense</v>
      </c>
      <c r="O454" s="40" t="str">
        <f>_xlfn.IFNA(VLOOKUP($M454,Buff.CM!$A:$O,14,FALSE),"")</f>
        <v>Buff.Name.Def.Up.05</v>
      </c>
      <c r="P454" s="40" t="str">
        <f>_xlfn.IFNA(VLOOKUP($M454,Buff.CM!$A:$O,15,FALSE),"")</f>
        <v>Buff.Desc.Def.Up.05</v>
      </c>
      <c r="Q454" s="34" t="b">
        <v>0</v>
      </c>
      <c r="R454" s="34" t="b">
        <v>0</v>
      </c>
    </row>
    <row r="455" spans="1:18">
      <c r="A455" s="53" t="s">
        <v>2242</v>
      </c>
      <c r="B455" s="53"/>
      <c r="C455" s="53"/>
      <c r="D455" s="53">
        <v>3000</v>
      </c>
      <c r="E455" s="53">
        <v>0</v>
      </c>
      <c r="F455" s="53">
        <v>0</v>
      </c>
      <c r="G455" s="53" t="s">
        <v>265</v>
      </c>
      <c r="H455" s="53"/>
      <c r="I455" s="53" t="b">
        <v>0</v>
      </c>
      <c r="J455" s="53" t="b">
        <v>0</v>
      </c>
      <c r="K455" s="53" t="b">
        <v>0</v>
      </c>
      <c r="L455" s="54" t="s">
        <v>286</v>
      </c>
      <c r="M455" s="54" t="s">
        <v>5462</v>
      </c>
      <c r="N455" s="54" t="str">
        <f>_xlfn.IFNA(VLOOKUP($M455,Buff.CM!$A:$O,13,FALSE),"")</f>
        <v>icon_battle_provoke</v>
      </c>
      <c r="O455" s="54" t="str">
        <f>_xlfn.IFNA(VLOOKUP($M455,Buff.CM!$A:$O,14,FALSE),"")</f>
        <v>Buff.Name.Provoke</v>
      </c>
      <c r="P455" s="54" t="str">
        <f>_xlfn.IFNA(VLOOKUP($M455,Buff.CM!$A:$O,15,FALSE),"")</f>
        <v>Buff.Desc.Provoke</v>
      </c>
      <c r="Q455" s="53" t="b">
        <v>0</v>
      </c>
      <c r="R455" s="53" t="b">
        <v>0</v>
      </c>
    </row>
    <row r="456" spans="1:18">
      <c r="A456" s="53" t="s">
        <v>2243</v>
      </c>
      <c r="B456" s="53"/>
      <c r="C456" s="53"/>
      <c r="D456" s="53">
        <v>3000</v>
      </c>
      <c r="E456" s="53">
        <v>0</v>
      </c>
      <c r="F456" s="53">
        <v>0</v>
      </c>
      <c r="G456" s="53" t="s">
        <v>265</v>
      </c>
      <c r="H456" s="53"/>
      <c r="I456" s="53" t="b">
        <v>0</v>
      </c>
      <c r="J456" s="53" t="b">
        <v>0</v>
      </c>
      <c r="K456" s="53" t="b">
        <v>0</v>
      </c>
      <c r="L456" s="54" t="s">
        <v>286</v>
      </c>
      <c r="M456" s="54" t="s">
        <v>5462</v>
      </c>
      <c r="N456" s="54" t="str">
        <f>_xlfn.IFNA(VLOOKUP($M456,Buff.CM!$A:$O,13,FALSE),"")</f>
        <v>icon_battle_provoke</v>
      </c>
      <c r="O456" s="54" t="str">
        <f>_xlfn.IFNA(VLOOKUP($M456,Buff.CM!$A:$O,14,FALSE),"")</f>
        <v>Buff.Name.Provoke</v>
      </c>
      <c r="P456" s="54" t="str">
        <f>_xlfn.IFNA(VLOOKUP($M456,Buff.CM!$A:$O,15,FALSE),"")</f>
        <v>Buff.Desc.Provoke</v>
      </c>
      <c r="Q456" s="53" t="b">
        <v>0</v>
      </c>
      <c r="R456" s="53" t="b">
        <v>0</v>
      </c>
    </row>
    <row r="457" spans="1:18">
      <c r="A457" s="34" t="s">
        <v>2244</v>
      </c>
      <c r="B457" s="34"/>
      <c r="C457" s="34"/>
      <c r="D457" s="34">
        <v>3000</v>
      </c>
      <c r="E457" s="34">
        <v>0</v>
      </c>
      <c r="F457" s="34">
        <v>0</v>
      </c>
      <c r="G457" s="34" t="s">
        <v>265</v>
      </c>
      <c r="H457" s="34"/>
      <c r="I457" s="34" t="b">
        <v>0</v>
      </c>
      <c r="J457" s="34" t="b">
        <v>0</v>
      </c>
      <c r="K457" s="34" t="b">
        <v>0</v>
      </c>
      <c r="L457" s="40" t="s">
        <v>286</v>
      </c>
      <c r="M457" s="40" t="s">
        <v>5462</v>
      </c>
      <c r="N457" s="40" t="str">
        <f>_xlfn.IFNA(VLOOKUP($M457,Buff.CM!$A:$O,13,FALSE),"")</f>
        <v>icon_battle_provoke</v>
      </c>
      <c r="O457" s="40" t="str">
        <f>_xlfn.IFNA(VLOOKUP($M457,Buff.CM!$A:$O,14,FALSE),"")</f>
        <v>Buff.Name.Provoke</v>
      </c>
      <c r="P457" s="40" t="str">
        <f>_xlfn.IFNA(VLOOKUP($M457,Buff.CM!$A:$O,15,FALSE),"")</f>
        <v>Buff.Desc.Provoke</v>
      </c>
      <c r="Q457" s="34" t="b">
        <v>0</v>
      </c>
      <c r="R457" s="34" t="b">
        <v>0</v>
      </c>
    </row>
    <row r="458" spans="1:18">
      <c r="A458" s="34" t="s">
        <v>2245</v>
      </c>
      <c r="B458" s="34"/>
      <c r="C458" s="34"/>
      <c r="D458" s="34">
        <v>4000</v>
      </c>
      <c r="E458" s="34">
        <v>0</v>
      </c>
      <c r="F458" s="34">
        <v>0</v>
      </c>
      <c r="G458" s="34" t="s">
        <v>265</v>
      </c>
      <c r="H458" s="34"/>
      <c r="I458" s="34" t="b">
        <v>0</v>
      </c>
      <c r="J458" s="34" t="b">
        <v>0</v>
      </c>
      <c r="K458" s="34" t="b">
        <v>0</v>
      </c>
      <c r="L458" s="40" t="s">
        <v>286</v>
      </c>
      <c r="M458" s="40" t="s">
        <v>5462</v>
      </c>
      <c r="N458" s="40" t="str">
        <f>_xlfn.IFNA(VLOOKUP($M458,Buff.CM!$A:$O,13,FALSE),"")</f>
        <v>icon_battle_provoke</v>
      </c>
      <c r="O458" s="40" t="str">
        <f>_xlfn.IFNA(VLOOKUP($M458,Buff.CM!$A:$O,14,FALSE),"")</f>
        <v>Buff.Name.Provoke</v>
      </c>
      <c r="P458" s="40" t="str">
        <f>_xlfn.IFNA(VLOOKUP($M458,Buff.CM!$A:$O,15,FALSE),"")</f>
        <v>Buff.Desc.Provoke</v>
      </c>
      <c r="Q458" s="34" t="b">
        <v>0</v>
      </c>
      <c r="R458" s="34" t="b">
        <v>0</v>
      </c>
    </row>
    <row r="459" spans="1:18">
      <c r="A459" s="51" t="s">
        <v>2230</v>
      </c>
      <c r="B459" s="51"/>
      <c r="C459" s="51"/>
      <c r="D459" s="51">
        <v>0</v>
      </c>
      <c r="E459" s="51">
        <v>0</v>
      </c>
      <c r="F459" s="51">
        <v>0</v>
      </c>
      <c r="G459" s="52" t="s">
        <v>2236</v>
      </c>
      <c r="H459" s="51"/>
      <c r="I459" s="51" t="b">
        <v>0</v>
      </c>
      <c r="J459" s="23" t="b">
        <v>1</v>
      </c>
      <c r="K459" s="51" t="b">
        <v>1</v>
      </c>
      <c r="L459" s="52"/>
      <c r="M459" s="52"/>
      <c r="N459" s="52" t="str">
        <f>_xlfn.IFNA(VLOOKUP($M459,Buff.CM!$A:$O,13,FALSE),"")</f>
        <v/>
      </c>
      <c r="O459" s="52" t="str">
        <f>_xlfn.IFNA(VLOOKUP($M459,Buff.CM!$A:$O,14,FALSE),"")</f>
        <v/>
      </c>
      <c r="P459" s="52" t="str">
        <f>_xlfn.IFNA(VLOOKUP($M459,Buff.CM!$A:$O,15,FALSE),"")</f>
        <v/>
      </c>
      <c r="Q459" s="51" t="b">
        <v>0</v>
      </c>
      <c r="R459" s="51" t="b">
        <v>0</v>
      </c>
    </row>
    <row r="460" spans="1:18">
      <c r="A460" s="51" t="s">
        <v>2231</v>
      </c>
      <c r="B460" s="51"/>
      <c r="C460" s="51"/>
      <c r="D460" s="51">
        <v>0</v>
      </c>
      <c r="E460" s="51">
        <v>0</v>
      </c>
      <c r="F460" s="51">
        <v>0</v>
      </c>
      <c r="G460" s="52" t="s">
        <v>2237</v>
      </c>
      <c r="H460" s="51"/>
      <c r="I460" s="51" t="b">
        <v>0</v>
      </c>
      <c r="J460" s="23" t="b">
        <v>1</v>
      </c>
      <c r="K460" s="51" t="b">
        <v>1</v>
      </c>
      <c r="L460" s="52"/>
      <c r="M460" s="52"/>
      <c r="N460" s="52" t="str">
        <f>_xlfn.IFNA(VLOOKUP($M460,Buff.CM!$A:$O,13,FALSE),"")</f>
        <v/>
      </c>
      <c r="O460" s="52" t="str">
        <f>_xlfn.IFNA(VLOOKUP($M460,Buff.CM!$A:$O,14,FALSE),"")</f>
        <v/>
      </c>
      <c r="P460" s="52" t="str">
        <f>_xlfn.IFNA(VLOOKUP($M460,Buff.CM!$A:$O,15,FALSE),"")</f>
        <v/>
      </c>
      <c r="Q460" s="51" t="b">
        <v>0</v>
      </c>
      <c r="R460" s="51" t="b">
        <v>0</v>
      </c>
    </row>
    <row r="461" spans="1:18">
      <c r="A461" s="51" t="s">
        <v>2232</v>
      </c>
      <c r="B461" s="51"/>
      <c r="C461" s="51"/>
      <c r="D461" s="51">
        <v>0</v>
      </c>
      <c r="E461" s="51">
        <v>0</v>
      </c>
      <c r="F461" s="51">
        <v>0</v>
      </c>
      <c r="G461" s="52" t="s">
        <v>2238</v>
      </c>
      <c r="H461" s="51"/>
      <c r="I461" s="51" t="b">
        <v>0</v>
      </c>
      <c r="J461" s="23" t="b">
        <v>1</v>
      </c>
      <c r="K461" s="51" t="b">
        <v>1</v>
      </c>
      <c r="L461" s="52"/>
      <c r="M461" s="52"/>
      <c r="N461" s="52" t="str">
        <f>_xlfn.IFNA(VLOOKUP($M461,Buff.CM!$A:$O,13,FALSE),"")</f>
        <v/>
      </c>
      <c r="O461" s="52" t="str">
        <f>_xlfn.IFNA(VLOOKUP($M461,Buff.CM!$A:$O,14,FALSE),"")</f>
        <v/>
      </c>
      <c r="P461" s="52" t="str">
        <f>_xlfn.IFNA(VLOOKUP($M461,Buff.CM!$A:$O,15,FALSE),"")</f>
        <v/>
      </c>
      <c r="Q461" s="51" t="b">
        <v>0</v>
      </c>
      <c r="R461" s="51" t="b">
        <v>0</v>
      </c>
    </row>
    <row r="462" spans="1:18">
      <c r="A462" s="34" t="s">
        <v>2233</v>
      </c>
      <c r="B462" s="34"/>
      <c r="C462" s="34"/>
      <c r="D462" s="34">
        <v>0</v>
      </c>
      <c r="E462" s="34">
        <v>0</v>
      </c>
      <c r="F462" s="34">
        <v>0</v>
      </c>
      <c r="G462" s="40" t="s">
        <v>2239</v>
      </c>
      <c r="H462" s="34"/>
      <c r="I462" s="34" t="b">
        <v>0</v>
      </c>
      <c r="J462" s="23" t="b">
        <v>1</v>
      </c>
      <c r="K462" s="34" t="b">
        <v>1</v>
      </c>
      <c r="L462" s="40"/>
      <c r="M462" s="40"/>
      <c r="N462" s="40" t="str">
        <f>_xlfn.IFNA(VLOOKUP($M462,Buff.CM!$A:$O,13,FALSE),"")</f>
        <v/>
      </c>
      <c r="O462" s="40" t="str">
        <f>_xlfn.IFNA(VLOOKUP($M462,Buff.CM!$A:$O,14,FALSE),"")</f>
        <v/>
      </c>
      <c r="P462" s="40" t="str">
        <f>_xlfn.IFNA(VLOOKUP($M462,Buff.CM!$A:$O,15,FALSE),"")</f>
        <v/>
      </c>
      <c r="Q462" s="34" t="b">
        <v>0</v>
      </c>
      <c r="R462" s="34" t="b">
        <v>0</v>
      </c>
    </row>
    <row r="463" spans="1:18">
      <c r="A463" s="34" t="s">
        <v>2234</v>
      </c>
      <c r="B463" s="34"/>
      <c r="C463" s="34"/>
      <c r="D463" s="34">
        <v>0</v>
      </c>
      <c r="E463" s="34">
        <v>0</v>
      </c>
      <c r="F463" s="34">
        <v>0</v>
      </c>
      <c r="G463" s="40" t="s">
        <v>2240</v>
      </c>
      <c r="H463" s="34"/>
      <c r="I463" s="34" t="b">
        <v>0</v>
      </c>
      <c r="J463" s="23" t="b">
        <v>1</v>
      </c>
      <c r="K463" s="34" t="b">
        <v>1</v>
      </c>
      <c r="L463" s="40"/>
      <c r="M463" s="40"/>
      <c r="N463" s="40" t="str">
        <f>_xlfn.IFNA(VLOOKUP($M463,Buff.CM!$A:$O,13,FALSE),"")</f>
        <v/>
      </c>
      <c r="O463" s="40" t="str">
        <f>_xlfn.IFNA(VLOOKUP($M463,Buff.CM!$A:$O,14,FALSE),"")</f>
        <v/>
      </c>
      <c r="P463" s="40" t="str">
        <f>_xlfn.IFNA(VLOOKUP($M463,Buff.CM!$A:$O,15,FALSE),"")</f>
        <v/>
      </c>
      <c r="Q463" s="34" t="b">
        <v>0</v>
      </c>
      <c r="R463" s="34" t="b">
        <v>0</v>
      </c>
    </row>
    <row r="464" spans="1:18">
      <c r="A464" s="34" t="s">
        <v>2235</v>
      </c>
      <c r="B464" s="34"/>
      <c r="C464" s="34"/>
      <c r="D464" s="34">
        <v>0</v>
      </c>
      <c r="E464" s="34">
        <v>0</v>
      </c>
      <c r="F464" s="34">
        <v>0</v>
      </c>
      <c r="G464" s="40" t="s">
        <v>2241</v>
      </c>
      <c r="H464" s="34"/>
      <c r="I464" s="34" t="b">
        <v>0</v>
      </c>
      <c r="J464" s="23" t="b">
        <v>1</v>
      </c>
      <c r="K464" s="34" t="b">
        <v>1</v>
      </c>
      <c r="L464" s="40"/>
      <c r="M464" s="40"/>
      <c r="N464" s="40" t="str">
        <f>_xlfn.IFNA(VLOOKUP($M464,Buff.CM!$A:$O,13,FALSE),"")</f>
        <v/>
      </c>
      <c r="O464" s="40" t="str">
        <f>_xlfn.IFNA(VLOOKUP($M464,Buff.CM!$A:$O,14,FALSE),"")</f>
        <v/>
      </c>
      <c r="P464" s="40" t="str">
        <f>_xlfn.IFNA(VLOOKUP($M464,Buff.CM!$A:$O,15,FALSE),"")</f>
        <v/>
      </c>
      <c r="Q464" s="34" t="b">
        <v>0</v>
      </c>
      <c r="R464" s="34" t="b">
        <v>0</v>
      </c>
    </row>
    <row r="465" spans="1:18" ht="33">
      <c r="A465" s="51" t="s">
        <v>3068</v>
      </c>
      <c r="B465" s="51"/>
      <c r="C465" s="51"/>
      <c r="D465" s="51">
        <v>0</v>
      </c>
      <c r="E465" s="51">
        <v>0</v>
      </c>
      <c r="F465" s="51">
        <v>0</v>
      </c>
      <c r="G465" s="52" t="s">
        <v>6547</v>
      </c>
      <c r="H465" s="51"/>
      <c r="I465" s="51" t="b">
        <v>0</v>
      </c>
      <c r="J465" s="23" t="b">
        <v>1</v>
      </c>
      <c r="K465" s="51" t="b">
        <v>1</v>
      </c>
      <c r="L465" s="52"/>
      <c r="M465" s="52"/>
      <c r="N465" s="52" t="str">
        <f>_xlfn.IFNA(VLOOKUP($M465,Buff.CM!$A:$O,13,FALSE),"")</f>
        <v/>
      </c>
      <c r="O465" s="52" t="str">
        <f>_xlfn.IFNA(VLOOKUP($M465,Buff.CM!$A:$O,14,FALSE),"")</f>
        <v/>
      </c>
      <c r="P465" s="52" t="str">
        <f>_xlfn.IFNA(VLOOKUP($M465,Buff.CM!$A:$O,15,FALSE),"")</f>
        <v/>
      </c>
      <c r="Q465" s="51" t="b">
        <v>0</v>
      </c>
      <c r="R465" s="51" t="b">
        <v>0</v>
      </c>
    </row>
    <row r="466" spans="1:18" ht="33">
      <c r="A466" s="51" t="s">
        <v>3063</v>
      </c>
      <c r="B466" s="51"/>
      <c r="C466" s="51"/>
      <c r="D466" s="51">
        <v>0</v>
      </c>
      <c r="E466" s="51">
        <v>0</v>
      </c>
      <c r="F466" s="51">
        <v>0</v>
      </c>
      <c r="G466" s="52" t="s">
        <v>6548</v>
      </c>
      <c r="H466" s="51"/>
      <c r="I466" s="51" t="b">
        <v>0</v>
      </c>
      <c r="J466" s="23" t="b">
        <v>1</v>
      </c>
      <c r="K466" s="51" t="b">
        <v>1</v>
      </c>
      <c r="L466" s="52"/>
      <c r="M466" s="52"/>
      <c r="N466" s="52" t="str">
        <f>_xlfn.IFNA(VLOOKUP($M466,Buff.CM!$A:$O,13,FALSE),"")</f>
        <v/>
      </c>
      <c r="O466" s="52" t="str">
        <f>_xlfn.IFNA(VLOOKUP($M466,Buff.CM!$A:$O,14,FALSE),"")</f>
        <v/>
      </c>
      <c r="P466" s="52" t="str">
        <f>_xlfn.IFNA(VLOOKUP($M466,Buff.CM!$A:$O,15,FALSE),"")</f>
        <v/>
      </c>
      <c r="Q466" s="51" t="b">
        <v>0</v>
      </c>
      <c r="R466" s="51" t="b">
        <v>0</v>
      </c>
    </row>
    <row r="467" spans="1:18" ht="33">
      <c r="A467" s="51" t="s">
        <v>3064</v>
      </c>
      <c r="B467" s="51"/>
      <c r="C467" s="51"/>
      <c r="D467" s="51">
        <v>0</v>
      </c>
      <c r="E467" s="51">
        <v>0</v>
      </c>
      <c r="F467" s="51">
        <v>0</v>
      </c>
      <c r="G467" s="52" t="s">
        <v>6549</v>
      </c>
      <c r="H467" s="51"/>
      <c r="I467" s="51" t="b">
        <v>0</v>
      </c>
      <c r="J467" s="23" t="b">
        <v>1</v>
      </c>
      <c r="K467" s="51" t="b">
        <v>1</v>
      </c>
      <c r="L467" s="52"/>
      <c r="M467" s="52"/>
      <c r="N467" s="52" t="str">
        <f>_xlfn.IFNA(VLOOKUP($M467,Buff.CM!$A:$O,13,FALSE),"")</f>
        <v/>
      </c>
      <c r="O467" s="52" t="str">
        <f>_xlfn.IFNA(VLOOKUP($M467,Buff.CM!$A:$O,14,FALSE),"")</f>
        <v/>
      </c>
      <c r="P467" s="52" t="str">
        <f>_xlfn.IFNA(VLOOKUP($M467,Buff.CM!$A:$O,15,FALSE),"")</f>
        <v/>
      </c>
      <c r="Q467" s="51" t="b">
        <v>0</v>
      </c>
      <c r="R467" s="51" t="b">
        <v>0</v>
      </c>
    </row>
    <row r="468" spans="1:18" ht="33">
      <c r="A468" s="34" t="s">
        <v>3065</v>
      </c>
      <c r="B468" s="34"/>
      <c r="C468" s="34"/>
      <c r="D468" s="34">
        <v>0</v>
      </c>
      <c r="E468" s="34">
        <v>0</v>
      </c>
      <c r="F468" s="34">
        <v>0</v>
      </c>
      <c r="G468" s="40" t="s">
        <v>6550</v>
      </c>
      <c r="H468" s="34"/>
      <c r="I468" s="34" t="b">
        <v>0</v>
      </c>
      <c r="J468" s="23" t="b">
        <v>1</v>
      </c>
      <c r="K468" s="34" t="b">
        <v>1</v>
      </c>
      <c r="L468" s="40"/>
      <c r="M468" s="40"/>
      <c r="N468" s="40" t="str">
        <f>_xlfn.IFNA(VLOOKUP($M468,Buff.CM!$A:$O,13,FALSE),"")</f>
        <v/>
      </c>
      <c r="O468" s="40" t="str">
        <f>_xlfn.IFNA(VLOOKUP($M468,Buff.CM!$A:$O,14,FALSE),"")</f>
        <v/>
      </c>
      <c r="P468" s="40" t="str">
        <f>_xlfn.IFNA(VLOOKUP($M468,Buff.CM!$A:$O,15,FALSE),"")</f>
        <v/>
      </c>
      <c r="Q468" s="34" t="b">
        <v>0</v>
      </c>
      <c r="R468" s="34" t="b">
        <v>0</v>
      </c>
    </row>
    <row r="469" spans="1:18" ht="33">
      <c r="A469" s="34" t="s">
        <v>3066</v>
      </c>
      <c r="B469" s="34"/>
      <c r="C469" s="34"/>
      <c r="D469" s="34">
        <v>0</v>
      </c>
      <c r="E469" s="34">
        <v>0</v>
      </c>
      <c r="F469" s="34">
        <v>0</v>
      </c>
      <c r="G469" s="40" t="s">
        <v>6551</v>
      </c>
      <c r="H469" s="34"/>
      <c r="I469" s="34" t="b">
        <v>0</v>
      </c>
      <c r="J469" s="23" t="b">
        <v>1</v>
      </c>
      <c r="K469" s="34" t="b">
        <v>1</v>
      </c>
      <c r="L469" s="40"/>
      <c r="M469" s="40"/>
      <c r="N469" s="40" t="str">
        <f>_xlfn.IFNA(VLOOKUP($M469,Buff.CM!$A:$O,13,FALSE),"")</f>
        <v/>
      </c>
      <c r="O469" s="40" t="str">
        <f>_xlfn.IFNA(VLOOKUP($M469,Buff.CM!$A:$O,14,FALSE),"")</f>
        <v/>
      </c>
      <c r="P469" s="40" t="str">
        <f>_xlfn.IFNA(VLOOKUP($M469,Buff.CM!$A:$O,15,FALSE),"")</f>
        <v/>
      </c>
      <c r="Q469" s="34" t="b">
        <v>0</v>
      </c>
      <c r="R469" s="34" t="b">
        <v>0</v>
      </c>
    </row>
    <row r="470" spans="1:18" ht="33">
      <c r="A470" s="34" t="s">
        <v>3067</v>
      </c>
      <c r="B470" s="34"/>
      <c r="C470" s="34"/>
      <c r="D470" s="34">
        <v>0</v>
      </c>
      <c r="E470" s="34">
        <v>0</v>
      </c>
      <c r="F470" s="34">
        <v>0</v>
      </c>
      <c r="G470" s="40" t="s">
        <v>6552</v>
      </c>
      <c r="H470" s="34"/>
      <c r="I470" s="34" t="b">
        <v>0</v>
      </c>
      <c r="J470" s="23" t="b">
        <v>1</v>
      </c>
      <c r="K470" s="34" t="b">
        <v>1</v>
      </c>
      <c r="L470" s="40"/>
      <c r="M470" s="40"/>
      <c r="N470" s="40" t="str">
        <f>_xlfn.IFNA(VLOOKUP($M470,Buff.CM!$A:$O,13,FALSE),"")</f>
        <v/>
      </c>
      <c r="O470" s="40" t="str">
        <f>_xlfn.IFNA(VLOOKUP($M470,Buff.CM!$A:$O,14,FALSE),"")</f>
        <v/>
      </c>
      <c r="P470" s="40" t="str">
        <f>_xlfn.IFNA(VLOOKUP($M470,Buff.CM!$A:$O,15,FALSE),"")</f>
        <v/>
      </c>
      <c r="Q470" s="34" t="b">
        <v>0</v>
      </c>
      <c r="R470" s="34" t="b">
        <v>0</v>
      </c>
    </row>
  </sheetData>
  <phoneticPr fontId="3" type="noConversion"/>
  <conditionalFormatting sqref="A206:XFD250 A251:I286 K251:XFD286 A322:XFD367 A310:I321 K310:XFD321 A187:I199 K187:XFD205 A398:XFD411 A368:I391 K368:XFD391 A418:XFD458 A412:I417 K412:XFD417 A471:XFD1048576 A459:I470 K459:XFD470 A287:XFD309 A116:XFD186 A200:A205 D200:I205 A1:XFD11 A92:XFD109">
    <cfRule type="cellIs" dxfId="525" priority="401" operator="equal">
      <formula>"Single"</formula>
    </cfRule>
    <cfRule type="cellIs" dxfId="524" priority="403" operator="equal">
      <formula>"Self"</formula>
    </cfRule>
    <cfRule type="containsText" dxfId="523" priority="730" operator="containsText" text="debuff">
      <formula>NOT(ISERROR(SEARCH("debuff",A1)))</formula>
    </cfRule>
    <cfRule type="cellIs" dxfId="522" priority="731" operator="equal">
      <formula>FALSE</formula>
    </cfRule>
    <cfRule type="cellIs" dxfId="521" priority="732" operator="equal">
      <formula>TRUE</formula>
    </cfRule>
    <cfRule type="cellIs" dxfId="520" priority="733" operator="equal">
      <formula>0</formula>
    </cfRule>
  </conditionalFormatting>
  <conditionalFormatting sqref="A398:A1048576 A116:A391 A1:A4">
    <cfRule type="duplicateValues" dxfId="519" priority="400"/>
  </conditionalFormatting>
  <conditionalFormatting sqref="J194:J199">
    <cfRule type="cellIs" dxfId="518" priority="267" operator="equal">
      <formula>"Single"</formula>
    </cfRule>
    <cfRule type="cellIs" dxfId="517" priority="268" operator="equal">
      <formula>"Self"</formula>
    </cfRule>
    <cfRule type="containsText" dxfId="516" priority="269" operator="containsText" text="debuff">
      <formula>NOT(ISERROR(SEARCH("debuff",J194)))</formula>
    </cfRule>
    <cfRule type="cellIs" dxfId="515" priority="270" operator="equal">
      <formula>FALSE</formula>
    </cfRule>
    <cfRule type="cellIs" dxfId="514" priority="271" operator="equal">
      <formula>TRUE</formula>
    </cfRule>
    <cfRule type="cellIs" dxfId="513" priority="272" operator="equal">
      <formula>0</formula>
    </cfRule>
  </conditionalFormatting>
  <conditionalFormatting sqref="J275:J286">
    <cfRule type="cellIs" dxfId="512" priority="261" operator="equal">
      <formula>"Single"</formula>
    </cfRule>
    <cfRule type="cellIs" dxfId="511" priority="262" operator="equal">
      <formula>"Self"</formula>
    </cfRule>
    <cfRule type="containsText" dxfId="510" priority="263" operator="containsText" text="debuff">
      <formula>NOT(ISERROR(SEARCH("debuff",J275)))</formula>
    </cfRule>
    <cfRule type="cellIs" dxfId="509" priority="264" operator="equal">
      <formula>FALSE</formula>
    </cfRule>
    <cfRule type="cellIs" dxfId="508" priority="265" operator="equal">
      <formula>TRUE</formula>
    </cfRule>
    <cfRule type="cellIs" dxfId="507" priority="266" operator="equal">
      <formula>0</formula>
    </cfRule>
  </conditionalFormatting>
  <conditionalFormatting sqref="J251:J274">
    <cfRule type="cellIs" dxfId="506" priority="255" operator="equal">
      <formula>"Single"</formula>
    </cfRule>
    <cfRule type="cellIs" dxfId="505" priority="256" operator="equal">
      <formula>"Self"</formula>
    </cfRule>
    <cfRule type="containsText" dxfId="504" priority="257" operator="containsText" text="debuff">
      <formula>NOT(ISERROR(SEARCH("debuff",J251)))</formula>
    </cfRule>
    <cfRule type="cellIs" dxfId="503" priority="258" operator="equal">
      <formula>FALSE</formula>
    </cfRule>
    <cfRule type="cellIs" dxfId="502" priority="259" operator="equal">
      <formula>TRUE</formula>
    </cfRule>
    <cfRule type="cellIs" dxfId="501" priority="260" operator="equal">
      <formula>0</formula>
    </cfRule>
  </conditionalFormatting>
  <conditionalFormatting sqref="J310:J321">
    <cfRule type="cellIs" dxfId="500" priority="249" operator="equal">
      <formula>"Single"</formula>
    </cfRule>
    <cfRule type="cellIs" dxfId="499" priority="250" operator="equal">
      <formula>"Self"</formula>
    </cfRule>
    <cfRule type="containsText" dxfId="498" priority="251" operator="containsText" text="debuff">
      <formula>NOT(ISERROR(SEARCH("debuff",J310)))</formula>
    </cfRule>
    <cfRule type="cellIs" dxfId="497" priority="252" operator="equal">
      <formula>FALSE</formula>
    </cfRule>
    <cfRule type="cellIs" dxfId="496" priority="253" operator="equal">
      <formula>TRUE</formula>
    </cfRule>
    <cfRule type="cellIs" dxfId="495" priority="254" operator="equal">
      <formula>0</formula>
    </cfRule>
  </conditionalFormatting>
  <conditionalFormatting sqref="J187:J193">
    <cfRule type="cellIs" dxfId="494" priority="243" operator="equal">
      <formula>"Single"</formula>
    </cfRule>
    <cfRule type="cellIs" dxfId="493" priority="244" operator="equal">
      <formula>"Self"</formula>
    </cfRule>
    <cfRule type="containsText" dxfId="492" priority="245" operator="containsText" text="debuff">
      <formula>NOT(ISERROR(SEARCH("debuff",J187)))</formula>
    </cfRule>
    <cfRule type="cellIs" dxfId="491" priority="246" operator="equal">
      <formula>FALSE</formula>
    </cfRule>
    <cfRule type="cellIs" dxfId="490" priority="247" operator="equal">
      <formula>TRUE</formula>
    </cfRule>
    <cfRule type="cellIs" dxfId="489" priority="248" operator="equal">
      <formula>0</formula>
    </cfRule>
  </conditionalFormatting>
  <conditionalFormatting sqref="J200:J205">
    <cfRule type="cellIs" dxfId="488" priority="237" operator="equal">
      <formula>"Single"</formula>
    </cfRule>
    <cfRule type="cellIs" dxfId="487" priority="238" operator="equal">
      <formula>"Self"</formula>
    </cfRule>
    <cfRule type="containsText" dxfId="486" priority="239" operator="containsText" text="debuff">
      <formula>NOT(ISERROR(SEARCH("debuff",J200)))</formula>
    </cfRule>
    <cfRule type="cellIs" dxfId="485" priority="240" operator="equal">
      <formula>FALSE</formula>
    </cfRule>
    <cfRule type="cellIs" dxfId="484" priority="241" operator="equal">
      <formula>TRUE</formula>
    </cfRule>
    <cfRule type="cellIs" dxfId="483" priority="242" operator="equal">
      <formula>0</formula>
    </cfRule>
  </conditionalFormatting>
  <conditionalFormatting sqref="J368:J391">
    <cfRule type="cellIs" dxfId="482" priority="231" operator="equal">
      <formula>"Single"</formula>
    </cfRule>
    <cfRule type="cellIs" dxfId="481" priority="232" operator="equal">
      <formula>"Self"</formula>
    </cfRule>
    <cfRule type="containsText" dxfId="480" priority="233" operator="containsText" text="debuff">
      <formula>NOT(ISERROR(SEARCH("debuff",J368)))</formula>
    </cfRule>
    <cfRule type="cellIs" dxfId="479" priority="234" operator="equal">
      <formula>FALSE</formula>
    </cfRule>
    <cfRule type="cellIs" dxfId="478" priority="235" operator="equal">
      <formula>TRUE</formula>
    </cfRule>
    <cfRule type="cellIs" dxfId="477" priority="236" operator="equal">
      <formula>0</formula>
    </cfRule>
  </conditionalFormatting>
  <conditionalFormatting sqref="J412:J417">
    <cfRule type="cellIs" dxfId="476" priority="225" operator="equal">
      <formula>"Single"</formula>
    </cfRule>
    <cfRule type="cellIs" dxfId="475" priority="226" operator="equal">
      <formula>"Self"</formula>
    </cfRule>
    <cfRule type="containsText" dxfId="474" priority="227" operator="containsText" text="debuff">
      <formula>NOT(ISERROR(SEARCH("debuff",J412)))</formula>
    </cfRule>
    <cfRule type="cellIs" dxfId="473" priority="228" operator="equal">
      <formula>FALSE</formula>
    </cfRule>
    <cfRule type="cellIs" dxfId="472" priority="229" operator="equal">
      <formula>TRUE</formula>
    </cfRule>
    <cfRule type="cellIs" dxfId="471" priority="230" operator="equal">
      <formula>0</formula>
    </cfRule>
  </conditionalFormatting>
  <conditionalFormatting sqref="J459:J470">
    <cfRule type="cellIs" dxfId="470" priority="219" operator="equal">
      <formula>"Single"</formula>
    </cfRule>
    <cfRule type="cellIs" dxfId="469" priority="220" operator="equal">
      <formula>"Self"</formula>
    </cfRule>
    <cfRule type="containsText" dxfId="468" priority="221" operator="containsText" text="debuff">
      <formula>NOT(ISERROR(SEARCH("debuff",J459)))</formula>
    </cfRule>
    <cfRule type="cellIs" dxfId="467" priority="222" operator="equal">
      <formula>FALSE</formula>
    </cfRule>
    <cfRule type="cellIs" dxfId="466" priority="223" operator="equal">
      <formula>TRUE</formula>
    </cfRule>
    <cfRule type="cellIs" dxfId="465" priority="224" operator="equal">
      <formula>0</formula>
    </cfRule>
  </conditionalFormatting>
  <conditionalFormatting sqref="B110:C115 B12:XFD18 B80:XFD91 E110:XFD115 M61:XFD67 A26:XFD60 B61:K67">
    <cfRule type="cellIs" dxfId="464" priority="213" operator="equal">
      <formula>"Single"</formula>
    </cfRule>
    <cfRule type="cellIs" dxfId="463" priority="214" operator="equal">
      <formula>"Self"</formula>
    </cfRule>
    <cfRule type="containsText" dxfId="462" priority="215" operator="containsText" text="debuff">
      <formula>NOT(ISERROR(SEARCH("debuff",A12)))</formula>
    </cfRule>
    <cfRule type="cellIs" dxfId="461" priority="216" operator="equal">
      <formula>FALSE</formula>
    </cfRule>
    <cfRule type="cellIs" dxfId="460" priority="217" operator="equal">
      <formula>TRUE</formula>
    </cfRule>
    <cfRule type="cellIs" dxfId="459" priority="218" operator="equal">
      <formula>0</formula>
    </cfRule>
  </conditionalFormatting>
  <conditionalFormatting sqref="A12:A18">
    <cfRule type="cellIs" dxfId="458" priority="204" operator="equal">
      <formula>0</formula>
    </cfRule>
    <cfRule type="cellIs" dxfId="457" priority="205" operator="equal">
      <formula>TRUE</formula>
    </cfRule>
    <cfRule type="cellIs" dxfId="456" priority="206" operator="equal">
      <formula>"Enemy"</formula>
    </cfRule>
    <cfRule type="cellIs" dxfId="455" priority="207" operator="equal">
      <formula>100</formula>
    </cfRule>
    <cfRule type="cellIs" dxfId="454" priority="208" operator="equal">
      <formula>"Single"</formula>
    </cfRule>
    <cfRule type="cellIs" dxfId="453" priority="209" operator="equal">
      <formula>"Damage"</formula>
    </cfRule>
    <cfRule type="cellIs" dxfId="452" priority="210" operator="equal">
      <formula>"Op"</formula>
    </cfRule>
    <cfRule type="containsBlanks" dxfId="451" priority="211">
      <formula>LEN(TRIM(A12))=0</formula>
    </cfRule>
  </conditionalFormatting>
  <conditionalFormatting sqref="A19:XFD25">
    <cfRule type="cellIs" dxfId="450" priority="198" operator="equal">
      <formula>"Single"</formula>
    </cfRule>
    <cfRule type="cellIs" dxfId="449" priority="199" operator="equal">
      <formula>"Self"</formula>
    </cfRule>
    <cfRule type="containsText" dxfId="448" priority="200" operator="containsText" text="debuff">
      <formula>NOT(ISERROR(SEARCH("debuff",A19)))</formula>
    </cfRule>
    <cfRule type="cellIs" dxfId="447" priority="201" operator="equal">
      <formula>FALSE</formula>
    </cfRule>
    <cfRule type="cellIs" dxfId="446" priority="202" operator="equal">
      <formula>TRUE</formula>
    </cfRule>
    <cfRule type="cellIs" dxfId="445" priority="203" operator="equal">
      <formula>0</formula>
    </cfRule>
  </conditionalFormatting>
  <conditionalFormatting sqref="A19:A25">
    <cfRule type="duplicateValues" dxfId="444" priority="197"/>
  </conditionalFormatting>
  <conditionalFormatting sqref="G104:G115">
    <cfRule type="duplicateValues" dxfId="443" priority="196"/>
  </conditionalFormatting>
  <conditionalFormatting sqref="A110:A115">
    <cfRule type="cellIs" dxfId="442" priority="191" operator="equal">
      <formula>TRUE</formula>
    </cfRule>
    <cfRule type="cellIs" dxfId="441" priority="192" operator="equal">
      <formula>FALSE</formula>
    </cfRule>
    <cfRule type="cellIs" dxfId="440" priority="193" operator="equal">
      <formula>0</formula>
    </cfRule>
    <cfRule type="cellIs" dxfId="439" priority="194" operator="equal">
      <formula>"Single"</formula>
    </cfRule>
    <cfRule type="cellIs" dxfId="438" priority="195" operator="equal">
      <formula>"Self"</formula>
    </cfRule>
  </conditionalFormatting>
  <conditionalFormatting sqref="A61:A67">
    <cfRule type="cellIs" dxfId="437" priority="183" operator="equal">
      <formula>0</formula>
    </cfRule>
    <cfRule type="cellIs" dxfId="436" priority="184" operator="equal">
      <formula>TRUE</formula>
    </cfRule>
    <cfRule type="cellIs" dxfId="435" priority="185" operator="equal">
      <formula>"Enemy"</formula>
    </cfRule>
    <cfRule type="cellIs" dxfId="434" priority="186" operator="equal">
      <formula>100</formula>
    </cfRule>
    <cfRule type="cellIs" dxfId="433" priority="187" operator="equal">
      <formula>"Single"</formula>
    </cfRule>
    <cfRule type="cellIs" dxfId="432" priority="188" operator="equal">
      <formula>"Damage"</formula>
    </cfRule>
    <cfRule type="cellIs" dxfId="431" priority="189" operator="equal">
      <formula>"Op"</formula>
    </cfRule>
    <cfRule type="containsBlanks" dxfId="430" priority="190">
      <formula>LEN(TRIM(A61))=0</formula>
    </cfRule>
  </conditionalFormatting>
  <conditionalFormatting sqref="G47:G60">
    <cfRule type="duplicateValues" dxfId="429" priority="182"/>
  </conditionalFormatting>
  <conditionalFormatting sqref="A80:A91">
    <cfRule type="cellIs" dxfId="428" priority="105" operator="equal">
      <formula>0</formula>
    </cfRule>
    <cfRule type="cellIs" dxfId="427" priority="106" operator="equal">
      <formula>TRUE</formula>
    </cfRule>
    <cfRule type="cellIs" dxfId="426" priority="107" operator="equal">
      <formula>"Enemy"</formula>
    </cfRule>
    <cfRule type="cellIs" dxfId="425" priority="108" operator="equal">
      <formula>100</formula>
    </cfRule>
    <cfRule type="cellIs" dxfId="424" priority="109" operator="equal">
      <formula>"Single"</formula>
    </cfRule>
    <cfRule type="cellIs" dxfId="423" priority="110" operator="equal">
      <formula>"Damage"</formula>
    </cfRule>
    <cfRule type="cellIs" dxfId="422" priority="111" operator="equal">
      <formula>"Op"</formula>
    </cfRule>
    <cfRule type="containsBlanks" dxfId="421" priority="112">
      <formula>LEN(TRIM(A80))=0</formula>
    </cfRule>
  </conditionalFormatting>
  <conditionalFormatting sqref="B200:C205">
    <cfRule type="cellIs" dxfId="420" priority="100" operator="equal">
      <formula>TRUE</formula>
    </cfRule>
    <cfRule type="cellIs" dxfId="419" priority="101" operator="equal">
      <formula>FALSE</formula>
    </cfRule>
    <cfRule type="cellIs" dxfId="418" priority="102" operator="equal">
      <formula>0</formula>
    </cfRule>
    <cfRule type="cellIs" dxfId="417" priority="103" operator="equal">
      <formula>"Single"</formula>
    </cfRule>
    <cfRule type="cellIs" dxfId="416" priority="104" operator="equal">
      <formula>"Self"</formula>
    </cfRule>
  </conditionalFormatting>
  <conditionalFormatting sqref="A92:A109 A5:A11 A26:A60">
    <cfRule type="duplicateValues" dxfId="415" priority="768"/>
  </conditionalFormatting>
  <conditionalFormatting sqref="L68:XFD73 H68:J73 B68:F73">
    <cfRule type="cellIs" dxfId="414" priority="94" operator="equal">
      <formula>"Single"</formula>
    </cfRule>
    <cfRule type="cellIs" dxfId="413" priority="95" operator="equal">
      <formula>"Self"</formula>
    </cfRule>
    <cfRule type="containsText" dxfId="412" priority="96" operator="containsText" text="debuff">
      <formula>NOT(ISERROR(SEARCH("debuff",B68)))</formula>
    </cfRule>
    <cfRule type="cellIs" dxfId="411" priority="97" operator="equal">
      <formula>FALSE</formula>
    </cfRule>
    <cfRule type="cellIs" dxfId="410" priority="98" operator="equal">
      <formula>TRUE</formula>
    </cfRule>
    <cfRule type="cellIs" dxfId="409" priority="99" operator="equal">
      <formula>0</formula>
    </cfRule>
  </conditionalFormatting>
  <conditionalFormatting sqref="A68:A73">
    <cfRule type="cellIs" dxfId="408" priority="83" operator="equal">
      <formula>"Nearest"</formula>
    </cfRule>
    <cfRule type="cellIs" dxfId="407" priority="84" operator="equal">
      <formula>1</formula>
    </cfRule>
    <cfRule type="cellIs" dxfId="406" priority="85" operator="equal">
      <formula>"NearestContinue"</formula>
    </cfRule>
    <cfRule type="cellIs" dxfId="405" priority="86" operator="equal">
      <formula>"Enemy"</formula>
    </cfRule>
    <cfRule type="cellIs" dxfId="404" priority="87" operator="equal">
      <formula>"Single"</formula>
    </cfRule>
    <cfRule type="cellIs" dxfId="403" priority="88" operator="equal">
      <formula>"Op"</formula>
    </cfRule>
    <cfRule type="cellIs" dxfId="402" priority="89" operator="equal">
      <formula>"Normla"</formula>
    </cfRule>
    <cfRule type="cellIs" dxfId="401" priority="90" operator="equal">
      <formula>FALSE</formula>
    </cfRule>
    <cfRule type="cellIs" dxfId="400" priority="91" operator="equal">
      <formula>-1</formula>
    </cfRule>
    <cfRule type="containsBlanks" dxfId="399" priority="92">
      <formula>LEN(TRIM(A68))=0</formula>
    </cfRule>
    <cfRule type="cellIs" dxfId="398" priority="93" operator="equal">
      <formula>0</formula>
    </cfRule>
  </conditionalFormatting>
  <conditionalFormatting sqref="K68:K73">
    <cfRule type="cellIs" dxfId="397" priority="77" operator="equal">
      <formula>"Single"</formula>
    </cfRule>
    <cfRule type="cellIs" dxfId="396" priority="78" operator="equal">
      <formula>"Self"</formula>
    </cfRule>
    <cfRule type="containsText" dxfId="395" priority="79" operator="containsText" text="debuff">
      <formula>NOT(ISERROR(SEARCH("debuff",K68)))</formula>
    </cfRule>
    <cfRule type="cellIs" dxfId="394" priority="80" operator="equal">
      <formula>FALSE</formula>
    </cfRule>
    <cfRule type="cellIs" dxfId="393" priority="81" operator="equal">
      <formula>TRUE</formula>
    </cfRule>
    <cfRule type="cellIs" dxfId="392" priority="82" operator="equal">
      <formula>0</formula>
    </cfRule>
  </conditionalFormatting>
  <conditionalFormatting sqref="G68:G73">
    <cfRule type="cellIs" dxfId="391" priority="66" operator="equal">
      <formula>"Nearest"</formula>
    </cfRule>
    <cfRule type="cellIs" dxfId="390" priority="67" operator="equal">
      <formula>1</formula>
    </cfRule>
    <cfRule type="cellIs" dxfId="389" priority="68" operator="equal">
      <formula>"NearestContinue"</formula>
    </cfRule>
    <cfRule type="cellIs" dxfId="388" priority="69" operator="equal">
      <formula>"Enemy"</formula>
    </cfRule>
    <cfRule type="cellIs" dxfId="387" priority="70" operator="equal">
      <formula>"Single"</formula>
    </cfRule>
    <cfRule type="cellIs" dxfId="386" priority="71" operator="equal">
      <formula>"Op"</formula>
    </cfRule>
    <cfRule type="cellIs" dxfId="385" priority="72" operator="equal">
      <formula>"Normla"</formula>
    </cfRule>
    <cfRule type="cellIs" dxfId="384" priority="73" operator="equal">
      <formula>FALSE</formula>
    </cfRule>
    <cfRule type="cellIs" dxfId="383" priority="74" operator="equal">
      <formula>-1</formula>
    </cfRule>
    <cfRule type="containsBlanks" dxfId="382" priority="75">
      <formula>LEN(TRIM(G68))=0</formula>
    </cfRule>
    <cfRule type="cellIs" dxfId="381" priority="76" operator="equal">
      <formula>0</formula>
    </cfRule>
  </conditionalFormatting>
  <conditionalFormatting sqref="D110:D115">
    <cfRule type="cellIs" dxfId="380" priority="60" operator="equal">
      <formula>"Single"</formula>
    </cfRule>
    <cfRule type="cellIs" dxfId="379" priority="61" operator="equal">
      <formula>"Self"</formula>
    </cfRule>
    <cfRule type="containsText" dxfId="378" priority="62" operator="containsText" text="debuff">
      <formula>NOT(ISERROR(SEARCH("debuff",D110)))</formula>
    </cfRule>
    <cfRule type="cellIs" dxfId="377" priority="63" operator="equal">
      <formula>FALSE</formula>
    </cfRule>
    <cfRule type="cellIs" dxfId="376" priority="64" operator="equal">
      <formula>TRUE</formula>
    </cfRule>
    <cfRule type="cellIs" dxfId="375" priority="65" operator="equal">
      <formula>0</formula>
    </cfRule>
  </conditionalFormatting>
  <conditionalFormatting sqref="L74:XFD79 H74:J79 B74:F79">
    <cfRule type="cellIs" dxfId="374" priority="54" operator="equal">
      <formula>"Single"</formula>
    </cfRule>
    <cfRule type="cellIs" dxfId="373" priority="55" operator="equal">
      <formula>"Self"</formula>
    </cfRule>
    <cfRule type="containsText" dxfId="372" priority="56" operator="containsText" text="debuff">
      <formula>NOT(ISERROR(SEARCH("debuff",B74)))</formula>
    </cfRule>
    <cfRule type="cellIs" dxfId="371" priority="57" operator="equal">
      <formula>FALSE</formula>
    </cfRule>
    <cfRule type="cellIs" dxfId="370" priority="58" operator="equal">
      <formula>TRUE</formula>
    </cfRule>
    <cfRule type="cellIs" dxfId="369" priority="59" operator="equal">
      <formula>0</formula>
    </cfRule>
  </conditionalFormatting>
  <conditionalFormatting sqref="A74:A79">
    <cfRule type="cellIs" dxfId="368" priority="43" operator="equal">
      <formula>"Nearest"</formula>
    </cfRule>
    <cfRule type="cellIs" dxfId="367" priority="44" operator="equal">
      <formula>1</formula>
    </cfRule>
    <cfRule type="cellIs" dxfId="366" priority="45" operator="equal">
      <formula>"NearestContinue"</formula>
    </cfRule>
    <cfRule type="cellIs" dxfId="365" priority="46" operator="equal">
      <formula>"Enemy"</formula>
    </cfRule>
    <cfRule type="cellIs" dxfId="364" priority="47" operator="equal">
      <formula>"Single"</formula>
    </cfRule>
    <cfRule type="cellIs" dxfId="363" priority="48" operator="equal">
      <formula>"Op"</formula>
    </cfRule>
    <cfRule type="cellIs" dxfId="362" priority="49" operator="equal">
      <formula>"Normla"</formula>
    </cfRule>
    <cfRule type="cellIs" dxfId="361" priority="50" operator="equal">
      <formula>FALSE</formula>
    </cfRule>
    <cfRule type="cellIs" dxfId="360" priority="51" operator="equal">
      <formula>-1</formula>
    </cfRule>
    <cfRule type="containsBlanks" dxfId="359" priority="52">
      <formula>LEN(TRIM(A74))=0</formula>
    </cfRule>
    <cfRule type="cellIs" dxfId="358" priority="53" operator="equal">
      <formula>0</formula>
    </cfRule>
  </conditionalFormatting>
  <conditionalFormatting sqref="K74:K79">
    <cfRule type="cellIs" dxfId="357" priority="37" operator="equal">
      <formula>"Single"</formula>
    </cfRule>
    <cfRule type="cellIs" dxfId="356" priority="38" operator="equal">
      <formula>"Self"</formula>
    </cfRule>
    <cfRule type="containsText" dxfId="355" priority="39" operator="containsText" text="debuff">
      <formula>NOT(ISERROR(SEARCH("debuff",K74)))</formula>
    </cfRule>
    <cfRule type="cellIs" dxfId="354" priority="40" operator="equal">
      <formula>FALSE</formula>
    </cfRule>
    <cfRule type="cellIs" dxfId="353" priority="41" operator="equal">
      <formula>TRUE</formula>
    </cfRule>
    <cfRule type="cellIs" dxfId="352" priority="42" operator="equal">
      <formula>0</formula>
    </cfRule>
  </conditionalFormatting>
  <conditionalFormatting sqref="G74:G79">
    <cfRule type="cellIs" dxfId="351" priority="26" operator="equal">
      <formula>"Nearest"</formula>
    </cfRule>
    <cfRule type="cellIs" dxfId="350" priority="27" operator="equal">
      <formula>1</formula>
    </cfRule>
    <cfRule type="cellIs" dxfId="349" priority="28" operator="equal">
      <formula>"NearestContinue"</formula>
    </cfRule>
    <cfRule type="cellIs" dxfId="348" priority="29" operator="equal">
      <formula>"Enemy"</formula>
    </cfRule>
    <cfRule type="cellIs" dxfId="347" priority="30" operator="equal">
      <formula>"Single"</formula>
    </cfRule>
    <cfRule type="cellIs" dxfId="346" priority="31" operator="equal">
      <formula>"Op"</formula>
    </cfRule>
    <cfRule type="cellIs" dxfId="345" priority="32" operator="equal">
      <formula>"Normla"</formula>
    </cfRule>
    <cfRule type="cellIs" dxfId="344" priority="33" operator="equal">
      <formula>FALSE</formula>
    </cfRule>
    <cfRule type="cellIs" dxfId="343" priority="34" operator="equal">
      <formula>-1</formula>
    </cfRule>
    <cfRule type="containsBlanks" dxfId="342" priority="35">
      <formula>LEN(TRIM(G74))=0</formula>
    </cfRule>
    <cfRule type="cellIs" dxfId="341" priority="36" operator="equal">
      <formula>0</formula>
    </cfRule>
  </conditionalFormatting>
  <conditionalFormatting sqref="L61:L67">
    <cfRule type="cellIs" dxfId="340" priority="20" operator="equal">
      <formula>"Single"</formula>
    </cfRule>
    <cfRule type="cellIs" dxfId="339" priority="21" operator="equal">
      <formula>"Self"</formula>
    </cfRule>
    <cfRule type="containsText" dxfId="338" priority="22" operator="containsText" text="debuff">
      <formula>NOT(ISERROR(SEARCH("debuff",L61)))</formula>
    </cfRule>
    <cfRule type="cellIs" dxfId="337" priority="23" operator="equal">
      <formula>FALSE</formula>
    </cfRule>
    <cfRule type="cellIs" dxfId="336" priority="24" operator="equal">
      <formula>TRUE</formula>
    </cfRule>
    <cfRule type="cellIs" dxfId="335" priority="25" operator="equal">
      <formula>0</formula>
    </cfRule>
  </conditionalFormatting>
  <conditionalFormatting sqref="A392:H397 K392:XFD397">
    <cfRule type="cellIs" dxfId="334" priority="14" operator="equal">
      <formula>"Single"</formula>
    </cfRule>
    <cfRule type="cellIs" dxfId="333" priority="15" operator="equal">
      <formula>"Self"</formula>
    </cfRule>
    <cfRule type="containsText" dxfId="332" priority="16" operator="containsText" text="debuff">
      <formula>NOT(ISERROR(SEARCH("debuff",A392)))</formula>
    </cfRule>
    <cfRule type="cellIs" dxfId="331" priority="17" operator="equal">
      <formula>FALSE</formula>
    </cfRule>
    <cfRule type="cellIs" dxfId="330" priority="18" operator="equal">
      <formula>TRUE</formula>
    </cfRule>
    <cfRule type="cellIs" dxfId="329" priority="19" operator="equal">
      <formula>0</formula>
    </cfRule>
  </conditionalFormatting>
  <conditionalFormatting sqref="J392:J397">
    <cfRule type="cellIs" dxfId="328" priority="7" operator="equal">
      <formula>"Single"</formula>
    </cfRule>
    <cfRule type="cellIs" dxfId="327" priority="8" operator="equal">
      <formula>"Self"</formula>
    </cfRule>
    <cfRule type="containsText" dxfId="326" priority="9" operator="containsText" text="debuff">
      <formula>NOT(ISERROR(SEARCH("debuff",J392)))</formula>
    </cfRule>
    <cfRule type="cellIs" dxfId="325" priority="10" operator="equal">
      <formula>FALSE</formula>
    </cfRule>
    <cfRule type="cellIs" dxfId="324" priority="11" operator="equal">
      <formula>TRUE</formula>
    </cfRule>
    <cfRule type="cellIs" dxfId="323" priority="12" operator="equal">
      <formula>0</formula>
    </cfRule>
  </conditionalFormatting>
  <conditionalFormatting sqref="I392:I397">
    <cfRule type="cellIs" dxfId="322" priority="1" operator="equal">
      <formula>"Single"</formula>
    </cfRule>
    <cfRule type="cellIs" dxfId="321" priority="2" operator="equal">
      <formula>"Self"</formula>
    </cfRule>
    <cfRule type="containsText" dxfId="320" priority="3" operator="containsText" text="debuff">
      <formula>NOT(ISERROR(SEARCH("debuff",I392)))</formula>
    </cfRule>
    <cfRule type="cellIs" dxfId="319" priority="4" operator="equal">
      <formula>FALSE</formula>
    </cfRule>
    <cfRule type="cellIs" dxfId="318" priority="5" operator="equal">
      <formula>TRUE</formula>
    </cfRule>
    <cfRule type="cellIs" dxfId="317" priority="6" operator="equal">
      <formula>0</formula>
    </cfRule>
  </conditionalFormatting>
  <conditionalFormatting sqref="A392:A397">
    <cfRule type="duplicateValues" dxfId="316" priority="777"/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>
          <x14:formula1>
            <xm:f>Buff.CM!$A:$A</xm:f>
          </x14:formula1>
          <xm:sqref>M68:M79 M1:M60 M92:M1048576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R391"/>
  <sheetViews>
    <sheetView zoomScale="85" zoomScaleNormal="85" workbookViewId="0">
      <pane xSplit="1" ySplit="4" topLeftCell="B94" activePane="bottomRight" state="frozen"/>
      <selection pane="topRight" activeCell="B1" sqref="B1"/>
      <selection pane="bottomLeft" activeCell="A4" sqref="A4"/>
      <selection pane="bottomRight" activeCell="J114" sqref="J114"/>
    </sheetView>
  </sheetViews>
  <sheetFormatPr defaultRowHeight="16.5"/>
  <cols>
    <col min="1" max="1" width="51.875" bestFit="1" customWidth="1"/>
    <col min="2" max="2" width="16.625" bestFit="1" customWidth="1"/>
    <col min="3" max="3" width="25.625" bestFit="1" customWidth="1"/>
    <col min="4" max="4" width="10.125" bestFit="1" customWidth="1"/>
    <col min="5" max="5" width="18.125" bestFit="1" customWidth="1"/>
    <col min="6" max="6" width="15.5" bestFit="1" customWidth="1"/>
    <col min="7" max="7" width="9.375" bestFit="1" customWidth="1"/>
    <col min="8" max="8" width="10.25" bestFit="1" customWidth="1"/>
    <col min="9" max="9" width="12.375" bestFit="1" customWidth="1"/>
    <col min="10" max="10" width="17.75" bestFit="1" customWidth="1"/>
    <col min="11" max="11" width="66.375" bestFit="1" customWidth="1"/>
    <col min="12" max="12" width="48.5" bestFit="1" customWidth="1"/>
    <col min="13" max="13" width="19.75" bestFit="1" customWidth="1"/>
    <col min="14" max="14" width="77.75" bestFit="1" customWidth="1"/>
    <col min="15" max="15" width="9.125" bestFit="1" customWidth="1"/>
    <col min="16" max="16" width="9" bestFit="1" customWidth="1"/>
    <col min="17" max="17" width="8.25" bestFit="1" customWidth="1"/>
    <col min="18" max="18" width="9" bestFit="1" customWidth="1"/>
    <col min="19" max="19" width="9.625" bestFit="1" customWidth="1"/>
    <col min="20" max="20" width="8.75" bestFit="1" customWidth="1"/>
    <col min="21" max="21" width="9.625" bestFit="1" customWidth="1"/>
  </cols>
  <sheetData>
    <row r="1" spans="1:18" ht="33" customHeight="1">
      <c r="A1" s="1" t="s">
        <v>0</v>
      </c>
      <c r="B1" s="3" t="s">
        <v>1</v>
      </c>
      <c r="C1" s="3" t="s">
        <v>2</v>
      </c>
      <c r="D1" s="3" t="s">
        <v>1322</v>
      </c>
      <c r="E1" s="3" t="s">
        <v>1326</v>
      </c>
      <c r="F1" s="4" t="s">
        <v>178</v>
      </c>
      <c r="G1" s="4" t="s">
        <v>179</v>
      </c>
      <c r="H1" s="4" t="s">
        <v>180</v>
      </c>
      <c r="I1" s="4" t="s">
        <v>181</v>
      </c>
      <c r="J1" s="63" t="s">
        <v>834</v>
      </c>
      <c r="K1" s="63" t="s">
        <v>180</v>
      </c>
      <c r="L1" s="63" t="s">
        <v>835</v>
      </c>
      <c r="M1" s="63" t="s">
        <v>836</v>
      </c>
      <c r="N1" s="8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>
      <c r="A2" s="1" t="s">
        <v>17</v>
      </c>
      <c r="B2" s="3" t="s">
        <v>18</v>
      </c>
      <c r="C2" s="3" t="s">
        <v>19</v>
      </c>
      <c r="D2" s="3" t="s">
        <v>1320</v>
      </c>
      <c r="E2" s="3" t="s">
        <v>1318</v>
      </c>
      <c r="F2" s="4" t="s">
        <v>187</v>
      </c>
      <c r="G2" s="4" t="s">
        <v>188</v>
      </c>
      <c r="H2" s="4" t="s">
        <v>189</v>
      </c>
      <c r="I2" s="4" t="s">
        <v>190</v>
      </c>
      <c r="J2" s="63" t="s">
        <v>881</v>
      </c>
      <c r="K2" s="63" t="s">
        <v>885</v>
      </c>
      <c r="L2" s="63" t="s">
        <v>887</v>
      </c>
      <c r="M2" s="63" t="s">
        <v>888</v>
      </c>
      <c r="N2" s="8" t="s">
        <v>191</v>
      </c>
      <c r="O2" s="1" t="s">
        <v>192</v>
      </c>
      <c r="P2" s="1" t="s">
        <v>193</v>
      </c>
      <c r="Q2" s="1" t="s">
        <v>30</v>
      </c>
      <c r="R2" s="1" t="s">
        <v>194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3" t="s">
        <v>1324</v>
      </c>
      <c r="F3" s="4" t="s">
        <v>187</v>
      </c>
      <c r="G3" s="4" t="s">
        <v>188</v>
      </c>
      <c r="H3" s="4" t="s">
        <v>195</v>
      </c>
      <c r="I3" s="4" t="s">
        <v>37</v>
      </c>
      <c r="J3" s="63" t="s">
        <v>882</v>
      </c>
      <c r="K3" s="63" t="s">
        <v>886</v>
      </c>
      <c r="L3" s="63" t="s">
        <v>886</v>
      </c>
      <c r="M3" s="63" t="s">
        <v>886</v>
      </c>
      <c r="N3" s="8" t="s">
        <v>196</v>
      </c>
      <c r="O3" s="1" t="s">
        <v>37</v>
      </c>
      <c r="P3" s="1" t="s">
        <v>37</v>
      </c>
      <c r="Q3" s="1" t="s">
        <v>36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3" t="s">
        <v>42</v>
      </c>
      <c r="F4" s="4" t="s">
        <v>42</v>
      </c>
      <c r="G4" s="4" t="s">
        <v>42</v>
      </c>
      <c r="H4" s="4" t="s">
        <v>42</v>
      </c>
      <c r="I4" s="4" t="s">
        <v>42</v>
      </c>
      <c r="J4" s="63" t="s">
        <v>884</v>
      </c>
      <c r="K4" s="63" t="s">
        <v>883</v>
      </c>
      <c r="L4" s="63" t="s">
        <v>883</v>
      </c>
      <c r="M4" s="63" t="s">
        <v>883</v>
      </c>
      <c r="N4" s="8" t="s">
        <v>42</v>
      </c>
      <c r="O4" s="1" t="s">
        <v>42</v>
      </c>
      <c r="P4" s="1" t="s">
        <v>42</v>
      </c>
      <c r="Q4" s="1" t="s">
        <v>43</v>
      </c>
      <c r="R4" s="1" t="s">
        <v>42</v>
      </c>
    </row>
    <row r="5" spans="1:18">
      <c r="A5" s="89" t="s">
        <v>6229</v>
      </c>
      <c r="B5" s="90"/>
      <c r="C5" s="90"/>
      <c r="D5" s="90">
        <v>0</v>
      </c>
      <c r="E5" s="90">
        <v>1</v>
      </c>
      <c r="F5" s="91" t="s">
        <v>197</v>
      </c>
      <c r="G5" s="91" t="s">
        <v>198</v>
      </c>
      <c r="H5" s="91"/>
      <c r="I5" s="91">
        <v>0</v>
      </c>
      <c r="J5" s="91" t="s">
        <v>916</v>
      </c>
      <c r="K5" s="91" t="s">
        <v>917</v>
      </c>
      <c r="L5" s="91"/>
      <c r="M5" s="91"/>
      <c r="N5" s="92" t="str">
        <f>J5&amp;"("&amp;IF(K5="","",K5)&amp;IF(L5="","",", "&amp;L5)&amp;IF(M5="","",", "&amp;M5)&amp;")"</f>
        <v>ChangeSkill(Normal)</v>
      </c>
      <c r="O5" s="93">
        <v>0</v>
      </c>
      <c r="P5" s="93">
        <v>0</v>
      </c>
      <c r="Q5" s="93"/>
      <c r="R5" s="93" t="b">
        <v>1</v>
      </c>
    </row>
    <row r="6" spans="1:18" s="164" customFormat="1">
      <c r="A6" s="100" t="s">
        <v>6385</v>
      </c>
      <c r="B6" s="101"/>
      <c r="C6" s="101"/>
      <c r="D6" s="101">
        <v>0</v>
      </c>
      <c r="E6" s="101">
        <v>1</v>
      </c>
      <c r="F6" s="102" t="s">
        <v>197</v>
      </c>
      <c r="G6" s="102" t="s">
        <v>198</v>
      </c>
      <c r="H6" s="102"/>
      <c r="I6" s="102">
        <v>0</v>
      </c>
      <c r="J6" s="102" t="s">
        <v>889</v>
      </c>
      <c r="K6" s="102" t="s">
        <v>890</v>
      </c>
      <c r="L6" s="102">
        <v>1000</v>
      </c>
      <c r="M6" s="102"/>
      <c r="N6" s="103" t="str">
        <f t="shared" ref="N6:N12" si="0">J6&amp;"("&amp;IF(K6="","",K6)&amp;IF(L6="","",", "&amp;L6)&amp;IF(M6="","",", "&amp;M6)&amp;")"</f>
        <v>Shield(Defense, 1000)</v>
      </c>
      <c r="O6" s="104">
        <v>0</v>
      </c>
      <c r="P6" s="104">
        <v>0</v>
      </c>
      <c r="Q6" s="104"/>
      <c r="R6" s="104" t="b">
        <v>1</v>
      </c>
    </row>
    <row r="7" spans="1:18" s="164" customFormat="1">
      <c r="A7" s="100" t="s">
        <v>6379</v>
      </c>
      <c r="B7" s="101"/>
      <c r="C7" s="101"/>
      <c r="D7" s="101">
        <v>0</v>
      </c>
      <c r="E7" s="101">
        <v>1</v>
      </c>
      <c r="F7" s="102" t="s">
        <v>197</v>
      </c>
      <c r="G7" s="102" t="s">
        <v>198</v>
      </c>
      <c r="H7" s="102"/>
      <c r="I7" s="102">
        <v>0</v>
      </c>
      <c r="J7" s="102" t="s">
        <v>889</v>
      </c>
      <c r="K7" s="102" t="s">
        <v>890</v>
      </c>
      <c r="L7" s="102">
        <v>1250</v>
      </c>
      <c r="M7" s="102"/>
      <c r="N7" s="103" t="str">
        <f t="shared" si="0"/>
        <v>Shield(Defense, 1250)</v>
      </c>
      <c r="O7" s="104">
        <v>0</v>
      </c>
      <c r="P7" s="104">
        <v>0</v>
      </c>
      <c r="Q7" s="104"/>
      <c r="R7" s="104" t="b">
        <v>1</v>
      </c>
    </row>
    <row r="8" spans="1:18" s="164" customFormat="1">
      <c r="A8" s="100" t="s">
        <v>6380</v>
      </c>
      <c r="B8" s="101"/>
      <c r="C8" s="101"/>
      <c r="D8" s="101">
        <v>0</v>
      </c>
      <c r="E8" s="101">
        <v>1</v>
      </c>
      <c r="F8" s="102" t="s">
        <v>197</v>
      </c>
      <c r="G8" s="102" t="s">
        <v>198</v>
      </c>
      <c r="H8" s="102"/>
      <c r="I8" s="102">
        <v>0</v>
      </c>
      <c r="J8" s="102" t="s">
        <v>889</v>
      </c>
      <c r="K8" s="102" t="s">
        <v>890</v>
      </c>
      <c r="L8" s="102">
        <v>1500</v>
      </c>
      <c r="M8" s="102"/>
      <c r="N8" s="103" t="str">
        <f t="shared" si="0"/>
        <v>Shield(Defense, 1500)</v>
      </c>
      <c r="O8" s="104">
        <v>0</v>
      </c>
      <c r="P8" s="104">
        <v>0</v>
      </c>
      <c r="Q8" s="104"/>
      <c r="R8" s="104" t="b">
        <v>1</v>
      </c>
    </row>
    <row r="9" spans="1:18" s="164" customFormat="1">
      <c r="A9" s="100" t="s">
        <v>6381</v>
      </c>
      <c r="B9" s="101"/>
      <c r="C9" s="101"/>
      <c r="D9" s="101">
        <v>0</v>
      </c>
      <c r="E9" s="101">
        <v>1</v>
      </c>
      <c r="F9" s="102" t="s">
        <v>197</v>
      </c>
      <c r="G9" s="102" t="s">
        <v>198</v>
      </c>
      <c r="H9" s="102"/>
      <c r="I9" s="102">
        <v>0</v>
      </c>
      <c r="J9" s="102" t="s">
        <v>889</v>
      </c>
      <c r="K9" s="102" t="s">
        <v>890</v>
      </c>
      <c r="L9" s="102">
        <v>1750</v>
      </c>
      <c r="M9" s="102"/>
      <c r="N9" s="103" t="str">
        <f t="shared" si="0"/>
        <v>Shield(Defense, 1750)</v>
      </c>
      <c r="O9" s="104">
        <v>0</v>
      </c>
      <c r="P9" s="104">
        <v>0</v>
      </c>
      <c r="Q9" s="104"/>
      <c r="R9" s="104" t="b">
        <v>1</v>
      </c>
    </row>
    <row r="10" spans="1:18" s="164" customFormat="1">
      <c r="A10" s="100" t="s">
        <v>6382</v>
      </c>
      <c r="B10" s="101"/>
      <c r="C10" s="101"/>
      <c r="D10" s="101">
        <v>0</v>
      </c>
      <c r="E10" s="101">
        <v>1</v>
      </c>
      <c r="F10" s="102" t="s">
        <v>197</v>
      </c>
      <c r="G10" s="102" t="s">
        <v>198</v>
      </c>
      <c r="H10" s="102"/>
      <c r="I10" s="102">
        <v>0</v>
      </c>
      <c r="J10" s="102" t="s">
        <v>889</v>
      </c>
      <c r="K10" s="102" t="s">
        <v>890</v>
      </c>
      <c r="L10" s="102">
        <v>2000</v>
      </c>
      <c r="M10" s="102"/>
      <c r="N10" s="103" t="str">
        <f t="shared" si="0"/>
        <v>Shield(Defense, 2000)</v>
      </c>
      <c r="O10" s="104">
        <v>0</v>
      </c>
      <c r="P10" s="104">
        <v>0</v>
      </c>
      <c r="Q10" s="104"/>
      <c r="R10" s="104" t="b">
        <v>1</v>
      </c>
    </row>
    <row r="11" spans="1:18" s="164" customFormat="1">
      <c r="A11" s="100" t="s">
        <v>6383</v>
      </c>
      <c r="B11" s="101"/>
      <c r="C11" s="101"/>
      <c r="D11" s="101">
        <v>0</v>
      </c>
      <c r="E11" s="101">
        <v>1</v>
      </c>
      <c r="F11" s="102" t="s">
        <v>197</v>
      </c>
      <c r="G11" s="102" t="s">
        <v>198</v>
      </c>
      <c r="H11" s="102"/>
      <c r="I11" s="102">
        <v>0</v>
      </c>
      <c r="J11" s="102" t="s">
        <v>889</v>
      </c>
      <c r="K11" s="102" t="s">
        <v>890</v>
      </c>
      <c r="L11" s="102">
        <v>2000</v>
      </c>
      <c r="M11" s="102"/>
      <c r="N11" s="103" t="str">
        <f t="shared" si="0"/>
        <v>Shield(Defense, 2000)</v>
      </c>
      <c r="O11" s="104">
        <v>0</v>
      </c>
      <c r="P11" s="104">
        <v>0</v>
      </c>
      <c r="Q11" s="104"/>
      <c r="R11" s="104" t="b">
        <v>1</v>
      </c>
    </row>
    <row r="12" spans="1:18" s="164" customFormat="1">
      <c r="A12" s="100" t="s">
        <v>6384</v>
      </c>
      <c r="B12" s="101"/>
      <c r="C12" s="101"/>
      <c r="D12" s="101">
        <v>0</v>
      </c>
      <c r="E12" s="101">
        <v>1</v>
      </c>
      <c r="F12" s="102" t="s">
        <v>197</v>
      </c>
      <c r="G12" s="102" t="s">
        <v>198</v>
      </c>
      <c r="H12" s="102"/>
      <c r="I12" s="102">
        <v>0</v>
      </c>
      <c r="J12" s="102" t="s">
        <v>889</v>
      </c>
      <c r="K12" s="102" t="s">
        <v>6259</v>
      </c>
      <c r="L12" s="102">
        <v>2000</v>
      </c>
      <c r="M12" s="102"/>
      <c r="N12" s="103" t="str">
        <f t="shared" si="0"/>
        <v>Shield(Defense, 2000)</v>
      </c>
      <c r="O12" s="104">
        <v>0</v>
      </c>
      <c r="P12" s="104">
        <v>0</v>
      </c>
      <c r="Q12" s="104"/>
      <c r="R12" s="104" t="b">
        <v>1</v>
      </c>
    </row>
    <row r="13" spans="1:18">
      <c r="A13" s="94" t="s">
        <v>6230</v>
      </c>
      <c r="B13" s="95"/>
      <c r="C13" s="95"/>
      <c r="D13" s="95">
        <v>0</v>
      </c>
      <c r="E13" s="95">
        <v>1</v>
      </c>
      <c r="F13" s="96" t="s">
        <v>197</v>
      </c>
      <c r="G13" s="96" t="s">
        <v>198</v>
      </c>
      <c r="H13" s="96"/>
      <c r="I13" s="96">
        <v>0</v>
      </c>
      <c r="J13" s="96" t="s">
        <v>1402</v>
      </c>
      <c r="K13" s="96" t="s">
        <v>6231</v>
      </c>
      <c r="L13" s="96"/>
      <c r="M13" s="96"/>
      <c r="N13" s="97" t="str">
        <f t="shared" ref="N13:N104" si="1">J13&amp;"("&amp;IF(K13="","",K13)&amp;IF(L13="","",", "&amp;L13)&amp;IF(M13="","",", "&amp;M13)&amp;")"</f>
        <v>Active(itus.ult.self.buff.cost.skilleffect.01)</v>
      </c>
      <c r="O13" s="98">
        <v>0</v>
      </c>
      <c r="P13" s="98">
        <v>500</v>
      </c>
      <c r="Q13" s="98"/>
      <c r="R13" s="98" t="b">
        <v>1</v>
      </c>
    </row>
    <row r="14" spans="1:18">
      <c r="A14" s="94" t="s">
        <v>6232</v>
      </c>
      <c r="B14" s="95"/>
      <c r="C14" s="95"/>
      <c r="D14" s="95">
        <v>0</v>
      </c>
      <c r="E14" s="95">
        <v>1</v>
      </c>
      <c r="F14" s="96" t="s">
        <v>197</v>
      </c>
      <c r="G14" s="96" t="s">
        <v>198</v>
      </c>
      <c r="H14" s="96"/>
      <c r="I14" s="96">
        <v>0</v>
      </c>
      <c r="J14" s="96" t="s">
        <v>6233</v>
      </c>
      <c r="K14" s="96" t="s">
        <v>6234</v>
      </c>
      <c r="L14" s="96"/>
      <c r="M14" s="96"/>
      <c r="N14" s="97" t="str">
        <f t="shared" si="1"/>
        <v>Active(itus.ult.self.buff.cost.skilleffect.02)</v>
      </c>
      <c r="O14" s="98">
        <v>0</v>
      </c>
      <c r="P14" s="98">
        <v>500</v>
      </c>
      <c r="Q14" s="98"/>
      <c r="R14" s="98" t="b">
        <v>1</v>
      </c>
    </row>
    <row r="15" spans="1:18">
      <c r="A15" s="94" t="s">
        <v>6235</v>
      </c>
      <c r="B15" s="95"/>
      <c r="C15" s="95"/>
      <c r="D15" s="95">
        <v>0</v>
      </c>
      <c r="E15" s="95">
        <v>1</v>
      </c>
      <c r="F15" s="96" t="s">
        <v>197</v>
      </c>
      <c r="G15" s="96" t="s">
        <v>198</v>
      </c>
      <c r="H15" s="96"/>
      <c r="I15" s="96">
        <v>0</v>
      </c>
      <c r="J15" s="96" t="s">
        <v>1402</v>
      </c>
      <c r="K15" s="96" t="s">
        <v>6236</v>
      </c>
      <c r="L15" s="96"/>
      <c r="M15" s="96"/>
      <c r="N15" s="97" t="str">
        <f t="shared" si="1"/>
        <v>Active(itus.ult.self.buff.cost.skilleffect.03)</v>
      </c>
      <c r="O15" s="98">
        <v>0</v>
      </c>
      <c r="P15" s="98">
        <v>500</v>
      </c>
      <c r="Q15" s="98"/>
      <c r="R15" s="98" t="b">
        <v>1</v>
      </c>
    </row>
    <row r="16" spans="1:18">
      <c r="A16" s="94" t="s">
        <v>6237</v>
      </c>
      <c r="B16" s="95"/>
      <c r="C16" s="95"/>
      <c r="D16" s="95">
        <v>0</v>
      </c>
      <c r="E16" s="95">
        <v>1</v>
      </c>
      <c r="F16" s="96" t="s">
        <v>197</v>
      </c>
      <c r="G16" s="96" t="s">
        <v>198</v>
      </c>
      <c r="H16" s="96"/>
      <c r="I16" s="96">
        <v>0</v>
      </c>
      <c r="J16" s="96" t="s">
        <v>1402</v>
      </c>
      <c r="K16" s="96" t="s">
        <v>6238</v>
      </c>
      <c r="L16" s="96"/>
      <c r="M16" s="96"/>
      <c r="N16" s="97" t="str">
        <f t="shared" si="1"/>
        <v>Active(itus.ult.self.buff.cost.skilleffect.04)</v>
      </c>
      <c r="O16" s="98">
        <v>0</v>
      </c>
      <c r="P16" s="98">
        <v>500</v>
      </c>
      <c r="Q16" s="98"/>
      <c r="R16" s="98" t="b">
        <v>1</v>
      </c>
    </row>
    <row r="17" spans="1:18">
      <c r="A17" s="94" t="s">
        <v>6239</v>
      </c>
      <c r="B17" s="95"/>
      <c r="C17" s="95"/>
      <c r="D17" s="95">
        <v>0</v>
      </c>
      <c r="E17" s="95">
        <v>1</v>
      </c>
      <c r="F17" s="96" t="s">
        <v>197</v>
      </c>
      <c r="G17" s="96" t="s">
        <v>198</v>
      </c>
      <c r="H17" s="96"/>
      <c r="I17" s="96">
        <v>0</v>
      </c>
      <c r="J17" s="96" t="s">
        <v>1402</v>
      </c>
      <c r="K17" s="96" t="s">
        <v>6240</v>
      </c>
      <c r="L17" s="96"/>
      <c r="M17" s="96"/>
      <c r="N17" s="97" t="str">
        <f t="shared" si="1"/>
        <v>Active(itus.ult.self.buff.cost.skilleffect.05)</v>
      </c>
      <c r="O17" s="98">
        <v>0</v>
      </c>
      <c r="P17" s="98">
        <v>500</v>
      </c>
      <c r="Q17" s="98"/>
      <c r="R17" s="98" t="b">
        <v>1</v>
      </c>
    </row>
    <row r="18" spans="1:18">
      <c r="A18" s="94" t="s">
        <v>6241</v>
      </c>
      <c r="B18" s="95"/>
      <c r="C18" s="95"/>
      <c r="D18" s="95">
        <v>0</v>
      </c>
      <c r="E18" s="95">
        <v>1</v>
      </c>
      <c r="F18" s="96" t="s">
        <v>197</v>
      </c>
      <c r="G18" s="96" t="s">
        <v>198</v>
      </c>
      <c r="H18" s="96"/>
      <c r="I18" s="96">
        <v>0</v>
      </c>
      <c r="J18" s="96" t="s">
        <v>1402</v>
      </c>
      <c r="K18" s="96" t="s">
        <v>6242</v>
      </c>
      <c r="L18" s="96"/>
      <c r="M18" s="96"/>
      <c r="N18" s="97" t="str">
        <f t="shared" si="1"/>
        <v>Active(itus.ult.self.buff.cost.skilleffect.06)</v>
      </c>
      <c r="O18" s="98">
        <v>0</v>
      </c>
      <c r="P18" s="98">
        <v>500</v>
      </c>
      <c r="Q18" s="98"/>
      <c r="R18" s="98" t="b">
        <v>1</v>
      </c>
    </row>
    <row r="19" spans="1:18">
      <c r="A19" s="94" t="s">
        <v>6243</v>
      </c>
      <c r="B19" s="95"/>
      <c r="C19" s="95"/>
      <c r="D19" s="95">
        <v>0</v>
      </c>
      <c r="E19" s="95">
        <v>1</v>
      </c>
      <c r="F19" s="96" t="s">
        <v>197</v>
      </c>
      <c r="G19" s="96" t="s">
        <v>198</v>
      </c>
      <c r="H19" s="96"/>
      <c r="I19" s="96">
        <v>0</v>
      </c>
      <c r="J19" s="96" t="s">
        <v>1402</v>
      </c>
      <c r="K19" s="96" t="s">
        <v>6244</v>
      </c>
      <c r="L19" s="96"/>
      <c r="M19" s="96"/>
      <c r="N19" s="97" t="str">
        <f t="shared" si="1"/>
        <v>Active(itus.ult.self.buff.cost.skilleffect.07)</v>
      </c>
      <c r="O19" s="98">
        <v>0</v>
      </c>
      <c r="P19" s="98">
        <v>500</v>
      </c>
      <c r="Q19" s="98"/>
      <c r="R19" s="98" t="b">
        <v>1</v>
      </c>
    </row>
    <row r="20" spans="1:18" s="164" customFormat="1">
      <c r="A20" s="100" t="s">
        <v>6245</v>
      </c>
      <c r="B20" s="101"/>
      <c r="C20" s="101"/>
      <c r="D20" s="101">
        <v>0</v>
      </c>
      <c r="E20" s="101">
        <v>1</v>
      </c>
      <c r="F20" s="102" t="s">
        <v>197</v>
      </c>
      <c r="G20" s="102" t="s">
        <v>198</v>
      </c>
      <c r="H20" s="102"/>
      <c r="I20" s="102">
        <v>0</v>
      </c>
      <c r="J20" s="102" t="s">
        <v>895</v>
      </c>
      <c r="K20" s="102" t="s">
        <v>896</v>
      </c>
      <c r="L20" s="102" t="s">
        <v>6246</v>
      </c>
      <c r="M20" s="102"/>
      <c r="N20" s="103" t="str">
        <f t="shared" si="1"/>
        <v>SkillEffectModifier(Op, itus.ult.skill.effect.modifier.01)</v>
      </c>
      <c r="O20" s="104">
        <v>0</v>
      </c>
      <c r="P20" s="104">
        <v>0</v>
      </c>
      <c r="Q20" s="104"/>
      <c r="R20" s="104" t="b">
        <v>1</v>
      </c>
    </row>
    <row r="21" spans="1:18" s="164" customFormat="1">
      <c r="A21" s="100" t="s">
        <v>6247</v>
      </c>
      <c r="B21" s="101"/>
      <c r="C21" s="101"/>
      <c r="D21" s="101">
        <v>0</v>
      </c>
      <c r="E21" s="101">
        <v>1</v>
      </c>
      <c r="F21" s="102" t="s">
        <v>197</v>
      </c>
      <c r="G21" s="102" t="s">
        <v>198</v>
      </c>
      <c r="H21" s="102"/>
      <c r="I21" s="102">
        <v>0</v>
      </c>
      <c r="J21" s="102" t="s">
        <v>895</v>
      </c>
      <c r="K21" s="102" t="s">
        <v>896</v>
      </c>
      <c r="L21" s="102" t="s">
        <v>6248</v>
      </c>
      <c r="M21" s="102"/>
      <c r="N21" s="103" t="str">
        <f t="shared" si="1"/>
        <v>SkillEffectModifier(Op, itus.ult.skill.effect.modifier.02)</v>
      </c>
      <c r="O21" s="104">
        <v>0</v>
      </c>
      <c r="P21" s="104">
        <v>0</v>
      </c>
      <c r="Q21" s="104"/>
      <c r="R21" s="104" t="b">
        <v>1</v>
      </c>
    </row>
    <row r="22" spans="1:18" s="164" customFormat="1">
      <c r="A22" s="100" t="s">
        <v>6249</v>
      </c>
      <c r="B22" s="101"/>
      <c r="C22" s="101"/>
      <c r="D22" s="101">
        <v>0</v>
      </c>
      <c r="E22" s="101">
        <v>1</v>
      </c>
      <c r="F22" s="102" t="s">
        <v>197</v>
      </c>
      <c r="G22" s="102" t="s">
        <v>198</v>
      </c>
      <c r="H22" s="102"/>
      <c r="I22" s="102">
        <v>0</v>
      </c>
      <c r="J22" s="102" t="s">
        <v>895</v>
      </c>
      <c r="K22" s="102" t="s">
        <v>896</v>
      </c>
      <c r="L22" s="102" t="s">
        <v>6250</v>
      </c>
      <c r="M22" s="102"/>
      <c r="N22" s="103" t="str">
        <f t="shared" si="1"/>
        <v>SkillEffectModifier(Op, itus.ult.skill.effect.modifier.03)</v>
      </c>
      <c r="O22" s="104">
        <v>0</v>
      </c>
      <c r="P22" s="104">
        <v>0</v>
      </c>
      <c r="Q22" s="104"/>
      <c r="R22" s="104" t="b">
        <v>1</v>
      </c>
    </row>
    <row r="23" spans="1:18" s="164" customFormat="1">
      <c r="A23" s="100" t="s">
        <v>6251</v>
      </c>
      <c r="B23" s="101"/>
      <c r="C23" s="101"/>
      <c r="D23" s="101">
        <v>0</v>
      </c>
      <c r="E23" s="101">
        <v>1</v>
      </c>
      <c r="F23" s="102" t="s">
        <v>197</v>
      </c>
      <c r="G23" s="102" t="s">
        <v>198</v>
      </c>
      <c r="H23" s="102"/>
      <c r="I23" s="102">
        <v>0</v>
      </c>
      <c r="J23" s="102" t="s">
        <v>895</v>
      </c>
      <c r="K23" s="102" t="s">
        <v>896</v>
      </c>
      <c r="L23" s="102" t="s">
        <v>6252</v>
      </c>
      <c r="M23" s="102"/>
      <c r="N23" s="103" t="str">
        <f t="shared" si="1"/>
        <v>SkillEffectModifier(Op, itus.ult.skill.effect.modifier.04)</v>
      </c>
      <c r="O23" s="104">
        <v>0</v>
      </c>
      <c r="P23" s="104">
        <v>0</v>
      </c>
      <c r="Q23" s="104"/>
      <c r="R23" s="104" t="b">
        <v>1</v>
      </c>
    </row>
    <row r="24" spans="1:18" s="164" customFormat="1">
      <c r="A24" s="100" t="s">
        <v>6253</v>
      </c>
      <c r="B24" s="101"/>
      <c r="C24" s="101"/>
      <c r="D24" s="101">
        <v>0</v>
      </c>
      <c r="E24" s="101">
        <v>1</v>
      </c>
      <c r="F24" s="102" t="s">
        <v>197</v>
      </c>
      <c r="G24" s="102" t="s">
        <v>198</v>
      </c>
      <c r="H24" s="102"/>
      <c r="I24" s="102">
        <v>0</v>
      </c>
      <c r="J24" s="102" t="s">
        <v>895</v>
      </c>
      <c r="K24" s="102" t="s">
        <v>896</v>
      </c>
      <c r="L24" s="102" t="s">
        <v>6254</v>
      </c>
      <c r="M24" s="102"/>
      <c r="N24" s="103" t="str">
        <f t="shared" si="1"/>
        <v>SkillEffectModifier(Op, itus.ult.skill.effect.modifier.05)</v>
      </c>
      <c r="O24" s="104">
        <v>0</v>
      </c>
      <c r="P24" s="104">
        <v>0</v>
      </c>
      <c r="Q24" s="104"/>
      <c r="R24" s="104" t="b">
        <v>1</v>
      </c>
    </row>
    <row r="25" spans="1:18" s="164" customFormat="1">
      <c r="A25" s="100" t="s">
        <v>6255</v>
      </c>
      <c r="B25" s="101"/>
      <c r="C25" s="101"/>
      <c r="D25" s="101">
        <v>0</v>
      </c>
      <c r="E25" s="101">
        <v>1</v>
      </c>
      <c r="F25" s="102" t="s">
        <v>197</v>
      </c>
      <c r="G25" s="102" t="s">
        <v>198</v>
      </c>
      <c r="H25" s="102"/>
      <c r="I25" s="102">
        <v>0</v>
      </c>
      <c r="J25" s="102" t="s">
        <v>895</v>
      </c>
      <c r="K25" s="102" t="s">
        <v>896</v>
      </c>
      <c r="L25" s="102" t="s">
        <v>6256</v>
      </c>
      <c r="M25" s="102"/>
      <c r="N25" s="103" t="str">
        <f t="shared" si="1"/>
        <v>SkillEffectModifier(Op, itus.ult.skill.effect.modifier.06)</v>
      </c>
      <c r="O25" s="104">
        <v>0</v>
      </c>
      <c r="P25" s="104">
        <v>0</v>
      </c>
      <c r="Q25" s="104"/>
      <c r="R25" s="104" t="b">
        <v>1</v>
      </c>
    </row>
    <row r="26" spans="1:18" s="164" customFormat="1">
      <c r="A26" s="100" t="s">
        <v>6257</v>
      </c>
      <c r="B26" s="101"/>
      <c r="C26" s="101"/>
      <c r="D26" s="101">
        <v>0</v>
      </c>
      <c r="E26" s="101">
        <v>1</v>
      </c>
      <c r="F26" s="102" t="s">
        <v>197</v>
      </c>
      <c r="G26" s="102" t="s">
        <v>198</v>
      </c>
      <c r="H26" s="102"/>
      <c r="I26" s="102">
        <v>0</v>
      </c>
      <c r="J26" s="102" t="s">
        <v>895</v>
      </c>
      <c r="K26" s="102" t="s">
        <v>896</v>
      </c>
      <c r="L26" s="102" t="s">
        <v>6258</v>
      </c>
      <c r="M26" s="102"/>
      <c r="N26" s="103" t="str">
        <f t="shared" si="1"/>
        <v>SkillEffectModifier(Op, itus.ult.skill.effect.modifier.07)</v>
      </c>
      <c r="O26" s="104">
        <v>0</v>
      </c>
      <c r="P26" s="104">
        <v>0</v>
      </c>
      <c r="Q26" s="104"/>
      <c r="R26" s="104" t="b">
        <v>1</v>
      </c>
    </row>
    <row r="27" spans="1:18">
      <c r="A27" s="94" t="s">
        <v>6356</v>
      </c>
      <c r="B27" s="95"/>
      <c r="C27" s="95"/>
      <c r="D27" s="95">
        <v>0</v>
      </c>
      <c r="E27" s="95">
        <v>1</v>
      </c>
      <c r="F27" s="96" t="s">
        <v>197</v>
      </c>
      <c r="G27" s="96" t="s">
        <v>198</v>
      </c>
      <c r="H27" s="96"/>
      <c r="I27" s="96">
        <v>0</v>
      </c>
      <c r="J27" s="96" t="s">
        <v>6363</v>
      </c>
      <c r="K27" s="96" t="s">
        <v>1838</v>
      </c>
      <c r="L27" s="187" t="s">
        <v>6364</v>
      </c>
      <c r="M27" s="96"/>
      <c r="N27" s="97" t="str">
        <f t="shared" ref="N27:N33" si="2">J27&amp;"("&amp;IF(K27="","",K27)&amp;IF(L27="","",", "&amp;L27)&amp;IF(M27="","",", "&amp;M27)&amp;")"</f>
        <v>Effect(OnHitNormal, itus.ult.attack.event.effect.02.01)</v>
      </c>
      <c r="O27" s="98">
        <v>0</v>
      </c>
      <c r="P27" s="98">
        <v>500</v>
      </c>
      <c r="Q27" s="98"/>
      <c r="R27" s="98" t="b">
        <v>1</v>
      </c>
    </row>
    <row r="28" spans="1:18">
      <c r="A28" s="94" t="s">
        <v>6357</v>
      </c>
      <c r="B28" s="95"/>
      <c r="C28" s="95"/>
      <c r="D28" s="95">
        <v>0</v>
      </c>
      <c r="E28" s="95">
        <v>1</v>
      </c>
      <c r="F28" s="96" t="s">
        <v>197</v>
      </c>
      <c r="G28" s="96" t="s">
        <v>198</v>
      </c>
      <c r="H28" s="96"/>
      <c r="I28" s="96">
        <v>0</v>
      </c>
      <c r="J28" s="96" t="s">
        <v>6363</v>
      </c>
      <c r="K28" s="96" t="s">
        <v>1838</v>
      </c>
      <c r="L28" s="187" t="s">
        <v>6365</v>
      </c>
      <c r="M28" s="96"/>
      <c r="N28" s="97" t="str">
        <f t="shared" si="2"/>
        <v>Effect(OnHitNormal, itus.ult.attack.event.effect.02.02)</v>
      </c>
      <c r="O28" s="98">
        <v>0</v>
      </c>
      <c r="P28" s="98">
        <v>500</v>
      </c>
      <c r="Q28" s="98"/>
      <c r="R28" s="98" t="b">
        <v>1</v>
      </c>
    </row>
    <row r="29" spans="1:18">
      <c r="A29" s="94" t="s">
        <v>6358</v>
      </c>
      <c r="B29" s="95"/>
      <c r="C29" s="95"/>
      <c r="D29" s="95">
        <v>0</v>
      </c>
      <c r="E29" s="95">
        <v>1</v>
      </c>
      <c r="F29" s="96" t="s">
        <v>197</v>
      </c>
      <c r="G29" s="96" t="s">
        <v>198</v>
      </c>
      <c r="H29" s="96"/>
      <c r="I29" s="96">
        <v>0</v>
      </c>
      <c r="J29" s="96" t="s">
        <v>6363</v>
      </c>
      <c r="K29" s="96" t="s">
        <v>1838</v>
      </c>
      <c r="L29" s="187" t="s">
        <v>6366</v>
      </c>
      <c r="M29" s="96"/>
      <c r="N29" s="97" t="str">
        <f t="shared" si="2"/>
        <v>Effect(OnHitNormal, itus.ult.attack.event.effect.02.03)</v>
      </c>
      <c r="O29" s="98">
        <v>0</v>
      </c>
      <c r="P29" s="98">
        <v>500</v>
      </c>
      <c r="Q29" s="98"/>
      <c r="R29" s="98" t="b">
        <v>1</v>
      </c>
    </row>
    <row r="30" spans="1:18">
      <c r="A30" s="94" t="s">
        <v>6359</v>
      </c>
      <c r="B30" s="95"/>
      <c r="C30" s="95"/>
      <c r="D30" s="95">
        <v>0</v>
      </c>
      <c r="E30" s="95">
        <v>1</v>
      </c>
      <c r="F30" s="96" t="s">
        <v>197</v>
      </c>
      <c r="G30" s="96" t="s">
        <v>198</v>
      </c>
      <c r="H30" s="96"/>
      <c r="I30" s="96">
        <v>0</v>
      </c>
      <c r="J30" s="96" t="s">
        <v>6363</v>
      </c>
      <c r="K30" s="96" t="s">
        <v>1838</v>
      </c>
      <c r="L30" s="187" t="s">
        <v>6367</v>
      </c>
      <c r="M30" s="96"/>
      <c r="N30" s="97" t="str">
        <f t="shared" si="2"/>
        <v>Effect(OnHitNormal, itus.ult.attack.event.effect.02.04)</v>
      </c>
      <c r="O30" s="98">
        <v>0</v>
      </c>
      <c r="P30" s="98">
        <v>500</v>
      </c>
      <c r="Q30" s="98"/>
      <c r="R30" s="98" t="b">
        <v>1</v>
      </c>
    </row>
    <row r="31" spans="1:18">
      <c r="A31" s="94" t="s">
        <v>6360</v>
      </c>
      <c r="B31" s="95"/>
      <c r="C31" s="95"/>
      <c r="D31" s="95">
        <v>0</v>
      </c>
      <c r="E31" s="95">
        <v>1</v>
      </c>
      <c r="F31" s="96" t="s">
        <v>197</v>
      </c>
      <c r="G31" s="96" t="s">
        <v>198</v>
      </c>
      <c r="H31" s="96"/>
      <c r="I31" s="96">
        <v>0</v>
      </c>
      <c r="J31" s="96" t="s">
        <v>6363</v>
      </c>
      <c r="K31" s="96" t="s">
        <v>1838</v>
      </c>
      <c r="L31" s="187" t="s">
        <v>6368</v>
      </c>
      <c r="M31" s="96"/>
      <c r="N31" s="97" t="str">
        <f t="shared" si="2"/>
        <v>Effect(OnHitNormal, itus.ult.attack.event.effect.02.05)</v>
      </c>
      <c r="O31" s="98">
        <v>0</v>
      </c>
      <c r="P31" s="98">
        <v>500</v>
      </c>
      <c r="Q31" s="98"/>
      <c r="R31" s="98" t="b">
        <v>1</v>
      </c>
    </row>
    <row r="32" spans="1:18">
      <c r="A32" s="94" t="s">
        <v>6361</v>
      </c>
      <c r="B32" s="95"/>
      <c r="C32" s="95"/>
      <c r="D32" s="95">
        <v>0</v>
      </c>
      <c r="E32" s="95">
        <v>1</v>
      </c>
      <c r="F32" s="96" t="s">
        <v>197</v>
      </c>
      <c r="G32" s="96" t="s">
        <v>198</v>
      </c>
      <c r="H32" s="96"/>
      <c r="I32" s="96">
        <v>0</v>
      </c>
      <c r="J32" s="96" t="s">
        <v>6363</v>
      </c>
      <c r="K32" s="96" t="s">
        <v>1838</v>
      </c>
      <c r="L32" s="187" t="s">
        <v>6369</v>
      </c>
      <c r="M32" s="96"/>
      <c r="N32" s="97" t="str">
        <f t="shared" si="2"/>
        <v>Effect(OnHitNormal, itus.ult.attack.event.effect.02.06)</v>
      </c>
      <c r="O32" s="98">
        <v>0</v>
      </c>
      <c r="P32" s="98">
        <v>500</v>
      </c>
      <c r="Q32" s="98"/>
      <c r="R32" s="98" t="b">
        <v>1</v>
      </c>
    </row>
    <row r="33" spans="1:18">
      <c r="A33" s="94" t="s">
        <v>6362</v>
      </c>
      <c r="B33" s="95"/>
      <c r="C33" s="95"/>
      <c r="D33" s="95">
        <v>0</v>
      </c>
      <c r="E33" s="95">
        <v>1</v>
      </c>
      <c r="F33" s="96" t="s">
        <v>197</v>
      </c>
      <c r="G33" s="96" t="s">
        <v>198</v>
      </c>
      <c r="H33" s="96"/>
      <c r="I33" s="96">
        <v>0</v>
      </c>
      <c r="J33" s="96" t="s">
        <v>6363</v>
      </c>
      <c r="K33" s="96" t="s">
        <v>1838</v>
      </c>
      <c r="L33" s="187" t="s">
        <v>6370</v>
      </c>
      <c r="M33" s="96"/>
      <c r="N33" s="97" t="str">
        <f t="shared" si="2"/>
        <v>Effect(OnHitNormal, itus.ult.attack.event.effect.02.07)</v>
      </c>
      <c r="O33" s="98">
        <v>0</v>
      </c>
      <c r="P33" s="98">
        <v>500</v>
      </c>
      <c r="Q33" s="98"/>
      <c r="R33" s="98" t="b">
        <v>1</v>
      </c>
    </row>
    <row r="34" spans="1:18" s="164" customFormat="1">
      <c r="A34" s="100" t="s">
        <v>1197</v>
      </c>
      <c r="B34" s="101"/>
      <c r="C34" s="101"/>
      <c r="D34" s="101">
        <v>0</v>
      </c>
      <c r="E34" s="101">
        <v>1</v>
      </c>
      <c r="F34" s="102" t="s">
        <v>197</v>
      </c>
      <c r="G34" s="102" t="s">
        <v>198</v>
      </c>
      <c r="H34" s="102"/>
      <c r="I34" s="102">
        <v>0</v>
      </c>
      <c r="J34" s="102" t="s">
        <v>889</v>
      </c>
      <c r="K34" s="102" t="s">
        <v>890</v>
      </c>
      <c r="L34" s="102">
        <v>1000</v>
      </c>
      <c r="M34" s="102"/>
      <c r="N34" s="103" t="str">
        <f t="shared" si="1"/>
        <v>Shield(Defense, 1000)</v>
      </c>
      <c r="O34" s="104">
        <v>0</v>
      </c>
      <c r="P34" s="104">
        <v>0</v>
      </c>
      <c r="Q34" s="104"/>
      <c r="R34" s="104" t="b">
        <v>1</v>
      </c>
    </row>
    <row r="35" spans="1:18" s="164" customFormat="1">
      <c r="A35" s="100" t="s">
        <v>1198</v>
      </c>
      <c r="B35" s="101"/>
      <c r="C35" s="101"/>
      <c r="D35" s="101">
        <v>0</v>
      </c>
      <c r="E35" s="101">
        <v>1</v>
      </c>
      <c r="F35" s="102" t="s">
        <v>197</v>
      </c>
      <c r="G35" s="102" t="s">
        <v>198</v>
      </c>
      <c r="H35" s="102"/>
      <c r="I35" s="102">
        <v>0</v>
      </c>
      <c r="J35" s="102" t="s">
        <v>889</v>
      </c>
      <c r="K35" s="102" t="s">
        <v>890</v>
      </c>
      <c r="L35" s="102">
        <v>1250</v>
      </c>
      <c r="M35" s="102"/>
      <c r="N35" s="103" t="str">
        <f t="shared" si="1"/>
        <v>Shield(Defense, 1250)</v>
      </c>
      <c r="O35" s="104">
        <v>0</v>
      </c>
      <c r="P35" s="104">
        <v>0</v>
      </c>
      <c r="Q35" s="104"/>
      <c r="R35" s="104" t="b">
        <v>1</v>
      </c>
    </row>
    <row r="36" spans="1:18" s="164" customFormat="1">
      <c r="A36" s="100" t="s">
        <v>1199</v>
      </c>
      <c r="B36" s="101"/>
      <c r="C36" s="101"/>
      <c r="D36" s="101">
        <v>0</v>
      </c>
      <c r="E36" s="101">
        <v>1</v>
      </c>
      <c r="F36" s="102" t="s">
        <v>197</v>
      </c>
      <c r="G36" s="102" t="s">
        <v>198</v>
      </c>
      <c r="H36" s="102"/>
      <c r="I36" s="102">
        <v>0</v>
      </c>
      <c r="J36" s="102" t="s">
        <v>889</v>
      </c>
      <c r="K36" s="102" t="s">
        <v>890</v>
      </c>
      <c r="L36" s="102">
        <v>1500</v>
      </c>
      <c r="M36" s="102"/>
      <c r="N36" s="103" t="str">
        <f t="shared" si="1"/>
        <v>Shield(Defense, 1500)</v>
      </c>
      <c r="O36" s="104">
        <v>0</v>
      </c>
      <c r="P36" s="104">
        <v>0</v>
      </c>
      <c r="Q36" s="104"/>
      <c r="R36" s="104" t="b">
        <v>1</v>
      </c>
    </row>
    <row r="37" spans="1:18" s="164" customFormat="1">
      <c r="A37" s="100" t="s">
        <v>1200</v>
      </c>
      <c r="B37" s="101"/>
      <c r="C37" s="101"/>
      <c r="D37" s="101">
        <v>0</v>
      </c>
      <c r="E37" s="101">
        <v>1</v>
      </c>
      <c r="F37" s="102" t="s">
        <v>197</v>
      </c>
      <c r="G37" s="102" t="s">
        <v>198</v>
      </c>
      <c r="H37" s="102"/>
      <c r="I37" s="102">
        <v>0</v>
      </c>
      <c r="J37" s="102" t="s">
        <v>889</v>
      </c>
      <c r="K37" s="102" t="s">
        <v>890</v>
      </c>
      <c r="L37" s="102">
        <v>1750</v>
      </c>
      <c r="M37" s="102"/>
      <c r="N37" s="103" t="str">
        <f t="shared" si="1"/>
        <v>Shield(Defense, 1750)</v>
      </c>
      <c r="O37" s="104">
        <v>0</v>
      </c>
      <c r="P37" s="104">
        <v>0</v>
      </c>
      <c r="Q37" s="104"/>
      <c r="R37" s="104" t="b">
        <v>1</v>
      </c>
    </row>
    <row r="38" spans="1:18" s="164" customFormat="1">
      <c r="A38" s="100" t="s">
        <v>1201</v>
      </c>
      <c r="B38" s="101"/>
      <c r="C38" s="101"/>
      <c r="D38" s="101">
        <v>0</v>
      </c>
      <c r="E38" s="101">
        <v>1</v>
      </c>
      <c r="F38" s="102" t="s">
        <v>197</v>
      </c>
      <c r="G38" s="102" t="s">
        <v>198</v>
      </c>
      <c r="H38" s="102"/>
      <c r="I38" s="102">
        <v>0</v>
      </c>
      <c r="J38" s="102" t="s">
        <v>889</v>
      </c>
      <c r="K38" s="102" t="s">
        <v>890</v>
      </c>
      <c r="L38" s="102">
        <v>2000</v>
      </c>
      <c r="M38" s="102"/>
      <c r="N38" s="103" t="str">
        <f t="shared" si="1"/>
        <v>Shield(Defense, 2000)</v>
      </c>
      <c r="O38" s="104">
        <v>0</v>
      </c>
      <c r="P38" s="104">
        <v>0</v>
      </c>
      <c r="Q38" s="104"/>
      <c r="R38" s="104" t="b">
        <v>1</v>
      </c>
    </row>
    <row r="39" spans="1:18" s="164" customFormat="1">
      <c r="A39" s="100" t="s">
        <v>1202</v>
      </c>
      <c r="B39" s="101"/>
      <c r="C39" s="101"/>
      <c r="D39" s="101">
        <v>0</v>
      </c>
      <c r="E39" s="101">
        <v>1</v>
      </c>
      <c r="F39" s="102" t="s">
        <v>197</v>
      </c>
      <c r="G39" s="102" t="s">
        <v>198</v>
      </c>
      <c r="H39" s="102"/>
      <c r="I39" s="102">
        <v>0</v>
      </c>
      <c r="J39" s="102" t="s">
        <v>889</v>
      </c>
      <c r="K39" s="102" t="s">
        <v>890</v>
      </c>
      <c r="L39" s="102">
        <v>2000</v>
      </c>
      <c r="M39" s="102"/>
      <c r="N39" s="103" t="str">
        <f t="shared" si="1"/>
        <v>Shield(Defense, 2000)</v>
      </c>
      <c r="O39" s="104">
        <v>0</v>
      </c>
      <c r="P39" s="104">
        <v>0</v>
      </c>
      <c r="Q39" s="104"/>
      <c r="R39" s="104" t="b">
        <v>1</v>
      </c>
    </row>
    <row r="40" spans="1:18" s="164" customFormat="1">
      <c r="A40" s="100" t="s">
        <v>1203</v>
      </c>
      <c r="B40" s="101"/>
      <c r="C40" s="101"/>
      <c r="D40" s="101">
        <v>0</v>
      </c>
      <c r="E40" s="101">
        <v>1</v>
      </c>
      <c r="F40" s="102" t="s">
        <v>197</v>
      </c>
      <c r="G40" s="102" t="s">
        <v>198</v>
      </c>
      <c r="H40" s="102"/>
      <c r="I40" s="102">
        <v>0</v>
      </c>
      <c r="J40" s="102" t="s">
        <v>889</v>
      </c>
      <c r="K40" s="102" t="s">
        <v>6259</v>
      </c>
      <c r="L40" s="102">
        <v>2000</v>
      </c>
      <c r="M40" s="102"/>
      <c r="N40" s="103" t="str">
        <f t="shared" si="1"/>
        <v>Shield(Defense, 2000)</v>
      </c>
      <c r="O40" s="104">
        <v>0</v>
      </c>
      <c r="P40" s="104">
        <v>0</v>
      </c>
      <c r="Q40" s="104"/>
      <c r="R40" s="104" t="b">
        <v>1</v>
      </c>
    </row>
    <row r="41" spans="1:18">
      <c r="A41" s="94" t="s">
        <v>6286</v>
      </c>
      <c r="B41" s="95"/>
      <c r="C41" s="95"/>
      <c r="D41" s="95">
        <v>0</v>
      </c>
      <c r="E41" s="95">
        <v>1</v>
      </c>
      <c r="F41" s="96" t="s">
        <v>197</v>
      </c>
      <c r="G41" s="96" t="s">
        <v>198</v>
      </c>
      <c r="H41" s="96"/>
      <c r="I41" s="96">
        <v>0</v>
      </c>
      <c r="J41" s="96" t="s">
        <v>1402</v>
      </c>
      <c r="K41" s="96" t="s">
        <v>6294</v>
      </c>
      <c r="L41" s="96"/>
      <c r="M41" s="96"/>
      <c r="N41" s="97" t="str">
        <f t="shared" ref="N41:N54" si="3">J41&amp;"("&amp;IF(K41="","",K41)&amp;IF(L41="","",", "&amp;L41)&amp;IF(M41="","",", "&amp;M41)&amp;")"</f>
        <v>Active(itus.ult.B.post.buff.skilleffect.01)</v>
      </c>
      <c r="O41" s="98">
        <v>0</v>
      </c>
      <c r="P41" s="98">
        <v>1000</v>
      </c>
      <c r="Q41" s="98"/>
      <c r="R41" s="98" t="b">
        <v>1</v>
      </c>
    </row>
    <row r="42" spans="1:18">
      <c r="A42" s="94" t="s">
        <v>6288</v>
      </c>
      <c r="B42" s="95"/>
      <c r="C42" s="95"/>
      <c r="D42" s="95">
        <v>0</v>
      </c>
      <c r="E42" s="95">
        <v>1</v>
      </c>
      <c r="F42" s="96" t="s">
        <v>197</v>
      </c>
      <c r="G42" s="96" t="s">
        <v>198</v>
      </c>
      <c r="H42" s="96"/>
      <c r="I42" s="96">
        <v>0</v>
      </c>
      <c r="J42" s="96" t="s">
        <v>6233</v>
      </c>
      <c r="K42" s="96" t="s">
        <v>6295</v>
      </c>
      <c r="L42" s="96"/>
      <c r="M42" s="96"/>
      <c r="N42" s="97" t="str">
        <f t="shared" si="3"/>
        <v>Active(itus.ult.B.post.buff.skilleffect.02)</v>
      </c>
      <c r="O42" s="98">
        <v>0</v>
      </c>
      <c r="P42" s="98">
        <v>1000</v>
      </c>
      <c r="Q42" s="98"/>
      <c r="R42" s="98" t="b">
        <v>1</v>
      </c>
    </row>
    <row r="43" spans="1:18">
      <c r="A43" s="94" t="s">
        <v>6289</v>
      </c>
      <c r="B43" s="95"/>
      <c r="C43" s="95"/>
      <c r="D43" s="95">
        <v>0</v>
      </c>
      <c r="E43" s="95">
        <v>1</v>
      </c>
      <c r="F43" s="96" t="s">
        <v>197</v>
      </c>
      <c r="G43" s="96" t="s">
        <v>198</v>
      </c>
      <c r="H43" s="96"/>
      <c r="I43" s="96">
        <v>0</v>
      </c>
      <c r="J43" s="96" t="s">
        <v>1402</v>
      </c>
      <c r="K43" s="96" t="s">
        <v>6296</v>
      </c>
      <c r="L43" s="96"/>
      <c r="M43" s="96"/>
      <c r="N43" s="97" t="str">
        <f t="shared" si="3"/>
        <v>Active(itus.ult.B.post.buff.skilleffect.03)</v>
      </c>
      <c r="O43" s="98">
        <v>0</v>
      </c>
      <c r="P43" s="98">
        <v>1000</v>
      </c>
      <c r="Q43" s="98"/>
      <c r="R43" s="98" t="b">
        <v>1</v>
      </c>
    </row>
    <row r="44" spans="1:18">
      <c r="A44" s="94" t="s">
        <v>6290</v>
      </c>
      <c r="B44" s="95"/>
      <c r="C44" s="95"/>
      <c r="D44" s="95">
        <v>0</v>
      </c>
      <c r="E44" s="95">
        <v>1</v>
      </c>
      <c r="F44" s="96" t="s">
        <v>197</v>
      </c>
      <c r="G44" s="96" t="s">
        <v>198</v>
      </c>
      <c r="H44" s="96"/>
      <c r="I44" s="96">
        <v>0</v>
      </c>
      <c r="J44" s="96" t="s">
        <v>1402</v>
      </c>
      <c r="K44" s="96" t="s">
        <v>6297</v>
      </c>
      <c r="L44" s="96"/>
      <c r="M44" s="96"/>
      <c r="N44" s="97" t="str">
        <f t="shared" si="3"/>
        <v>Active(itus.ult.B.post.buff.skilleffect.04)</v>
      </c>
      <c r="O44" s="98">
        <v>0</v>
      </c>
      <c r="P44" s="98">
        <v>1000</v>
      </c>
      <c r="Q44" s="98"/>
      <c r="R44" s="98" t="b">
        <v>1</v>
      </c>
    </row>
    <row r="45" spans="1:18">
      <c r="A45" s="94" t="s">
        <v>6291</v>
      </c>
      <c r="B45" s="95"/>
      <c r="C45" s="95"/>
      <c r="D45" s="95">
        <v>0</v>
      </c>
      <c r="E45" s="95">
        <v>1</v>
      </c>
      <c r="F45" s="96" t="s">
        <v>197</v>
      </c>
      <c r="G45" s="96" t="s">
        <v>198</v>
      </c>
      <c r="H45" s="96"/>
      <c r="I45" s="96">
        <v>0</v>
      </c>
      <c r="J45" s="96" t="s">
        <v>1402</v>
      </c>
      <c r="K45" s="96" t="s">
        <v>6298</v>
      </c>
      <c r="L45" s="96"/>
      <c r="M45" s="96"/>
      <c r="N45" s="97" t="str">
        <f t="shared" si="3"/>
        <v>Active(itus.ult.B.post.buff.skilleffect.05)</v>
      </c>
      <c r="O45" s="98">
        <v>0</v>
      </c>
      <c r="P45" s="98">
        <v>1000</v>
      </c>
      <c r="Q45" s="98"/>
      <c r="R45" s="98" t="b">
        <v>1</v>
      </c>
    </row>
    <row r="46" spans="1:18">
      <c r="A46" s="94" t="s">
        <v>6292</v>
      </c>
      <c r="B46" s="95"/>
      <c r="C46" s="95"/>
      <c r="D46" s="95">
        <v>0</v>
      </c>
      <c r="E46" s="95">
        <v>1</v>
      </c>
      <c r="F46" s="96" t="s">
        <v>197</v>
      </c>
      <c r="G46" s="96" t="s">
        <v>198</v>
      </c>
      <c r="H46" s="96"/>
      <c r="I46" s="96">
        <v>0</v>
      </c>
      <c r="J46" s="96" t="s">
        <v>1402</v>
      </c>
      <c r="K46" s="96" t="s">
        <v>6299</v>
      </c>
      <c r="L46" s="96"/>
      <c r="M46" s="96"/>
      <c r="N46" s="97" t="str">
        <f t="shared" si="3"/>
        <v>Active(itus.ult.B.post.buff.skilleffect.06)</v>
      </c>
      <c r="O46" s="98">
        <v>0</v>
      </c>
      <c r="P46" s="98">
        <v>1000</v>
      </c>
      <c r="Q46" s="98"/>
      <c r="R46" s="98" t="b">
        <v>1</v>
      </c>
    </row>
    <row r="47" spans="1:18">
      <c r="A47" s="94" t="s">
        <v>6293</v>
      </c>
      <c r="B47" s="95"/>
      <c r="C47" s="95"/>
      <c r="D47" s="95">
        <v>0</v>
      </c>
      <c r="E47" s="95">
        <v>1</v>
      </c>
      <c r="F47" s="96" t="s">
        <v>197</v>
      </c>
      <c r="G47" s="96" t="s">
        <v>198</v>
      </c>
      <c r="H47" s="96"/>
      <c r="I47" s="96">
        <v>0</v>
      </c>
      <c r="J47" s="96" t="s">
        <v>1402</v>
      </c>
      <c r="K47" s="96" t="s">
        <v>6300</v>
      </c>
      <c r="L47" s="96"/>
      <c r="M47" s="96"/>
      <c r="N47" s="97" t="str">
        <f t="shared" si="3"/>
        <v>Active(itus.ult.B.post.buff.skilleffect.07)</v>
      </c>
      <c r="O47" s="98">
        <v>0</v>
      </c>
      <c r="P47" s="98">
        <v>1000</v>
      </c>
      <c r="Q47" s="98"/>
      <c r="R47" s="98" t="b">
        <v>1</v>
      </c>
    </row>
    <row r="48" spans="1:18" s="154" customFormat="1">
      <c r="A48" s="89" t="s">
        <v>6315</v>
      </c>
      <c r="B48" s="90"/>
      <c r="C48" s="90"/>
      <c r="D48" s="90">
        <v>0</v>
      </c>
      <c r="E48" s="90">
        <v>1</v>
      </c>
      <c r="F48" s="91" t="s">
        <v>197</v>
      </c>
      <c r="G48" s="91" t="s">
        <v>198</v>
      </c>
      <c r="H48" s="91"/>
      <c r="I48" s="91">
        <v>0</v>
      </c>
      <c r="J48" s="91" t="s">
        <v>889</v>
      </c>
      <c r="K48" s="91" t="s">
        <v>890</v>
      </c>
      <c r="L48" s="91">
        <v>3750</v>
      </c>
      <c r="M48" s="91"/>
      <c r="N48" s="92" t="str">
        <f t="shared" si="3"/>
        <v>Shield(Defense, 3750)</v>
      </c>
      <c r="O48" s="93">
        <v>0</v>
      </c>
      <c r="P48" s="93">
        <v>0</v>
      </c>
      <c r="Q48" s="93"/>
      <c r="R48" s="93" t="b">
        <v>1</v>
      </c>
    </row>
    <row r="49" spans="1:18" s="154" customFormat="1">
      <c r="A49" s="89" t="s">
        <v>6317</v>
      </c>
      <c r="B49" s="90"/>
      <c r="C49" s="90"/>
      <c r="D49" s="90">
        <v>0</v>
      </c>
      <c r="E49" s="90">
        <v>1</v>
      </c>
      <c r="F49" s="91" t="s">
        <v>197</v>
      </c>
      <c r="G49" s="91" t="s">
        <v>198</v>
      </c>
      <c r="H49" s="91"/>
      <c r="I49" s="91">
        <v>0</v>
      </c>
      <c r="J49" s="91" t="s">
        <v>889</v>
      </c>
      <c r="K49" s="91" t="s">
        <v>890</v>
      </c>
      <c r="L49" s="91">
        <v>4200</v>
      </c>
      <c r="M49" s="91"/>
      <c r="N49" s="92" t="str">
        <f t="shared" si="3"/>
        <v>Shield(Defense, 4200)</v>
      </c>
      <c r="O49" s="93">
        <v>0</v>
      </c>
      <c r="P49" s="93">
        <v>0</v>
      </c>
      <c r="Q49" s="93"/>
      <c r="R49" s="93" t="b">
        <v>1</v>
      </c>
    </row>
    <row r="50" spans="1:18" s="154" customFormat="1">
      <c r="A50" s="89" t="s">
        <v>6318</v>
      </c>
      <c r="B50" s="90"/>
      <c r="C50" s="90"/>
      <c r="D50" s="90">
        <v>0</v>
      </c>
      <c r="E50" s="90">
        <v>1</v>
      </c>
      <c r="F50" s="91" t="s">
        <v>197</v>
      </c>
      <c r="G50" s="91" t="s">
        <v>198</v>
      </c>
      <c r="H50" s="91"/>
      <c r="I50" s="91">
        <v>0</v>
      </c>
      <c r="J50" s="91" t="s">
        <v>889</v>
      </c>
      <c r="K50" s="91" t="s">
        <v>890</v>
      </c>
      <c r="L50" s="91">
        <v>4650</v>
      </c>
      <c r="M50" s="91"/>
      <c r="N50" s="92" t="str">
        <f t="shared" si="3"/>
        <v>Shield(Defense, 4650)</v>
      </c>
      <c r="O50" s="93">
        <v>0</v>
      </c>
      <c r="P50" s="93">
        <v>0</v>
      </c>
      <c r="Q50" s="93"/>
      <c r="R50" s="93" t="b">
        <v>1</v>
      </c>
    </row>
    <row r="51" spans="1:18" s="154" customFormat="1">
      <c r="A51" s="89" t="s">
        <v>6319</v>
      </c>
      <c r="B51" s="90"/>
      <c r="C51" s="90"/>
      <c r="D51" s="90">
        <v>0</v>
      </c>
      <c r="E51" s="90">
        <v>1</v>
      </c>
      <c r="F51" s="91" t="s">
        <v>197</v>
      </c>
      <c r="G51" s="91" t="s">
        <v>198</v>
      </c>
      <c r="H51" s="91"/>
      <c r="I51" s="91">
        <v>0</v>
      </c>
      <c r="J51" s="91" t="s">
        <v>889</v>
      </c>
      <c r="K51" s="91" t="s">
        <v>890</v>
      </c>
      <c r="L51" s="91">
        <v>5100</v>
      </c>
      <c r="M51" s="91"/>
      <c r="N51" s="92" t="str">
        <f t="shared" si="3"/>
        <v>Shield(Defense, 5100)</v>
      </c>
      <c r="O51" s="93">
        <v>0</v>
      </c>
      <c r="P51" s="93">
        <v>0</v>
      </c>
      <c r="Q51" s="93"/>
      <c r="R51" s="93" t="b">
        <v>1</v>
      </c>
    </row>
    <row r="52" spans="1:18" s="154" customFormat="1">
      <c r="A52" s="89" t="s">
        <v>6320</v>
      </c>
      <c r="B52" s="90"/>
      <c r="C52" s="90"/>
      <c r="D52" s="90">
        <v>0</v>
      </c>
      <c r="E52" s="90">
        <v>1</v>
      </c>
      <c r="F52" s="91" t="s">
        <v>197</v>
      </c>
      <c r="G52" s="91" t="s">
        <v>198</v>
      </c>
      <c r="H52" s="91"/>
      <c r="I52" s="91">
        <v>0</v>
      </c>
      <c r="J52" s="91" t="s">
        <v>889</v>
      </c>
      <c r="K52" s="91" t="s">
        <v>890</v>
      </c>
      <c r="L52" s="91">
        <v>5550</v>
      </c>
      <c r="M52" s="91"/>
      <c r="N52" s="92" t="str">
        <f t="shared" si="3"/>
        <v>Shield(Defense, 5550)</v>
      </c>
      <c r="O52" s="93">
        <v>0</v>
      </c>
      <c r="P52" s="93">
        <v>0</v>
      </c>
      <c r="Q52" s="93"/>
      <c r="R52" s="93" t="b">
        <v>1</v>
      </c>
    </row>
    <row r="53" spans="1:18" s="154" customFormat="1">
      <c r="A53" s="89" t="s">
        <v>6321</v>
      </c>
      <c r="B53" s="90"/>
      <c r="C53" s="90"/>
      <c r="D53" s="90">
        <v>0</v>
      </c>
      <c r="E53" s="90">
        <v>1</v>
      </c>
      <c r="F53" s="91" t="s">
        <v>197</v>
      </c>
      <c r="G53" s="91" t="s">
        <v>198</v>
      </c>
      <c r="H53" s="91"/>
      <c r="I53" s="91">
        <v>0</v>
      </c>
      <c r="J53" s="91" t="s">
        <v>889</v>
      </c>
      <c r="K53" s="91" t="s">
        <v>890</v>
      </c>
      <c r="L53" s="91">
        <v>5500</v>
      </c>
      <c r="M53" s="91"/>
      <c r="N53" s="92" t="str">
        <f t="shared" si="3"/>
        <v>Shield(Defense, 5500)</v>
      </c>
      <c r="O53" s="93">
        <v>0</v>
      </c>
      <c r="P53" s="93">
        <v>0</v>
      </c>
      <c r="Q53" s="93"/>
      <c r="R53" s="93" t="b">
        <v>1</v>
      </c>
    </row>
    <row r="54" spans="1:18" s="154" customFormat="1">
      <c r="A54" s="89" t="s">
        <v>6322</v>
      </c>
      <c r="B54" s="90"/>
      <c r="C54" s="90"/>
      <c r="D54" s="90">
        <v>0</v>
      </c>
      <c r="E54" s="90">
        <v>1</v>
      </c>
      <c r="F54" s="91" t="s">
        <v>197</v>
      </c>
      <c r="G54" s="91" t="s">
        <v>198</v>
      </c>
      <c r="H54" s="91"/>
      <c r="I54" s="91">
        <v>0</v>
      </c>
      <c r="J54" s="91" t="s">
        <v>889</v>
      </c>
      <c r="K54" s="91" t="s">
        <v>6259</v>
      </c>
      <c r="L54" s="91">
        <v>5500</v>
      </c>
      <c r="M54" s="91"/>
      <c r="N54" s="92" t="str">
        <f t="shared" si="3"/>
        <v>Shield(Defense, 5500)</v>
      </c>
      <c r="O54" s="93">
        <v>0</v>
      </c>
      <c r="P54" s="93">
        <v>0</v>
      </c>
      <c r="Q54" s="93"/>
      <c r="R54" s="93" t="b">
        <v>1</v>
      </c>
    </row>
    <row r="55" spans="1:18" s="154" customFormat="1">
      <c r="A55" s="89" t="s">
        <v>7291</v>
      </c>
      <c r="B55" s="90"/>
      <c r="C55" s="90"/>
      <c r="D55" s="90">
        <v>0</v>
      </c>
      <c r="E55" s="90">
        <v>1</v>
      </c>
      <c r="F55" s="91" t="s">
        <v>197</v>
      </c>
      <c r="G55" s="91" t="s">
        <v>198</v>
      </c>
      <c r="H55" s="91"/>
      <c r="I55" s="91">
        <v>0</v>
      </c>
      <c r="J55" s="91" t="s">
        <v>889</v>
      </c>
      <c r="K55" s="91" t="s">
        <v>890</v>
      </c>
      <c r="L55" s="91">
        <v>2500</v>
      </c>
      <c r="M55" s="91"/>
      <c r="N55" s="92" t="str">
        <f t="shared" ref="N55:N61" si="4">J55&amp;"("&amp;IF(K55="","",K55)&amp;IF(L55="","",", "&amp;L55)&amp;IF(M55="","",", "&amp;M55)&amp;")"</f>
        <v>Shield(Defense, 2500)</v>
      </c>
      <c r="O55" s="93">
        <v>0</v>
      </c>
      <c r="P55" s="93">
        <v>0</v>
      </c>
      <c r="Q55" s="93"/>
      <c r="R55" s="93" t="b">
        <v>1</v>
      </c>
    </row>
    <row r="56" spans="1:18" s="154" customFormat="1">
      <c r="A56" s="89" t="s">
        <v>7285</v>
      </c>
      <c r="B56" s="90"/>
      <c r="C56" s="90"/>
      <c r="D56" s="90">
        <v>0</v>
      </c>
      <c r="E56" s="90">
        <v>1</v>
      </c>
      <c r="F56" s="91" t="s">
        <v>197</v>
      </c>
      <c r="G56" s="91" t="s">
        <v>198</v>
      </c>
      <c r="H56" s="91"/>
      <c r="I56" s="91">
        <v>0</v>
      </c>
      <c r="J56" s="91" t="s">
        <v>889</v>
      </c>
      <c r="K56" s="91" t="s">
        <v>890</v>
      </c>
      <c r="L56" s="91">
        <v>2800</v>
      </c>
      <c r="M56" s="91"/>
      <c r="N56" s="92" t="str">
        <f t="shared" si="4"/>
        <v>Shield(Defense, 2800)</v>
      </c>
      <c r="O56" s="93">
        <v>0</v>
      </c>
      <c r="P56" s="93">
        <v>0</v>
      </c>
      <c r="Q56" s="93"/>
      <c r="R56" s="93" t="b">
        <v>1</v>
      </c>
    </row>
    <row r="57" spans="1:18" s="154" customFormat="1">
      <c r="A57" s="89" t="s">
        <v>7286</v>
      </c>
      <c r="B57" s="90"/>
      <c r="C57" s="90"/>
      <c r="D57" s="90">
        <v>0</v>
      </c>
      <c r="E57" s="90">
        <v>1</v>
      </c>
      <c r="F57" s="91" t="s">
        <v>197</v>
      </c>
      <c r="G57" s="91" t="s">
        <v>198</v>
      </c>
      <c r="H57" s="91"/>
      <c r="I57" s="91">
        <v>0</v>
      </c>
      <c r="J57" s="91" t="s">
        <v>889</v>
      </c>
      <c r="K57" s="91" t="s">
        <v>890</v>
      </c>
      <c r="L57" s="91">
        <v>3100</v>
      </c>
      <c r="M57" s="91"/>
      <c r="N57" s="92" t="str">
        <f t="shared" si="4"/>
        <v>Shield(Defense, 3100)</v>
      </c>
      <c r="O57" s="93">
        <v>0</v>
      </c>
      <c r="P57" s="93">
        <v>0</v>
      </c>
      <c r="Q57" s="93"/>
      <c r="R57" s="93" t="b">
        <v>1</v>
      </c>
    </row>
    <row r="58" spans="1:18" s="154" customFormat="1">
      <c r="A58" s="89" t="s">
        <v>7287</v>
      </c>
      <c r="B58" s="90"/>
      <c r="C58" s="90"/>
      <c r="D58" s="90">
        <v>0</v>
      </c>
      <c r="E58" s="90">
        <v>1</v>
      </c>
      <c r="F58" s="91" t="s">
        <v>197</v>
      </c>
      <c r="G58" s="91" t="s">
        <v>198</v>
      </c>
      <c r="H58" s="91"/>
      <c r="I58" s="91">
        <v>0</v>
      </c>
      <c r="J58" s="91" t="s">
        <v>889</v>
      </c>
      <c r="K58" s="91" t="s">
        <v>890</v>
      </c>
      <c r="L58" s="91">
        <v>3400</v>
      </c>
      <c r="M58" s="91"/>
      <c r="N58" s="92" t="str">
        <f t="shared" si="4"/>
        <v>Shield(Defense, 3400)</v>
      </c>
      <c r="O58" s="93">
        <v>0</v>
      </c>
      <c r="P58" s="93">
        <v>0</v>
      </c>
      <c r="Q58" s="93"/>
      <c r="R58" s="93" t="b">
        <v>1</v>
      </c>
    </row>
    <row r="59" spans="1:18" s="154" customFormat="1">
      <c r="A59" s="89" t="s">
        <v>7288</v>
      </c>
      <c r="B59" s="90"/>
      <c r="C59" s="90"/>
      <c r="D59" s="90">
        <v>0</v>
      </c>
      <c r="E59" s="90">
        <v>1</v>
      </c>
      <c r="F59" s="91" t="s">
        <v>197</v>
      </c>
      <c r="G59" s="91" t="s">
        <v>198</v>
      </c>
      <c r="H59" s="91"/>
      <c r="I59" s="91">
        <v>0</v>
      </c>
      <c r="J59" s="91" t="s">
        <v>889</v>
      </c>
      <c r="K59" s="91" t="s">
        <v>890</v>
      </c>
      <c r="L59" s="91">
        <v>3700</v>
      </c>
      <c r="M59" s="91"/>
      <c r="N59" s="92" t="str">
        <f t="shared" si="4"/>
        <v>Shield(Defense, 3700)</v>
      </c>
      <c r="O59" s="93">
        <v>0</v>
      </c>
      <c r="P59" s="93">
        <v>0</v>
      </c>
      <c r="Q59" s="93"/>
      <c r="R59" s="93" t="b">
        <v>1</v>
      </c>
    </row>
    <row r="60" spans="1:18" s="154" customFormat="1">
      <c r="A60" s="89" t="s">
        <v>7289</v>
      </c>
      <c r="B60" s="90"/>
      <c r="C60" s="90"/>
      <c r="D60" s="90">
        <v>0</v>
      </c>
      <c r="E60" s="90">
        <v>1</v>
      </c>
      <c r="F60" s="91" t="s">
        <v>197</v>
      </c>
      <c r="G60" s="91" t="s">
        <v>198</v>
      </c>
      <c r="H60" s="91"/>
      <c r="I60" s="91">
        <v>0</v>
      </c>
      <c r="J60" s="91" t="s">
        <v>889</v>
      </c>
      <c r="K60" s="91" t="s">
        <v>890</v>
      </c>
      <c r="L60" s="91">
        <v>3000</v>
      </c>
      <c r="M60" s="91"/>
      <c r="N60" s="92" t="str">
        <f t="shared" si="4"/>
        <v>Shield(Defense, 3000)</v>
      </c>
      <c r="O60" s="93">
        <v>0</v>
      </c>
      <c r="P60" s="93">
        <v>0</v>
      </c>
      <c r="Q60" s="93"/>
      <c r="R60" s="93" t="b">
        <v>1</v>
      </c>
    </row>
    <row r="61" spans="1:18" s="154" customFormat="1">
      <c r="A61" s="89" t="s">
        <v>7290</v>
      </c>
      <c r="B61" s="90"/>
      <c r="C61" s="90"/>
      <c r="D61" s="90">
        <v>0</v>
      </c>
      <c r="E61" s="90">
        <v>1</v>
      </c>
      <c r="F61" s="91" t="s">
        <v>197</v>
      </c>
      <c r="G61" s="91" t="s">
        <v>198</v>
      </c>
      <c r="H61" s="91"/>
      <c r="I61" s="91">
        <v>0</v>
      </c>
      <c r="J61" s="91" t="s">
        <v>889</v>
      </c>
      <c r="K61" s="91" t="s">
        <v>6259</v>
      </c>
      <c r="L61" s="91">
        <v>3000</v>
      </c>
      <c r="M61" s="91"/>
      <c r="N61" s="92" t="str">
        <f t="shared" si="4"/>
        <v>Shield(Defense, 3000)</v>
      </c>
      <c r="O61" s="93">
        <v>0</v>
      </c>
      <c r="P61" s="93">
        <v>0</v>
      </c>
      <c r="Q61" s="93"/>
      <c r="R61" s="93" t="b">
        <v>1</v>
      </c>
    </row>
    <row r="62" spans="1:18" s="164" customFormat="1">
      <c r="A62" s="100" t="s">
        <v>6401</v>
      </c>
      <c r="B62" s="101"/>
      <c r="C62" s="101"/>
      <c r="D62" s="101">
        <v>0</v>
      </c>
      <c r="E62" s="101">
        <v>1</v>
      </c>
      <c r="F62" s="102" t="s">
        <v>197</v>
      </c>
      <c r="G62" s="102" t="s">
        <v>198</v>
      </c>
      <c r="H62" s="102"/>
      <c r="I62" s="102">
        <v>0</v>
      </c>
      <c r="J62" s="102" t="s">
        <v>889</v>
      </c>
      <c r="K62" s="102" t="s">
        <v>890</v>
      </c>
      <c r="L62" s="102">
        <v>3250</v>
      </c>
      <c r="M62" s="102"/>
      <c r="N62" s="103" t="str">
        <f t="shared" ref="N62:N67" si="5">J62&amp;"("&amp;IF(K62="","",K62)&amp;IF(L62="","",", "&amp;L62)&amp;IF(M62="","",", "&amp;M62)&amp;")"</f>
        <v>Shield(Defense, 3250)</v>
      </c>
      <c r="O62" s="104">
        <v>0</v>
      </c>
      <c r="P62" s="104">
        <v>0</v>
      </c>
      <c r="Q62" s="104"/>
      <c r="R62" s="104" t="b">
        <v>1</v>
      </c>
    </row>
    <row r="63" spans="1:18" s="164" customFormat="1">
      <c r="A63" s="100" t="s">
        <v>6396</v>
      </c>
      <c r="B63" s="101"/>
      <c r="C63" s="101"/>
      <c r="D63" s="101">
        <v>0</v>
      </c>
      <c r="E63" s="101">
        <v>1</v>
      </c>
      <c r="F63" s="102" t="s">
        <v>197</v>
      </c>
      <c r="G63" s="102" t="s">
        <v>198</v>
      </c>
      <c r="H63" s="102"/>
      <c r="I63" s="102">
        <v>0</v>
      </c>
      <c r="J63" s="102" t="s">
        <v>889</v>
      </c>
      <c r="K63" s="102" t="s">
        <v>890</v>
      </c>
      <c r="L63" s="102">
        <v>3850</v>
      </c>
      <c r="M63" s="102"/>
      <c r="N63" s="103" t="str">
        <f t="shared" si="5"/>
        <v>Shield(Defense, 3850)</v>
      </c>
      <c r="O63" s="104">
        <v>0</v>
      </c>
      <c r="P63" s="104">
        <v>0</v>
      </c>
      <c r="Q63" s="104"/>
      <c r="R63" s="104" t="b">
        <v>1</v>
      </c>
    </row>
    <row r="64" spans="1:18" s="164" customFormat="1">
      <c r="A64" s="100" t="s">
        <v>6397</v>
      </c>
      <c r="B64" s="101"/>
      <c r="C64" s="101"/>
      <c r="D64" s="101">
        <v>0</v>
      </c>
      <c r="E64" s="101">
        <v>1</v>
      </c>
      <c r="F64" s="102" t="s">
        <v>197</v>
      </c>
      <c r="G64" s="102" t="s">
        <v>198</v>
      </c>
      <c r="H64" s="102"/>
      <c r="I64" s="102">
        <v>0</v>
      </c>
      <c r="J64" s="102" t="s">
        <v>889</v>
      </c>
      <c r="K64" s="102" t="s">
        <v>890</v>
      </c>
      <c r="L64" s="102">
        <v>4500</v>
      </c>
      <c r="M64" s="102"/>
      <c r="N64" s="103" t="str">
        <f t="shared" si="5"/>
        <v>Shield(Defense, 4500)</v>
      </c>
      <c r="O64" s="104">
        <v>0</v>
      </c>
      <c r="P64" s="104">
        <v>0</v>
      </c>
      <c r="Q64" s="104"/>
      <c r="R64" s="104" t="b">
        <v>1</v>
      </c>
    </row>
    <row r="65" spans="1:18" s="164" customFormat="1">
      <c r="A65" s="100" t="s">
        <v>6398</v>
      </c>
      <c r="B65" s="101"/>
      <c r="C65" s="101"/>
      <c r="D65" s="101">
        <v>0</v>
      </c>
      <c r="E65" s="101">
        <v>1</v>
      </c>
      <c r="F65" s="102" t="s">
        <v>197</v>
      </c>
      <c r="G65" s="102" t="s">
        <v>198</v>
      </c>
      <c r="H65" s="102"/>
      <c r="I65" s="102">
        <v>0</v>
      </c>
      <c r="J65" s="102" t="s">
        <v>889</v>
      </c>
      <c r="K65" s="102" t="s">
        <v>890</v>
      </c>
      <c r="L65" s="102">
        <v>5200</v>
      </c>
      <c r="M65" s="102"/>
      <c r="N65" s="103" t="str">
        <f t="shared" si="5"/>
        <v>Shield(Defense, 5200)</v>
      </c>
      <c r="O65" s="104">
        <v>0</v>
      </c>
      <c r="P65" s="104">
        <v>0</v>
      </c>
      <c r="Q65" s="104"/>
      <c r="R65" s="104" t="b">
        <v>1</v>
      </c>
    </row>
    <row r="66" spans="1:18" s="164" customFormat="1">
      <c r="A66" s="100" t="s">
        <v>6399</v>
      </c>
      <c r="B66" s="101"/>
      <c r="C66" s="101"/>
      <c r="D66" s="101">
        <v>0</v>
      </c>
      <c r="E66" s="101">
        <v>1</v>
      </c>
      <c r="F66" s="102" t="s">
        <v>197</v>
      </c>
      <c r="G66" s="102" t="s">
        <v>198</v>
      </c>
      <c r="H66" s="102"/>
      <c r="I66" s="102">
        <v>0</v>
      </c>
      <c r="J66" s="102" t="s">
        <v>889</v>
      </c>
      <c r="K66" s="102" t="s">
        <v>890</v>
      </c>
      <c r="L66" s="102">
        <v>4400</v>
      </c>
      <c r="M66" s="102"/>
      <c r="N66" s="103" t="str">
        <f t="shared" si="5"/>
        <v>Shield(Defense, 4400)</v>
      </c>
      <c r="O66" s="104">
        <v>0</v>
      </c>
      <c r="P66" s="104">
        <v>0</v>
      </c>
      <c r="Q66" s="104"/>
      <c r="R66" s="104" t="b">
        <v>1</v>
      </c>
    </row>
    <row r="67" spans="1:18" s="164" customFormat="1">
      <c r="A67" s="100" t="s">
        <v>6400</v>
      </c>
      <c r="B67" s="101"/>
      <c r="C67" s="101"/>
      <c r="D67" s="101">
        <v>0</v>
      </c>
      <c r="E67" s="101">
        <v>1</v>
      </c>
      <c r="F67" s="102" t="s">
        <v>197</v>
      </c>
      <c r="G67" s="102" t="s">
        <v>198</v>
      </c>
      <c r="H67" s="102"/>
      <c r="I67" s="102">
        <v>0</v>
      </c>
      <c r="J67" s="102" t="s">
        <v>889</v>
      </c>
      <c r="K67" s="102" t="s">
        <v>890</v>
      </c>
      <c r="L67" s="102">
        <v>4400</v>
      </c>
      <c r="M67" s="102"/>
      <c r="N67" s="103" t="str">
        <f t="shared" si="5"/>
        <v>Shield(Defense, 4400)</v>
      </c>
      <c r="O67" s="104">
        <v>0</v>
      </c>
      <c r="P67" s="104">
        <v>0</v>
      </c>
      <c r="Q67" s="104"/>
      <c r="R67" s="104" t="b">
        <v>1</v>
      </c>
    </row>
    <row r="68" spans="1:18" s="179" customFormat="1">
      <c r="A68" s="180" t="s">
        <v>7255</v>
      </c>
      <c r="B68" s="181"/>
      <c r="C68" s="181"/>
      <c r="D68" s="181">
        <v>0</v>
      </c>
      <c r="E68" s="181">
        <v>1</v>
      </c>
      <c r="F68" s="182" t="s">
        <v>197</v>
      </c>
      <c r="G68" s="182" t="s">
        <v>198</v>
      </c>
      <c r="H68" s="182"/>
      <c r="I68" s="182">
        <v>0</v>
      </c>
      <c r="J68" s="182" t="s">
        <v>889</v>
      </c>
      <c r="K68" s="182" t="s">
        <v>890</v>
      </c>
      <c r="L68" s="182">
        <v>2500</v>
      </c>
      <c r="M68" s="182"/>
      <c r="N68" s="183" t="str">
        <f t="shared" ref="N68:N73" si="6">J68&amp;"("&amp;IF(K68="","",K68)&amp;IF(L68="","",", "&amp;L68)&amp;IF(M68="","",", "&amp;M68)&amp;")"</f>
        <v>Shield(Defense, 2500)</v>
      </c>
      <c r="O68" s="184">
        <v>0</v>
      </c>
      <c r="P68" s="184">
        <v>0</v>
      </c>
      <c r="Q68" s="184"/>
      <c r="R68" s="184" t="b">
        <v>1</v>
      </c>
    </row>
    <row r="69" spans="1:18" s="179" customFormat="1">
      <c r="A69" s="180" t="s">
        <v>7256</v>
      </c>
      <c r="B69" s="181"/>
      <c r="C69" s="181"/>
      <c r="D69" s="181">
        <v>0</v>
      </c>
      <c r="E69" s="181">
        <v>1</v>
      </c>
      <c r="F69" s="182" t="s">
        <v>197</v>
      </c>
      <c r="G69" s="182" t="s">
        <v>198</v>
      </c>
      <c r="H69" s="182"/>
      <c r="I69" s="182">
        <v>0</v>
      </c>
      <c r="J69" s="182" t="s">
        <v>889</v>
      </c>
      <c r="K69" s="182" t="s">
        <v>890</v>
      </c>
      <c r="L69" s="182">
        <v>2750</v>
      </c>
      <c r="M69" s="182"/>
      <c r="N69" s="183" t="str">
        <f t="shared" si="6"/>
        <v>Shield(Defense, 2750)</v>
      </c>
      <c r="O69" s="184">
        <v>0</v>
      </c>
      <c r="P69" s="184">
        <v>0</v>
      </c>
      <c r="Q69" s="184"/>
      <c r="R69" s="184" t="b">
        <v>1</v>
      </c>
    </row>
    <row r="70" spans="1:18" s="179" customFormat="1">
      <c r="A70" s="180" t="s">
        <v>7257</v>
      </c>
      <c r="B70" s="181"/>
      <c r="C70" s="181"/>
      <c r="D70" s="181">
        <v>0</v>
      </c>
      <c r="E70" s="181">
        <v>1</v>
      </c>
      <c r="F70" s="182" t="s">
        <v>197</v>
      </c>
      <c r="G70" s="182" t="s">
        <v>198</v>
      </c>
      <c r="H70" s="182"/>
      <c r="I70" s="182">
        <v>0</v>
      </c>
      <c r="J70" s="182" t="s">
        <v>889</v>
      </c>
      <c r="K70" s="182" t="s">
        <v>890</v>
      </c>
      <c r="L70" s="182">
        <v>3000</v>
      </c>
      <c r="M70" s="182"/>
      <c r="N70" s="183" t="str">
        <f t="shared" si="6"/>
        <v>Shield(Defense, 3000)</v>
      </c>
      <c r="O70" s="184">
        <v>0</v>
      </c>
      <c r="P70" s="184">
        <v>0</v>
      </c>
      <c r="Q70" s="184"/>
      <c r="R70" s="184" t="b">
        <v>1</v>
      </c>
    </row>
    <row r="71" spans="1:18" s="179" customFormat="1">
      <c r="A71" s="180" t="s">
        <v>7258</v>
      </c>
      <c r="B71" s="181"/>
      <c r="C71" s="181"/>
      <c r="D71" s="181">
        <v>0</v>
      </c>
      <c r="E71" s="181">
        <v>1</v>
      </c>
      <c r="F71" s="182" t="s">
        <v>197</v>
      </c>
      <c r="G71" s="182" t="s">
        <v>198</v>
      </c>
      <c r="H71" s="182"/>
      <c r="I71" s="182">
        <v>0</v>
      </c>
      <c r="J71" s="182" t="s">
        <v>889</v>
      </c>
      <c r="K71" s="182" t="s">
        <v>890</v>
      </c>
      <c r="L71" s="182">
        <v>3250</v>
      </c>
      <c r="M71" s="182"/>
      <c r="N71" s="183" t="str">
        <f t="shared" si="6"/>
        <v>Shield(Defense, 3250)</v>
      </c>
      <c r="O71" s="184">
        <v>0</v>
      </c>
      <c r="P71" s="184">
        <v>0</v>
      </c>
      <c r="Q71" s="184"/>
      <c r="R71" s="184" t="b">
        <v>1</v>
      </c>
    </row>
    <row r="72" spans="1:18" s="179" customFormat="1">
      <c r="A72" s="180" t="s">
        <v>7259</v>
      </c>
      <c r="B72" s="181"/>
      <c r="C72" s="181"/>
      <c r="D72" s="181">
        <v>0</v>
      </c>
      <c r="E72" s="181">
        <v>1</v>
      </c>
      <c r="F72" s="182" t="s">
        <v>197</v>
      </c>
      <c r="G72" s="182" t="s">
        <v>198</v>
      </c>
      <c r="H72" s="182"/>
      <c r="I72" s="182">
        <v>0</v>
      </c>
      <c r="J72" s="182" t="s">
        <v>889</v>
      </c>
      <c r="K72" s="182" t="s">
        <v>890</v>
      </c>
      <c r="L72" s="182">
        <v>2750</v>
      </c>
      <c r="M72" s="182"/>
      <c r="N72" s="183" t="str">
        <f t="shared" si="6"/>
        <v>Shield(Defense, 2750)</v>
      </c>
      <c r="O72" s="184">
        <v>0</v>
      </c>
      <c r="P72" s="184">
        <v>0</v>
      </c>
      <c r="Q72" s="184"/>
      <c r="R72" s="184" t="b">
        <v>1</v>
      </c>
    </row>
    <row r="73" spans="1:18" s="179" customFormat="1">
      <c r="A73" s="180" t="s">
        <v>7260</v>
      </c>
      <c r="B73" s="181"/>
      <c r="C73" s="181"/>
      <c r="D73" s="181">
        <v>0</v>
      </c>
      <c r="E73" s="181">
        <v>1</v>
      </c>
      <c r="F73" s="182" t="s">
        <v>197</v>
      </c>
      <c r="G73" s="182" t="s">
        <v>198</v>
      </c>
      <c r="H73" s="182"/>
      <c r="I73" s="182">
        <v>0</v>
      </c>
      <c r="J73" s="182" t="s">
        <v>889</v>
      </c>
      <c r="K73" s="182" t="s">
        <v>890</v>
      </c>
      <c r="L73" s="182">
        <v>2750</v>
      </c>
      <c r="M73" s="182"/>
      <c r="N73" s="183" t="str">
        <f t="shared" si="6"/>
        <v>Shield(Defense, 2750)</v>
      </c>
      <c r="O73" s="184">
        <v>0</v>
      </c>
      <c r="P73" s="184">
        <v>0</v>
      </c>
      <c r="Q73" s="184"/>
      <c r="R73" s="184" t="b">
        <v>1</v>
      </c>
    </row>
    <row r="74" spans="1:18" s="154" customFormat="1">
      <c r="A74" s="89" t="s">
        <v>6439</v>
      </c>
      <c r="B74" s="90"/>
      <c r="C74" s="90"/>
      <c r="D74" s="90">
        <v>0</v>
      </c>
      <c r="E74" s="90">
        <v>1</v>
      </c>
      <c r="F74" s="91" t="s">
        <v>3728</v>
      </c>
      <c r="G74" s="91" t="s">
        <v>1147</v>
      </c>
      <c r="H74" s="91">
        <v>0</v>
      </c>
      <c r="I74" s="91">
        <v>0</v>
      </c>
      <c r="J74" s="91" t="s">
        <v>1912</v>
      </c>
      <c r="K74" s="91" t="s">
        <v>6260</v>
      </c>
      <c r="L74" s="91"/>
      <c r="M74" s="91"/>
      <c r="N74" s="92" t="str">
        <f t="shared" ref="N74" si="7">J74&amp;"("&amp;IF(K74="","",K74)&amp;IF(L74="","",", "&amp;L74)&amp;IF(M74="","",", "&amp;M74)&amp;")"</f>
        <v>Passive(itus.passive.op.buff.01.01)</v>
      </c>
      <c r="O74" s="93">
        <v>0</v>
      </c>
      <c r="P74" s="93">
        <v>1000</v>
      </c>
      <c r="Q74" s="93"/>
      <c r="R74" s="104" t="b">
        <v>1</v>
      </c>
    </row>
    <row r="75" spans="1:18" s="154" customFormat="1">
      <c r="A75" s="89" t="s">
        <v>1209</v>
      </c>
      <c r="B75" s="90"/>
      <c r="C75" s="90"/>
      <c r="D75" s="90">
        <v>0</v>
      </c>
      <c r="E75" s="90">
        <v>1</v>
      </c>
      <c r="F75" s="91" t="s">
        <v>3728</v>
      </c>
      <c r="G75" s="91" t="s">
        <v>1147</v>
      </c>
      <c r="H75" s="91">
        <v>15</v>
      </c>
      <c r="I75" s="91">
        <v>0</v>
      </c>
      <c r="J75" s="91" t="s">
        <v>1912</v>
      </c>
      <c r="K75" s="91" t="s">
        <v>6260</v>
      </c>
      <c r="L75" s="91"/>
      <c r="M75" s="91"/>
      <c r="N75" s="92" t="str">
        <f t="shared" si="1"/>
        <v>Passive(itus.passive.op.buff.01.01)</v>
      </c>
      <c r="O75" s="93">
        <v>0</v>
      </c>
      <c r="P75" s="93">
        <v>1000</v>
      </c>
      <c r="Q75" s="93"/>
      <c r="R75" s="104" t="b">
        <v>1</v>
      </c>
    </row>
    <row r="76" spans="1:18" s="154" customFormat="1">
      <c r="A76" s="89" t="s">
        <v>1211</v>
      </c>
      <c r="B76" s="90"/>
      <c r="C76" s="90"/>
      <c r="D76" s="90">
        <v>0</v>
      </c>
      <c r="E76" s="90">
        <v>1</v>
      </c>
      <c r="F76" s="91" t="s">
        <v>2157</v>
      </c>
      <c r="G76" s="91" t="s">
        <v>1147</v>
      </c>
      <c r="H76" s="91">
        <v>15</v>
      </c>
      <c r="I76" s="91">
        <v>0</v>
      </c>
      <c r="J76" s="91" t="s">
        <v>1254</v>
      </c>
      <c r="K76" s="91" t="s">
        <v>6212</v>
      </c>
      <c r="L76" s="91"/>
      <c r="M76" s="91"/>
      <c r="N76" s="92" t="str">
        <f t="shared" si="1"/>
        <v>Passive(itus.passive.op.buff.01.02)</v>
      </c>
      <c r="O76" s="93">
        <v>0</v>
      </c>
      <c r="P76" s="93">
        <v>1000</v>
      </c>
      <c r="Q76" s="93"/>
      <c r="R76" s="104" t="b">
        <v>1</v>
      </c>
    </row>
    <row r="77" spans="1:18" s="154" customFormat="1">
      <c r="A77" s="89" t="s">
        <v>1213</v>
      </c>
      <c r="B77" s="90"/>
      <c r="C77" s="90"/>
      <c r="D77" s="90">
        <v>0</v>
      </c>
      <c r="E77" s="90">
        <v>1</v>
      </c>
      <c r="F77" s="91" t="s">
        <v>2157</v>
      </c>
      <c r="G77" s="91" t="s">
        <v>1147</v>
      </c>
      <c r="H77" s="91">
        <v>15</v>
      </c>
      <c r="I77" s="91">
        <v>0</v>
      </c>
      <c r="J77" s="91" t="s">
        <v>1254</v>
      </c>
      <c r="K77" s="91" t="s">
        <v>6213</v>
      </c>
      <c r="L77" s="91"/>
      <c r="M77" s="91"/>
      <c r="N77" s="92" t="str">
        <f t="shared" si="1"/>
        <v>Passive(itus.passive.op.buff.01.03)</v>
      </c>
      <c r="O77" s="93">
        <v>0</v>
      </c>
      <c r="P77" s="93">
        <v>1000</v>
      </c>
      <c r="Q77" s="93"/>
      <c r="R77" s="104" t="b">
        <v>1</v>
      </c>
    </row>
    <row r="78" spans="1:18" s="154" customFormat="1">
      <c r="A78" s="89" t="s">
        <v>1215</v>
      </c>
      <c r="B78" s="90"/>
      <c r="C78" s="90"/>
      <c r="D78" s="90">
        <v>0</v>
      </c>
      <c r="E78" s="90">
        <v>1</v>
      </c>
      <c r="F78" s="91" t="s">
        <v>2157</v>
      </c>
      <c r="G78" s="91" t="s">
        <v>1147</v>
      </c>
      <c r="H78" s="91">
        <v>15</v>
      </c>
      <c r="I78" s="91">
        <v>0</v>
      </c>
      <c r="J78" s="91" t="s">
        <v>1254</v>
      </c>
      <c r="K78" s="91" t="s">
        <v>6214</v>
      </c>
      <c r="L78" s="91"/>
      <c r="M78" s="91"/>
      <c r="N78" s="92" t="str">
        <f t="shared" si="1"/>
        <v>Passive(itus.passive.op.buff.01.04)</v>
      </c>
      <c r="O78" s="93">
        <v>0</v>
      </c>
      <c r="P78" s="93">
        <v>1000</v>
      </c>
      <c r="Q78" s="93"/>
      <c r="R78" s="104" t="b">
        <v>1</v>
      </c>
    </row>
    <row r="79" spans="1:18" s="154" customFormat="1">
      <c r="A79" s="89" t="s">
        <v>1217</v>
      </c>
      <c r="B79" s="90"/>
      <c r="C79" s="90"/>
      <c r="D79" s="90">
        <v>0</v>
      </c>
      <c r="E79" s="90">
        <v>1</v>
      </c>
      <c r="F79" s="91" t="s">
        <v>2157</v>
      </c>
      <c r="G79" s="91" t="s">
        <v>1147</v>
      </c>
      <c r="H79" s="91">
        <v>15</v>
      </c>
      <c r="I79" s="91">
        <v>0</v>
      </c>
      <c r="J79" s="91" t="s">
        <v>1254</v>
      </c>
      <c r="K79" s="91" t="s">
        <v>6215</v>
      </c>
      <c r="L79" s="91"/>
      <c r="M79" s="91"/>
      <c r="N79" s="92" t="str">
        <f t="shared" si="1"/>
        <v>Passive(itus.passive.op.buff.01.05)</v>
      </c>
      <c r="O79" s="93">
        <v>0</v>
      </c>
      <c r="P79" s="93">
        <v>1000</v>
      </c>
      <c r="Q79" s="93"/>
      <c r="R79" s="104" t="b">
        <v>1</v>
      </c>
    </row>
    <row r="80" spans="1:18" s="154" customFormat="1">
      <c r="A80" s="89" t="s">
        <v>1219</v>
      </c>
      <c r="B80" s="90"/>
      <c r="C80" s="90"/>
      <c r="D80" s="90">
        <v>0</v>
      </c>
      <c r="E80" s="90">
        <v>1</v>
      </c>
      <c r="F80" s="91" t="s">
        <v>2157</v>
      </c>
      <c r="G80" s="91" t="s">
        <v>1147</v>
      </c>
      <c r="H80" s="91">
        <v>15</v>
      </c>
      <c r="I80" s="91">
        <v>0</v>
      </c>
      <c r="J80" s="91" t="s">
        <v>1254</v>
      </c>
      <c r="K80" s="91" t="s">
        <v>6216</v>
      </c>
      <c r="L80" s="91"/>
      <c r="M80" s="91"/>
      <c r="N80" s="92" t="str">
        <f t="shared" si="1"/>
        <v>Passive(itus.passive.op.buff.01.06)</v>
      </c>
      <c r="O80" s="93">
        <v>0</v>
      </c>
      <c r="P80" s="93">
        <v>1000</v>
      </c>
      <c r="Q80" s="93"/>
      <c r="R80" s="104" t="b">
        <v>1</v>
      </c>
    </row>
    <row r="81" spans="1:18" s="164" customFormat="1">
      <c r="A81" s="100" t="s">
        <v>1210</v>
      </c>
      <c r="B81" s="101"/>
      <c r="C81" s="101"/>
      <c r="D81" s="101">
        <v>0</v>
      </c>
      <c r="E81" s="101">
        <v>1</v>
      </c>
      <c r="F81" s="102" t="s">
        <v>2157</v>
      </c>
      <c r="G81" s="102" t="s">
        <v>1147</v>
      </c>
      <c r="H81" s="102">
        <v>30</v>
      </c>
      <c r="I81" s="102">
        <v>0</v>
      </c>
      <c r="J81" s="102" t="s">
        <v>1254</v>
      </c>
      <c r="K81" s="53" t="s">
        <v>6211</v>
      </c>
      <c r="L81" s="102"/>
      <c r="M81" s="102"/>
      <c r="N81" s="103" t="str">
        <f t="shared" si="1"/>
        <v>Passive(itus.passive.op.buff.01.01)</v>
      </c>
      <c r="O81" s="104">
        <v>0</v>
      </c>
      <c r="P81" s="104">
        <v>1000</v>
      </c>
      <c r="Q81" s="104"/>
      <c r="R81" s="104" t="b">
        <v>1</v>
      </c>
    </row>
    <row r="82" spans="1:18" s="164" customFormat="1">
      <c r="A82" s="100" t="s">
        <v>1212</v>
      </c>
      <c r="B82" s="101"/>
      <c r="C82" s="101"/>
      <c r="D82" s="101">
        <v>0</v>
      </c>
      <c r="E82" s="101">
        <v>1</v>
      </c>
      <c r="F82" s="102" t="s">
        <v>2157</v>
      </c>
      <c r="G82" s="102" t="s">
        <v>1147</v>
      </c>
      <c r="H82" s="102">
        <v>30</v>
      </c>
      <c r="I82" s="102">
        <v>0</v>
      </c>
      <c r="J82" s="102" t="s">
        <v>1254</v>
      </c>
      <c r="K82" s="53" t="s">
        <v>6212</v>
      </c>
      <c r="L82" s="102"/>
      <c r="M82" s="102"/>
      <c r="N82" s="103" t="str">
        <f t="shared" si="1"/>
        <v>Passive(itus.passive.op.buff.01.02)</v>
      </c>
      <c r="O82" s="104">
        <v>0</v>
      </c>
      <c r="P82" s="104">
        <v>1000</v>
      </c>
      <c r="Q82" s="104"/>
      <c r="R82" s="104" t="b">
        <v>1</v>
      </c>
    </row>
    <row r="83" spans="1:18" s="164" customFormat="1">
      <c r="A83" s="100" t="s">
        <v>1214</v>
      </c>
      <c r="B83" s="101"/>
      <c r="C83" s="101"/>
      <c r="D83" s="101">
        <v>0</v>
      </c>
      <c r="E83" s="101">
        <v>1</v>
      </c>
      <c r="F83" s="102" t="s">
        <v>2157</v>
      </c>
      <c r="G83" s="102" t="s">
        <v>1147</v>
      </c>
      <c r="H83" s="102">
        <v>30</v>
      </c>
      <c r="I83" s="102">
        <v>0</v>
      </c>
      <c r="J83" s="102" t="s">
        <v>1254</v>
      </c>
      <c r="K83" s="53" t="s">
        <v>6213</v>
      </c>
      <c r="L83" s="102"/>
      <c r="M83" s="102"/>
      <c r="N83" s="103" t="str">
        <f t="shared" si="1"/>
        <v>Passive(itus.passive.op.buff.01.03)</v>
      </c>
      <c r="O83" s="104">
        <v>0</v>
      </c>
      <c r="P83" s="104">
        <v>1000</v>
      </c>
      <c r="Q83" s="104"/>
      <c r="R83" s="104" t="b">
        <v>1</v>
      </c>
    </row>
    <row r="84" spans="1:18" s="164" customFormat="1">
      <c r="A84" s="100" t="s">
        <v>1216</v>
      </c>
      <c r="B84" s="101"/>
      <c r="C84" s="101"/>
      <c r="D84" s="101">
        <v>0</v>
      </c>
      <c r="E84" s="101">
        <v>1</v>
      </c>
      <c r="F84" s="102" t="s">
        <v>2157</v>
      </c>
      <c r="G84" s="102" t="s">
        <v>1147</v>
      </c>
      <c r="H84" s="102">
        <v>30</v>
      </c>
      <c r="I84" s="102">
        <v>0</v>
      </c>
      <c r="J84" s="102" t="s">
        <v>1254</v>
      </c>
      <c r="K84" s="53" t="s">
        <v>6214</v>
      </c>
      <c r="L84" s="102"/>
      <c r="M84" s="102"/>
      <c r="N84" s="103" t="str">
        <f t="shared" si="1"/>
        <v>Passive(itus.passive.op.buff.01.04)</v>
      </c>
      <c r="O84" s="104">
        <v>0</v>
      </c>
      <c r="P84" s="104">
        <v>1000</v>
      </c>
      <c r="Q84" s="104"/>
      <c r="R84" s="104" t="b">
        <v>1</v>
      </c>
    </row>
    <row r="85" spans="1:18" s="164" customFormat="1">
      <c r="A85" s="100" t="s">
        <v>1218</v>
      </c>
      <c r="B85" s="101"/>
      <c r="C85" s="101"/>
      <c r="D85" s="101">
        <v>0</v>
      </c>
      <c r="E85" s="101">
        <v>1</v>
      </c>
      <c r="F85" s="102" t="s">
        <v>2157</v>
      </c>
      <c r="G85" s="102" t="s">
        <v>1147</v>
      </c>
      <c r="H85" s="102">
        <v>30</v>
      </c>
      <c r="I85" s="102">
        <v>0</v>
      </c>
      <c r="J85" s="102" t="s">
        <v>1254</v>
      </c>
      <c r="K85" s="53" t="s">
        <v>6215</v>
      </c>
      <c r="L85" s="102"/>
      <c r="M85" s="102"/>
      <c r="N85" s="103" t="str">
        <f t="shared" si="1"/>
        <v>Passive(itus.passive.op.buff.01.05)</v>
      </c>
      <c r="O85" s="104">
        <v>0</v>
      </c>
      <c r="P85" s="104">
        <v>1000</v>
      </c>
      <c r="Q85" s="104"/>
      <c r="R85" s="104" t="b">
        <v>1</v>
      </c>
    </row>
    <row r="86" spans="1:18" s="164" customFormat="1">
      <c r="A86" s="100" t="s">
        <v>1220</v>
      </c>
      <c r="B86" s="101"/>
      <c r="C86" s="101"/>
      <c r="D86" s="101">
        <v>0</v>
      </c>
      <c r="E86" s="101">
        <v>1</v>
      </c>
      <c r="F86" s="102" t="s">
        <v>2157</v>
      </c>
      <c r="G86" s="102" t="s">
        <v>1147</v>
      </c>
      <c r="H86" s="102">
        <v>30</v>
      </c>
      <c r="I86" s="102">
        <v>0</v>
      </c>
      <c r="J86" s="102" t="s">
        <v>1254</v>
      </c>
      <c r="K86" s="53" t="s">
        <v>6216</v>
      </c>
      <c r="L86" s="102"/>
      <c r="M86" s="102"/>
      <c r="N86" s="103" t="str">
        <f t="shared" si="1"/>
        <v>Passive(itus.passive.op.buff.01.06)</v>
      </c>
      <c r="O86" s="104">
        <v>0</v>
      </c>
      <c r="P86" s="104">
        <v>1000</v>
      </c>
      <c r="Q86" s="104"/>
      <c r="R86" s="104" t="b">
        <v>1</v>
      </c>
    </row>
    <row r="87" spans="1:18" s="179" customFormat="1">
      <c r="A87" s="180" t="s">
        <v>6261</v>
      </c>
      <c r="B87" s="181"/>
      <c r="C87" s="181"/>
      <c r="D87" s="181">
        <v>0</v>
      </c>
      <c r="E87" s="181">
        <v>1</v>
      </c>
      <c r="F87" s="182" t="s">
        <v>2157</v>
      </c>
      <c r="G87" s="182" t="s">
        <v>1147</v>
      </c>
      <c r="H87" s="182">
        <v>40</v>
      </c>
      <c r="I87" s="182">
        <v>0</v>
      </c>
      <c r="J87" s="182" t="s">
        <v>1254</v>
      </c>
      <c r="K87" s="182" t="s">
        <v>6260</v>
      </c>
      <c r="L87" s="182"/>
      <c r="M87" s="182"/>
      <c r="N87" s="183" t="str">
        <f t="shared" si="1"/>
        <v>Passive(itus.passive.op.buff.01.01)</v>
      </c>
      <c r="O87" s="184">
        <v>0</v>
      </c>
      <c r="P87" s="184">
        <v>1000</v>
      </c>
      <c r="Q87" s="184"/>
      <c r="R87" s="104" t="b">
        <v>1</v>
      </c>
    </row>
    <row r="88" spans="1:18" s="179" customFormat="1">
      <c r="A88" s="180" t="s">
        <v>6262</v>
      </c>
      <c r="B88" s="181"/>
      <c r="C88" s="181"/>
      <c r="D88" s="181">
        <v>0</v>
      </c>
      <c r="E88" s="181">
        <v>1</v>
      </c>
      <c r="F88" s="182" t="s">
        <v>2157</v>
      </c>
      <c r="G88" s="182" t="s">
        <v>1147</v>
      </c>
      <c r="H88" s="182">
        <v>40</v>
      </c>
      <c r="I88" s="182">
        <v>0</v>
      </c>
      <c r="J88" s="182" t="s">
        <v>1254</v>
      </c>
      <c r="K88" s="182" t="s">
        <v>6212</v>
      </c>
      <c r="L88" s="182"/>
      <c r="M88" s="182"/>
      <c r="N88" s="183" t="str">
        <f t="shared" si="1"/>
        <v>Passive(itus.passive.op.buff.01.02)</v>
      </c>
      <c r="O88" s="184">
        <v>0</v>
      </c>
      <c r="P88" s="184">
        <v>1000</v>
      </c>
      <c r="Q88" s="184"/>
      <c r="R88" s="104" t="b">
        <v>1</v>
      </c>
    </row>
    <row r="89" spans="1:18" s="179" customFormat="1">
      <c r="A89" s="180" t="s">
        <v>6263</v>
      </c>
      <c r="B89" s="181"/>
      <c r="C89" s="181"/>
      <c r="D89" s="181">
        <v>0</v>
      </c>
      <c r="E89" s="181">
        <v>1</v>
      </c>
      <c r="F89" s="182" t="s">
        <v>2157</v>
      </c>
      <c r="G89" s="182" t="s">
        <v>1147</v>
      </c>
      <c r="H89" s="182">
        <v>40</v>
      </c>
      <c r="I89" s="182">
        <v>0</v>
      </c>
      <c r="J89" s="182" t="s">
        <v>1254</v>
      </c>
      <c r="K89" s="182" t="s">
        <v>6213</v>
      </c>
      <c r="L89" s="182"/>
      <c r="M89" s="182"/>
      <c r="N89" s="183" t="str">
        <f t="shared" si="1"/>
        <v>Passive(itus.passive.op.buff.01.03)</v>
      </c>
      <c r="O89" s="184">
        <v>0</v>
      </c>
      <c r="P89" s="184">
        <v>1000</v>
      </c>
      <c r="Q89" s="184"/>
      <c r="R89" s="104" t="b">
        <v>1</v>
      </c>
    </row>
    <row r="90" spans="1:18" s="179" customFormat="1">
      <c r="A90" s="180" t="s">
        <v>6264</v>
      </c>
      <c r="B90" s="181"/>
      <c r="C90" s="181"/>
      <c r="D90" s="181">
        <v>0</v>
      </c>
      <c r="E90" s="181">
        <v>1</v>
      </c>
      <c r="F90" s="182" t="s">
        <v>2157</v>
      </c>
      <c r="G90" s="182" t="s">
        <v>1147</v>
      </c>
      <c r="H90" s="182">
        <v>40</v>
      </c>
      <c r="I90" s="182">
        <v>0</v>
      </c>
      <c r="J90" s="182" t="s">
        <v>1254</v>
      </c>
      <c r="K90" s="182" t="s">
        <v>6214</v>
      </c>
      <c r="L90" s="182"/>
      <c r="M90" s="182"/>
      <c r="N90" s="183" t="str">
        <f t="shared" si="1"/>
        <v>Passive(itus.passive.op.buff.01.04)</v>
      </c>
      <c r="O90" s="184">
        <v>0</v>
      </c>
      <c r="P90" s="184">
        <v>1000</v>
      </c>
      <c r="Q90" s="184"/>
      <c r="R90" s="104" t="b">
        <v>1</v>
      </c>
    </row>
    <row r="91" spans="1:18" s="179" customFormat="1">
      <c r="A91" s="180" t="s">
        <v>6265</v>
      </c>
      <c r="B91" s="181"/>
      <c r="C91" s="181"/>
      <c r="D91" s="181">
        <v>0</v>
      </c>
      <c r="E91" s="181">
        <v>1</v>
      </c>
      <c r="F91" s="182" t="s">
        <v>2157</v>
      </c>
      <c r="G91" s="182" t="s">
        <v>1147</v>
      </c>
      <c r="H91" s="182">
        <v>40</v>
      </c>
      <c r="I91" s="182">
        <v>0</v>
      </c>
      <c r="J91" s="182" t="s">
        <v>1254</v>
      </c>
      <c r="K91" s="182" t="s">
        <v>6215</v>
      </c>
      <c r="L91" s="182"/>
      <c r="M91" s="182"/>
      <c r="N91" s="183" t="str">
        <f t="shared" si="1"/>
        <v>Passive(itus.passive.op.buff.01.05)</v>
      </c>
      <c r="O91" s="184">
        <v>0</v>
      </c>
      <c r="P91" s="184">
        <v>1000</v>
      </c>
      <c r="Q91" s="184"/>
      <c r="R91" s="104" t="b">
        <v>1</v>
      </c>
    </row>
    <row r="92" spans="1:18" s="179" customFormat="1">
      <c r="A92" s="180" t="s">
        <v>6266</v>
      </c>
      <c r="B92" s="181"/>
      <c r="C92" s="181"/>
      <c r="D92" s="181">
        <v>0</v>
      </c>
      <c r="E92" s="181">
        <v>1</v>
      </c>
      <c r="F92" s="182" t="s">
        <v>2157</v>
      </c>
      <c r="G92" s="182" t="s">
        <v>1147</v>
      </c>
      <c r="H92" s="182">
        <v>40</v>
      </c>
      <c r="I92" s="182">
        <v>0</v>
      </c>
      <c r="J92" s="182" t="s">
        <v>1254</v>
      </c>
      <c r="K92" s="182" t="s">
        <v>6216</v>
      </c>
      <c r="L92" s="182"/>
      <c r="M92" s="182"/>
      <c r="N92" s="183" t="str">
        <f t="shared" si="1"/>
        <v>Passive(itus.passive.op.buff.01.06)</v>
      </c>
      <c r="O92" s="184">
        <v>0</v>
      </c>
      <c r="P92" s="184">
        <v>1000</v>
      </c>
      <c r="Q92" s="184"/>
      <c r="R92" s="104" t="b">
        <v>1</v>
      </c>
    </row>
    <row r="93" spans="1:18" s="154" customFormat="1">
      <c r="A93" s="51" t="s">
        <v>6465</v>
      </c>
      <c r="B93" s="51"/>
      <c r="C93" s="51"/>
      <c r="D93" s="51">
        <v>0</v>
      </c>
      <c r="E93" s="51">
        <v>1</v>
      </c>
      <c r="F93" s="51" t="s">
        <v>197</v>
      </c>
      <c r="G93" s="51" t="s">
        <v>198</v>
      </c>
      <c r="H93" s="51"/>
      <c r="I93" s="51">
        <v>0</v>
      </c>
      <c r="J93" s="51" t="s">
        <v>838</v>
      </c>
      <c r="K93" s="51" t="s">
        <v>6451</v>
      </c>
      <c r="L93" s="51">
        <v>-40</v>
      </c>
      <c r="M93" s="51"/>
      <c r="N93" s="51" t="str">
        <f t="shared" si="1"/>
        <v>Status(DamageDerate, -40)</v>
      </c>
      <c r="O93" s="51">
        <v>0</v>
      </c>
      <c r="P93" s="51">
        <v>0</v>
      </c>
      <c r="Q93" s="51"/>
      <c r="R93" s="93" t="b">
        <v>0</v>
      </c>
    </row>
    <row r="94" spans="1:18" s="154" customFormat="1">
      <c r="A94" s="51" t="s">
        <v>6460</v>
      </c>
      <c r="B94" s="51"/>
      <c r="C94" s="51"/>
      <c r="D94" s="51">
        <v>0</v>
      </c>
      <c r="E94" s="51">
        <v>1</v>
      </c>
      <c r="F94" s="51" t="s">
        <v>197</v>
      </c>
      <c r="G94" s="51" t="s">
        <v>198</v>
      </c>
      <c r="H94" s="51"/>
      <c r="I94" s="51">
        <v>0</v>
      </c>
      <c r="J94" s="51" t="s">
        <v>838</v>
      </c>
      <c r="K94" s="51" t="s">
        <v>6449</v>
      </c>
      <c r="L94" s="51">
        <v>-45</v>
      </c>
      <c r="M94" s="51"/>
      <c r="N94" s="51" t="str">
        <f t="shared" si="1"/>
        <v>Status(DamageDerate, -45)</v>
      </c>
      <c r="O94" s="51">
        <v>0</v>
      </c>
      <c r="P94" s="51">
        <v>0</v>
      </c>
      <c r="Q94" s="51"/>
      <c r="R94" s="93" t="b">
        <v>0</v>
      </c>
    </row>
    <row r="95" spans="1:18" s="154" customFormat="1">
      <c r="A95" s="51" t="s">
        <v>6461</v>
      </c>
      <c r="B95" s="51"/>
      <c r="C95" s="51"/>
      <c r="D95" s="51">
        <v>0</v>
      </c>
      <c r="E95" s="51">
        <v>1</v>
      </c>
      <c r="F95" s="51" t="s">
        <v>197</v>
      </c>
      <c r="G95" s="51" t="s">
        <v>198</v>
      </c>
      <c r="H95" s="51"/>
      <c r="I95" s="51">
        <v>0</v>
      </c>
      <c r="J95" s="51" t="s">
        <v>838</v>
      </c>
      <c r="K95" s="51" t="s">
        <v>6449</v>
      </c>
      <c r="L95" s="51">
        <v>-55</v>
      </c>
      <c r="M95" s="51"/>
      <c r="N95" s="51" t="str">
        <f t="shared" si="1"/>
        <v>Status(DamageDerate, -55)</v>
      </c>
      <c r="O95" s="51">
        <v>0</v>
      </c>
      <c r="P95" s="51">
        <v>0</v>
      </c>
      <c r="Q95" s="51"/>
      <c r="R95" s="93" t="b">
        <v>0</v>
      </c>
    </row>
    <row r="96" spans="1:18" s="154" customFormat="1">
      <c r="A96" s="51" t="s">
        <v>6462</v>
      </c>
      <c r="B96" s="51"/>
      <c r="C96" s="51"/>
      <c r="D96" s="51">
        <v>0</v>
      </c>
      <c r="E96" s="51">
        <v>1</v>
      </c>
      <c r="F96" s="51" t="s">
        <v>197</v>
      </c>
      <c r="G96" s="51" t="s">
        <v>198</v>
      </c>
      <c r="H96" s="51"/>
      <c r="I96" s="51">
        <v>0</v>
      </c>
      <c r="J96" s="51" t="s">
        <v>838</v>
      </c>
      <c r="K96" s="51" t="s">
        <v>6449</v>
      </c>
      <c r="L96" s="51">
        <v>-65</v>
      </c>
      <c r="M96" s="51"/>
      <c r="N96" s="51" t="str">
        <f t="shared" si="1"/>
        <v>Status(DamageDerate, -65)</v>
      </c>
      <c r="O96" s="51">
        <v>0</v>
      </c>
      <c r="P96" s="51">
        <v>0</v>
      </c>
      <c r="Q96" s="51"/>
      <c r="R96" s="93" t="b">
        <v>0</v>
      </c>
    </row>
    <row r="97" spans="1:18" s="154" customFormat="1">
      <c r="A97" s="51" t="s">
        <v>6463</v>
      </c>
      <c r="B97" s="51"/>
      <c r="C97" s="51"/>
      <c r="D97" s="51">
        <v>0</v>
      </c>
      <c r="E97" s="51">
        <v>1</v>
      </c>
      <c r="F97" s="51" t="s">
        <v>197</v>
      </c>
      <c r="G97" s="51" t="s">
        <v>198</v>
      </c>
      <c r="H97" s="51"/>
      <c r="I97" s="51">
        <v>0</v>
      </c>
      <c r="J97" s="51" t="s">
        <v>838</v>
      </c>
      <c r="K97" s="51" t="s">
        <v>6449</v>
      </c>
      <c r="L97" s="51">
        <v>-80</v>
      </c>
      <c r="M97" s="51"/>
      <c r="N97" s="51" t="str">
        <f t="shared" si="1"/>
        <v>Status(DamageDerate, -80)</v>
      </c>
      <c r="O97" s="51">
        <v>0</v>
      </c>
      <c r="P97" s="51">
        <v>0</v>
      </c>
      <c r="Q97" s="51"/>
      <c r="R97" s="93" t="b">
        <v>0</v>
      </c>
    </row>
    <row r="98" spans="1:18" s="154" customFormat="1">
      <c r="A98" s="51" t="s">
        <v>6464</v>
      </c>
      <c r="B98" s="51"/>
      <c r="C98" s="51"/>
      <c r="D98" s="51">
        <v>0</v>
      </c>
      <c r="E98" s="51">
        <v>1</v>
      </c>
      <c r="F98" s="51" t="s">
        <v>197</v>
      </c>
      <c r="G98" s="51" t="s">
        <v>198</v>
      </c>
      <c r="H98" s="51"/>
      <c r="I98" s="51">
        <v>0</v>
      </c>
      <c r="J98" s="51" t="s">
        <v>838</v>
      </c>
      <c r="K98" s="51" t="s">
        <v>6449</v>
      </c>
      <c r="L98" s="51">
        <v>-110</v>
      </c>
      <c r="M98" s="51"/>
      <c r="N98" s="51" t="str">
        <f t="shared" si="1"/>
        <v>Status(DamageDerate, -110)</v>
      </c>
      <c r="O98" s="51">
        <v>0</v>
      </c>
      <c r="P98" s="51">
        <v>0</v>
      </c>
      <c r="Q98" s="51"/>
      <c r="R98" s="93" t="b">
        <v>0</v>
      </c>
    </row>
    <row r="99" spans="1:18" s="164" customFormat="1">
      <c r="A99" s="53" t="s">
        <v>6466</v>
      </c>
      <c r="B99" s="53"/>
      <c r="C99" s="53"/>
      <c r="D99" s="53">
        <v>0</v>
      </c>
      <c r="E99" s="53">
        <v>1</v>
      </c>
      <c r="F99" s="53" t="s">
        <v>197</v>
      </c>
      <c r="G99" s="53" t="s">
        <v>198</v>
      </c>
      <c r="H99" s="53"/>
      <c r="I99" s="53">
        <v>0</v>
      </c>
      <c r="J99" s="53" t="s">
        <v>838</v>
      </c>
      <c r="K99" s="53" t="s">
        <v>6452</v>
      </c>
      <c r="L99" s="53">
        <v>-40</v>
      </c>
      <c r="M99" s="53"/>
      <c r="N99" s="53" t="str">
        <f t="shared" si="1"/>
        <v>Status(DamageRate, -40)</v>
      </c>
      <c r="O99" s="53">
        <v>0</v>
      </c>
      <c r="P99" s="53">
        <v>0</v>
      </c>
      <c r="Q99" s="53"/>
      <c r="R99" s="93" t="b">
        <v>0</v>
      </c>
    </row>
    <row r="100" spans="1:18" s="164" customFormat="1">
      <c r="A100" s="53" t="s">
        <v>6467</v>
      </c>
      <c r="B100" s="53"/>
      <c r="C100" s="53"/>
      <c r="D100" s="53">
        <v>0</v>
      </c>
      <c r="E100" s="53">
        <v>1</v>
      </c>
      <c r="F100" s="53" t="s">
        <v>197</v>
      </c>
      <c r="G100" s="53" t="s">
        <v>198</v>
      </c>
      <c r="H100" s="53"/>
      <c r="I100" s="53">
        <v>0</v>
      </c>
      <c r="J100" s="53" t="s">
        <v>838</v>
      </c>
      <c r="K100" s="53" t="s">
        <v>6452</v>
      </c>
      <c r="L100" s="53">
        <v>-45</v>
      </c>
      <c r="M100" s="53"/>
      <c r="N100" s="53" t="str">
        <f t="shared" si="1"/>
        <v>Status(DamageRate, -45)</v>
      </c>
      <c r="O100" s="53">
        <v>0</v>
      </c>
      <c r="P100" s="53">
        <v>0</v>
      </c>
      <c r="Q100" s="53"/>
      <c r="R100" s="93" t="b">
        <v>0</v>
      </c>
    </row>
    <row r="101" spans="1:18" s="164" customFormat="1">
      <c r="A101" s="53" t="s">
        <v>6468</v>
      </c>
      <c r="B101" s="53"/>
      <c r="C101" s="53"/>
      <c r="D101" s="53">
        <v>0</v>
      </c>
      <c r="E101" s="53">
        <v>1</v>
      </c>
      <c r="F101" s="53" t="s">
        <v>197</v>
      </c>
      <c r="G101" s="53" t="s">
        <v>198</v>
      </c>
      <c r="H101" s="53"/>
      <c r="I101" s="53">
        <v>0</v>
      </c>
      <c r="J101" s="53" t="s">
        <v>838</v>
      </c>
      <c r="K101" s="53" t="s">
        <v>6452</v>
      </c>
      <c r="L101" s="53">
        <v>-55</v>
      </c>
      <c r="M101" s="53"/>
      <c r="N101" s="53" t="str">
        <f t="shared" si="1"/>
        <v>Status(DamageRate, -55)</v>
      </c>
      <c r="O101" s="53">
        <v>0</v>
      </c>
      <c r="P101" s="53">
        <v>0</v>
      </c>
      <c r="Q101" s="53"/>
      <c r="R101" s="93" t="b">
        <v>0</v>
      </c>
    </row>
    <row r="102" spans="1:18" s="164" customFormat="1">
      <c r="A102" s="53" t="s">
        <v>6469</v>
      </c>
      <c r="B102" s="53"/>
      <c r="C102" s="53"/>
      <c r="D102" s="53">
        <v>0</v>
      </c>
      <c r="E102" s="53">
        <v>1</v>
      </c>
      <c r="F102" s="53" t="s">
        <v>197</v>
      </c>
      <c r="G102" s="53" t="s">
        <v>198</v>
      </c>
      <c r="H102" s="53"/>
      <c r="I102" s="53">
        <v>0</v>
      </c>
      <c r="J102" s="53" t="s">
        <v>838</v>
      </c>
      <c r="K102" s="53" t="s">
        <v>6452</v>
      </c>
      <c r="L102" s="53">
        <v>-65</v>
      </c>
      <c r="M102" s="53"/>
      <c r="N102" s="53" t="str">
        <f t="shared" si="1"/>
        <v>Status(DamageRate, -65)</v>
      </c>
      <c r="O102" s="53">
        <v>0</v>
      </c>
      <c r="P102" s="53">
        <v>0</v>
      </c>
      <c r="Q102" s="53"/>
      <c r="R102" s="93" t="b">
        <v>0</v>
      </c>
    </row>
    <row r="103" spans="1:18" s="164" customFormat="1">
      <c r="A103" s="53" t="s">
        <v>6470</v>
      </c>
      <c r="B103" s="53"/>
      <c r="C103" s="53"/>
      <c r="D103" s="53">
        <v>0</v>
      </c>
      <c r="E103" s="53">
        <v>1</v>
      </c>
      <c r="F103" s="53" t="s">
        <v>197</v>
      </c>
      <c r="G103" s="53" t="s">
        <v>198</v>
      </c>
      <c r="H103" s="53"/>
      <c r="I103" s="53">
        <v>0</v>
      </c>
      <c r="J103" s="53" t="s">
        <v>838</v>
      </c>
      <c r="K103" s="53" t="s">
        <v>6452</v>
      </c>
      <c r="L103" s="53">
        <v>-80</v>
      </c>
      <c r="M103" s="53"/>
      <c r="N103" s="53" t="str">
        <f t="shared" si="1"/>
        <v>Status(DamageRate, -80)</v>
      </c>
      <c r="O103" s="53">
        <v>0</v>
      </c>
      <c r="P103" s="53">
        <v>0</v>
      </c>
      <c r="Q103" s="53"/>
      <c r="R103" s="93" t="b">
        <v>0</v>
      </c>
    </row>
    <row r="104" spans="1:18" s="164" customFormat="1">
      <c r="A104" s="53" t="s">
        <v>6459</v>
      </c>
      <c r="B104" s="53"/>
      <c r="C104" s="53"/>
      <c r="D104" s="53">
        <v>0</v>
      </c>
      <c r="E104" s="53">
        <v>1</v>
      </c>
      <c r="F104" s="53" t="s">
        <v>197</v>
      </c>
      <c r="G104" s="53" t="s">
        <v>198</v>
      </c>
      <c r="H104" s="53"/>
      <c r="I104" s="53">
        <v>0</v>
      </c>
      <c r="J104" s="53" t="s">
        <v>838</v>
      </c>
      <c r="K104" s="53" t="s">
        <v>6452</v>
      </c>
      <c r="L104" s="53">
        <v>-110</v>
      </c>
      <c r="M104" s="53"/>
      <c r="N104" s="53" t="str">
        <f t="shared" si="1"/>
        <v>Status(DamageRate, -110)</v>
      </c>
      <c r="O104" s="53">
        <v>0</v>
      </c>
      <c r="P104" s="53">
        <v>0</v>
      </c>
      <c r="Q104" s="53"/>
      <c r="R104" s="93" t="b">
        <v>0</v>
      </c>
    </row>
    <row r="105" spans="1:18" s="154" customFormat="1">
      <c r="A105" s="51" t="s">
        <v>6414</v>
      </c>
      <c r="B105" s="90"/>
      <c r="C105" s="90"/>
      <c r="D105" s="90">
        <v>0</v>
      </c>
      <c r="E105" s="90">
        <v>1</v>
      </c>
      <c r="F105" s="53" t="s">
        <v>197</v>
      </c>
      <c r="G105" s="53" t="s">
        <v>198</v>
      </c>
      <c r="H105" s="91"/>
      <c r="I105" s="91">
        <v>0</v>
      </c>
      <c r="J105" s="91" t="s">
        <v>6413</v>
      </c>
      <c r="K105" s="91" t="s">
        <v>6426</v>
      </c>
      <c r="L105" s="91"/>
      <c r="M105" s="91"/>
      <c r="N105" s="92" t="str">
        <f t="shared" ref="N105:N174" si="8">J105&amp;"("&amp;IF(K105="","",K105)&amp;IF(L105="","",", "&amp;L105)&amp;IF(M105="","",", "&amp;M105)&amp;")"</f>
        <v>Active(itus.passive.ex.buff.skilleffect.01.01)</v>
      </c>
      <c r="O105" s="93">
        <v>0</v>
      </c>
      <c r="P105" s="93">
        <v>1000</v>
      </c>
      <c r="Q105" s="93"/>
      <c r="R105" s="93" t="b">
        <v>1</v>
      </c>
    </row>
    <row r="106" spans="1:18" s="154" customFormat="1">
      <c r="A106" s="51" t="s">
        <v>6402</v>
      </c>
      <c r="B106" s="90"/>
      <c r="C106" s="90"/>
      <c r="D106" s="90">
        <v>0</v>
      </c>
      <c r="E106" s="90">
        <v>1</v>
      </c>
      <c r="F106" s="53" t="s">
        <v>197</v>
      </c>
      <c r="G106" s="53" t="s">
        <v>198</v>
      </c>
      <c r="H106" s="91"/>
      <c r="I106" s="91">
        <v>0</v>
      </c>
      <c r="J106" s="91" t="s">
        <v>893</v>
      </c>
      <c r="K106" s="91" t="s">
        <v>6421</v>
      </c>
      <c r="L106" s="91"/>
      <c r="M106" s="91"/>
      <c r="N106" s="92" t="str">
        <f t="shared" si="8"/>
        <v>Active(itus.passive.ex.buff.skilleffect.01.02)</v>
      </c>
      <c r="O106" s="93">
        <v>0</v>
      </c>
      <c r="P106" s="93">
        <v>1000</v>
      </c>
      <c r="Q106" s="93"/>
      <c r="R106" s="93" t="b">
        <v>1</v>
      </c>
    </row>
    <row r="107" spans="1:18" s="154" customFormat="1">
      <c r="A107" s="51" t="s">
        <v>6403</v>
      </c>
      <c r="B107" s="90"/>
      <c r="C107" s="90"/>
      <c r="D107" s="90">
        <v>0</v>
      </c>
      <c r="E107" s="90">
        <v>1</v>
      </c>
      <c r="F107" s="53" t="s">
        <v>197</v>
      </c>
      <c r="G107" s="53" t="s">
        <v>198</v>
      </c>
      <c r="H107" s="91"/>
      <c r="I107" s="91">
        <v>0</v>
      </c>
      <c r="J107" s="91" t="s">
        <v>893</v>
      </c>
      <c r="K107" s="91" t="s">
        <v>6422</v>
      </c>
      <c r="L107" s="91"/>
      <c r="M107" s="91"/>
      <c r="N107" s="92" t="str">
        <f t="shared" si="8"/>
        <v>Active(itus.passive.ex.buff.skilleffect.01.03)</v>
      </c>
      <c r="O107" s="93">
        <v>0</v>
      </c>
      <c r="P107" s="93">
        <v>1000</v>
      </c>
      <c r="Q107" s="93"/>
      <c r="R107" s="93" t="b">
        <v>1</v>
      </c>
    </row>
    <row r="108" spans="1:18" s="154" customFormat="1">
      <c r="A108" s="51" t="s">
        <v>6404</v>
      </c>
      <c r="B108" s="90"/>
      <c r="C108" s="90"/>
      <c r="D108" s="90">
        <v>0</v>
      </c>
      <c r="E108" s="90">
        <v>1</v>
      </c>
      <c r="F108" s="53" t="s">
        <v>197</v>
      </c>
      <c r="G108" s="53" t="s">
        <v>198</v>
      </c>
      <c r="H108" s="91"/>
      <c r="I108" s="91">
        <v>0</v>
      </c>
      <c r="J108" s="91" t="s">
        <v>893</v>
      </c>
      <c r="K108" s="91" t="s">
        <v>6423</v>
      </c>
      <c r="L108" s="91"/>
      <c r="M108" s="91"/>
      <c r="N108" s="92" t="str">
        <f t="shared" si="8"/>
        <v>Active(itus.passive.ex.buff.skilleffect.01.04)</v>
      </c>
      <c r="O108" s="93">
        <v>0</v>
      </c>
      <c r="P108" s="93">
        <v>1000</v>
      </c>
      <c r="Q108" s="93"/>
      <c r="R108" s="93" t="b">
        <v>1</v>
      </c>
    </row>
    <row r="109" spans="1:18" s="154" customFormat="1">
      <c r="A109" s="51" t="s">
        <v>6405</v>
      </c>
      <c r="B109" s="90"/>
      <c r="C109" s="90"/>
      <c r="D109" s="90">
        <v>0</v>
      </c>
      <c r="E109" s="90">
        <v>1</v>
      </c>
      <c r="F109" s="53" t="s">
        <v>197</v>
      </c>
      <c r="G109" s="53" t="s">
        <v>198</v>
      </c>
      <c r="H109" s="91"/>
      <c r="I109" s="91">
        <v>0</v>
      </c>
      <c r="J109" s="91" t="s">
        <v>893</v>
      </c>
      <c r="K109" s="91" t="s">
        <v>6424</v>
      </c>
      <c r="L109" s="91"/>
      <c r="M109" s="91"/>
      <c r="N109" s="92" t="str">
        <f t="shared" si="8"/>
        <v>Active(itus.passive.ex.buff.skilleffect.01.05)</v>
      </c>
      <c r="O109" s="93">
        <v>0</v>
      </c>
      <c r="P109" s="93">
        <v>1000</v>
      </c>
      <c r="Q109" s="93"/>
      <c r="R109" s="93" t="b">
        <v>1</v>
      </c>
    </row>
    <row r="110" spans="1:18" s="154" customFormat="1">
      <c r="A110" s="51" t="s">
        <v>6406</v>
      </c>
      <c r="B110" s="90"/>
      <c r="C110" s="90"/>
      <c r="D110" s="90">
        <v>0</v>
      </c>
      <c r="E110" s="90">
        <v>1</v>
      </c>
      <c r="F110" s="53" t="s">
        <v>197</v>
      </c>
      <c r="G110" s="53" t="s">
        <v>198</v>
      </c>
      <c r="H110" s="91"/>
      <c r="I110" s="91">
        <v>0</v>
      </c>
      <c r="J110" s="91" t="s">
        <v>893</v>
      </c>
      <c r="K110" s="91" t="s">
        <v>6425</v>
      </c>
      <c r="L110" s="91"/>
      <c r="M110" s="91"/>
      <c r="N110" s="92" t="str">
        <f t="shared" si="8"/>
        <v>Active(itus.passive.ex.buff.skilleffect.01.06)</v>
      </c>
      <c r="O110" s="93">
        <v>0</v>
      </c>
      <c r="P110" s="93">
        <v>1000</v>
      </c>
      <c r="Q110" s="93"/>
      <c r="R110" s="93" t="b">
        <v>1</v>
      </c>
    </row>
    <row r="111" spans="1:18" s="179" customFormat="1">
      <c r="A111" s="60" t="s">
        <v>6415</v>
      </c>
      <c r="B111" s="181"/>
      <c r="C111" s="181"/>
      <c r="D111" s="181">
        <v>0</v>
      </c>
      <c r="E111" s="181">
        <v>1</v>
      </c>
      <c r="F111" s="60" t="s">
        <v>197</v>
      </c>
      <c r="G111" s="60" t="s">
        <v>198</v>
      </c>
      <c r="H111" s="182"/>
      <c r="I111" s="182">
        <v>0</v>
      </c>
      <c r="J111" s="182" t="s">
        <v>893</v>
      </c>
      <c r="K111" s="182" t="s">
        <v>6427</v>
      </c>
      <c r="L111" s="182"/>
      <c r="M111" s="182"/>
      <c r="N111" s="183" t="str">
        <f t="shared" ref="N111:N116" si="9">J111&amp;"("&amp;IF(K111="","",K111)&amp;IF(L111="","",", "&amp;L111)&amp;IF(M111="","",", "&amp;M111)&amp;")"</f>
        <v>Active(itus.passive.ex.buff.skilleffect.02.01)</v>
      </c>
      <c r="O111" s="184">
        <v>0</v>
      </c>
      <c r="P111" s="184">
        <v>1000</v>
      </c>
      <c r="Q111" s="184"/>
      <c r="R111" s="184" t="b">
        <v>1</v>
      </c>
    </row>
    <row r="112" spans="1:18" s="179" customFormat="1">
      <c r="A112" s="60" t="s">
        <v>6416</v>
      </c>
      <c r="B112" s="181"/>
      <c r="C112" s="181"/>
      <c r="D112" s="181">
        <v>0</v>
      </c>
      <c r="E112" s="181">
        <v>1</v>
      </c>
      <c r="F112" s="60" t="s">
        <v>197</v>
      </c>
      <c r="G112" s="60" t="s">
        <v>198</v>
      </c>
      <c r="H112" s="182"/>
      <c r="I112" s="182">
        <v>0</v>
      </c>
      <c r="J112" s="182" t="s">
        <v>893</v>
      </c>
      <c r="K112" s="182" t="s">
        <v>6428</v>
      </c>
      <c r="L112" s="182"/>
      <c r="M112" s="182"/>
      <c r="N112" s="183" t="str">
        <f t="shared" si="9"/>
        <v>Active(itus.passive.ex.buff.skilleffect.02.02)</v>
      </c>
      <c r="O112" s="184">
        <v>0</v>
      </c>
      <c r="P112" s="184">
        <v>1000</v>
      </c>
      <c r="Q112" s="184"/>
      <c r="R112" s="184" t="b">
        <v>1</v>
      </c>
    </row>
    <row r="113" spans="1:18" s="179" customFormat="1">
      <c r="A113" s="60" t="s">
        <v>6417</v>
      </c>
      <c r="B113" s="181"/>
      <c r="C113" s="181"/>
      <c r="D113" s="181">
        <v>0</v>
      </c>
      <c r="E113" s="181">
        <v>1</v>
      </c>
      <c r="F113" s="60" t="s">
        <v>197</v>
      </c>
      <c r="G113" s="60" t="s">
        <v>198</v>
      </c>
      <c r="H113" s="182"/>
      <c r="I113" s="182">
        <v>0</v>
      </c>
      <c r="J113" s="182" t="s">
        <v>893</v>
      </c>
      <c r="K113" s="182" t="s">
        <v>6429</v>
      </c>
      <c r="L113" s="182"/>
      <c r="M113" s="182"/>
      <c r="N113" s="183" t="str">
        <f t="shared" si="9"/>
        <v>Active(itus.passive.ex.buff.skilleffect.02.03)</v>
      </c>
      <c r="O113" s="184">
        <v>0</v>
      </c>
      <c r="P113" s="184">
        <v>1000</v>
      </c>
      <c r="Q113" s="184"/>
      <c r="R113" s="184" t="b">
        <v>1</v>
      </c>
    </row>
    <row r="114" spans="1:18" s="179" customFormat="1">
      <c r="A114" s="60" t="s">
        <v>6418</v>
      </c>
      <c r="B114" s="181"/>
      <c r="C114" s="181"/>
      <c r="D114" s="181">
        <v>0</v>
      </c>
      <c r="E114" s="181">
        <v>1</v>
      </c>
      <c r="F114" s="60" t="s">
        <v>197</v>
      </c>
      <c r="G114" s="60" t="s">
        <v>198</v>
      </c>
      <c r="H114" s="182"/>
      <c r="I114" s="182">
        <v>0</v>
      </c>
      <c r="J114" s="182" t="s">
        <v>893</v>
      </c>
      <c r="K114" s="182" t="s">
        <v>6430</v>
      </c>
      <c r="L114" s="182"/>
      <c r="M114" s="182"/>
      <c r="N114" s="183" t="str">
        <f t="shared" si="9"/>
        <v>Active(itus.passive.ex.buff.skilleffect.02.04)</v>
      </c>
      <c r="O114" s="184">
        <v>0</v>
      </c>
      <c r="P114" s="184">
        <v>1000</v>
      </c>
      <c r="Q114" s="184"/>
      <c r="R114" s="184" t="b">
        <v>1</v>
      </c>
    </row>
    <row r="115" spans="1:18" s="179" customFormat="1">
      <c r="A115" s="60" t="s">
        <v>6419</v>
      </c>
      <c r="B115" s="181"/>
      <c r="C115" s="181"/>
      <c r="D115" s="181">
        <v>0</v>
      </c>
      <c r="E115" s="181">
        <v>1</v>
      </c>
      <c r="F115" s="60" t="s">
        <v>197</v>
      </c>
      <c r="G115" s="60" t="s">
        <v>198</v>
      </c>
      <c r="H115" s="182"/>
      <c r="I115" s="182">
        <v>0</v>
      </c>
      <c r="J115" s="182" t="s">
        <v>893</v>
      </c>
      <c r="K115" s="182" t="s">
        <v>6431</v>
      </c>
      <c r="L115" s="182"/>
      <c r="M115" s="182"/>
      <c r="N115" s="183" t="str">
        <f t="shared" si="9"/>
        <v>Active(itus.passive.ex.buff.skilleffect.02.05)</v>
      </c>
      <c r="O115" s="184">
        <v>0</v>
      </c>
      <c r="P115" s="184">
        <v>1000</v>
      </c>
      <c r="Q115" s="184"/>
      <c r="R115" s="184" t="b">
        <v>1</v>
      </c>
    </row>
    <row r="116" spans="1:18" s="179" customFormat="1">
      <c r="A116" s="60" t="s">
        <v>6420</v>
      </c>
      <c r="B116" s="181"/>
      <c r="C116" s="181"/>
      <c r="D116" s="181">
        <v>0</v>
      </c>
      <c r="E116" s="181">
        <v>1</v>
      </c>
      <c r="F116" s="60" t="s">
        <v>197</v>
      </c>
      <c r="G116" s="60" t="s">
        <v>198</v>
      </c>
      <c r="H116" s="182"/>
      <c r="I116" s="182">
        <v>0</v>
      </c>
      <c r="J116" s="182" t="s">
        <v>893</v>
      </c>
      <c r="K116" s="182" t="s">
        <v>6432</v>
      </c>
      <c r="L116" s="182"/>
      <c r="M116" s="182"/>
      <c r="N116" s="183" t="str">
        <f t="shared" si="9"/>
        <v>Active(itus.passive.ex.buff.skilleffect.02.06)</v>
      </c>
      <c r="O116" s="184">
        <v>0</v>
      </c>
      <c r="P116" s="184">
        <v>1000</v>
      </c>
      <c r="Q116" s="184"/>
      <c r="R116" s="184" t="b">
        <v>1</v>
      </c>
    </row>
    <row r="117" spans="1:18" s="154" customFormat="1">
      <c r="A117" s="51" t="s">
        <v>6267</v>
      </c>
      <c r="B117" s="51"/>
      <c r="C117" s="51"/>
      <c r="D117" s="51">
        <v>0</v>
      </c>
      <c r="E117" s="51">
        <v>1</v>
      </c>
      <c r="F117" s="51" t="s">
        <v>197</v>
      </c>
      <c r="G117" s="51" t="s">
        <v>198</v>
      </c>
      <c r="H117" s="51"/>
      <c r="I117" s="51">
        <v>0</v>
      </c>
      <c r="J117" s="51" t="s">
        <v>838</v>
      </c>
      <c r="K117" s="51" t="s">
        <v>3352</v>
      </c>
      <c r="L117" s="51">
        <v>120</v>
      </c>
      <c r="M117" s="51"/>
      <c r="N117" s="51" t="str">
        <f t="shared" si="8"/>
        <v>Status(AttackSpeedRate, 120)</v>
      </c>
      <c r="O117" s="51">
        <v>0</v>
      </c>
      <c r="P117" s="51">
        <v>0</v>
      </c>
      <c r="Q117" s="51"/>
      <c r="R117" s="93" t="b">
        <v>1</v>
      </c>
    </row>
    <row r="118" spans="1:18" s="154" customFormat="1">
      <c r="A118" s="51" t="s">
        <v>6268</v>
      </c>
      <c r="B118" s="51"/>
      <c r="C118" s="51"/>
      <c r="D118" s="51">
        <v>0</v>
      </c>
      <c r="E118" s="51">
        <v>1</v>
      </c>
      <c r="F118" s="51" t="s">
        <v>197</v>
      </c>
      <c r="G118" s="51" t="s">
        <v>198</v>
      </c>
      <c r="H118" s="51"/>
      <c r="I118" s="51">
        <v>0</v>
      </c>
      <c r="J118" s="51" t="s">
        <v>838</v>
      </c>
      <c r="K118" s="51" t="s">
        <v>3352</v>
      </c>
      <c r="L118" s="51">
        <v>140</v>
      </c>
      <c r="M118" s="51"/>
      <c r="N118" s="51" t="str">
        <f t="shared" si="8"/>
        <v>Status(AttackSpeedRate, 140)</v>
      </c>
      <c r="O118" s="51">
        <v>0</v>
      </c>
      <c r="P118" s="51">
        <v>0</v>
      </c>
      <c r="Q118" s="51"/>
      <c r="R118" s="93" t="b">
        <v>1</v>
      </c>
    </row>
    <row r="119" spans="1:18" s="154" customFormat="1">
      <c r="A119" s="51" t="s">
        <v>6269</v>
      </c>
      <c r="B119" s="51"/>
      <c r="C119" s="51"/>
      <c r="D119" s="51">
        <v>0</v>
      </c>
      <c r="E119" s="51">
        <v>1</v>
      </c>
      <c r="F119" s="51" t="s">
        <v>197</v>
      </c>
      <c r="G119" s="51" t="s">
        <v>198</v>
      </c>
      <c r="H119" s="51"/>
      <c r="I119" s="51">
        <v>0</v>
      </c>
      <c r="J119" s="51" t="s">
        <v>838</v>
      </c>
      <c r="K119" s="51" t="s">
        <v>3352</v>
      </c>
      <c r="L119" s="51">
        <v>160</v>
      </c>
      <c r="M119" s="51"/>
      <c r="N119" s="51" t="str">
        <f t="shared" si="8"/>
        <v>Status(AttackSpeedRate, 160)</v>
      </c>
      <c r="O119" s="51">
        <v>0</v>
      </c>
      <c r="P119" s="51">
        <v>0</v>
      </c>
      <c r="Q119" s="51"/>
      <c r="R119" s="93" t="b">
        <v>1</v>
      </c>
    </row>
    <row r="120" spans="1:18" s="154" customFormat="1">
      <c r="A120" s="51" t="s">
        <v>6270</v>
      </c>
      <c r="B120" s="51"/>
      <c r="C120" s="51"/>
      <c r="D120" s="51">
        <v>0</v>
      </c>
      <c r="E120" s="51">
        <v>1</v>
      </c>
      <c r="F120" s="51" t="s">
        <v>197</v>
      </c>
      <c r="G120" s="51" t="s">
        <v>198</v>
      </c>
      <c r="H120" s="51"/>
      <c r="I120" s="51">
        <v>0</v>
      </c>
      <c r="J120" s="51" t="s">
        <v>838</v>
      </c>
      <c r="K120" s="51" t="s">
        <v>3352</v>
      </c>
      <c r="L120" s="51">
        <v>180</v>
      </c>
      <c r="M120" s="51"/>
      <c r="N120" s="51" t="str">
        <f t="shared" si="8"/>
        <v>Status(AttackSpeedRate, 180)</v>
      </c>
      <c r="O120" s="51">
        <v>0</v>
      </c>
      <c r="P120" s="51">
        <v>0</v>
      </c>
      <c r="Q120" s="51"/>
      <c r="R120" s="93" t="b">
        <v>1</v>
      </c>
    </row>
    <row r="121" spans="1:18" s="154" customFormat="1">
      <c r="A121" s="51" t="s">
        <v>6271</v>
      </c>
      <c r="B121" s="51"/>
      <c r="C121" s="51"/>
      <c r="D121" s="51">
        <v>0</v>
      </c>
      <c r="E121" s="51">
        <v>1</v>
      </c>
      <c r="F121" s="51" t="s">
        <v>197</v>
      </c>
      <c r="G121" s="51" t="s">
        <v>198</v>
      </c>
      <c r="H121" s="51"/>
      <c r="I121" s="51">
        <v>0</v>
      </c>
      <c r="J121" s="51" t="s">
        <v>838</v>
      </c>
      <c r="K121" s="51" t="s">
        <v>3352</v>
      </c>
      <c r="L121" s="51">
        <v>180</v>
      </c>
      <c r="M121" s="51"/>
      <c r="N121" s="51" t="str">
        <f t="shared" si="8"/>
        <v>Status(AttackSpeedRate, 180)</v>
      </c>
      <c r="O121" s="51">
        <v>0</v>
      </c>
      <c r="P121" s="51">
        <v>0</v>
      </c>
      <c r="Q121" s="51"/>
      <c r="R121" s="93" t="b">
        <v>1</v>
      </c>
    </row>
    <row r="122" spans="1:18" s="154" customFormat="1">
      <c r="A122" s="51" t="s">
        <v>6272</v>
      </c>
      <c r="B122" s="51"/>
      <c r="C122" s="51"/>
      <c r="D122" s="51">
        <v>0</v>
      </c>
      <c r="E122" s="51">
        <v>1</v>
      </c>
      <c r="F122" s="51" t="s">
        <v>197</v>
      </c>
      <c r="G122" s="51" t="s">
        <v>198</v>
      </c>
      <c r="H122" s="51"/>
      <c r="I122" s="51">
        <v>0</v>
      </c>
      <c r="J122" s="51" t="s">
        <v>838</v>
      </c>
      <c r="K122" s="51" t="s">
        <v>3352</v>
      </c>
      <c r="L122" s="51">
        <v>180</v>
      </c>
      <c r="M122" s="51"/>
      <c r="N122" s="51" t="str">
        <f t="shared" si="8"/>
        <v>Status(AttackSpeedRate, 180)</v>
      </c>
      <c r="O122" s="51">
        <v>0</v>
      </c>
      <c r="P122" s="51">
        <v>0</v>
      </c>
      <c r="Q122" s="51"/>
      <c r="R122" s="93" t="b">
        <v>1</v>
      </c>
    </row>
    <row r="123" spans="1:18" s="164" customFormat="1">
      <c r="A123" s="53" t="s">
        <v>6273</v>
      </c>
      <c r="B123" s="53"/>
      <c r="C123" s="53"/>
      <c r="D123" s="53">
        <v>0</v>
      </c>
      <c r="E123" s="53">
        <v>1</v>
      </c>
      <c r="F123" s="53" t="s">
        <v>197</v>
      </c>
      <c r="G123" s="53" t="s">
        <v>198</v>
      </c>
      <c r="H123" s="53"/>
      <c r="I123" s="53">
        <v>0</v>
      </c>
      <c r="J123" s="53" t="s">
        <v>6450</v>
      </c>
      <c r="K123" s="53" t="s">
        <v>3734</v>
      </c>
      <c r="L123" s="53">
        <v>300</v>
      </c>
      <c r="M123" s="53"/>
      <c r="N123" s="53" t="str">
        <f t="shared" si="8"/>
        <v>Status(GuardRate, 300)</v>
      </c>
      <c r="O123" s="53">
        <v>0</v>
      </c>
      <c r="P123" s="53">
        <v>0</v>
      </c>
      <c r="Q123" s="53"/>
      <c r="R123" s="104" t="b">
        <v>1</v>
      </c>
    </row>
    <row r="124" spans="1:18" s="164" customFormat="1">
      <c r="A124" s="53" t="s">
        <v>6274</v>
      </c>
      <c r="B124" s="53"/>
      <c r="C124" s="53"/>
      <c r="D124" s="53">
        <v>0</v>
      </c>
      <c r="E124" s="53">
        <v>1</v>
      </c>
      <c r="F124" s="53" t="s">
        <v>197</v>
      </c>
      <c r="G124" s="53" t="s">
        <v>198</v>
      </c>
      <c r="H124" s="53"/>
      <c r="I124" s="53">
        <v>0</v>
      </c>
      <c r="J124" s="53" t="s">
        <v>6450</v>
      </c>
      <c r="K124" s="53" t="s">
        <v>3734</v>
      </c>
      <c r="L124" s="53">
        <v>350</v>
      </c>
      <c r="M124" s="53"/>
      <c r="N124" s="53" t="str">
        <f t="shared" si="8"/>
        <v>Status(GuardRate, 350)</v>
      </c>
      <c r="O124" s="53">
        <v>0</v>
      </c>
      <c r="P124" s="53">
        <v>0</v>
      </c>
      <c r="Q124" s="53"/>
      <c r="R124" s="104" t="b">
        <v>1</v>
      </c>
    </row>
    <row r="125" spans="1:18" s="164" customFormat="1">
      <c r="A125" s="53" t="s">
        <v>6275</v>
      </c>
      <c r="B125" s="53"/>
      <c r="C125" s="53"/>
      <c r="D125" s="53">
        <v>0</v>
      </c>
      <c r="E125" s="53">
        <v>1</v>
      </c>
      <c r="F125" s="53" t="s">
        <v>197</v>
      </c>
      <c r="G125" s="53" t="s">
        <v>198</v>
      </c>
      <c r="H125" s="53"/>
      <c r="I125" s="53">
        <v>0</v>
      </c>
      <c r="J125" s="53" t="s">
        <v>6450</v>
      </c>
      <c r="K125" s="53" t="s">
        <v>3734</v>
      </c>
      <c r="L125" s="53">
        <v>400</v>
      </c>
      <c r="M125" s="53"/>
      <c r="N125" s="53" t="str">
        <f t="shared" si="8"/>
        <v>Status(GuardRate, 400)</v>
      </c>
      <c r="O125" s="53">
        <v>0</v>
      </c>
      <c r="P125" s="53">
        <v>0</v>
      </c>
      <c r="Q125" s="53"/>
      <c r="R125" s="104" t="b">
        <v>1</v>
      </c>
    </row>
    <row r="126" spans="1:18" s="164" customFormat="1">
      <c r="A126" s="53" t="s">
        <v>6276</v>
      </c>
      <c r="B126" s="53"/>
      <c r="C126" s="53"/>
      <c r="D126" s="53">
        <v>0</v>
      </c>
      <c r="E126" s="53">
        <v>1</v>
      </c>
      <c r="F126" s="53" t="s">
        <v>197</v>
      </c>
      <c r="G126" s="53" t="s">
        <v>198</v>
      </c>
      <c r="H126" s="53"/>
      <c r="I126" s="53">
        <v>0</v>
      </c>
      <c r="J126" s="53" t="s">
        <v>6450</v>
      </c>
      <c r="K126" s="53" t="s">
        <v>3734</v>
      </c>
      <c r="L126" s="53">
        <v>450</v>
      </c>
      <c r="M126" s="53"/>
      <c r="N126" s="53" t="str">
        <f t="shared" si="8"/>
        <v>Status(GuardRate, 450)</v>
      </c>
      <c r="O126" s="53">
        <v>0</v>
      </c>
      <c r="P126" s="53">
        <v>0</v>
      </c>
      <c r="Q126" s="53"/>
      <c r="R126" s="104" t="b">
        <v>1</v>
      </c>
    </row>
    <row r="127" spans="1:18" s="164" customFormat="1">
      <c r="A127" s="53" t="s">
        <v>6277</v>
      </c>
      <c r="B127" s="53"/>
      <c r="C127" s="53"/>
      <c r="D127" s="53">
        <v>0</v>
      </c>
      <c r="E127" s="53">
        <v>1</v>
      </c>
      <c r="F127" s="53" t="s">
        <v>197</v>
      </c>
      <c r="G127" s="53" t="s">
        <v>198</v>
      </c>
      <c r="H127" s="53"/>
      <c r="I127" s="53">
        <v>0</v>
      </c>
      <c r="J127" s="53" t="s">
        <v>6450</v>
      </c>
      <c r="K127" s="53" t="s">
        <v>3734</v>
      </c>
      <c r="L127" s="53">
        <v>500</v>
      </c>
      <c r="M127" s="53"/>
      <c r="N127" s="53" t="str">
        <f t="shared" si="8"/>
        <v>Status(GuardRate, 500)</v>
      </c>
      <c r="O127" s="53">
        <v>0</v>
      </c>
      <c r="P127" s="53">
        <v>0</v>
      </c>
      <c r="Q127" s="53"/>
      <c r="R127" s="104" t="b">
        <v>1</v>
      </c>
    </row>
    <row r="128" spans="1:18" s="164" customFormat="1">
      <c r="A128" s="53" t="s">
        <v>6278</v>
      </c>
      <c r="B128" s="53"/>
      <c r="C128" s="53"/>
      <c r="D128" s="53">
        <v>0</v>
      </c>
      <c r="E128" s="53">
        <v>1</v>
      </c>
      <c r="F128" s="53" t="s">
        <v>197</v>
      </c>
      <c r="G128" s="53" t="s">
        <v>198</v>
      </c>
      <c r="H128" s="53"/>
      <c r="I128" s="53">
        <v>0</v>
      </c>
      <c r="J128" s="53" t="s">
        <v>6450</v>
      </c>
      <c r="K128" s="53" t="s">
        <v>3734</v>
      </c>
      <c r="L128" s="53">
        <v>500</v>
      </c>
      <c r="M128" s="53"/>
      <c r="N128" s="53" t="str">
        <f t="shared" si="8"/>
        <v>Status(GuardRate, 500)</v>
      </c>
      <c r="O128" s="53">
        <v>0</v>
      </c>
      <c r="P128" s="53">
        <v>0</v>
      </c>
      <c r="Q128" s="53"/>
      <c r="R128" s="104" t="b">
        <v>1</v>
      </c>
    </row>
    <row r="129" spans="1:18" s="179" customFormat="1">
      <c r="A129" s="60" t="s">
        <v>7267</v>
      </c>
      <c r="B129" s="60" t="s">
        <v>7273</v>
      </c>
      <c r="C129" s="60" t="s">
        <v>7274</v>
      </c>
      <c r="D129" s="60">
        <v>0</v>
      </c>
      <c r="E129" s="60">
        <v>1</v>
      </c>
      <c r="F129" s="60" t="s">
        <v>197</v>
      </c>
      <c r="G129" s="60" t="s">
        <v>198</v>
      </c>
      <c r="H129" s="60"/>
      <c r="I129" s="60">
        <v>0</v>
      </c>
      <c r="J129" s="60" t="s">
        <v>3202</v>
      </c>
      <c r="K129" s="60" t="s">
        <v>897</v>
      </c>
      <c r="L129" s="60">
        <v>200</v>
      </c>
      <c r="M129" s="60"/>
      <c r="N129" s="60" t="str">
        <f t="shared" ref="N129:N134" si="10">J129&amp;"("&amp;IF(K129="","",K129)&amp;IF(L129="","",", "&amp;L129)&amp;IF(M129="","",", "&amp;M129)&amp;")"</f>
        <v>Status(DefenseRatio, 200)</v>
      </c>
      <c r="O129" s="60">
        <v>0</v>
      </c>
      <c r="P129" s="53">
        <v>0</v>
      </c>
      <c r="Q129" s="60"/>
      <c r="R129" s="93" t="b">
        <v>1</v>
      </c>
    </row>
    <row r="130" spans="1:18" s="179" customFormat="1">
      <c r="A130" s="60" t="s">
        <v>7268</v>
      </c>
      <c r="B130" s="60" t="s">
        <v>7273</v>
      </c>
      <c r="C130" s="60" t="s">
        <v>7274</v>
      </c>
      <c r="D130" s="60">
        <v>0</v>
      </c>
      <c r="E130" s="60">
        <v>1</v>
      </c>
      <c r="F130" s="60" t="s">
        <v>197</v>
      </c>
      <c r="G130" s="60" t="s">
        <v>198</v>
      </c>
      <c r="H130" s="60"/>
      <c r="I130" s="60">
        <v>0</v>
      </c>
      <c r="J130" s="60" t="s">
        <v>3202</v>
      </c>
      <c r="K130" s="60" t="s">
        <v>897</v>
      </c>
      <c r="L130" s="60">
        <v>240</v>
      </c>
      <c r="M130" s="60"/>
      <c r="N130" s="60" t="str">
        <f t="shared" si="10"/>
        <v>Status(DefenseRatio, 240)</v>
      </c>
      <c r="O130" s="60">
        <v>0</v>
      </c>
      <c r="P130" s="53">
        <v>0</v>
      </c>
      <c r="Q130" s="60"/>
      <c r="R130" s="93" t="b">
        <v>1</v>
      </c>
    </row>
    <row r="131" spans="1:18" s="179" customFormat="1">
      <c r="A131" s="60" t="s">
        <v>7269</v>
      </c>
      <c r="B131" s="60" t="s">
        <v>7273</v>
      </c>
      <c r="C131" s="60" t="s">
        <v>7274</v>
      </c>
      <c r="D131" s="60">
        <v>0</v>
      </c>
      <c r="E131" s="60">
        <v>1</v>
      </c>
      <c r="F131" s="60" t="s">
        <v>197</v>
      </c>
      <c r="G131" s="60" t="s">
        <v>198</v>
      </c>
      <c r="H131" s="60"/>
      <c r="I131" s="60">
        <v>0</v>
      </c>
      <c r="J131" s="60" t="s">
        <v>3202</v>
      </c>
      <c r="K131" s="60" t="s">
        <v>897</v>
      </c>
      <c r="L131" s="60">
        <v>280</v>
      </c>
      <c r="M131" s="60"/>
      <c r="N131" s="60" t="str">
        <f t="shared" si="10"/>
        <v>Status(DefenseRatio, 280)</v>
      </c>
      <c r="O131" s="60">
        <v>0</v>
      </c>
      <c r="P131" s="53">
        <v>0</v>
      </c>
      <c r="Q131" s="60"/>
      <c r="R131" s="93" t="b">
        <v>1</v>
      </c>
    </row>
    <row r="132" spans="1:18" s="179" customFormat="1">
      <c r="A132" s="60" t="s">
        <v>7270</v>
      </c>
      <c r="B132" s="60" t="s">
        <v>7273</v>
      </c>
      <c r="C132" s="60" t="s">
        <v>7274</v>
      </c>
      <c r="D132" s="60">
        <v>0</v>
      </c>
      <c r="E132" s="60">
        <v>1</v>
      </c>
      <c r="F132" s="60" t="s">
        <v>197</v>
      </c>
      <c r="G132" s="60" t="s">
        <v>198</v>
      </c>
      <c r="H132" s="60"/>
      <c r="I132" s="60">
        <v>0</v>
      </c>
      <c r="J132" s="60" t="s">
        <v>3202</v>
      </c>
      <c r="K132" s="60" t="s">
        <v>897</v>
      </c>
      <c r="L132" s="60">
        <v>320</v>
      </c>
      <c r="M132" s="60"/>
      <c r="N132" s="60" t="str">
        <f t="shared" si="10"/>
        <v>Status(DefenseRatio, 320)</v>
      </c>
      <c r="O132" s="60">
        <v>0</v>
      </c>
      <c r="P132" s="53">
        <v>0</v>
      </c>
      <c r="Q132" s="60"/>
      <c r="R132" s="93" t="b">
        <v>1</v>
      </c>
    </row>
    <row r="133" spans="1:18" s="179" customFormat="1">
      <c r="A133" s="60" t="s">
        <v>7271</v>
      </c>
      <c r="B133" s="60" t="s">
        <v>7273</v>
      </c>
      <c r="C133" s="60" t="s">
        <v>7274</v>
      </c>
      <c r="D133" s="60">
        <v>0</v>
      </c>
      <c r="E133" s="60">
        <v>1</v>
      </c>
      <c r="F133" s="60" t="s">
        <v>197</v>
      </c>
      <c r="G133" s="60" t="s">
        <v>198</v>
      </c>
      <c r="H133" s="60"/>
      <c r="I133" s="60">
        <v>0</v>
      </c>
      <c r="J133" s="60" t="s">
        <v>3202</v>
      </c>
      <c r="K133" s="60" t="s">
        <v>897</v>
      </c>
      <c r="L133" s="60">
        <v>320</v>
      </c>
      <c r="M133" s="60"/>
      <c r="N133" s="60" t="str">
        <f t="shared" si="10"/>
        <v>Status(DefenseRatio, 320)</v>
      </c>
      <c r="O133" s="60">
        <v>0</v>
      </c>
      <c r="P133" s="53">
        <v>0</v>
      </c>
      <c r="Q133" s="60"/>
      <c r="R133" s="93" t="b">
        <v>1</v>
      </c>
    </row>
    <row r="134" spans="1:18" s="179" customFormat="1">
      <c r="A134" s="60" t="s">
        <v>7272</v>
      </c>
      <c r="B134" s="60" t="s">
        <v>7273</v>
      </c>
      <c r="C134" s="60" t="s">
        <v>7274</v>
      </c>
      <c r="D134" s="60">
        <v>0</v>
      </c>
      <c r="E134" s="60">
        <v>1</v>
      </c>
      <c r="F134" s="60" t="s">
        <v>197</v>
      </c>
      <c r="G134" s="60" t="s">
        <v>198</v>
      </c>
      <c r="H134" s="60"/>
      <c r="I134" s="60">
        <v>0</v>
      </c>
      <c r="J134" s="60" t="s">
        <v>3202</v>
      </c>
      <c r="K134" s="60" t="s">
        <v>897</v>
      </c>
      <c r="L134" s="60">
        <v>320</v>
      </c>
      <c r="M134" s="60"/>
      <c r="N134" s="60" t="str">
        <f t="shared" si="10"/>
        <v>Status(DefenseRatio, 320)</v>
      </c>
      <c r="O134" s="60">
        <v>0</v>
      </c>
      <c r="P134" s="53">
        <v>0</v>
      </c>
      <c r="Q134" s="60"/>
      <c r="R134" s="93" t="b">
        <v>1</v>
      </c>
    </row>
    <row r="135" spans="1:18">
      <c r="A135" s="14" t="s">
        <v>6477</v>
      </c>
      <c r="B135" s="14"/>
      <c r="C135" s="14"/>
      <c r="D135" s="14">
        <v>0</v>
      </c>
      <c r="E135" s="14">
        <v>1</v>
      </c>
      <c r="F135" s="14" t="s">
        <v>197</v>
      </c>
      <c r="G135" s="14" t="s">
        <v>198</v>
      </c>
      <c r="H135" s="14"/>
      <c r="I135" s="14">
        <v>0</v>
      </c>
      <c r="J135" s="14" t="s">
        <v>891</v>
      </c>
      <c r="K135" s="14" t="s">
        <v>418</v>
      </c>
      <c r="L135" s="14">
        <v>100</v>
      </c>
      <c r="M135" s="14"/>
      <c r="N135" s="14" t="str">
        <f t="shared" si="8"/>
        <v>Reflect(All, 100)</v>
      </c>
      <c r="O135" s="14">
        <v>0</v>
      </c>
      <c r="P135" s="14">
        <v>0</v>
      </c>
      <c r="Q135" s="14"/>
      <c r="R135" s="14" t="b">
        <v>1</v>
      </c>
    </row>
    <row r="136" spans="1:18">
      <c r="A136" s="14" t="s">
        <v>293</v>
      </c>
      <c r="B136" s="14"/>
      <c r="C136" s="14"/>
      <c r="D136" s="14">
        <v>0</v>
      </c>
      <c r="E136" s="14">
        <v>1</v>
      </c>
      <c r="F136" s="14" t="s">
        <v>197</v>
      </c>
      <c r="G136" s="14" t="s">
        <v>198</v>
      </c>
      <c r="H136" s="14"/>
      <c r="I136" s="14">
        <v>0</v>
      </c>
      <c r="J136" s="14" t="s">
        <v>891</v>
      </c>
      <c r="K136" s="14" t="s">
        <v>418</v>
      </c>
      <c r="L136" s="14">
        <v>100</v>
      </c>
      <c r="M136" s="14"/>
      <c r="N136" s="14" t="str">
        <f t="shared" si="8"/>
        <v>Reflect(All, 100)</v>
      </c>
      <c r="O136" s="14">
        <v>0</v>
      </c>
      <c r="P136" s="14">
        <v>0</v>
      </c>
      <c r="Q136" s="14"/>
      <c r="R136" s="14" t="b">
        <v>1</v>
      </c>
    </row>
    <row r="137" spans="1:18">
      <c r="A137" s="14" t="s">
        <v>295</v>
      </c>
      <c r="B137" s="14"/>
      <c r="C137" s="14"/>
      <c r="D137" s="14">
        <v>0</v>
      </c>
      <c r="E137" s="14">
        <v>1</v>
      </c>
      <c r="F137" s="14" t="s">
        <v>197</v>
      </c>
      <c r="G137" s="14" t="s">
        <v>198</v>
      </c>
      <c r="H137" s="14"/>
      <c r="I137" s="14">
        <v>0</v>
      </c>
      <c r="J137" s="14" t="s">
        <v>891</v>
      </c>
      <c r="K137" s="14" t="s">
        <v>418</v>
      </c>
      <c r="L137" s="14">
        <v>100</v>
      </c>
      <c r="M137" s="14"/>
      <c r="N137" s="14" t="str">
        <f t="shared" si="8"/>
        <v>Reflect(All, 100)</v>
      </c>
      <c r="O137" s="14">
        <v>0</v>
      </c>
      <c r="P137" s="14">
        <v>0</v>
      </c>
      <c r="Q137" s="14"/>
      <c r="R137" s="14" t="b">
        <v>1</v>
      </c>
    </row>
    <row r="138" spans="1:18">
      <c r="A138" s="14" t="s">
        <v>6479</v>
      </c>
      <c r="B138" s="14"/>
      <c r="C138" s="14"/>
      <c r="D138" s="14">
        <v>0</v>
      </c>
      <c r="E138" s="14">
        <v>1</v>
      </c>
      <c r="F138" s="14" t="s">
        <v>197</v>
      </c>
      <c r="G138" s="14" t="s">
        <v>198</v>
      </c>
      <c r="H138" s="14"/>
      <c r="I138" s="14">
        <v>0</v>
      </c>
      <c r="J138" s="14" t="s">
        <v>891</v>
      </c>
      <c r="K138" s="14" t="s">
        <v>418</v>
      </c>
      <c r="L138" s="14">
        <v>100</v>
      </c>
      <c r="M138" s="14"/>
      <c r="N138" s="14" t="str">
        <f t="shared" si="8"/>
        <v>Reflect(All, 100)</v>
      </c>
      <c r="O138" s="14">
        <v>0</v>
      </c>
      <c r="P138" s="14">
        <v>0</v>
      </c>
      <c r="Q138" s="14"/>
      <c r="R138" s="14" t="b">
        <v>1</v>
      </c>
    </row>
    <row r="139" spans="1:18">
      <c r="A139" s="88" t="s">
        <v>6481</v>
      </c>
      <c r="B139" s="88"/>
      <c r="C139" s="88"/>
      <c r="D139" s="88">
        <v>0</v>
      </c>
      <c r="E139" s="88">
        <v>1</v>
      </c>
      <c r="F139" s="88" t="s">
        <v>197</v>
      </c>
      <c r="G139" s="88" t="s">
        <v>198</v>
      </c>
      <c r="H139" s="88"/>
      <c r="I139" s="88">
        <v>0</v>
      </c>
      <c r="J139" s="88" t="s">
        <v>891</v>
      </c>
      <c r="K139" s="88" t="s">
        <v>418</v>
      </c>
      <c r="L139" s="88">
        <v>100</v>
      </c>
      <c r="M139" s="88"/>
      <c r="N139" s="88" t="str">
        <f t="shared" si="8"/>
        <v>Reflect(All, 100)</v>
      </c>
      <c r="O139" s="88">
        <v>0</v>
      </c>
      <c r="P139" s="88">
        <v>0</v>
      </c>
      <c r="Q139" s="88"/>
      <c r="R139" s="88" t="b">
        <v>1</v>
      </c>
    </row>
    <row r="140" spans="1:18">
      <c r="A140" s="88" t="s">
        <v>6483</v>
      </c>
      <c r="B140" s="88"/>
      <c r="C140" s="88"/>
      <c r="D140" s="88">
        <v>0</v>
      </c>
      <c r="E140" s="88">
        <v>1</v>
      </c>
      <c r="F140" s="88" t="s">
        <v>197</v>
      </c>
      <c r="G140" s="88" t="s">
        <v>198</v>
      </c>
      <c r="H140" s="88"/>
      <c r="I140" s="88">
        <v>0</v>
      </c>
      <c r="J140" s="88" t="s">
        <v>891</v>
      </c>
      <c r="K140" s="88" t="s">
        <v>418</v>
      </c>
      <c r="L140" s="88">
        <v>100</v>
      </c>
      <c r="M140" s="88"/>
      <c r="N140" s="88" t="str">
        <f t="shared" si="8"/>
        <v>Reflect(All, 100)</v>
      </c>
      <c r="O140" s="88">
        <v>0</v>
      </c>
      <c r="P140" s="88">
        <v>0</v>
      </c>
      <c r="Q140" s="88"/>
      <c r="R140" s="88" t="b">
        <v>1</v>
      </c>
    </row>
    <row r="141" spans="1:18">
      <c r="A141" s="105" t="s">
        <v>1246</v>
      </c>
      <c r="B141" s="105"/>
      <c r="C141" s="105"/>
      <c r="D141" s="105">
        <v>0</v>
      </c>
      <c r="E141" s="105">
        <v>1</v>
      </c>
      <c r="F141" s="105" t="s">
        <v>197</v>
      </c>
      <c r="G141" s="105" t="s">
        <v>198</v>
      </c>
      <c r="H141" s="105"/>
      <c r="I141" s="105">
        <v>0</v>
      </c>
      <c r="J141" s="105" t="s">
        <v>893</v>
      </c>
      <c r="K141" s="105" t="s">
        <v>1250</v>
      </c>
      <c r="L141" s="105"/>
      <c r="M141" s="105"/>
      <c r="N141" s="105" t="str">
        <f t="shared" si="8"/>
        <v>Active(melissa.summon.passive.taunt.effect.01)</v>
      </c>
      <c r="O141" s="105">
        <v>0</v>
      </c>
      <c r="P141" s="105">
        <v>1000</v>
      </c>
      <c r="Q141" s="105"/>
      <c r="R141" s="105" t="b">
        <v>1</v>
      </c>
    </row>
    <row r="142" spans="1:18">
      <c r="A142" s="105" t="s">
        <v>1247</v>
      </c>
      <c r="B142" s="105"/>
      <c r="C142" s="105"/>
      <c r="D142" s="105">
        <v>0</v>
      </c>
      <c r="E142" s="105">
        <v>1</v>
      </c>
      <c r="F142" s="105" t="s">
        <v>197</v>
      </c>
      <c r="G142" s="105" t="s">
        <v>198</v>
      </c>
      <c r="H142" s="105"/>
      <c r="I142" s="105">
        <v>0</v>
      </c>
      <c r="J142" s="105" t="s">
        <v>893</v>
      </c>
      <c r="K142" s="105" t="s">
        <v>1251</v>
      </c>
      <c r="L142" s="105"/>
      <c r="M142" s="105"/>
      <c r="N142" s="105" t="str">
        <f t="shared" si="8"/>
        <v>Active(melissa.summon.passive.taunt.effect.02)</v>
      </c>
      <c r="O142" s="105">
        <v>0</v>
      </c>
      <c r="P142" s="105">
        <v>1000</v>
      </c>
      <c r="Q142" s="105"/>
      <c r="R142" s="105" t="b">
        <v>1</v>
      </c>
    </row>
    <row r="143" spans="1:18">
      <c r="A143" s="105" t="s">
        <v>1248</v>
      </c>
      <c r="B143" s="105"/>
      <c r="C143" s="105"/>
      <c r="D143" s="105">
        <v>0</v>
      </c>
      <c r="E143" s="105">
        <v>1</v>
      </c>
      <c r="F143" s="105" t="s">
        <v>197</v>
      </c>
      <c r="G143" s="105" t="s">
        <v>198</v>
      </c>
      <c r="H143" s="105"/>
      <c r="I143" s="105">
        <v>0</v>
      </c>
      <c r="J143" s="105" t="s">
        <v>893</v>
      </c>
      <c r="K143" s="105" t="s">
        <v>1252</v>
      </c>
      <c r="L143" s="105"/>
      <c r="M143" s="105"/>
      <c r="N143" s="105" t="str">
        <f t="shared" si="8"/>
        <v>Active(melissa.summon.passive.taunt.effect.03)</v>
      </c>
      <c r="O143" s="105">
        <v>0</v>
      </c>
      <c r="P143" s="105">
        <v>1000</v>
      </c>
      <c r="Q143" s="105"/>
      <c r="R143" s="105" t="b">
        <v>1</v>
      </c>
    </row>
    <row r="144" spans="1:18">
      <c r="A144" s="105" t="s">
        <v>1249</v>
      </c>
      <c r="B144" s="105"/>
      <c r="C144" s="105"/>
      <c r="D144" s="105">
        <v>0</v>
      </c>
      <c r="E144" s="105">
        <v>1</v>
      </c>
      <c r="F144" s="105" t="s">
        <v>197</v>
      </c>
      <c r="G144" s="105" t="s">
        <v>198</v>
      </c>
      <c r="H144" s="105"/>
      <c r="I144" s="105">
        <v>0</v>
      </c>
      <c r="J144" s="105" t="s">
        <v>893</v>
      </c>
      <c r="K144" s="105" t="s">
        <v>1253</v>
      </c>
      <c r="L144" s="105"/>
      <c r="M144" s="105"/>
      <c r="N144" s="105" t="str">
        <f t="shared" si="8"/>
        <v>Active(melissa.summon.passive.taunt.effect.04)</v>
      </c>
      <c r="O144" s="105">
        <v>0</v>
      </c>
      <c r="P144" s="105">
        <v>1000</v>
      </c>
      <c r="Q144" s="105"/>
      <c r="R144" s="105" t="b">
        <v>1</v>
      </c>
    </row>
    <row r="145" spans="1:18">
      <c r="A145" s="88" t="s">
        <v>6486</v>
      </c>
      <c r="B145" s="88"/>
      <c r="C145" s="88"/>
      <c r="D145" s="88">
        <v>0</v>
      </c>
      <c r="E145" s="88">
        <v>1</v>
      </c>
      <c r="F145" s="88" t="s">
        <v>197</v>
      </c>
      <c r="G145" s="88" t="s">
        <v>198</v>
      </c>
      <c r="H145" s="88"/>
      <c r="I145" s="88">
        <v>0</v>
      </c>
      <c r="J145" s="88" t="s">
        <v>893</v>
      </c>
      <c r="K145" s="88" t="s">
        <v>6557</v>
      </c>
      <c r="L145" s="88"/>
      <c r="M145" s="88"/>
      <c r="N145" s="88" t="str">
        <f t="shared" si="8"/>
        <v>Active(melissa.summon.passive.taunt.effect.05)</v>
      </c>
      <c r="O145" s="88">
        <v>0</v>
      </c>
      <c r="P145" s="88">
        <v>1000</v>
      </c>
      <c r="Q145" s="88"/>
      <c r="R145" s="88" t="b">
        <v>1</v>
      </c>
    </row>
    <row r="146" spans="1:18">
      <c r="A146" s="88" t="s">
        <v>6488</v>
      </c>
      <c r="B146" s="88"/>
      <c r="C146" s="88"/>
      <c r="D146" s="88">
        <v>0</v>
      </c>
      <c r="E146" s="88">
        <v>1</v>
      </c>
      <c r="F146" s="88" t="s">
        <v>197</v>
      </c>
      <c r="G146" s="88" t="s">
        <v>198</v>
      </c>
      <c r="H146" s="88"/>
      <c r="I146" s="88">
        <v>0</v>
      </c>
      <c r="J146" s="88" t="s">
        <v>893</v>
      </c>
      <c r="K146" s="88" t="s">
        <v>6558</v>
      </c>
      <c r="L146" s="88"/>
      <c r="M146" s="88"/>
      <c r="N146" s="88" t="str">
        <f t="shared" si="8"/>
        <v>Active(melissa.summon.passive.taunt.effect.06)</v>
      </c>
      <c r="O146" s="88">
        <v>0</v>
      </c>
      <c r="P146" s="88">
        <v>1000</v>
      </c>
      <c r="Q146" s="88"/>
      <c r="R146" s="88" t="b">
        <v>1</v>
      </c>
    </row>
    <row r="147" spans="1:18">
      <c r="A147" s="105" t="s">
        <v>3601</v>
      </c>
      <c r="B147" s="105"/>
      <c r="C147" s="105"/>
      <c r="D147" s="105">
        <v>0</v>
      </c>
      <c r="E147" s="105">
        <v>1</v>
      </c>
      <c r="F147" s="105" t="s">
        <v>197</v>
      </c>
      <c r="G147" s="105" t="s">
        <v>198</v>
      </c>
      <c r="H147" s="105"/>
      <c r="I147" s="105">
        <v>0</v>
      </c>
      <c r="J147" s="105" t="s">
        <v>893</v>
      </c>
      <c r="K147" s="105" t="s">
        <v>3607</v>
      </c>
      <c r="L147" s="105"/>
      <c r="M147" s="105"/>
      <c r="N147" s="105" t="str">
        <f t="shared" si="8"/>
        <v>Active(melissa.summon.passive.end.effect.01)</v>
      </c>
      <c r="O147" s="105">
        <v>0</v>
      </c>
      <c r="P147" s="105">
        <v>1000</v>
      </c>
      <c r="Q147" s="105"/>
      <c r="R147" s="105" t="b">
        <v>1</v>
      </c>
    </row>
    <row r="148" spans="1:18">
      <c r="A148" s="105" t="s">
        <v>3602</v>
      </c>
      <c r="B148" s="105"/>
      <c r="C148" s="105"/>
      <c r="D148" s="105">
        <v>0</v>
      </c>
      <c r="E148" s="105">
        <v>1</v>
      </c>
      <c r="F148" s="105" t="s">
        <v>197</v>
      </c>
      <c r="G148" s="105" t="s">
        <v>198</v>
      </c>
      <c r="H148" s="105"/>
      <c r="I148" s="105">
        <v>0</v>
      </c>
      <c r="J148" s="105" t="s">
        <v>893</v>
      </c>
      <c r="K148" s="105" t="s">
        <v>3590</v>
      </c>
      <c r="L148" s="105"/>
      <c r="M148" s="105"/>
      <c r="N148" s="105" t="str">
        <f t="shared" si="8"/>
        <v>Active(melissa.summon.passive.end.effect.02)</v>
      </c>
      <c r="O148" s="105">
        <v>0</v>
      </c>
      <c r="P148" s="105">
        <v>1000</v>
      </c>
      <c r="Q148" s="105"/>
      <c r="R148" s="105" t="b">
        <v>1</v>
      </c>
    </row>
    <row r="149" spans="1:18">
      <c r="A149" s="105" t="s">
        <v>3603</v>
      </c>
      <c r="B149" s="105"/>
      <c r="C149" s="105"/>
      <c r="D149" s="105">
        <v>0</v>
      </c>
      <c r="E149" s="105">
        <v>1</v>
      </c>
      <c r="F149" s="105" t="s">
        <v>197</v>
      </c>
      <c r="G149" s="105" t="s">
        <v>198</v>
      </c>
      <c r="H149" s="105"/>
      <c r="I149" s="105">
        <v>0</v>
      </c>
      <c r="J149" s="105" t="s">
        <v>893</v>
      </c>
      <c r="K149" s="105" t="s">
        <v>3591</v>
      </c>
      <c r="L149" s="105"/>
      <c r="M149" s="105"/>
      <c r="N149" s="105" t="str">
        <f t="shared" si="8"/>
        <v>Active(melissa.summon.passive.end.effect.03)</v>
      </c>
      <c r="O149" s="105">
        <v>0</v>
      </c>
      <c r="P149" s="105">
        <v>1000</v>
      </c>
      <c r="Q149" s="105"/>
      <c r="R149" s="105" t="b">
        <v>1</v>
      </c>
    </row>
    <row r="150" spans="1:18">
      <c r="A150" s="105" t="s">
        <v>3604</v>
      </c>
      <c r="B150" s="105"/>
      <c r="C150" s="105"/>
      <c r="D150" s="105">
        <v>0</v>
      </c>
      <c r="E150" s="105">
        <v>1</v>
      </c>
      <c r="F150" s="105" t="s">
        <v>197</v>
      </c>
      <c r="G150" s="105" t="s">
        <v>198</v>
      </c>
      <c r="H150" s="105"/>
      <c r="I150" s="105">
        <v>0</v>
      </c>
      <c r="J150" s="105" t="s">
        <v>893</v>
      </c>
      <c r="K150" s="105" t="s">
        <v>3592</v>
      </c>
      <c r="L150" s="105"/>
      <c r="M150" s="105"/>
      <c r="N150" s="105" t="str">
        <f t="shared" si="8"/>
        <v>Active(melissa.summon.passive.end.effect.04)</v>
      </c>
      <c r="O150" s="105">
        <v>0</v>
      </c>
      <c r="P150" s="105">
        <v>1000</v>
      </c>
      <c r="Q150" s="105"/>
      <c r="R150" s="105" t="b">
        <v>1</v>
      </c>
    </row>
    <row r="151" spans="1:18">
      <c r="A151" s="88" t="s">
        <v>3605</v>
      </c>
      <c r="B151" s="88"/>
      <c r="C151" s="88"/>
      <c r="D151" s="88">
        <v>0</v>
      </c>
      <c r="E151" s="88">
        <v>1</v>
      </c>
      <c r="F151" s="88" t="s">
        <v>197</v>
      </c>
      <c r="G151" s="88" t="s">
        <v>198</v>
      </c>
      <c r="H151" s="88"/>
      <c r="I151" s="88">
        <v>0</v>
      </c>
      <c r="J151" s="88" t="s">
        <v>893</v>
      </c>
      <c r="K151" s="88" t="s">
        <v>3593</v>
      </c>
      <c r="L151" s="88"/>
      <c r="M151" s="88"/>
      <c r="N151" s="88" t="str">
        <f t="shared" si="8"/>
        <v>Active(melissa.summon.passive.end.effect.05)</v>
      </c>
      <c r="O151" s="88">
        <v>0</v>
      </c>
      <c r="P151" s="88">
        <v>1000</v>
      </c>
      <c r="Q151" s="88"/>
      <c r="R151" s="88" t="b">
        <v>1</v>
      </c>
    </row>
    <row r="152" spans="1:18">
      <c r="A152" s="88" t="s">
        <v>3606</v>
      </c>
      <c r="B152" s="88"/>
      <c r="C152" s="88"/>
      <c r="D152" s="88">
        <v>0</v>
      </c>
      <c r="E152" s="88">
        <v>1</v>
      </c>
      <c r="F152" s="88" t="s">
        <v>197</v>
      </c>
      <c r="G152" s="88" t="s">
        <v>198</v>
      </c>
      <c r="H152" s="88"/>
      <c r="I152" s="88">
        <v>0</v>
      </c>
      <c r="J152" s="88" t="s">
        <v>893</v>
      </c>
      <c r="K152" s="88" t="s">
        <v>3594</v>
      </c>
      <c r="L152" s="88"/>
      <c r="M152" s="88"/>
      <c r="N152" s="88" t="str">
        <f t="shared" si="8"/>
        <v>Active(melissa.summon.passive.end.effect.06)</v>
      </c>
      <c r="O152" s="88">
        <v>0</v>
      </c>
      <c r="P152" s="88">
        <v>1000</v>
      </c>
      <c r="Q152" s="88"/>
      <c r="R152" s="88" t="b">
        <v>1</v>
      </c>
    </row>
    <row r="153" spans="1:18">
      <c r="A153" s="25" t="s">
        <v>297</v>
      </c>
      <c r="B153" s="25"/>
      <c r="C153" s="25"/>
      <c r="D153" s="25">
        <v>0</v>
      </c>
      <c r="E153" s="25">
        <v>1</v>
      </c>
      <c r="F153" s="25" t="s">
        <v>197</v>
      </c>
      <c r="G153" s="25" t="s">
        <v>198</v>
      </c>
      <c r="H153" s="25"/>
      <c r="I153" s="25">
        <v>0</v>
      </c>
      <c r="J153" s="25" t="s">
        <v>891</v>
      </c>
      <c r="K153" s="25" t="s">
        <v>6559</v>
      </c>
      <c r="L153" s="25">
        <v>80</v>
      </c>
      <c r="M153" s="25"/>
      <c r="N153" s="25" t="str">
        <f t="shared" si="8"/>
        <v>Reflect(Range, 80)</v>
      </c>
      <c r="O153" s="25">
        <v>0</v>
      </c>
      <c r="P153" s="25">
        <v>0</v>
      </c>
      <c r="Q153" s="25"/>
      <c r="R153" s="25" t="b">
        <v>1</v>
      </c>
    </row>
    <row r="154" spans="1:18">
      <c r="A154" s="25" t="s">
        <v>299</v>
      </c>
      <c r="B154" s="25"/>
      <c r="C154" s="25"/>
      <c r="D154" s="25">
        <v>0</v>
      </c>
      <c r="E154" s="25">
        <v>1</v>
      </c>
      <c r="F154" s="25" t="s">
        <v>197</v>
      </c>
      <c r="G154" s="25" t="s">
        <v>198</v>
      </c>
      <c r="H154" s="25"/>
      <c r="I154" s="25">
        <v>0</v>
      </c>
      <c r="J154" s="25" t="s">
        <v>891</v>
      </c>
      <c r="K154" s="25" t="s">
        <v>6559</v>
      </c>
      <c r="L154" s="25">
        <v>90</v>
      </c>
      <c r="M154" s="25"/>
      <c r="N154" s="25" t="str">
        <f t="shared" si="8"/>
        <v>Reflect(Range, 90)</v>
      </c>
      <c r="O154" s="25">
        <v>0</v>
      </c>
      <c r="P154" s="25">
        <v>0</v>
      </c>
      <c r="Q154" s="25"/>
      <c r="R154" s="25" t="b">
        <v>1</v>
      </c>
    </row>
    <row r="155" spans="1:18">
      <c r="A155" s="25" t="s">
        <v>301</v>
      </c>
      <c r="B155" s="25"/>
      <c r="C155" s="25"/>
      <c r="D155" s="25">
        <v>0</v>
      </c>
      <c r="E155" s="25">
        <v>1</v>
      </c>
      <c r="F155" s="25" t="s">
        <v>197</v>
      </c>
      <c r="G155" s="25" t="s">
        <v>198</v>
      </c>
      <c r="H155" s="25"/>
      <c r="I155" s="25">
        <v>0</v>
      </c>
      <c r="J155" s="25" t="s">
        <v>891</v>
      </c>
      <c r="K155" s="25" t="s">
        <v>6559</v>
      </c>
      <c r="L155" s="25">
        <v>100</v>
      </c>
      <c r="M155" s="25"/>
      <c r="N155" s="25" t="str">
        <f t="shared" si="8"/>
        <v>Reflect(Range, 100)</v>
      </c>
      <c r="O155" s="25">
        <v>0</v>
      </c>
      <c r="P155" s="25">
        <v>0</v>
      </c>
      <c r="Q155" s="25"/>
      <c r="R155" s="25" t="b">
        <v>1</v>
      </c>
    </row>
    <row r="156" spans="1:18">
      <c r="A156" s="34" t="s">
        <v>303</v>
      </c>
      <c r="B156" s="34"/>
      <c r="C156" s="34"/>
      <c r="D156" s="34">
        <v>0</v>
      </c>
      <c r="E156" s="34">
        <v>1</v>
      </c>
      <c r="F156" s="34" t="s">
        <v>197</v>
      </c>
      <c r="G156" s="34" t="s">
        <v>198</v>
      </c>
      <c r="H156" s="34"/>
      <c r="I156" s="34">
        <v>0</v>
      </c>
      <c r="J156" s="34" t="s">
        <v>891</v>
      </c>
      <c r="K156" s="34" t="s">
        <v>6559</v>
      </c>
      <c r="L156" s="34">
        <v>120</v>
      </c>
      <c r="M156" s="34"/>
      <c r="N156" s="34" t="str">
        <f t="shared" si="8"/>
        <v>Reflect(Range, 120)</v>
      </c>
      <c r="O156" s="34">
        <v>0</v>
      </c>
      <c r="P156" s="34">
        <v>0</v>
      </c>
      <c r="Q156" s="34"/>
      <c r="R156" s="34" t="b">
        <v>1</v>
      </c>
    </row>
    <row r="157" spans="1:18">
      <c r="A157" s="34" t="s">
        <v>305</v>
      </c>
      <c r="B157" s="34"/>
      <c r="C157" s="34"/>
      <c r="D157" s="34">
        <v>0</v>
      </c>
      <c r="E157" s="34">
        <v>1</v>
      </c>
      <c r="F157" s="34" t="s">
        <v>197</v>
      </c>
      <c r="G157" s="34" t="s">
        <v>198</v>
      </c>
      <c r="H157" s="34"/>
      <c r="I157" s="34">
        <v>0</v>
      </c>
      <c r="J157" s="34" t="s">
        <v>891</v>
      </c>
      <c r="K157" s="34" t="s">
        <v>6559</v>
      </c>
      <c r="L157" s="34">
        <v>140</v>
      </c>
      <c r="M157" s="34"/>
      <c r="N157" s="34" t="str">
        <f t="shared" si="8"/>
        <v>Reflect(Range, 140)</v>
      </c>
      <c r="O157" s="34">
        <v>0</v>
      </c>
      <c r="P157" s="34">
        <v>0</v>
      </c>
      <c r="Q157" s="34"/>
      <c r="R157" s="34" t="b">
        <v>1</v>
      </c>
    </row>
    <row r="158" spans="1:18">
      <c r="A158" s="34" t="s">
        <v>307</v>
      </c>
      <c r="B158" s="34"/>
      <c r="C158" s="34"/>
      <c r="D158" s="34">
        <v>0</v>
      </c>
      <c r="E158" s="34">
        <v>1</v>
      </c>
      <c r="F158" s="34" t="s">
        <v>197</v>
      </c>
      <c r="G158" s="34" t="s">
        <v>198</v>
      </c>
      <c r="H158" s="34"/>
      <c r="I158" s="34">
        <v>0</v>
      </c>
      <c r="J158" s="34" t="s">
        <v>891</v>
      </c>
      <c r="K158" s="34" t="s">
        <v>6559</v>
      </c>
      <c r="L158" s="34">
        <v>400</v>
      </c>
      <c r="M158" s="34"/>
      <c r="N158" s="34" t="str">
        <f t="shared" si="8"/>
        <v>Reflect(Range, 400)</v>
      </c>
      <c r="O158" s="34">
        <v>0</v>
      </c>
      <c r="P158" s="34">
        <v>0</v>
      </c>
      <c r="Q158" s="34"/>
      <c r="R158" s="34" t="b">
        <v>1</v>
      </c>
    </row>
    <row r="159" spans="1:18">
      <c r="A159" s="26" t="s">
        <v>309</v>
      </c>
      <c r="B159" s="26"/>
      <c r="C159" s="26"/>
      <c r="D159" s="26">
        <v>0</v>
      </c>
      <c r="E159" s="26">
        <v>1</v>
      </c>
      <c r="F159" s="26" t="s">
        <v>197</v>
      </c>
      <c r="G159" s="26" t="s">
        <v>198</v>
      </c>
      <c r="H159" s="26"/>
      <c r="I159" s="26">
        <v>0</v>
      </c>
      <c r="J159" s="26" t="s">
        <v>893</v>
      </c>
      <c r="K159" s="26" t="s">
        <v>894</v>
      </c>
      <c r="L159" s="26"/>
      <c r="M159" s="26"/>
      <c r="N159" s="26" t="str">
        <f t="shared" si="8"/>
        <v>Active(melissa.passive.effect.buffeffect.skilleffect)</v>
      </c>
      <c r="O159" s="26">
        <v>0</v>
      </c>
      <c r="P159" s="26">
        <v>0</v>
      </c>
      <c r="Q159" s="26"/>
      <c r="R159" s="26" t="b">
        <v>1</v>
      </c>
    </row>
    <row r="160" spans="1:18">
      <c r="A160" s="26" t="s">
        <v>6560</v>
      </c>
      <c r="B160" s="26"/>
      <c r="C160" s="26"/>
      <c r="D160" s="26">
        <v>0</v>
      </c>
      <c r="E160" s="26">
        <v>1</v>
      </c>
      <c r="F160" s="26" t="s">
        <v>197</v>
      </c>
      <c r="G160" s="26" t="s">
        <v>198</v>
      </c>
      <c r="H160" s="26"/>
      <c r="I160" s="26">
        <v>0</v>
      </c>
      <c r="J160" s="26" t="s">
        <v>191</v>
      </c>
      <c r="K160" s="26" t="s">
        <v>1388</v>
      </c>
      <c r="L160" s="26" t="s">
        <v>1387</v>
      </c>
      <c r="M160" s="26"/>
      <c r="N160" s="26" t="str">
        <f t="shared" si="8"/>
        <v>Effect(BeHitRange, melissa.passive.reflect.effect)</v>
      </c>
      <c r="O160" s="26">
        <v>0</v>
      </c>
      <c r="P160" s="26">
        <v>0</v>
      </c>
      <c r="Q160" s="26"/>
      <c r="R160" s="26" t="b">
        <v>1</v>
      </c>
    </row>
    <row r="161" spans="1:18">
      <c r="A161" s="25" t="s">
        <v>6493</v>
      </c>
      <c r="B161" s="25"/>
      <c r="C161" s="25"/>
      <c r="D161" s="25">
        <v>0</v>
      </c>
      <c r="E161" s="25">
        <v>1</v>
      </c>
      <c r="F161" s="25" t="s">
        <v>197</v>
      </c>
      <c r="G161" s="25" t="s">
        <v>198</v>
      </c>
      <c r="H161" s="25"/>
      <c r="I161" s="25">
        <v>0</v>
      </c>
      <c r="J161" s="25" t="s">
        <v>876</v>
      </c>
      <c r="K161" s="25" t="s">
        <v>1758</v>
      </c>
      <c r="L161" s="25" t="s">
        <v>6561</v>
      </c>
      <c r="M161" s="25" t="s">
        <v>1760</v>
      </c>
      <c r="N161" s="25" t="str">
        <f t="shared" si="8"/>
        <v>Event(FireSkill, melissa.passive.ex.buff.buffeffect.skilleffect.01, FireCondition(Skill1))</v>
      </c>
      <c r="O161" s="25">
        <v>0</v>
      </c>
      <c r="P161" s="25">
        <v>0</v>
      </c>
      <c r="Q161" s="25"/>
      <c r="R161" s="25" t="b">
        <v>1</v>
      </c>
    </row>
    <row r="162" spans="1:18">
      <c r="A162" s="25" t="s">
        <v>3614</v>
      </c>
      <c r="B162" s="25"/>
      <c r="C162" s="25"/>
      <c r="D162" s="25">
        <v>0</v>
      </c>
      <c r="E162" s="25">
        <v>1</v>
      </c>
      <c r="F162" s="25" t="s">
        <v>197</v>
      </c>
      <c r="G162" s="25" t="s">
        <v>198</v>
      </c>
      <c r="H162" s="25"/>
      <c r="I162" s="25">
        <v>0</v>
      </c>
      <c r="J162" s="25" t="s">
        <v>876</v>
      </c>
      <c r="K162" s="25" t="s">
        <v>1758</v>
      </c>
      <c r="L162" s="25" t="s">
        <v>3619</v>
      </c>
      <c r="M162" s="25" t="s">
        <v>1760</v>
      </c>
      <c r="N162" s="25" t="str">
        <f t="shared" si="8"/>
        <v>Event(FireSkill, melissa.passive.ex.buff.buffeffect.skilleffect.02, FireCondition(Skill1))</v>
      </c>
      <c r="O162" s="25">
        <v>0</v>
      </c>
      <c r="P162" s="25">
        <v>0</v>
      </c>
      <c r="Q162" s="25"/>
      <c r="R162" s="25" t="b">
        <v>1</v>
      </c>
    </row>
    <row r="163" spans="1:18">
      <c r="A163" s="25" t="s">
        <v>3615</v>
      </c>
      <c r="B163" s="25"/>
      <c r="C163" s="25"/>
      <c r="D163" s="25">
        <v>0</v>
      </c>
      <c r="E163" s="25">
        <v>1</v>
      </c>
      <c r="F163" s="25" t="s">
        <v>197</v>
      </c>
      <c r="G163" s="25" t="s">
        <v>198</v>
      </c>
      <c r="H163" s="25"/>
      <c r="I163" s="25">
        <v>0</v>
      </c>
      <c r="J163" s="25" t="s">
        <v>876</v>
      </c>
      <c r="K163" s="25" t="s">
        <v>1758</v>
      </c>
      <c r="L163" s="25" t="s">
        <v>3620</v>
      </c>
      <c r="M163" s="25" t="s">
        <v>1760</v>
      </c>
      <c r="N163" s="25" t="str">
        <f t="shared" si="8"/>
        <v>Event(FireSkill, melissa.passive.ex.buff.buffeffect.skilleffect.03, FireCondition(Skill1))</v>
      </c>
      <c r="O163" s="25">
        <v>0</v>
      </c>
      <c r="P163" s="25">
        <v>0</v>
      </c>
      <c r="Q163" s="25"/>
      <c r="R163" s="25" t="b">
        <v>1</v>
      </c>
    </row>
    <row r="164" spans="1:18">
      <c r="A164" s="34" t="s">
        <v>3616</v>
      </c>
      <c r="B164" s="34"/>
      <c r="C164" s="34"/>
      <c r="D164" s="34">
        <v>0</v>
      </c>
      <c r="E164" s="34">
        <v>1</v>
      </c>
      <c r="F164" s="34" t="s">
        <v>197</v>
      </c>
      <c r="G164" s="34" t="s">
        <v>198</v>
      </c>
      <c r="H164" s="34"/>
      <c r="I164" s="34">
        <v>0</v>
      </c>
      <c r="J164" s="34" t="s">
        <v>876</v>
      </c>
      <c r="K164" s="34" t="s">
        <v>1758</v>
      </c>
      <c r="L164" s="34" t="s">
        <v>3621</v>
      </c>
      <c r="M164" s="34" t="s">
        <v>1760</v>
      </c>
      <c r="N164" s="34" t="str">
        <f t="shared" si="8"/>
        <v>Event(FireSkill, melissa.passive.ex.buff.buffeffect.skilleffect.04, FireCondition(Skill1))</v>
      </c>
      <c r="O164" s="34">
        <v>0</v>
      </c>
      <c r="P164" s="34">
        <v>0</v>
      </c>
      <c r="Q164" s="34"/>
      <c r="R164" s="34" t="b">
        <v>1</v>
      </c>
    </row>
    <row r="165" spans="1:18">
      <c r="A165" s="34" t="s">
        <v>3617</v>
      </c>
      <c r="B165" s="34"/>
      <c r="C165" s="34"/>
      <c r="D165" s="34">
        <v>0</v>
      </c>
      <c r="E165" s="34">
        <v>1</v>
      </c>
      <c r="F165" s="34" t="s">
        <v>197</v>
      </c>
      <c r="G165" s="34" t="s">
        <v>198</v>
      </c>
      <c r="H165" s="34"/>
      <c r="I165" s="34">
        <v>0</v>
      </c>
      <c r="J165" s="34" t="s">
        <v>876</v>
      </c>
      <c r="K165" s="34" t="s">
        <v>1758</v>
      </c>
      <c r="L165" s="34" t="s">
        <v>3622</v>
      </c>
      <c r="M165" s="34" t="s">
        <v>1760</v>
      </c>
      <c r="N165" s="34" t="str">
        <f t="shared" si="8"/>
        <v>Event(FireSkill, melissa.passive.ex.buff.buffeffect.skilleffect.05, FireCondition(Skill1))</v>
      </c>
      <c r="O165" s="34">
        <v>0</v>
      </c>
      <c r="P165" s="34">
        <v>0</v>
      </c>
      <c r="Q165" s="34"/>
      <c r="R165" s="34" t="b">
        <v>1</v>
      </c>
    </row>
    <row r="166" spans="1:18">
      <c r="A166" s="34" t="s">
        <v>3618</v>
      </c>
      <c r="B166" s="34"/>
      <c r="C166" s="34"/>
      <c r="D166" s="34">
        <v>0</v>
      </c>
      <c r="E166" s="34">
        <v>1</v>
      </c>
      <c r="F166" s="34" t="s">
        <v>197</v>
      </c>
      <c r="G166" s="34" t="s">
        <v>198</v>
      </c>
      <c r="H166" s="34"/>
      <c r="I166" s="34">
        <v>0</v>
      </c>
      <c r="J166" s="34" t="s">
        <v>876</v>
      </c>
      <c r="K166" s="34" t="s">
        <v>1758</v>
      </c>
      <c r="L166" s="34" t="s">
        <v>3623</v>
      </c>
      <c r="M166" s="34" t="s">
        <v>1760</v>
      </c>
      <c r="N166" s="34" t="str">
        <f t="shared" si="8"/>
        <v>Event(FireSkill, melissa.passive.ex.buff.buffeffect.skilleffect.06, FireCondition(Skill1))</v>
      </c>
      <c r="O166" s="34">
        <v>0</v>
      </c>
      <c r="P166" s="34">
        <v>0</v>
      </c>
      <c r="Q166" s="34"/>
      <c r="R166" s="34" t="b">
        <v>1</v>
      </c>
    </row>
    <row r="167" spans="1:18">
      <c r="A167" s="53" t="s">
        <v>3425</v>
      </c>
      <c r="B167" s="53"/>
      <c r="C167" s="53"/>
      <c r="D167" s="53">
        <v>0</v>
      </c>
      <c r="E167" s="53">
        <v>1</v>
      </c>
      <c r="F167" s="53" t="s">
        <v>197</v>
      </c>
      <c r="G167" s="53" t="s">
        <v>198</v>
      </c>
      <c r="H167" s="53"/>
      <c r="I167" s="53">
        <v>0</v>
      </c>
      <c r="J167" s="53" t="s">
        <v>893</v>
      </c>
      <c r="K167" s="53" t="s">
        <v>6562</v>
      </c>
      <c r="L167" s="53"/>
      <c r="M167" s="53"/>
      <c r="N167" s="53" t="str">
        <f t="shared" si="8"/>
        <v>Active(lilian.ult.pull.buffeffect.skilleffect)</v>
      </c>
      <c r="O167" s="53">
        <v>0</v>
      </c>
      <c r="P167" s="53">
        <v>1000</v>
      </c>
      <c r="Q167" s="53"/>
      <c r="R167" s="53" t="b">
        <v>1</v>
      </c>
    </row>
    <row r="168" spans="1:18">
      <c r="A168" s="51" t="s">
        <v>2278</v>
      </c>
      <c r="B168" s="51"/>
      <c r="C168" s="51"/>
      <c r="D168" s="51">
        <v>0</v>
      </c>
      <c r="E168" s="51">
        <v>1</v>
      </c>
      <c r="F168" s="51" t="s">
        <v>197</v>
      </c>
      <c r="G168" s="51" t="s">
        <v>198</v>
      </c>
      <c r="H168" s="51"/>
      <c r="I168" s="51">
        <v>0</v>
      </c>
      <c r="J168" s="51" t="s">
        <v>889</v>
      </c>
      <c r="K168" s="51" t="s">
        <v>890</v>
      </c>
      <c r="L168" s="51">
        <v>6500</v>
      </c>
      <c r="M168" s="51"/>
      <c r="N168" s="51" t="str">
        <f t="shared" si="8"/>
        <v>Shield(Defense, 6500)</v>
      </c>
      <c r="O168" s="51">
        <v>0</v>
      </c>
      <c r="P168" s="51">
        <v>0</v>
      </c>
      <c r="Q168" s="51"/>
      <c r="R168" s="51" t="b">
        <v>1</v>
      </c>
    </row>
    <row r="169" spans="1:18">
      <c r="A169" s="51" t="s">
        <v>2279</v>
      </c>
      <c r="B169" s="51"/>
      <c r="C169" s="51"/>
      <c r="D169" s="51">
        <v>0</v>
      </c>
      <c r="E169" s="51">
        <v>1</v>
      </c>
      <c r="F169" s="51" t="s">
        <v>197</v>
      </c>
      <c r="G169" s="51" t="s">
        <v>198</v>
      </c>
      <c r="H169" s="51"/>
      <c r="I169" s="51">
        <v>0</v>
      </c>
      <c r="J169" s="51" t="s">
        <v>889</v>
      </c>
      <c r="K169" s="51" t="s">
        <v>890</v>
      </c>
      <c r="L169" s="51">
        <v>6500</v>
      </c>
      <c r="M169" s="51"/>
      <c r="N169" s="51" t="str">
        <f t="shared" si="8"/>
        <v>Shield(Defense, 6500)</v>
      </c>
      <c r="O169" s="51">
        <v>0</v>
      </c>
      <c r="P169" s="51">
        <v>0</v>
      </c>
      <c r="Q169" s="51"/>
      <c r="R169" s="51" t="b">
        <v>1</v>
      </c>
    </row>
    <row r="170" spans="1:18">
      <c r="A170" s="51" t="s">
        <v>2280</v>
      </c>
      <c r="B170" s="51"/>
      <c r="C170" s="51"/>
      <c r="D170" s="51">
        <v>0</v>
      </c>
      <c r="E170" s="51">
        <v>1</v>
      </c>
      <c r="F170" s="51" t="s">
        <v>197</v>
      </c>
      <c r="G170" s="51" t="s">
        <v>198</v>
      </c>
      <c r="H170" s="51"/>
      <c r="I170" s="51">
        <v>0</v>
      </c>
      <c r="J170" s="51" t="s">
        <v>889</v>
      </c>
      <c r="K170" s="51" t="s">
        <v>890</v>
      </c>
      <c r="L170" s="51">
        <v>8000</v>
      </c>
      <c r="M170" s="51"/>
      <c r="N170" s="51" t="str">
        <f t="shared" si="8"/>
        <v>Shield(Defense, 8000)</v>
      </c>
      <c r="O170" s="51">
        <v>0</v>
      </c>
      <c r="P170" s="51">
        <v>0</v>
      </c>
      <c r="Q170" s="51"/>
      <c r="R170" s="51" t="b">
        <v>1</v>
      </c>
    </row>
    <row r="171" spans="1:18">
      <c r="A171" s="34" t="s">
        <v>2281</v>
      </c>
      <c r="B171" s="34"/>
      <c r="C171" s="34"/>
      <c r="D171" s="34">
        <v>0</v>
      </c>
      <c r="E171" s="34">
        <v>1</v>
      </c>
      <c r="F171" s="34" t="s">
        <v>197</v>
      </c>
      <c r="G171" s="34" t="s">
        <v>198</v>
      </c>
      <c r="H171" s="34"/>
      <c r="I171" s="34">
        <v>0</v>
      </c>
      <c r="J171" s="34" t="s">
        <v>889</v>
      </c>
      <c r="K171" s="34" t="s">
        <v>890</v>
      </c>
      <c r="L171" s="34">
        <v>8000</v>
      </c>
      <c r="M171" s="34"/>
      <c r="N171" s="34" t="str">
        <f t="shared" si="8"/>
        <v>Shield(Defense, 8000)</v>
      </c>
      <c r="O171" s="34">
        <v>0</v>
      </c>
      <c r="P171" s="34">
        <v>0</v>
      </c>
      <c r="Q171" s="34"/>
      <c r="R171" s="34" t="b">
        <v>1</v>
      </c>
    </row>
    <row r="172" spans="1:18">
      <c r="A172" s="34" t="s">
        <v>2282</v>
      </c>
      <c r="B172" s="34"/>
      <c r="C172" s="34"/>
      <c r="D172" s="34">
        <v>0</v>
      </c>
      <c r="E172" s="34">
        <v>1</v>
      </c>
      <c r="F172" s="34" t="s">
        <v>197</v>
      </c>
      <c r="G172" s="34" t="s">
        <v>198</v>
      </c>
      <c r="H172" s="34"/>
      <c r="I172" s="34">
        <v>0</v>
      </c>
      <c r="J172" s="34" t="s">
        <v>889</v>
      </c>
      <c r="K172" s="34" t="s">
        <v>890</v>
      </c>
      <c r="L172" s="34">
        <v>2500</v>
      </c>
      <c r="M172" s="34"/>
      <c r="N172" s="34" t="str">
        <f t="shared" si="8"/>
        <v>Shield(Defense, 2500)</v>
      </c>
      <c r="O172" s="34">
        <v>0</v>
      </c>
      <c r="P172" s="34">
        <v>0</v>
      </c>
      <c r="Q172" s="34"/>
      <c r="R172" s="34" t="b">
        <v>1</v>
      </c>
    </row>
    <row r="173" spans="1:18">
      <c r="A173" s="34" t="s">
        <v>2283</v>
      </c>
      <c r="B173" s="34"/>
      <c r="C173" s="34"/>
      <c r="D173" s="34">
        <v>0</v>
      </c>
      <c r="E173" s="34">
        <v>1</v>
      </c>
      <c r="F173" s="34" t="s">
        <v>197</v>
      </c>
      <c r="G173" s="34" t="s">
        <v>198</v>
      </c>
      <c r="H173" s="34"/>
      <c r="I173" s="34">
        <v>0</v>
      </c>
      <c r="J173" s="34" t="s">
        <v>889</v>
      </c>
      <c r="K173" s="34" t="s">
        <v>890</v>
      </c>
      <c r="L173" s="34">
        <v>2500</v>
      </c>
      <c r="M173" s="34"/>
      <c r="N173" s="34" t="str">
        <f t="shared" si="8"/>
        <v>Shield(Defense, 2500)</v>
      </c>
      <c r="O173" s="34">
        <v>0</v>
      </c>
      <c r="P173" s="34">
        <v>0</v>
      </c>
      <c r="Q173" s="34"/>
      <c r="R173" s="34" t="b">
        <v>1</v>
      </c>
    </row>
    <row r="174" spans="1:18">
      <c r="A174" s="53" t="s">
        <v>322</v>
      </c>
      <c r="B174" s="53"/>
      <c r="C174" s="53"/>
      <c r="D174" s="53">
        <v>0</v>
      </c>
      <c r="E174" s="53">
        <v>1</v>
      </c>
      <c r="F174" s="53" t="s">
        <v>197</v>
      </c>
      <c r="G174" s="53" t="s">
        <v>198</v>
      </c>
      <c r="H174" s="53"/>
      <c r="I174" s="53">
        <v>0</v>
      </c>
      <c r="J174" s="53" t="s">
        <v>191</v>
      </c>
      <c r="K174" s="53" t="s">
        <v>1388</v>
      </c>
      <c r="L174" s="53" t="s">
        <v>898</v>
      </c>
      <c r="M174" s="53"/>
      <c r="N174" s="53" t="str">
        <f t="shared" si="8"/>
        <v>Effect(BeHitRange, lilian.passive.buff.buffeffect.skilleffect.01)</v>
      </c>
      <c r="O174" s="53">
        <v>0</v>
      </c>
      <c r="P174" s="53">
        <v>0</v>
      </c>
      <c r="Q174" s="53"/>
      <c r="R174" s="53" t="b">
        <v>1</v>
      </c>
    </row>
    <row r="175" spans="1:18">
      <c r="A175" s="53" t="s">
        <v>324</v>
      </c>
      <c r="B175" s="53"/>
      <c r="C175" s="53"/>
      <c r="D175" s="53">
        <v>0</v>
      </c>
      <c r="E175" s="53">
        <v>1</v>
      </c>
      <c r="F175" s="53" t="s">
        <v>197</v>
      </c>
      <c r="G175" s="53" t="s">
        <v>198</v>
      </c>
      <c r="H175" s="53"/>
      <c r="I175" s="53">
        <v>0</v>
      </c>
      <c r="J175" s="53" t="s">
        <v>191</v>
      </c>
      <c r="K175" s="53" t="s">
        <v>1388</v>
      </c>
      <c r="L175" s="53" t="s">
        <v>899</v>
      </c>
      <c r="M175" s="53"/>
      <c r="N175" s="53" t="str">
        <f t="shared" ref="N175:N238" si="11">J175&amp;"("&amp;IF(K175="","",K175)&amp;IF(L175="","",", "&amp;L175)&amp;IF(M175="","",", "&amp;M175)&amp;")"</f>
        <v>Effect(BeHitRange, lilian.passive.buff.buffeffect.skilleffect.02)</v>
      </c>
      <c r="O175" s="53">
        <v>0</v>
      </c>
      <c r="P175" s="53">
        <v>0</v>
      </c>
      <c r="Q175" s="53"/>
      <c r="R175" s="53" t="b">
        <v>1</v>
      </c>
    </row>
    <row r="176" spans="1:18">
      <c r="A176" s="53" t="s">
        <v>326</v>
      </c>
      <c r="B176" s="53"/>
      <c r="C176" s="53"/>
      <c r="D176" s="53">
        <v>0</v>
      </c>
      <c r="E176" s="53">
        <v>1</v>
      </c>
      <c r="F176" s="53" t="s">
        <v>197</v>
      </c>
      <c r="G176" s="53" t="s">
        <v>198</v>
      </c>
      <c r="H176" s="53"/>
      <c r="I176" s="53">
        <v>0</v>
      </c>
      <c r="J176" s="53" t="s">
        <v>191</v>
      </c>
      <c r="K176" s="53" t="s">
        <v>1388</v>
      </c>
      <c r="L176" s="53" t="s">
        <v>900</v>
      </c>
      <c r="M176" s="53"/>
      <c r="N176" s="53" t="str">
        <f t="shared" si="11"/>
        <v>Effect(BeHitRange, lilian.passive.buff.buffeffect.skilleffect.03)</v>
      </c>
      <c r="O176" s="53">
        <v>0</v>
      </c>
      <c r="P176" s="53">
        <v>0</v>
      </c>
      <c r="Q176" s="53"/>
      <c r="R176" s="53" t="b">
        <v>1</v>
      </c>
    </row>
    <row r="177" spans="1:18">
      <c r="A177" s="34" t="s">
        <v>328</v>
      </c>
      <c r="B177" s="34"/>
      <c r="C177" s="34"/>
      <c r="D177" s="34">
        <v>0</v>
      </c>
      <c r="E177" s="34">
        <v>1</v>
      </c>
      <c r="F177" s="34" t="s">
        <v>197</v>
      </c>
      <c r="G177" s="34" t="s">
        <v>198</v>
      </c>
      <c r="H177" s="34"/>
      <c r="I177" s="34">
        <v>0</v>
      </c>
      <c r="J177" s="34" t="s">
        <v>191</v>
      </c>
      <c r="K177" s="34" t="s">
        <v>1388</v>
      </c>
      <c r="L177" s="34" t="s">
        <v>901</v>
      </c>
      <c r="M177" s="34"/>
      <c r="N177" s="34" t="str">
        <f t="shared" si="11"/>
        <v>Effect(BeHitRange, lilian.passive.buff.buffeffect.skilleffect.04)</v>
      </c>
      <c r="O177" s="34">
        <v>0</v>
      </c>
      <c r="P177" s="34">
        <v>0</v>
      </c>
      <c r="Q177" s="34"/>
      <c r="R177" s="34" t="b">
        <v>1</v>
      </c>
    </row>
    <row r="178" spans="1:18">
      <c r="A178" s="34" t="s">
        <v>330</v>
      </c>
      <c r="B178" s="34"/>
      <c r="C178" s="34"/>
      <c r="D178" s="34">
        <v>0</v>
      </c>
      <c r="E178" s="34">
        <v>1</v>
      </c>
      <c r="F178" s="34" t="s">
        <v>197</v>
      </c>
      <c r="G178" s="34" t="s">
        <v>198</v>
      </c>
      <c r="H178" s="34"/>
      <c r="I178" s="34">
        <v>0</v>
      </c>
      <c r="J178" s="34" t="s">
        <v>191</v>
      </c>
      <c r="K178" s="34" t="s">
        <v>1388</v>
      </c>
      <c r="L178" s="34" t="s">
        <v>902</v>
      </c>
      <c r="M178" s="34"/>
      <c r="N178" s="34" t="str">
        <f t="shared" si="11"/>
        <v>Effect(BeHitRange, lilian.passive.buff.buffeffect.skilleffect.05)</v>
      </c>
      <c r="O178" s="34">
        <v>0</v>
      </c>
      <c r="P178" s="34">
        <v>0</v>
      </c>
      <c r="Q178" s="34"/>
      <c r="R178" s="34" t="b">
        <v>1</v>
      </c>
    </row>
    <row r="179" spans="1:18">
      <c r="A179" s="34" t="s">
        <v>332</v>
      </c>
      <c r="B179" s="34"/>
      <c r="C179" s="34"/>
      <c r="D179" s="34">
        <v>0</v>
      </c>
      <c r="E179" s="34">
        <v>1</v>
      </c>
      <c r="F179" s="34" t="s">
        <v>197</v>
      </c>
      <c r="G179" s="34" t="s">
        <v>198</v>
      </c>
      <c r="H179" s="34"/>
      <c r="I179" s="34">
        <v>0</v>
      </c>
      <c r="J179" s="34" t="s">
        <v>191</v>
      </c>
      <c r="K179" s="34" t="s">
        <v>1388</v>
      </c>
      <c r="L179" s="34" t="s">
        <v>903</v>
      </c>
      <c r="M179" s="34"/>
      <c r="N179" s="34" t="str">
        <f t="shared" si="11"/>
        <v>Effect(BeHitRange, lilian.passive.buff.buffeffect.skilleffect.06)</v>
      </c>
      <c r="O179" s="34">
        <v>0</v>
      </c>
      <c r="P179" s="34">
        <v>0</v>
      </c>
      <c r="Q179" s="34"/>
      <c r="R179" s="34" t="b">
        <v>1</v>
      </c>
    </row>
    <row r="180" spans="1:18">
      <c r="A180" s="51" t="s">
        <v>6502</v>
      </c>
      <c r="B180" s="51"/>
      <c r="C180" s="51"/>
      <c r="D180" s="51">
        <v>0</v>
      </c>
      <c r="E180" s="51">
        <v>1</v>
      </c>
      <c r="F180" s="51" t="s">
        <v>197</v>
      </c>
      <c r="G180" s="51" t="s">
        <v>198</v>
      </c>
      <c r="H180" s="51"/>
      <c r="I180" s="51">
        <v>0</v>
      </c>
      <c r="J180" s="51" t="s">
        <v>838</v>
      </c>
      <c r="K180" s="51" t="s">
        <v>897</v>
      </c>
      <c r="L180" s="51">
        <v>150</v>
      </c>
      <c r="M180" s="51"/>
      <c r="N180" s="51" t="str">
        <f t="shared" si="11"/>
        <v>Status(DefenseRatio, 150)</v>
      </c>
      <c r="O180" s="51">
        <v>0</v>
      </c>
      <c r="P180" s="51">
        <v>0</v>
      </c>
      <c r="Q180" s="51"/>
      <c r="R180" s="51" t="b">
        <v>1</v>
      </c>
    </row>
    <row r="181" spans="1:18">
      <c r="A181" s="53" t="s">
        <v>2292</v>
      </c>
      <c r="B181" s="53"/>
      <c r="C181" s="53"/>
      <c r="D181" s="53">
        <v>0</v>
      </c>
      <c r="E181" s="53">
        <v>1</v>
      </c>
      <c r="F181" s="53" t="s">
        <v>197</v>
      </c>
      <c r="G181" s="53" t="s">
        <v>198</v>
      </c>
      <c r="H181" s="53"/>
      <c r="I181" s="53">
        <v>0</v>
      </c>
      <c r="J181" s="53" t="s">
        <v>838</v>
      </c>
      <c r="K181" s="53" t="s">
        <v>897</v>
      </c>
      <c r="L181" s="53">
        <v>300</v>
      </c>
      <c r="M181" s="53"/>
      <c r="N181" s="53" t="str">
        <f t="shared" si="11"/>
        <v>Status(DefenseRatio, 300)</v>
      </c>
      <c r="O181" s="53">
        <v>0</v>
      </c>
      <c r="P181" s="53">
        <v>0</v>
      </c>
      <c r="Q181" s="53"/>
      <c r="R181" s="53" t="b">
        <v>1</v>
      </c>
    </row>
    <row r="182" spans="1:18">
      <c r="A182" s="53" t="s">
        <v>2293</v>
      </c>
      <c r="B182" s="53"/>
      <c r="C182" s="53"/>
      <c r="D182" s="53">
        <v>0</v>
      </c>
      <c r="E182" s="53">
        <v>1</v>
      </c>
      <c r="F182" s="53" t="s">
        <v>197</v>
      </c>
      <c r="G182" s="53" t="s">
        <v>198</v>
      </c>
      <c r="H182" s="53"/>
      <c r="I182" s="53">
        <v>0</v>
      </c>
      <c r="J182" s="53" t="s">
        <v>838</v>
      </c>
      <c r="K182" s="53" t="s">
        <v>897</v>
      </c>
      <c r="L182" s="53">
        <v>350</v>
      </c>
      <c r="M182" s="53"/>
      <c r="N182" s="53" t="str">
        <f t="shared" si="11"/>
        <v>Status(DefenseRatio, 350)</v>
      </c>
      <c r="O182" s="53">
        <v>0</v>
      </c>
      <c r="P182" s="53">
        <v>0</v>
      </c>
      <c r="Q182" s="53"/>
      <c r="R182" s="53" t="b">
        <v>1</v>
      </c>
    </row>
    <row r="183" spans="1:18">
      <c r="A183" s="53" t="s">
        <v>2294</v>
      </c>
      <c r="B183" s="53"/>
      <c r="C183" s="53"/>
      <c r="D183" s="53">
        <v>0</v>
      </c>
      <c r="E183" s="53">
        <v>1</v>
      </c>
      <c r="F183" s="53" t="s">
        <v>197</v>
      </c>
      <c r="G183" s="53" t="s">
        <v>198</v>
      </c>
      <c r="H183" s="53"/>
      <c r="I183" s="53">
        <v>0</v>
      </c>
      <c r="J183" s="53" t="s">
        <v>838</v>
      </c>
      <c r="K183" s="53" t="s">
        <v>897</v>
      </c>
      <c r="L183" s="53">
        <v>400</v>
      </c>
      <c r="M183" s="53"/>
      <c r="N183" s="53" t="str">
        <f t="shared" si="11"/>
        <v>Status(DefenseRatio, 400)</v>
      </c>
      <c r="O183" s="53">
        <v>0</v>
      </c>
      <c r="P183" s="53">
        <v>0</v>
      </c>
      <c r="Q183" s="53"/>
      <c r="R183" s="53" t="b">
        <v>1</v>
      </c>
    </row>
    <row r="184" spans="1:18">
      <c r="A184" s="34" t="s">
        <v>2561</v>
      </c>
      <c r="B184" s="34"/>
      <c r="C184" s="34"/>
      <c r="D184" s="34">
        <v>0</v>
      </c>
      <c r="E184" s="34">
        <v>1</v>
      </c>
      <c r="F184" s="34" t="s">
        <v>197</v>
      </c>
      <c r="G184" s="34" t="s">
        <v>198</v>
      </c>
      <c r="H184" s="34"/>
      <c r="I184" s="34">
        <v>0</v>
      </c>
      <c r="J184" s="34" t="s">
        <v>838</v>
      </c>
      <c r="K184" s="34" t="s">
        <v>897</v>
      </c>
      <c r="L184" s="34">
        <v>450</v>
      </c>
      <c r="M184" s="34"/>
      <c r="N184" s="34" t="str">
        <f t="shared" si="11"/>
        <v>Status(DefenseRatio, 450)</v>
      </c>
      <c r="O184" s="34">
        <v>0</v>
      </c>
      <c r="P184" s="34">
        <v>0</v>
      </c>
      <c r="Q184" s="34"/>
      <c r="R184" s="34" t="b">
        <v>1</v>
      </c>
    </row>
    <row r="185" spans="1:18">
      <c r="A185" s="34" t="s">
        <v>2562</v>
      </c>
      <c r="B185" s="34"/>
      <c r="C185" s="34"/>
      <c r="D185" s="34">
        <v>0</v>
      </c>
      <c r="E185" s="34">
        <v>1</v>
      </c>
      <c r="F185" s="34" t="s">
        <v>197</v>
      </c>
      <c r="G185" s="34" t="s">
        <v>198</v>
      </c>
      <c r="H185" s="34"/>
      <c r="I185" s="34">
        <v>0</v>
      </c>
      <c r="J185" s="34" t="s">
        <v>838</v>
      </c>
      <c r="K185" s="34" t="s">
        <v>897</v>
      </c>
      <c r="L185" s="34">
        <v>500</v>
      </c>
      <c r="M185" s="34"/>
      <c r="N185" s="34" t="str">
        <f t="shared" si="11"/>
        <v>Status(DefenseRatio, 500)</v>
      </c>
      <c r="O185" s="34">
        <v>0</v>
      </c>
      <c r="P185" s="34">
        <v>0</v>
      </c>
      <c r="Q185" s="34"/>
      <c r="R185" s="34" t="b">
        <v>1</v>
      </c>
    </row>
    <row r="186" spans="1:18">
      <c r="A186" s="34" t="s">
        <v>2563</v>
      </c>
      <c r="B186" s="34"/>
      <c r="C186" s="34"/>
      <c r="D186" s="34">
        <v>0</v>
      </c>
      <c r="E186" s="34">
        <v>1</v>
      </c>
      <c r="F186" s="34" t="s">
        <v>197</v>
      </c>
      <c r="G186" s="34" t="s">
        <v>198</v>
      </c>
      <c r="H186" s="34"/>
      <c r="I186" s="34">
        <v>0</v>
      </c>
      <c r="J186" s="34" t="s">
        <v>838</v>
      </c>
      <c r="K186" s="34" t="s">
        <v>897</v>
      </c>
      <c r="L186" s="34">
        <v>300</v>
      </c>
      <c r="M186" s="34"/>
      <c r="N186" s="34" t="str">
        <f t="shared" si="11"/>
        <v>Status(DefenseRatio, 300)</v>
      </c>
      <c r="O186" s="34">
        <v>0</v>
      </c>
      <c r="P186" s="34">
        <v>0</v>
      </c>
      <c r="Q186" s="34"/>
      <c r="R186" s="34" t="b">
        <v>1</v>
      </c>
    </row>
    <row r="187" spans="1:18">
      <c r="A187" s="53" t="s">
        <v>6505</v>
      </c>
      <c r="B187" s="53" t="s">
        <v>1367</v>
      </c>
      <c r="C187" s="53" t="s">
        <v>4508</v>
      </c>
      <c r="D187" s="53">
        <v>0</v>
      </c>
      <c r="E187" s="53">
        <v>1</v>
      </c>
      <c r="F187" s="53" t="s">
        <v>197</v>
      </c>
      <c r="G187" s="53" t="s">
        <v>198</v>
      </c>
      <c r="H187" s="53"/>
      <c r="I187" s="53">
        <v>0</v>
      </c>
      <c r="J187" s="53" t="s">
        <v>895</v>
      </c>
      <c r="K187" s="53" t="s">
        <v>896</v>
      </c>
      <c r="L187" s="53" t="s">
        <v>6563</v>
      </c>
      <c r="M187" s="53"/>
      <c r="N187" s="53" t="str">
        <f t="shared" si="11"/>
        <v>SkillEffectModifier(Op, lilian.passive.ex.modifier.01)</v>
      </c>
      <c r="O187" s="53">
        <v>0</v>
      </c>
      <c r="P187" s="53">
        <v>0</v>
      </c>
      <c r="Q187" s="53"/>
      <c r="R187" s="53" t="b">
        <v>1</v>
      </c>
    </row>
    <row r="188" spans="1:18">
      <c r="A188" s="53" t="s">
        <v>3659</v>
      </c>
      <c r="B188" s="53" t="s">
        <v>1367</v>
      </c>
      <c r="C188" s="53" t="s">
        <v>4508</v>
      </c>
      <c r="D188" s="53">
        <v>0</v>
      </c>
      <c r="E188" s="53">
        <v>1</v>
      </c>
      <c r="F188" s="53" t="s">
        <v>197</v>
      </c>
      <c r="G188" s="53" t="s">
        <v>198</v>
      </c>
      <c r="H188" s="53"/>
      <c r="I188" s="53">
        <v>0</v>
      </c>
      <c r="J188" s="53" t="s">
        <v>895</v>
      </c>
      <c r="K188" s="53" t="s">
        <v>896</v>
      </c>
      <c r="L188" s="53" t="s">
        <v>3664</v>
      </c>
      <c r="M188" s="53"/>
      <c r="N188" s="53" t="str">
        <f t="shared" si="11"/>
        <v>SkillEffectModifier(Op, lilian.passive.ex.modifier.02)</v>
      </c>
      <c r="O188" s="53">
        <v>0</v>
      </c>
      <c r="P188" s="53">
        <v>0</v>
      </c>
      <c r="Q188" s="53"/>
      <c r="R188" s="53" t="b">
        <v>1</v>
      </c>
    </row>
    <row r="189" spans="1:18">
      <c r="A189" s="53" t="s">
        <v>3660</v>
      </c>
      <c r="B189" s="53" t="s">
        <v>1367</v>
      </c>
      <c r="C189" s="53" t="s">
        <v>4508</v>
      </c>
      <c r="D189" s="53">
        <v>0</v>
      </c>
      <c r="E189" s="53">
        <v>1</v>
      </c>
      <c r="F189" s="53" t="s">
        <v>197</v>
      </c>
      <c r="G189" s="53" t="s">
        <v>198</v>
      </c>
      <c r="H189" s="53"/>
      <c r="I189" s="53">
        <v>0</v>
      </c>
      <c r="J189" s="53" t="s">
        <v>895</v>
      </c>
      <c r="K189" s="53" t="s">
        <v>896</v>
      </c>
      <c r="L189" s="53" t="s">
        <v>3665</v>
      </c>
      <c r="M189" s="53"/>
      <c r="N189" s="53" t="str">
        <f t="shared" si="11"/>
        <v>SkillEffectModifier(Op, lilian.passive.ex.modifier.03)</v>
      </c>
      <c r="O189" s="53">
        <v>0</v>
      </c>
      <c r="P189" s="53">
        <v>0</v>
      </c>
      <c r="Q189" s="53"/>
      <c r="R189" s="53" t="b">
        <v>1</v>
      </c>
    </row>
    <row r="190" spans="1:18">
      <c r="A190" s="34" t="s">
        <v>3661</v>
      </c>
      <c r="B190" s="34" t="s">
        <v>1367</v>
      </c>
      <c r="C190" s="34" t="s">
        <v>4508</v>
      </c>
      <c r="D190" s="34">
        <v>0</v>
      </c>
      <c r="E190" s="34">
        <v>1</v>
      </c>
      <c r="F190" s="34" t="s">
        <v>197</v>
      </c>
      <c r="G190" s="34" t="s">
        <v>198</v>
      </c>
      <c r="H190" s="34"/>
      <c r="I190" s="34">
        <v>0</v>
      </c>
      <c r="J190" s="34" t="s">
        <v>895</v>
      </c>
      <c r="K190" s="34" t="s">
        <v>896</v>
      </c>
      <c r="L190" s="34" t="s">
        <v>3666</v>
      </c>
      <c r="M190" s="34"/>
      <c r="N190" s="34" t="str">
        <f t="shared" si="11"/>
        <v>SkillEffectModifier(Op, lilian.passive.ex.modifier.04)</v>
      </c>
      <c r="O190" s="34">
        <v>0</v>
      </c>
      <c r="P190" s="34">
        <v>0</v>
      </c>
      <c r="Q190" s="34"/>
      <c r="R190" s="34" t="b">
        <v>1</v>
      </c>
    </row>
    <row r="191" spans="1:18">
      <c r="A191" s="34" t="s">
        <v>3662</v>
      </c>
      <c r="B191" s="34" t="s">
        <v>1367</v>
      </c>
      <c r="C191" s="34" t="s">
        <v>4508</v>
      </c>
      <c r="D191" s="34">
        <v>0</v>
      </c>
      <c r="E191" s="34">
        <v>1</v>
      </c>
      <c r="F191" s="34" t="s">
        <v>197</v>
      </c>
      <c r="G191" s="34" t="s">
        <v>198</v>
      </c>
      <c r="H191" s="34"/>
      <c r="I191" s="34">
        <v>0</v>
      </c>
      <c r="J191" s="34" t="s">
        <v>895</v>
      </c>
      <c r="K191" s="34" t="s">
        <v>896</v>
      </c>
      <c r="L191" s="34" t="s">
        <v>3667</v>
      </c>
      <c r="M191" s="34"/>
      <c r="N191" s="34" t="str">
        <f t="shared" si="11"/>
        <v>SkillEffectModifier(Op, lilian.passive.ex.modifier.05)</v>
      </c>
      <c r="O191" s="34">
        <v>0</v>
      </c>
      <c r="P191" s="34">
        <v>0</v>
      </c>
      <c r="Q191" s="34"/>
      <c r="R191" s="34" t="b">
        <v>1</v>
      </c>
    </row>
    <row r="192" spans="1:18">
      <c r="A192" s="34" t="s">
        <v>3663</v>
      </c>
      <c r="B192" s="34" t="s">
        <v>1367</v>
      </c>
      <c r="C192" s="34" t="s">
        <v>4508</v>
      </c>
      <c r="D192" s="34">
        <v>0</v>
      </c>
      <c r="E192" s="34">
        <v>1</v>
      </c>
      <c r="F192" s="34" t="s">
        <v>197</v>
      </c>
      <c r="G192" s="34" t="s">
        <v>198</v>
      </c>
      <c r="H192" s="34"/>
      <c r="I192" s="34">
        <v>0</v>
      </c>
      <c r="J192" s="34" t="s">
        <v>895</v>
      </c>
      <c r="K192" s="34" t="s">
        <v>896</v>
      </c>
      <c r="L192" s="34" t="s">
        <v>3668</v>
      </c>
      <c r="M192" s="34"/>
      <c r="N192" s="34" t="str">
        <f t="shared" si="11"/>
        <v>SkillEffectModifier(Op, lilian.passive.ex.modifier.06)</v>
      </c>
      <c r="O192" s="34">
        <v>0</v>
      </c>
      <c r="P192" s="34">
        <v>0</v>
      </c>
      <c r="Q192" s="34"/>
      <c r="R192" s="34" t="b">
        <v>1</v>
      </c>
    </row>
    <row r="193" spans="1:18">
      <c r="A193" s="26" t="s">
        <v>6506</v>
      </c>
      <c r="B193" s="26"/>
      <c r="C193" s="26"/>
      <c r="D193" s="26">
        <v>0</v>
      </c>
      <c r="E193" s="26">
        <v>1</v>
      </c>
      <c r="F193" s="26" t="s">
        <v>197</v>
      </c>
      <c r="G193" s="26" t="s">
        <v>198</v>
      </c>
      <c r="H193" s="26"/>
      <c r="I193" s="26">
        <v>0</v>
      </c>
      <c r="J193" s="26" t="s">
        <v>4254</v>
      </c>
      <c r="K193" s="26" t="s">
        <v>4255</v>
      </c>
      <c r="L193" s="26">
        <v>84</v>
      </c>
      <c r="M193" s="26">
        <v>16</v>
      </c>
      <c r="N193" s="26" t="str">
        <f t="shared" si="11"/>
        <v>Link(From, 84, 16)</v>
      </c>
      <c r="O193" s="26">
        <v>0</v>
      </c>
      <c r="P193" s="26">
        <v>0</v>
      </c>
      <c r="Q193" s="26"/>
      <c r="R193" s="26" t="b">
        <v>1</v>
      </c>
    </row>
    <row r="194" spans="1:18">
      <c r="A194" s="26" t="s">
        <v>4248</v>
      </c>
      <c r="B194" s="26"/>
      <c r="C194" s="26"/>
      <c r="D194" s="26">
        <v>0</v>
      </c>
      <c r="E194" s="26">
        <v>1</v>
      </c>
      <c r="F194" s="26" t="s">
        <v>197</v>
      </c>
      <c r="G194" s="26" t="s">
        <v>198</v>
      </c>
      <c r="H194" s="26"/>
      <c r="I194" s="26">
        <v>0</v>
      </c>
      <c r="J194" s="26" t="s">
        <v>4254</v>
      </c>
      <c r="K194" s="26" t="s">
        <v>4255</v>
      </c>
      <c r="L194" s="26">
        <v>82</v>
      </c>
      <c r="M194" s="26">
        <v>18</v>
      </c>
      <c r="N194" s="26" t="str">
        <f t="shared" si="11"/>
        <v>Link(From, 82, 18)</v>
      </c>
      <c r="O194" s="26">
        <v>0</v>
      </c>
      <c r="P194" s="26">
        <v>0</v>
      </c>
      <c r="Q194" s="26"/>
      <c r="R194" s="26" t="b">
        <v>1</v>
      </c>
    </row>
    <row r="195" spans="1:18">
      <c r="A195" s="26" t="s">
        <v>4249</v>
      </c>
      <c r="B195" s="26"/>
      <c r="C195" s="26"/>
      <c r="D195" s="26">
        <v>0</v>
      </c>
      <c r="E195" s="26">
        <v>1</v>
      </c>
      <c r="F195" s="26" t="s">
        <v>197</v>
      </c>
      <c r="G195" s="26" t="s">
        <v>198</v>
      </c>
      <c r="H195" s="26"/>
      <c r="I195" s="26">
        <v>0</v>
      </c>
      <c r="J195" s="26" t="s">
        <v>4254</v>
      </c>
      <c r="K195" s="26" t="s">
        <v>4255</v>
      </c>
      <c r="L195" s="26">
        <v>80</v>
      </c>
      <c r="M195" s="26">
        <v>20</v>
      </c>
      <c r="N195" s="26" t="str">
        <f t="shared" si="11"/>
        <v>Link(From, 80, 20)</v>
      </c>
      <c r="O195" s="26">
        <v>0</v>
      </c>
      <c r="P195" s="26">
        <v>0</v>
      </c>
      <c r="Q195" s="26"/>
      <c r="R195" s="26" t="b">
        <v>1</v>
      </c>
    </row>
    <row r="196" spans="1:18">
      <c r="A196" s="26" t="s">
        <v>4250</v>
      </c>
      <c r="B196" s="26"/>
      <c r="C196" s="26"/>
      <c r="D196" s="26">
        <v>0</v>
      </c>
      <c r="E196" s="26">
        <v>1</v>
      </c>
      <c r="F196" s="26" t="s">
        <v>197</v>
      </c>
      <c r="G196" s="26" t="s">
        <v>198</v>
      </c>
      <c r="H196" s="26"/>
      <c r="I196" s="26">
        <v>0</v>
      </c>
      <c r="J196" s="26" t="s">
        <v>4254</v>
      </c>
      <c r="K196" s="26" t="s">
        <v>4255</v>
      </c>
      <c r="L196" s="26">
        <v>78</v>
      </c>
      <c r="M196" s="26">
        <v>22</v>
      </c>
      <c r="N196" s="26" t="str">
        <f t="shared" si="11"/>
        <v>Link(From, 78, 22)</v>
      </c>
      <c r="O196" s="26">
        <v>0</v>
      </c>
      <c r="P196" s="26">
        <v>0</v>
      </c>
      <c r="Q196" s="26"/>
      <c r="R196" s="26" t="b">
        <v>1</v>
      </c>
    </row>
    <row r="197" spans="1:18">
      <c r="A197" s="34" t="s">
        <v>4251</v>
      </c>
      <c r="B197" s="34"/>
      <c r="C197" s="34"/>
      <c r="D197" s="34">
        <v>0</v>
      </c>
      <c r="E197" s="34">
        <v>1</v>
      </c>
      <c r="F197" s="34" t="s">
        <v>197</v>
      </c>
      <c r="G197" s="34" t="s">
        <v>198</v>
      </c>
      <c r="H197" s="34"/>
      <c r="I197" s="34">
        <v>0</v>
      </c>
      <c r="J197" s="34" t="s">
        <v>4254</v>
      </c>
      <c r="K197" s="34" t="s">
        <v>4255</v>
      </c>
      <c r="L197" s="34">
        <v>74</v>
      </c>
      <c r="M197" s="34">
        <v>26</v>
      </c>
      <c r="N197" s="34" t="str">
        <f t="shared" si="11"/>
        <v>Link(From, 74, 26)</v>
      </c>
      <c r="O197" s="34">
        <v>0</v>
      </c>
      <c r="P197" s="34">
        <v>0</v>
      </c>
      <c r="Q197" s="34"/>
      <c r="R197" s="34" t="b">
        <v>1</v>
      </c>
    </row>
    <row r="198" spans="1:18">
      <c r="A198" s="34" t="s">
        <v>4252</v>
      </c>
      <c r="B198" s="34"/>
      <c r="C198" s="34"/>
      <c r="D198" s="34">
        <v>0</v>
      </c>
      <c r="E198" s="34">
        <v>1</v>
      </c>
      <c r="F198" s="34" t="s">
        <v>197</v>
      </c>
      <c r="G198" s="34" t="s">
        <v>198</v>
      </c>
      <c r="H198" s="34"/>
      <c r="I198" s="34">
        <v>0</v>
      </c>
      <c r="J198" s="34" t="s">
        <v>4254</v>
      </c>
      <c r="K198" s="34" t="s">
        <v>4255</v>
      </c>
      <c r="L198" s="34">
        <v>55</v>
      </c>
      <c r="M198" s="34">
        <v>45</v>
      </c>
      <c r="N198" s="34" t="str">
        <f t="shared" si="11"/>
        <v>Link(From, 55, 45)</v>
      </c>
      <c r="O198" s="34">
        <v>0</v>
      </c>
      <c r="P198" s="34">
        <v>0</v>
      </c>
      <c r="Q198" s="34"/>
      <c r="R198" s="34" t="b">
        <v>1</v>
      </c>
    </row>
    <row r="199" spans="1:18">
      <c r="A199" s="34" t="s">
        <v>4253</v>
      </c>
      <c r="B199" s="34"/>
      <c r="C199" s="34"/>
      <c r="D199" s="34">
        <v>0</v>
      </c>
      <c r="E199" s="34">
        <v>1</v>
      </c>
      <c r="F199" s="34" t="s">
        <v>197</v>
      </c>
      <c r="G199" s="34" t="s">
        <v>198</v>
      </c>
      <c r="H199" s="34"/>
      <c r="I199" s="34">
        <v>0</v>
      </c>
      <c r="J199" s="34" t="s">
        <v>4254</v>
      </c>
      <c r="K199" s="34" t="s">
        <v>4255</v>
      </c>
      <c r="L199" s="34">
        <v>50</v>
      </c>
      <c r="M199" s="34">
        <v>50</v>
      </c>
      <c r="N199" s="34" t="str">
        <f t="shared" si="11"/>
        <v>Link(From, 50, 50)</v>
      </c>
      <c r="O199" s="34">
        <v>0</v>
      </c>
      <c r="P199" s="34">
        <v>0</v>
      </c>
      <c r="Q199" s="34"/>
      <c r="R199" s="34" t="b">
        <v>1</v>
      </c>
    </row>
    <row r="200" spans="1:18">
      <c r="A200" s="26" t="s">
        <v>340</v>
      </c>
      <c r="B200" s="26"/>
      <c r="C200" s="26"/>
      <c r="D200" s="26">
        <v>0</v>
      </c>
      <c r="E200" s="26">
        <v>1</v>
      </c>
      <c r="F200" s="26" t="s">
        <v>197</v>
      </c>
      <c r="G200" s="26" t="s">
        <v>198</v>
      </c>
      <c r="H200" s="26"/>
      <c r="I200" s="26">
        <v>0</v>
      </c>
      <c r="J200" s="26" t="s">
        <v>889</v>
      </c>
      <c r="K200" s="26" t="s">
        <v>993</v>
      </c>
      <c r="L200" s="26">
        <v>60</v>
      </c>
      <c r="M200" s="26"/>
      <c r="N200" s="26" t="str">
        <f t="shared" si="11"/>
        <v>Shield(MaxHp, 60)</v>
      </c>
      <c r="O200" s="26">
        <v>0</v>
      </c>
      <c r="P200" s="26">
        <v>0</v>
      </c>
      <c r="Q200" s="26"/>
      <c r="R200" s="26" t="b">
        <v>1</v>
      </c>
    </row>
    <row r="201" spans="1:18">
      <c r="A201" s="26" t="s">
        <v>342</v>
      </c>
      <c r="B201" s="26"/>
      <c r="C201" s="26"/>
      <c r="D201" s="26">
        <v>0</v>
      </c>
      <c r="E201" s="26">
        <v>1</v>
      </c>
      <c r="F201" s="26" t="s">
        <v>197</v>
      </c>
      <c r="G201" s="26" t="s">
        <v>198</v>
      </c>
      <c r="H201" s="26"/>
      <c r="I201" s="26">
        <v>0</v>
      </c>
      <c r="J201" s="26" t="s">
        <v>889</v>
      </c>
      <c r="K201" s="26" t="s">
        <v>993</v>
      </c>
      <c r="L201" s="26">
        <v>60</v>
      </c>
      <c r="M201" s="26"/>
      <c r="N201" s="26" t="str">
        <f t="shared" si="11"/>
        <v>Shield(MaxHp, 60)</v>
      </c>
      <c r="O201" s="26">
        <v>0</v>
      </c>
      <c r="P201" s="26">
        <v>0</v>
      </c>
      <c r="Q201" s="26"/>
      <c r="R201" s="26" t="b">
        <v>1</v>
      </c>
    </row>
    <row r="202" spans="1:18">
      <c r="A202" s="26" t="s">
        <v>344</v>
      </c>
      <c r="B202" s="26"/>
      <c r="C202" s="26"/>
      <c r="D202" s="26">
        <v>0</v>
      </c>
      <c r="E202" s="26">
        <v>1</v>
      </c>
      <c r="F202" s="26" t="s">
        <v>197</v>
      </c>
      <c r="G202" s="26" t="s">
        <v>198</v>
      </c>
      <c r="H202" s="26"/>
      <c r="I202" s="26">
        <v>0</v>
      </c>
      <c r="J202" s="26" t="s">
        <v>889</v>
      </c>
      <c r="K202" s="26" t="s">
        <v>993</v>
      </c>
      <c r="L202" s="26">
        <v>80</v>
      </c>
      <c r="M202" s="26"/>
      <c r="N202" s="26" t="str">
        <f t="shared" si="11"/>
        <v>Shield(MaxHp, 80)</v>
      </c>
      <c r="O202" s="26">
        <v>0</v>
      </c>
      <c r="P202" s="26">
        <v>0</v>
      </c>
      <c r="Q202" s="26"/>
      <c r="R202" s="26" t="b">
        <v>1</v>
      </c>
    </row>
    <row r="203" spans="1:18">
      <c r="A203" s="34" t="s">
        <v>2593</v>
      </c>
      <c r="B203" s="34"/>
      <c r="C203" s="34"/>
      <c r="D203" s="34">
        <v>0</v>
      </c>
      <c r="E203" s="34">
        <v>1</v>
      </c>
      <c r="F203" s="34" t="s">
        <v>197</v>
      </c>
      <c r="G203" s="34" t="s">
        <v>198</v>
      </c>
      <c r="H203" s="34"/>
      <c r="I203" s="34">
        <v>0</v>
      </c>
      <c r="J203" s="34" t="s">
        <v>889</v>
      </c>
      <c r="K203" s="34" t="s">
        <v>993</v>
      </c>
      <c r="L203" s="34">
        <v>10</v>
      </c>
      <c r="M203" s="34"/>
      <c r="N203" s="34" t="str">
        <f t="shared" si="11"/>
        <v>Shield(MaxHp, 10)</v>
      </c>
      <c r="O203" s="34">
        <v>0</v>
      </c>
      <c r="P203" s="34">
        <v>0</v>
      </c>
      <c r="Q203" s="34"/>
      <c r="R203" s="34" t="b">
        <v>1</v>
      </c>
    </row>
    <row r="204" spans="1:18">
      <c r="A204" s="34" t="s">
        <v>2594</v>
      </c>
      <c r="B204" s="34"/>
      <c r="C204" s="34"/>
      <c r="D204" s="34">
        <v>0</v>
      </c>
      <c r="E204" s="34">
        <v>1</v>
      </c>
      <c r="F204" s="34" t="s">
        <v>197</v>
      </c>
      <c r="G204" s="34" t="s">
        <v>198</v>
      </c>
      <c r="H204" s="34"/>
      <c r="I204" s="34">
        <v>0</v>
      </c>
      <c r="J204" s="34" t="s">
        <v>889</v>
      </c>
      <c r="K204" s="34" t="s">
        <v>993</v>
      </c>
      <c r="L204" s="34">
        <v>10</v>
      </c>
      <c r="M204" s="34"/>
      <c r="N204" s="34" t="str">
        <f t="shared" si="11"/>
        <v>Shield(MaxHp, 10)</v>
      </c>
      <c r="O204" s="34">
        <v>0</v>
      </c>
      <c r="P204" s="34">
        <v>0</v>
      </c>
      <c r="Q204" s="34"/>
      <c r="R204" s="34" t="b">
        <v>1</v>
      </c>
    </row>
    <row r="205" spans="1:18">
      <c r="A205" s="34" t="s">
        <v>2595</v>
      </c>
      <c r="B205" s="34"/>
      <c r="C205" s="34"/>
      <c r="D205" s="34">
        <v>0</v>
      </c>
      <c r="E205" s="34">
        <v>1</v>
      </c>
      <c r="F205" s="34" t="s">
        <v>197</v>
      </c>
      <c r="G205" s="34" t="s">
        <v>198</v>
      </c>
      <c r="H205" s="34"/>
      <c r="I205" s="34">
        <v>0</v>
      </c>
      <c r="J205" s="34" t="s">
        <v>889</v>
      </c>
      <c r="K205" s="34" t="s">
        <v>993</v>
      </c>
      <c r="L205" s="34">
        <v>10</v>
      </c>
      <c r="M205" s="34"/>
      <c r="N205" s="34" t="str">
        <f t="shared" si="11"/>
        <v>Shield(MaxHp, 10)</v>
      </c>
      <c r="O205" s="34">
        <v>0</v>
      </c>
      <c r="P205" s="34">
        <v>0</v>
      </c>
      <c r="Q205" s="34"/>
      <c r="R205" s="34" t="b">
        <v>1</v>
      </c>
    </row>
    <row r="206" spans="1:18">
      <c r="A206" s="25" t="s">
        <v>1373</v>
      </c>
      <c r="B206" s="25"/>
      <c r="C206" s="25"/>
      <c r="D206" s="25">
        <v>0</v>
      </c>
      <c r="E206" s="25">
        <v>1</v>
      </c>
      <c r="F206" s="25" t="s">
        <v>417</v>
      </c>
      <c r="G206" s="25" t="s">
        <v>418</v>
      </c>
      <c r="H206" s="25"/>
      <c r="I206" s="25">
        <v>0</v>
      </c>
      <c r="J206" s="25" t="s">
        <v>1254</v>
      </c>
      <c r="K206" s="25" t="s">
        <v>1379</v>
      </c>
      <c r="L206" s="25"/>
      <c r="M206" s="25"/>
      <c r="N206" s="25" t="str">
        <f t="shared" si="11"/>
        <v>Passive(daria.passive.singledmgdown.buff.01&amp;daria.passive.areadmgup.buff.01)</v>
      </c>
      <c r="O206" s="25">
        <v>0</v>
      </c>
      <c r="P206" s="25">
        <v>0</v>
      </c>
      <c r="Q206" s="25"/>
      <c r="R206" s="25" t="b">
        <v>1</v>
      </c>
    </row>
    <row r="207" spans="1:18">
      <c r="A207" s="25" t="s">
        <v>1374</v>
      </c>
      <c r="B207" s="25"/>
      <c r="C207" s="25"/>
      <c r="D207" s="25">
        <v>0</v>
      </c>
      <c r="E207" s="25">
        <v>1</v>
      </c>
      <c r="F207" s="25" t="s">
        <v>417</v>
      </c>
      <c r="G207" s="25" t="s">
        <v>418</v>
      </c>
      <c r="H207" s="25"/>
      <c r="I207" s="25">
        <v>0</v>
      </c>
      <c r="J207" s="25" t="s">
        <v>1254</v>
      </c>
      <c r="K207" s="25" t="s">
        <v>1380</v>
      </c>
      <c r="L207" s="25"/>
      <c r="M207" s="25"/>
      <c r="N207" s="25" t="str">
        <f t="shared" si="11"/>
        <v>Passive(daria.passive.singledmgdown.buff.02&amp;daria.passive.areadmgup.buff.02)</v>
      </c>
      <c r="O207" s="25">
        <v>0</v>
      </c>
      <c r="P207" s="25">
        <v>0</v>
      </c>
      <c r="Q207" s="25"/>
      <c r="R207" s="25" t="b">
        <v>1</v>
      </c>
    </row>
    <row r="208" spans="1:18">
      <c r="A208" s="25" t="s">
        <v>1375</v>
      </c>
      <c r="B208" s="25"/>
      <c r="C208" s="25"/>
      <c r="D208" s="25">
        <v>0</v>
      </c>
      <c r="E208" s="25">
        <v>1</v>
      </c>
      <c r="F208" s="25" t="s">
        <v>417</v>
      </c>
      <c r="G208" s="25" t="s">
        <v>418</v>
      </c>
      <c r="H208" s="25"/>
      <c r="I208" s="25">
        <v>0</v>
      </c>
      <c r="J208" s="25" t="s">
        <v>1254</v>
      </c>
      <c r="K208" s="25" t="s">
        <v>1381</v>
      </c>
      <c r="L208" s="25"/>
      <c r="M208" s="25"/>
      <c r="N208" s="25" t="str">
        <f t="shared" si="11"/>
        <v>Passive(daria.passive.singledmgdown.buff.03&amp;daria.passive.areadmgup.buff.03)</v>
      </c>
      <c r="O208" s="25">
        <v>0</v>
      </c>
      <c r="P208" s="25">
        <v>0</v>
      </c>
      <c r="Q208" s="25"/>
      <c r="R208" s="25" t="b">
        <v>1</v>
      </c>
    </row>
    <row r="209" spans="1:18">
      <c r="A209" s="34" t="s">
        <v>1376</v>
      </c>
      <c r="B209" s="34"/>
      <c r="C209" s="34"/>
      <c r="D209" s="34">
        <v>0</v>
      </c>
      <c r="E209" s="34">
        <v>1</v>
      </c>
      <c r="F209" s="34" t="s">
        <v>417</v>
      </c>
      <c r="G209" s="34" t="s">
        <v>418</v>
      </c>
      <c r="H209" s="34"/>
      <c r="I209" s="34">
        <v>0</v>
      </c>
      <c r="J209" s="34" t="s">
        <v>1254</v>
      </c>
      <c r="K209" s="34" t="s">
        <v>1382</v>
      </c>
      <c r="L209" s="34"/>
      <c r="M209" s="34"/>
      <c r="N209" s="34" t="str">
        <f t="shared" si="11"/>
        <v>Passive(daria.passive.singledmgdown.buff.04&amp;daria.passive.areadmgup.buff.04)</v>
      </c>
      <c r="O209" s="34">
        <v>0</v>
      </c>
      <c r="P209" s="34">
        <v>0</v>
      </c>
      <c r="Q209" s="34"/>
      <c r="R209" s="34" t="b">
        <v>1</v>
      </c>
    </row>
    <row r="210" spans="1:18">
      <c r="A210" s="34" t="s">
        <v>1377</v>
      </c>
      <c r="B210" s="34"/>
      <c r="C210" s="34"/>
      <c r="D210" s="34">
        <v>0</v>
      </c>
      <c r="E210" s="34">
        <v>1</v>
      </c>
      <c r="F210" s="34" t="s">
        <v>417</v>
      </c>
      <c r="G210" s="34" t="s">
        <v>418</v>
      </c>
      <c r="H210" s="34"/>
      <c r="I210" s="34">
        <v>0</v>
      </c>
      <c r="J210" s="34" t="s">
        <v>1254</v>
      </c>
      <c r="K210" s="34" t="s">
        <v>1383</v>
      </c>
      <c r="L210" s="34"/>
      <c r="M210" s="34"/>
      <c r="N210" s="34" t="str">
        <f t="shared" si="11"/>
        <v>Passive(daria.passive.singledmgdown.buff.05&amp;daria.passive.areadmgup.buff.05)</v>
      </c>
      <c r="O210" s="34">
        <v>0</v>
      </c>
      <c r="P210" s="34">
        <v>0</v>
      </c>
      <c r="Q210" s="34"/>
      <c r="R210" s="34" t="b">
        <v>1</v>
      </c>
    </row>
    <row r="211" spans="1:18">
      <c r="A211" s="34" t="s">
        <v>1378</v>
      </c>
      <c r="B211" s="34"/>
      <c r="C211" s="34"/>
      <c r="D211" s="34">
        <v>0</v>
      </c>
      <c r="E211" s="34">
        <v>1</v>
      </c>
      <c r="F211" s="34" t="s">
        <v>417</v>
      </c>
      <c r="G211" s="34" t="s">
        <v>418</v>
      </c>
      <c r="H211" s="34"/>
      <c r="I211" s="34">
        <v>0</v>
      </c>
      <c r="J211" s="34" t="s">
        <v>1254</v>
      </c>
      <c r="K211" s="34" t="s">
        <v>1384</v>
      </c>
      <c r="L211" s="34"/>
      <c r="M211" s="34"/>
      <c r="N211" s="34" t="str">
        <f t="shared" si="11"/>
        <v>Passive(daria.passive.singledmgdown.buff.06&amp;daria.passive.areadmgup.buff.06)</v>
      </c>
      <c r="O211" s="34">
        <v>0</v>
      </c>
      <c r="P211" s="34">
        <v>0</v>
      </c>
      <c r="Q211" s="34"/>
      <c r="R211" s="34" t="b">
        <v>1</v>
      </c>
    </row>
    <row r="212" spans="1:18">
      <c r="A212" s="25" t="s">
        <v>6513</v>
      </c>
      <c r="B212" s="25"/>
      <c r="C212" s="25"/>
      <c r="D212" s="25">
        <v>0</v>
      </c>
      <c r="E212" s="25">
        <v>1</v>
      </c>
      <c r="F212" s="25" t="s">
        <v>197</v>
      </c>
      <c r="G212" s="25" t="s">
        <v>198</v>
      </c>
      <c r="H212" s="25"/>
      <c r="I212" s="25">
        <v>0</v>
      </c>
      <c r="J212" s="25" t="s">
        <v>838</v>
      </c>
      <c r="K212" s="25" t="s">
        <v>1337</v>
      </c>
      <c r="L212" s="25">
        <v>120</v>
      </c>
      <c r="M212" s="25"/>
      <c r="N212" s="25" t="str">
        <f t="shared" si="11"/>
        <v>Status(SingleAreaDamageDerate, 120)</v>
      </c>
      <c r="O212" s="25">
        <v>0</v>
      </c>
      <c r="P212" s="25">
        <v>0</v>
      </c>
      <c r="Q212" s="25"/>
      <c r="R212" s="25" t="b">
        <v>1</v>
      </c>
    </row>
    <row r="213" spans="1:18">
      <c r="A213" s="25" t="s">
        <v>1347</v>
      </c>
      <c r="B213" s="25"/>
      <c r="C213" s="25"/>
      <c r="D213" s="25">
        <v>0</v>
      </c>
      <c r="E213" s="25">
        <v>1</v>
      </c>
      <c r="F213" s="25" t="s">
        <v>197</v>
      </c>
      <c r="G213" s="25" t="s">
        <v>198</v>
      </c>
      <c r="H213" s="25"/>
      <c r="I213" s="25">
        <v>0</v>
      </c>
      <c r="J213" s="25" t="s">
        <v>838</v>
      </c>
      <c r="K213" s="25" t="s">
        <v>1337</v>
      </c>
      <c r="L213" s="25">
        <v>130</v>
      </c>
      <c r="M213" s="25"/>
      <c r="N213" s="25" t="str">
        <f t="shared" si="11"/>
        <v>Status(SingleAreaDamageDerate, 130)</v>
      </c>
      <c r="O213" s="25">
        <v>0</v>
      </c>
      <c r="P213" s="25">
        <v>0</v>
      </c>
      <c r="Q213" s="25"/>
      <c r="R213" s="25" t="b">
        <v>1</v>
      </c>
    </row>
    <row r="214" spans="1:18">
      <c r="A214" s="25" t="s">
        <v>1348</v>
      </c>
      <c r="B214" s="25"/>
      <c r="C214" s="25"/>
      <c r="D214" s="25">
        <v>0</v>
      </c>
      <c r="E214" s="25">
        <v>1</v>
      </c>
      <c r="F214" s="25" t="s">
        <v>197</v>
      </c>
      <c r="G214" s="25" t="s">
        <v>198</v>
      </c>
      <c r="H214" s="25"/>
      <c r="I214" s="25">
        <v>0</v>
      </c>
      <c r="J214" s="25" t="s">
        <v>838</v>
      </c>
      <c r="K214" s="25" t="s">
        <v>1337</v>
      </c>
      <c r="L214" s="25">
        <v>140</v>
      </c>
      <c r="M214" s="25"/>
      <c r="N214" s="25" t="str">
        <f t="shared" si="11"/>
        <v>Status(SingleAreaDamageDerate, 140)</v>
      </c>
      <c r="O214" s="25">
        <v>0</v>
      </c>
      <c r="P214" s="25">
        <v>0</v>
      </c>
      <c r="Q214" s="25"/>
      <c r="R214" s="25" t="b">
        <v>1</v>
      </c>
    </row>
    <row r="215" spans="1:18">
      <c r="A215" s="34" t="s">
        <v>1349</v>
      </c>
      <c r="B215" s="34"/>
      <c r="C215" s="34"/>
      <c r="D215" s="34">
        <v>0</v>
      </c>
      <c r="E215" s="34">
        <v>1</v>
      </c>
      <c r="F215" s="34" t="s">
        <v>197</v>
      </c>
      <c r="G215" s="34" t="s">
        <v>198</v>
      </c>
      <c r="H215" s="34"/>
      <c r="I215" s="34">
        <v>0</v>
      </c>
      <c r="J215" s="34" t="s">
        <v>838</v>
      </c>
      <c r="K215" s="34" t="s">
        <v>1337</v>
      </c>
      <c r="L215" s="34">
        <v>150</v>
      </c>
      <c r="M215" s="34"/>
      <c r="N215" s="34" t="str">
        <f t="shared" si="11"/>
        <v>Status(SingleAreaDamageDerate, 150)</v>
      </c>
      <c r="O215" s="34">
        <v>0</v>
      </c>
      <c r="P215" s="34">
        <v>0</v>
      </c>
      <c r="Q215" s="34"/>
      <c r="R215" s="34" t="b">
        <v>1</v>
      </c>
    </row>
    <row r="216" spans="1:18">
      <c r="A216" s="34" t="s">
        <v>1350</v>
      </c>
      <c r="B216" s="34"/>
      <c r="C216" s="34"/>
      <c r="D216" s="34">
        <v>0</v>
      </c>
      <c r="E216" s="34">
        <v>1</v>
      </c>
      <c r="F216" s="34" t="s">
        <v>197</v>
      </c>
      <c r="G216" s="34" t="s">
        <v>198</v>
      </c>
      <c r="H216" s="34"/>
      <c r="I216" s="34">
        <v>0</v>
      </c>
      <c r="J216" s="34" t="s">
        <v>838</v>
      </c>
      <c r="K216" s="34" t="s">
        <v>1337</v>
      </c>
      <c r="L216" s="34">
        <v>160</v>
      </c>
      <c r="M216" s="34"/>
      <c r="N216" s="34" t="str">
        <f t="shared" si="11"/>
        <v>Status(SingleAreaDamageDerate, 160)</v>
      </c>
      <c r="O216" s="34">
        <v>0</v>
      </c>
      <c r="P216" s="34">
        <v>0</v>
      </c>
      <c r="Q216" s="34"/>
      <c r="R216" s="34" t="b">
        <v>1</v>
      </c>
    </row>
    <row r="217" spans="1:18" s="13" customFormat="1">
      <c r="A217" s="34" t="s">
        <v>1351</v>
      </c>
      <c r="B217" s="34"/>
      <c r="C217" s="34"/>
      <c r="D217" s="34">
        <v>0</v>
      </c>
      <c r="E217" s="34">
        <v>1</v>
      </c>
      <c r="F217" s="34" t="s">
        <v>197</v>
      </c>
      <c r="G217" s="34" t="s">
        <v>198</v>
      </c>
      <c r="H217" s="34"/>
      <c r="I217" s="34">
        <v>0</v>
      </c>
      <c r="J217" s="34" t="s">
        <v>838</v>
      </c>
      <c r="K217" s="34" t="s">
        <v>1337</v>
      </c>
      <c r="L217" s="34">
        <v>170</v>
      </c>
      <c r="M217" s="34"/>
      <c r="N217" s="34" t="str">
        <f t="shared" si="11"/>
        <v>Status(SingleAreaDamageDerate, 170)</v>
      </c>
      <c r="O217" s="34">
        <v>0</v>
      </c>
      <c r="P217" s="34">
        <v>0</v>
      </c>
      <c r="Q217" s="34"/>
      <c r="R217" s="34" t="b">
        <v>1</v>
      </c>
    </row>
    <row r="218" spans="1:18" s="12" customFormat="1">
      <c r="A218" s="26" t="s">
        <v>6516</v>
      </c>
      <c r="B218" s="26"/>
      <c r="C218" s="26"/>
      <c r="D218" s="26">
        <v>0</v>
      </c>
      <c r="E218" s="26">
        <v>1</v>
      </c>
      <c r="F218" s="26" t="s">
        <v>197</v>
      </c>
      <c r="G218" s="26" t="s">
        <v>198</v>
      </c>
      <c r="H218" s="26"/>
      <c r="I218" s="26">
        <v>0</v>
      </c>
      <c r="J218" s="26" t="s">
        <v>838</v>
      </c>
      <c r="K218" s="26" t="s">
        <v>1221</v>
      </c>
      <c r="L218" s="26">
        <v>-100</v>
      </c>
      <c r="M218" s="26"/>
      <c r="N218" s="26" t="str">
        <f t="shared" si="11"/>
        <v>Status(AreaDamageDerate, -100)</v>
      </c>
      <c r="O218" s="26">
        <v>0</v>
      </c>
      <c r="P218" s="26">
        <v>0</v>
      </c>
      <c r="Q218" s="26"/>
      <c r="R218" s="26" t="b">
        <v>1</v>
      </c>
    </row>
    <row r="219" spans="1:18" s="12" customFormat="1">
      <c r="A219" s="26" t="s">
        <v>1352</v>
      </c>
      <c r="B219" s="26"/>
      <c r="C219" s="26"/>
      <c r="D219" s="26">
        <v>0</v>
      </c>
      <c r="E219" s="26">
        <v>1</v>
      </c>
      <c r="F219" s="26" t="s">
        <v>197</v>
      </c>
      <c r="G219" s="26" t="s">
        <v>198</v>
      </c>
      <c r="H219" s="26"/>
      <c r="I219" s="26">
        <v>0</v>
      </c>
      <c r="J219" s="26" t="s">
        <v>838</v>
      </c>
      <c r="K219" s="26" t="s">
        <v>1221</v>
      </c>
      <c r="L219" s="26">
        <v>-100</v>
      </c>
      <c r="M219" s="26"/>
      <c r="N219" s="26" t="str">
        <f t="shared" si="11"/>
        <v>Status(AreaDamageDerate, -100)</v>
      </c>
      <c r="O219" s="26">
        <v>0</v>
      </c>
      <c r="P219" s="26">
        <v>0</v>
      </c>
      <c r="Q219" s="26"/>
      <c r="R219" s="26" t="b">
        <v>1</v>
      </c>
    </row>
    <row r="220" spans="1:18" s="12" customFormat="1">
      <c r="A220" s="26" t="s">
        <v>1353</v>
      </c>
      <c r="B220" s="26"/>
      <c r="C220" s="26"/>
      <c r="D220" s="26">
        <v>0</v>
      </c>
      <c r="E220" s="26">
        <v>1</v>
      </c>
      <c r="F220" s="26" t="s">
        <v>197</v>
      </c>
      <c r="G220" s="26" t="s">
        <v>198</v>
      </c>
      <c r="H220" s="26"/>
      <c r="I220" s="26">
        <v>0</v>
      </c>
      <c r="J220" s="26" t="s">
        <v>838</v>
      </c>
      <c r="K220" s="26" t="s">
        <v>1221</v>
      </c>
      <c r="L220" s="26">
        <v>-100</v>
      </c>
      <c r="M220" s="26"/>
      <c r="N220" s="26" t="str">
        <f t="shared" si="11"/>
        <v>Status(AreaDamageDerate, -100)</v>
      </c>
      <c r="O220" s="26">
        <v>0</v>
      </c>
      <c r="P220" s="26">
        <v>0</v>
      </c>
      <c r="Q220" s="26"/>
      <c r="R220" s="26" t="b">
        <v>1</v>
      </c>
    </row>
    <row r="221" spans="1:18" s="12" customFormat="1">
      <c r="A221" s="34" t="s">
        <v>1354</v>
      </c>
      <c r="B221" s="34"/>
      <c r="C221" s="34"/>
      <c r="D221" s="34">
        <v>0</v>
      </c>
      <c r="E221" s="34">
        <v>1</v>
      </c>
      <c r="F221" s="34" t="s">
        <v>197</v>
      </c>
      <c r="G221" s="34" t="s">
        <v>198</v>
      </c>
      <c r="H221" s="34"/>
      <c r="I221" s="34">
        <v>0</v>
      </c>
      <c r="J221" s="34" t="s">
        <v>838</v>
      </c>
      <c r="K221" s="34" t="s">
        <v>1221</v>
      </c>
      <c r="L221" s="34">
        <v>-100</v>
      </c>
      <c r="M221" s="34"/>
      <c r="N221" s="34" t="str">
        <f t="shared" si="11"/>
        <v>Status(AreaDamageDerate, -100)</v>
      </c>
      <c r="O221" s="34">
        <v>0</v>
      </c>
      <c r="P221" s="34">
        <v>0</v>
      </c>
      <c r="Q221" s="34"/>
      <c r="R221" s="34" t="b">
        <v>1</v>
      </c>
    </row>
    <row r="222" spans="1:18" s="12" customFormat="1">
      <c r="A222" s="34" t="s">
        <v>1355</v>
      </c>
      <c r="B222" s="34"/>
      <c r="C222" s="34"/>
      <c r="D222" s="34">
        <v>0</v>
      </c>
      <c r="E222" s="34">
        <v>1</v>
      </c>
      <c r="F222" s="34" t="s">
        <v>197</v>
      </c>
      <c r="G222" s="34" t="s">
        <v>198</v>
      </c>
      <c r="H222" s="34"/>
      <c r="I222" s="34">
        <v>0</v>
      </c>
      <c r="J222" s="34" t="s">
        <v>838</v>
      </c>
      <c r="K222" s="34" t="s">
        <v>1221</v>
      </c>
      <c r="L222" s="34">
        <v>-100</v>
      </c>
      <c r="M222" s="34"/>
      <c r="N222" s="34" t="str">
        <f t="shared" si="11"/>
        <v>Status(AreaDamageDerate, -100)</v>
      </c>
      <c r="O222" s="34">
        <v>0</v>
      </c>
      <c r="P222" s="34">
        <v>0</v>
      </c>
      <c r="Q222" s="34"/>
      <c r="R222" s="34" t="b">
        <v>1</v>
      </c>
    </row>
    <row r="223" spans="1:18" s="12" customFormat="1">
      <c r="A223" s="34" t="s">
        <v>1356</v>
      </c>
      <c r="B223" s="34"/>
      <c r="C223" s="34"/>
      <c r="D223" s="34">
        <v>0</v>
      </c>
      <c r="E223" s="34">
        <v>1</v>
      </c>
      <c r="F223" s="34" t="s">
        <v>197</v>
      </c>
      <c r="G223" s="34" t="s">
        <v>198</v>
      </c>
      <c r="H223" s="34"/>
      <c r="I223" s="34">
        <v>0</v>
      </c>
      <c r="J223" s="34" t="s">
        <v>838</v>
      </c>
      <c r="K223" s="34" t="s">
        <v>1221</v>
      </c>
      <c r="L223" s="34">
        <v>-100</v>
      </c>
      <c r="M223" s="34"/>
      <c r="N223" s="34" t="str">
        <f t="shared" si="11"/>
        <v>Status(AreaDamageDerate, -100)</v>
      </c>
      <c r="O223" s="34">
        <v>0</v>
      </c>
      <c r="P223" s="34">
        <v>0</v>
      </c>
      <c r="Q223" s="34"/>
      <c r="R223" s="34" t="b">
        <v>1</v>
      </c>
    </row>
    <row r="224" spans="1:18">
      <c r="A224" s="25" t="s">
        <v>3118</v>
      </c>
      <c r="B224" s="25"/>
      <c r="C224" s="25"/>
      <c r="D224" s="25">
        <v>0</v>
      </c>
      <c r="E224" s="25">
        <v>1</v>
      </c>
      <c r="F224" s="25" t="s">
        <v>417</v>
      </c>
      <c r="G224" s="25" t="s">
        <v>418</v>
      </c>
      <c r="H224" s="25"/>
      <c r="I224" s="25">
        <v>0</v>
      </c>
      <c r="J224" s="25" t="s">
        <v>1254</v>
      </c>
      <c r="K224" s="25" t="s">
        <v>3145</v>
      </c>
      <c r="L224" s="25"/>
      <c r="M224" s="25"/>
      <c r="N224" s="25" t="str">
        <f t="shared" si="11"/>
        <v>Passive(daria.passive.ex.buff.01.01&amp;daria.passive.ex.buff.02.01)</v>
      </c>
      <c r="O224" s="25">
        <v>0</v>
      </c>
      <c r="P224" s="25">
        <v>0</v>
      </c>
      <c r="Q224" s="25"/>
      <c r="R224" s="25" t="b">
        <v>1</v>
      </c>
    </row>
    <row r="225" spans="1:18">
      <c r="A225" s="25" t="s">
        <v>3119</v>
      </c>
      <c r="B225" s="25"/>
      <c r="C225" s="25"/>
      <c r="D225" s="25">
        <v>0</v>
      </c>
      <c r="E225" s="25">
        <v>1</v>
      </c>
      <c r="F225" s="25" t="s">
        <v>417</v>
      </c>
      <c r="G225" s="25" t="s">
        <v>418</v>
      </c>
      <c r="H225" s="25"/>
      <c r="I225" s="25">
        <v>0</v>
      </c>
      <c r="J225" s="25" t="s">
        <v>1254</v>
      </c>
      <c r="K225" s="25" t="s">
        <v>3146</v>
      </c>
      <c r="L225" s="25"/>
      <c r="M225" s="25"/>
      <c r="N225" s="25" t="str">
        <f t="shared" si="11"/>
        <v>Passive(daria.passive.ex.buff.01.02&amp;daria.passive.ex.buff.02.02)</v>
      </c>
      <c r="O225" s="25">
        <v>0</v>
      </c>
      <c r="P225" s="25">
        <v>0</v>
      </c>
      <c r="Q225" s="25"/>
      <c r="R225" s="25" t="b">
        <v>1</v>
      </c>
    </row>
    <row r="226" spans="1:18">
      <c r="A226" s="25" t="s">
        <v>3120</v>
      </c>
      <c r="B226" s="25"/>
      <c r="C226" s="25"/>
      <c r="D226" s="25">
        <v>0</v>
      </c>
      <c r="E226" s="25">
        <v>1</v>
      </c>
      <c r="F226" s="25" t="s">
        <v>417</v>
      </c>
      <c r="G226" s="25" t="s">
        <v>418</v>
      </c>
      <c r="H226" s="25"/>
      <c r="I226" s="25">
        <v>0</v>
      </c>
      <c r="J226" s="25" t="s">
        <v>1254</v>
      </c>
      <c r="K226" s="25" t="s">
        <v>3147</v>
      </c>
      <c r="L226" s="25"/>
      <c r="M226" s="25"/>
      <c r="N226" s="25" t="str">
        <f t="shared" si="11"/>
        <v>Passive(daria.passive.ex.buff.01.03&amp;daria.passive.ex.buff.02.03)</v>
      </c>
      <c r="O226" s="25">
        <v>0</v>
      </c>
      <c r="P226" s="25">
        <v>0</v>
      </c>
      <c r="Q226" s="25"/>
      <c r="R226" s="25" t="b">
        <v>1</v>
      </c>
    </row>
    <row r="227" spans="1:18">
      <c r="A227" s="34" t="s">
        <v>3121</v>
      </c>
      <c r="B227" s="34"/>
      <c r="C227" s="34"/>
      <c r="D227" s="34">
        <v>0</v>
      </c>
      <c r="E227" s="34">
        <v>1</v>
      </c>
      <c r="F227" s="34" t="s">
        <v>417</v>
      </c>
      <c r="G227" s="34" t="s">
        <v>418</v>
      </c>
      <c r="H227" s="34"/>
      <c r="I227" s="34">
        <v>0</v>
      </c>
      <c r="J227" s="34" t="s">
        <v>1254</v>
      </c>
      <c r="K227" s="34" t="s">
        <v>3148</v>
      </c>
      <c r="L227" s="34"/>
      <c r="M227" s="34"/>
      <c r="N227" s="34" t="str">
        <f t="shared" si="11"/>
        <v>Passive(daria.passive.ex.buff.01.04&amp;daria.passive.ex.buff.02.04)</v>
      </c>
      <c r="O227" s="34">
        <v>0</v>
      </c>
      <c r="P227" s="34">
        <v>0</v>
      </c>
      <c r="Q227" s="34"/>
      <c r="R227" s="34" t="b">
        <v>1</v>
      </c>
    </row>
    <row r="228" spans="1:18">
      <c r="A228" s="34" t="s">
        <v>3122</v>
      </c>
      <c r="B228" s="34"/>
      <c r="C228" s="34"/>
      <c r="D228" s="34">
        <v>0</v>
      </c>
      <c r="E228" s="34">
        <v>1</v>
      </c>
      <c r="F228" s="34" t="s">
        <v>417</v>
      </c>
      <c r="G228" s="34" t="s">
        <v>418</v>
      </c>
      <c r="H228" s="34"/>
      <c r="I228" s="34">
        <v>0</v>
      </c>
      <c r="J228" s="34" t="s">
        <v>1254</v>
      </c>
      <c r="K228" s="34" t="s">
        <v>3149</v>
      </c>
      <c r="L228" s="34"/>
      <c r="M228" s="34"/>
      <c r="N228" s="34" t="str">
        <f t="shared" si="11"/>
        <v>Passive(daria.passive.ex.buff.01.05&amp;daria.passive.ex.buff.02.05)</v>
      </c>
      <c r="O228" s="34">
        <v>0</v>
      </c>
      <c r="P228" s="34">
        <v>0</v>
      </c>
      <c r="Q228" s="34"/>
      <c r="R228" s="34" t="b">
        <v>1</v>
      </c>
    </row>
    <row r="229" spans="1:18">
      <c r="A229" s="34" t="s">
        <v>3123</v>
      </c>
      <c r="B229" s="34"/>
      <c r="C229" s="34"/>
      <c r="D229" s="34">
        <v>0</v>
      </c>
      <c r="E229" s="34">
        <v>1</v>
      </c>
      <c r="F229" s="34" t="s">
        <v>417</v>
      </c>
      <c r="G229" s="34" t="s">
        <v>418</v>
      </c>
      <c r="H229" s="34"/>
      <c r="I229" s="34">
        <v>0</v>
      </c>
      <c r="J229" s="34" t="s">
        <v>1254</v>
      </c>
      <c r="K229" s="34" t="s">
        <v>3150</v>
      </c>
      <c r="L229" s="34"/>
      <c r="M229" s="34"/>
      <c r="N229" s="34" t="str">
        <f t="shared" si="11"/>
        <v>Passive(daria.passive.ex.buff.01.06&amp;daria.passive.ex.buff.02.06)</v>
      </c>
      <c r="O229" s="34">
        <v>0</v>
      </c>
      <c r="P229" s="34">
        <v>0</v>
      </c>
      <c r="Q229" s="34"/>
      <c r="R229" s="34" t="b">
        <v>1</v>
      </c>
    </row>
    <row r="230" spans="1:18">
      <c r="A230" s="25" t="s">
        <v>3129</v>
      </c>
      <c r="B230" s="25"/>
      <c r="C230" s="25"/>
      <c r="D230" s="25">
        <v>0</v>
      </c>
      <c r="E230" s="25">
        <v>1</v>
      </c>
      <c r="F230" s="25" t="s">
        <v>197</v>
      </c>
      <c r="G230" s="25" t="s">
        <v>198</v>
      </c>
      <c r="H230" s="25"/>
      <c r="I230" s="25">
        <v>0</v>
      </c>
      <c r="J230" s="25" t="s">
        <v>838</v>
      </c>
      <c r="K230" s="25" t="s">
        <v>1615</v>
      </c>
      <c r="L230" s="25">
        <v>60</v>
      </c>
      <c r="M230" s="25"/>
      <c r="N230" s="25" t="str">
        <f t="shared" si="11"/>
        <v>Status(MeleeDamageRate, 60)</v>
      </c>
      <c r="O230" s="25">
        <v>0</v>
      </c>
      <c r="P230" s="25">
        <v>0</v>
      </c>
      <c r="Q230" s="25"/>
      <c r="R230" s="25" t="b">
        <v>1</v>
      </c>
    </row>
    <row r="231" spans="1:18">
      <c r="A231" s="25" t="s">
        <v>3130</v>
      </c>
      <c r="B231" s="25"/>
      <c r="C231" s="25"/>
      <c r="D231" s="25">
        <v>0</v>
      </c>
      <c r="E231" s="25">
        <v>1</v>
      </c>
      <c r="F231" s="25" t="s">
        <v>197</v>
      </c>
      <c r="G231" s="25" t="s">
        <v>198</v>
      </c>
      <c r="H231" s="25"/>
      <c r="I231" s="25">
        <v>0</v>
      </c>
      <c r="J231" s="25" t="s">
        <v>838</v>
      </c>
      <c r="K231" s="25" t="s">
        <v>1615</v>
      </c>
      <c r="L231" s="25">
        <v>70</v>
      </c>
      <c r="M231" s="25"/>
      <c r="N231" s="25" t="str">
        <f t="shared" si="11"/>
        <v>Status(MeleeDamageRate, 70)</v>
      </c>
      <c r="O231" s="25">
        <v>0</v>
      </c>
      <c r="P231" s="25">
        <v>0</v>
      </c>
      <c r="Q231" s="25"/>
      <c r="R231" s="25" t="b">
        <v>1</v>
      </c>
    </row>
    <row r="232" spans="1:18">
      <c r="A232" s="25" t="s">
        <v>3131</v>
      </c>
      <c r="B232" s="25"/>
      <c r="C232" s="25"/>
      <c r="D232" s="25">
        <v>0</v>
      </c>
      <c r="E232" s="25">
        <v>1</v>
      </c>
      <c r="F232" s="25" t="s">
        <v>197</v>
      </c>
      <c r="G232" s="25" t="s">
        <v>198</v>
      </c>
      <c r="H232" s="25"/>
      <c r="I232" s="25">
        <v>0</v>
      </c>
      <c r="J232" s="25" t="s">
        <v>838</v>
      </c>
      <c r="K232" s="25" t="s">
        <v>1615</v>
      </c>
      <c r="L232" s="25">
        <v>80</v>
      </c>
      <c r="M232" s="25"/>
      <c r="N232" s="25" t="str">
        <f t="shared" si="11"/>
        <v>Status(MeleeDamageRate, 80)</v>
      </c>
      <c r="O232" s="25">
        <v>0</v>
      </c>
      <c r="P232" s="25">
        <v>0</v>
      </c>
      <c r="Q232" s="25"/>
      <c r="R232" s="25" t="b">
        <v>1</v>
      </c>
    </row>
    <row r="233" spans="1:18">
      <c r="A233" s="34" t="s">
        <v>3132</v>
      </c>
      <c r="B233" s="34"/>
      <c r="C233" s="34"/>
      <c r="D233" s="34">
        <v>0</v>
      </c>
      <c r="E233" s="34">
        <v>1</v>
      </c>
      <c r="F233" s="34" t="s">
        <v>197</v>
      </c>
      <c r="G233" s="34" t="s">
        <v>198</v>
      </c>
      <c r="H233" s="34"/>
      <c r="I233" s="34">
        <v>0</v>
      </c>
      <c r="J233" s="34" t="s">
        <v>838</v>
      </c>
      <c r="K233" s="34" t="s">
        <v>1615</v>
      </c>
      <c r="L233" s="34">
        <v>100</v>
      </c>
      <c r="M233" s="34"/>
      <c r="N233" s="34" t="str">
        <f t="shared" si="11"/>
        <v>Status(MeleeDamageRate, 100)</v>
      </c>
      <c r="O233" s="34">
        <v>0</v>
      </c>
      <c r="P233" s="34">
        <v>0</v>
      </c>
      <c r="Q233" s="34"/>
      <c r="R233" s="34" t="b">
        <v>1</v>
      </c>
    </row>
    <row r="234" spans="1:18">
      <c r="A234" s="34" t="s">
        <v>3133</v>
      </c>
      <c r="B234" s="34"/>
      <c r="C234" s="34"/>
      <c r="D234" s="34">
        <v>0</v>
      </c>
      <c r="E234" s="34">
        <v>1</v>
      </c>
      <c r="F234" s="34" t="s">
        <v>197</v>
      </c>
      <c r="G234" s="34" t="s">
        <v>198</v>
      </c>
      <c r="H234" s="34"/>
      <c r="I234" s="34">
        <v>0</v>
      </c>
      <c r="J234" s="34" t="s">
        <v>838</v>
      </c>
      <c r="K234" s="34" t="s">
        <v>1615</v>
      </c>
      <c r="L234" s="34">
        <v>215</v>
      </c>
      <c r="M234" s="34"/>
      <c r="N234" s="34" t="str">
        <f t="shared" si="11"/>
        <v>Status(MeleeDamageRate, 215)</v>
      </c>
      <c r="O234" s="34">
        <v>0</v>
      </c>
      <c r="P234" s="34">
        <v>0</v>
      </c>
      <c r="Q234" s="34"/>
      <c r="R234" s="34" t="b">
        <v>1</v>
      </c>
    </row>
    <row r="235" spans="1:18">
      <c r="A235" s="34" t="s">
        <v>3134</v>
      </c>
      <c r="B235" s="34"/>
      <c r="C235" s="34"/>
      <c r="D235" s="34">
        <v>0</v>
      </c>
      <c r="E235" s="34">
        <v>1</v>
      </c>
      <c r="F235" s="34" t="s">
        <v>197</v>
      </c>
      <c r="G235" s="34" t="s">
        <v>198</v>
      </c>
      <c r="H235" s="34"/>
      <c r="I235" s="34">
        <v>0</v>
      </c>
      <c r="J235" s="34" t="s">
        <v>838</v>
      </c>
      <c r="K235" s="34" t="s">
        <v>1615</v>
      </c>
      <c r="L235" s="34">
        <v>232</v>
      </c>
      <c r="M235" s="34"/>
      <c r="N235" s="34" t="str">
        <f t="shared" si="11"/>
        <v>Status(MeleeDamageRate, 232)</v>
      </c>
      <c r="O235" s="34">
        <v>0</v>
      </c>
      <c r="P235" s="34">
        <v>0</v>
      </c>
      <c r="Q235" s="34"/>
      <c r="R235" s="34" t="b">
        <v>1</v>
      </c>
    </row>
    <row r="236" spans="1:18">
      <c r="A236" s="25" t="s">
        <v>6511</v>
      </c>
      <c r="B236" s="25"/>
      <c r="C236" s="25"/>
      <c r="D236" s="25">
        <v>0</v>
      </c>
      <c r="E236" s="25">
        <v>1</v>
      </c>
      <c r="F236" s="25" t="s">
        <v>197</v>
      </c>
      <c r="G236" s="25" t="s">
        <v>198</v>
      </c>
      <c r="H236" s="25"/>
      <c r="I236" s="25">
        <v>0</v>
      </c>
      <c r="J236" s="25" t="s">
        <v>838</v>
      </c>
      <c r="K236" s="25" t="s">
        <v>1616</v>
      </c>
      <c r="L236" s="25">
        <v>60</v>
      </c>
      <c r="M236" s="25"/>
      <c r="N236" s="25" t="str">
        <f t="shared" si="11"/>
        <v>Status(RangeDamageRate, 60)</v>
      </c>
      <c r="O236" s="25">
        <v>0</v>
      </c>
      <c r="P236" s="25">
        <v>0</v>
      </c>
      <c r="Q236" s="25"/>
      <c r="R236" s="25" t="b">
        <v>1</v>
      </c>
    </row>
    <row r="237" spans="1:18">
      <c r="A237" s="25" t="s">
        <v>3140</v>
      </c>
      <c r="B237" s="25"/>
      <c r="C237" s="25"/>
      <c r="D237" s="25">
        <v>0</v>
      </c>
      <c r="E237" s="25">
        <v>1</v>
      </c>
      <c r="F237" s="25" t="s">
        <v>197</v>
      </c>
      <c r="G237" s="25" t="s">
        <v>198</v>
      </c>
      <c r="H237" s="25"/>
      <c r="I237" s="25">
        <v>0</v>
      </c>
      <c r="J237" s="25" t="s">
        <v>838</v>
      </c>
      <c r="K237" s="25" t="s">
        <v>1616</v>
      </c>
      <c r="L237" s="25">
        <v>70</v>
      </c>
      <c r="M237" s="25"/>
      <c r="N237" s="25" t="str">
        <f t="shared" si="11"/>
        <v>Status(RangeDamageRate, 70)</v>
      </c>
      <c r="O237" s="25">
        <v>0</v>
      </c>
      <c r="P237" s="25">
        <v>0</v>
      </c>
      <c r="Q237" s="25"/>
      <c r="R237" s="25" t="b">
        <v>1</v>
      </c>
    </row>
    <row r="238" spans="1:18">
      <c r="A238" s="25" t="s">
        <v>3141</v>
      </c>
      <c r="B238" s="25"/>
      <c r="C238" s="25"/>
      <c r="D238" s="25">
        <v>0</v>
      </c>
      <c r="E238" s="25">
        <v>1</v>
      </c>
      <c r="F238" s="25" t="s">
        <v>197</v>
      </c>
      <c r="G238" s="25" t="s">
        <v>198</v>
      </c>
      <c r="H238" s="25"/>
      <c r="I238" s="25">
        <v>0</v>
      </c>
      <c r="J238" s="25" t="s">
        <v>838</v>
      </c>
      <c r="K238" s="25" t="s">
        <v>1616</v>
      </c>
      <c r="L238" s="25">
        <v>80</v>
      </c>
      <c r="M238" s="25"/>
      <c r="N238" s="25" t="str">
        <f t="shared" si="11"/>
        <v>Status(RangeDamageRate, 80)</v>
      </c>
      <c r="O238" s="25">
        <v>0</v>
      </c>
      <c r="P238" s="25">
        <v>0</v>
      </c>
      <c r="Q238" s="25"/>
      <c r="R238" s="25" t="b">
        <v>1</v>
      </c>
    </row>
    <row r="239" spans="1:18">
      <c r="A239" s="34" t="s">
        <v>3142</v>
      </c>
      <c r="B239" s="34"/>
      <c r="C239" s="34"/>
      <c r="D239" s="34">
        <v>0</v>
      </c>
      <c r="E239" s="34">
        <v>1</v>
      </c>
      <c r="F239" s="34" t="s">
        <v>197</v>
      </c>
      <c r="G239" s="34" t="s">
        <v>198</v>
      </c>
      <c r="H239" s="34"/>
      <c r="I239" s="34">
        <v>0</v>
      </c>
      <c r="J239" s="34" t="s">
        <v>838</v>
      </c>
      <c r="K239" s="34" t="s">
        <v>1616</v>
      </c>
      <c r="L239" s="34">
        <v>100</v>
      </c>
      <c r="M239" s="34"/>
      <c r="N239" s="34" t="str">
        <f t="shared" ref="N239:N304" si="12">J239&amp;"("&amp;IF(K239="","",K239)&amp;IF(L239="","",", "&amp;L239)&amp;IF(M239="","",", "&amp;M239)&amp;")"</f>
        <v>Status(RangeDamageRate, 100)</v>
      </c>
      <c r="O239" s="34">
        <v>0</v>
      </c>
      <c r="P239" s="34">
        <v>0</v>
      </c>
      <c r="Q239" s="34"/>
      <c r="R239" s="34" t="b">
        <v>1</v>
      </c>
    </row>
    <row r="240" spans="1:18">
      <c r="A240" s="34" t="s">
        <v>3143</v>
      </c>
      <c r="B240" s="34"/>
      <c r="C240" s="34"/>
      <c r="D240" s="34">
        <v>0</v>
      </c>
      <c r="E240" s="34">
        <v>1</v>
      </c>
      <c r="F240" s="34" t="s">
        <v>197</v>
      </c>
      <c r="G240" s="34" t="s">
        <v>198</v>
      </c>
      <c r="H240" s="34"/>
      <c r="I240" s="34">
        <v>0</v>
      </c>
      <c r="J240" s="34" t="s">
        <v>838</v>
      </c>
      <c r="K240" s="34" t="s">
        <v>1616</v>
      </c>
      <c r="L240" s="34">
        <v>215</v>
      </c>
      <c r="M240" s="34"/>
      <c r="N240" s="34" t="str">
        <f t="shared" si="12"/>
        <v>Status(RangeDamageRate, 215)</v>
      </c>
      <c r="O240" s="34">
        <v>0</v>
      </c>
      <c r="P240" s="34">
        <v>0</v>
      </c>
      <c r="Q240" s="34"/>
      <c r="R240" s="34" t="b">
        <v>1</v>
      </c>
    </row>
    <row r="241" spans="1:18">
      <c r="A241" s="34" t="s">
        <v>3144</v>
      </c>
      <c r="B241" s="34"/>
      <c r="C241" s="34"/>
      <c r="D241" s="34">
        <v>0</v>
      </c>
      <c r="E241" s="34">
        <v>1</v>
      </c>
      <c r="F241" s="34" t="s">
        <v>197</v>
      </c>
      <c r="G241" s="34" t="s">
        <v>198</v>
      </c>
      <c r="H241" s="34"/>
      <c r="I241" s="34">
        <v>0</v>
      </c>
      <c r="J241" s="34" t="s">
        <v>838</v>
      </c>
      <c r="K241" s="34" t="s">
        <v>1616</v>
      </c>
      <c r="L241" s="34">
        <v>232</v>
      </c>
      <c r="M241" s="34"/>
      <c r="N241" s="34" t="str">
        <f t="shared" si="12"/>
        <v>Status(RangeDamageRate, 232)</v>
      </c>
      <c r="O241" s="34">
        <v>0</v>
      </c>
      <c r="P241" s="34">
        <v>0</v>
      </c>
      <c r="Q241" s="34"/>
      <c r="R241" s="34" t="b">
        <v>1</v>
      </c>
    </row>
    <row r="242" spans="1:18" s="12" customFormat="1">
      <c r="A242" s="51" t="s">
        <v>3556</v>
      </c>
      <c r="B242" s="51"/>
      <c r="C242" s="51"/>
      <c r="D242" s="51">
        <v>0</v>
      </c>
      <c r="E242" s="51">
        <v>1</v>
      </c>
      <c r="F242" s="51" t="s">
        <v>197</v>
      </c>
      <c r="G242" s="51" t="s">
        <v>198</v>
      </c>
      <c r="H242" s="51"/>
      <c r="I242" s="51">
        <v>0</v>
      </c>
      <c r="J242" s="51" t="s">
        <v>893</v>
      </c>
      <c r="K242" s="51" t="s">
        <v>3561</v>
      </c>
      <c r="L242" s="51"/>
      <c r="M242" s="51"/>
      <c r="N242" s="51" t="str">
        <f t="shared" si="12"/>
        <v>Active(snopril.ult.c.pre.buff.01.skilleffect.01)</v>
      </c>
      <c r="O242" s="51">
        <v>0</v>
      </c>
      <c r="P242" s="51">
        <v>1000</v>
      </c>
      <c r="Q242" s="51"/>
      <c r="R242" s="51" t="b">
        <v>1</v>
      </c>
    </row>
    <row r="243" spans="1:18" s="12" customFormat="1">
      <c r="A243" s="51" t="s">
        <v>3558</v>
      </c>
      <c r="B243" s="51"/>
      <c r="C243" s="51"/>
      <c r="D243" s="51">
        <v>0</v>
      </c>
      <c r="E243" s="51">
        <v>1</v>
      </c>
      <c r="F243" s="51" t="s">
        <v>197</v>
      </c>
      <c r="G243" s="51" t="s">
        <v>198</v>
      </c>
      <c r="H243" s="51"/>
      <c r="I243" s="51">
        <v>0</v>
      </c>
      <c r="J243" s="51" t="s">
        <v>191</v>
      </c>
      <c r="K243" s="51" t="s">
        <v>892</v>
      </c>
      <c r="L243" s="51" t="s">
        <v>3562</v>
      </c>
      <c r="M243" s="51"/>
      <c r="N243" s="51" t="str">
        <f t="shared" si="12"/>
        <v>Effect(BeHit, snopril.ult.pre.buff.01.skilleffect.01)</v>
      </c>
      <c r="O243" s="51">
        <v>0</v>
      </c>
      <c r="P243" s="51">
        <v>1000</v>
      </c>
      <c r="Q243" s="51"/>
      <c r="R243" s="51" t="b">
        <v>1</v>
      </c>
    </row>
    <row r="244" spans="1:18" s="12" customFormat="1">
      <c r="A244" s="51" t="s">
        <v>3543</v>
      </c>
      <c r="B244" s="51" t="s">
        <v>1367</v>
      </c>
      <c r="C244" s="51" t="s">
        <v>3548</v>
      </c>
      <c r="D244" s="51">
        <v>0</v>
      </c>
      <c r="E244" s="51">
        <v>1</v>
      </c>
      <c r="F244" s="51" t="s">
        <v>197</v>
      </c>
      <c r="G244" s="51" t="s">
        <v>198</v>
      </c>
      <c r="H244" s="51"/>
      <c r="I244" s="51">
        <v>0</v>
      </c>
      <c r="J244" s="51" t="s">
        <v>838</v>
      </c>
      <c r="K244" s="51" t="s">
        <v>873</v>
      </c>
      <c r="L244" s="51">
        <v>100</v>
      </c>
      <c r="M244" s="51"/>
      <c r="N244" s="51" t="str">
        <f t="shared" si="12"/>
        <v>Status(RecoveryRate, 100)</v>
      </c>
      <c r="O244" s="51">
        <v>0</v>
      </c>
      <c r="P244" s="51">
        <v>0</v>
      </c>
      <c r="Q244" s="51"/>
      <c r="R244" s="51" t="b">
        <v>1</v>
      </c>
    </row>
    <row r="245" spans="1:18" s="12" customFormat="1">
      <c r="A245" s="51" t="s">
        <v>3544</v>
      </c>
      <c r="B245" s="51" t="s">
        <v>1367</v>
      </c>
      <c r="C245" s="51" t="s">
        <v>3538</v>
      </c>
      <c r="D245" s="51">
        <v>0</v>
      </c>
      <c r="E245" s="51">
        <v>1</v>
      </c>
      <c r="F245" s="51" t="s">
        <v>197</v>
      </c>
      <c r="G245" s="51" t="s">
        <v>198</v>
      </c>
      <c r="H245" s="51"/>
      <c r="I245" s="51">
        <v>0</v>
      </c>
      <c r="J245" s="51" t="s">
        <v>838</v>
      </c>
      <c r="K245" s="51" t="s">
        <v>873</v>
      </c>
      <c r="L245" s="51">
        <v>150</v>
      </c>
      <c r="M245" s="51"/>
      <c r="N245" s="51" t="str">
        <f t="shared" si="12"/>
        <v>Status(RecoveryRate, 150)</v>
      </c>
      <c r="O245" s="51">
        <v>0</v>
      </c>
      <c r="P245" s="51">
        <v>0</v>
      </c>
      <c r="Q245" s="51"/>
      <c r="R245" s="51" t="b">
        <v>1</v>
      </c>
    </row>
    <row r="246" spans="1:18" s="12" customFormat="1">
      <c r="A246" s="51" t="s">
        <v>3545</v>
      </c>
      <c r="B246" s="51" t="s">
        <v>1367</v>
      </c>
      <c r="C246" s="51" t="s">
        <v>3539</v>
      </c>
      <c r="D246" s="51">
        <v>0</v>
      </c>
      <c r="E246" s="51">
        <v>1</v>
      </c>
      <c r="F246" s="51" t="s">
        <v>197</v>
      </c>
      <c r="G246" s="51" t="s">
        <v>198</v>
      </c>
      <c r="H246" s="51"/>
      <c r="I246" s="51">
        <v>0</v>
      </c>
      <c r="J246" s="51" t="s">
        <v>838</v>
      </c>
      <c r="K246" s="51" t="s">
        <v>873</v>
      </c>
      <c r="L246" s="51">
        <v>200</v>
      </c>
      <c r="M246" s="51"/>
      <c r="N246" s="51" t="str">
        <f t="shared" si="12"/>
        <v>Status(RecoveryRate, 200)</v>
      </c>
      <c r="O246" s="51">
        <v>0</v>
      </c>
      <c r="P246" s="51">
        <v>0</v>
      </c>
      <c r="Q246" s="51"/>
      <c r="R246" s="51" t="b">
        <v>1</v>
      </c>
    </row>
    <row r="247" spans="1:18" s="12" customFormat="1">
      <c r="A247" s="34" t="s">
        <v>3546</v>
      </c>
      <c r="B247" s="34" t="s">
        <v>1367</v>
      </c>
      <c r="C247" s="34" t="s">
        <v>3540</v>
      </c>
      <c r="D247" s="34">
        <v>0</v>
      </c>
      <c r="E247" s="34">
        <v>1</v>
      </c>
      <c r="F247" s="34" t="s">
        <v>197</v>
      </c>
      <c r="G247" s="34" t="s">
        <v>198</v>
      </c>
      <c r="H247" s="34"/>
      <c r="I247" s="34">
        <v>0</v>
      </c>
      <c r="J247" s="34" t="s">
        <v>838</v>
      </c>
      <c r="K247" s="34" t="s">
        <v>873</v>
      </c>
      <c r="L247" s="34">
        <v>250</v>
      </c>
      <c r="M247" s="34"/>
      <c r="N247" s="34" t="str">
        <f t="shared" si="12"/>
        <v>Status(RecoveryRate, 250)</v>
      </c>
      <c r="O247" s="34">
        <v>0</v>
      </c>
      <c r="P247" s="34">
        <v>0</v>
      </c>
      <c r="Q247" s="34"/>
      <c r="R247" s="34" t="b">
        <v>1</v>
      </c>
    </row>
    <row r="248" spans="1:18" s="12" customFormat="1">
      <c r="A248" s="34" t="s">
        <v>3547</v>
      </c>
      <c r="B248" s="34" t="s">
        <v>1367</v>
      </c>
      <c r="C248" s="34" t="s">
        <v>3541</v>
      </c>
      <c r="D248" s="34">
        <v>0</v>
      </c>
      <c r="E248" s="34">
        <v>1</v>
      </c>
      <c r="F248" s="34" t="s">
        <v>197</v>
      </c>
      <c r="G248" s="34" t="s">
        <v>198</v>
      </c>
      <c r="H248" s="34"/>
      <c r="I248" s="34">
        <v>0</v>
      </c>
      <c r="J248" s="34" t="s">
        <v>838</v>
      </c>
      <c r="K248" s="34" t="s">
        <v>873</v>
      </c>
      <c r="L248" s="34">
        <v>300</v>
      </c>
      <c r="M248" s="34"/>
      <c r="N248" s="34" t="str">
        <f t="shared" si="12"/>
        <v>Status(RecoveryRate, 300)</v>
      </c>
      <c r="O248" s="34">
        <v>0</v>
      </c>
      <c r="P248" s="34">
        <v>0</v>
      </c>
      <c r="Q248" s="34"/>
      <c r="R248" s="34" t="b">
        <v>1</v>
      </c>
    </row>
    <row r="249" spans="1:18" s="12" customFormat="1">
      <c r="A249" s="51" t="s">
        <v>6524</v>
      </c>
      <c r="B249" s="51"/>
      <c r="C249" s="51"/>
      <c r="D249" s="51">
        <v>0</v>
      </c>
      <c r="E249" s="51">
        <v>1</v>
      </c>
      <c r="F249" s="51" t="s">
        <v>197</v>
      </c>
      <c r="G249" s="51" t="s">
        <v>198</v>
      </c>
      <c r="H249" s="51"/>
      <c r="I249" s="51">
        <v>0</v>
      </c>
      <c r="J249" s="51" t="s">
        <v>893</v>
      </c>
      <c r="K249" s="51" t="s">
        <v>6564</v>
      </c>
      <c r="L249" s="51"/>
      <c r="M249" s="51"/>
      <c r="N249" s="51" t="str">
        <f t="shared" si="12"/>
        <v>Active(snopril.ult.post.buff.01.skilleffect.01)</v>
      </c>
      <c r="O249" s="51">
        <v>0</v>
      </c>
      <c r="P249" s="51">
        <v>1000</v>
      </c>
      <c r="Q249" s="51"/>
      <c r="R249" s="51" t="b">
        <v>1</v>
      </c>
    </row>
    <row r="250" spans="1:18" s="12" customFormat="1">
      <c r="A250" s="51" t="s">
        <v>3560</v>
      </c>
      <c r="B250" s="51"/>
      <c r="C250" s="51"/>
      <c r="D250" s="51">
        <v>0</v>
      </c>
      <c r="E250" s="51">
        <v>1</v>
      </c>
      <c r="F250" s="51" t="s">
        <v>197</v>
      </c>
      <c r="G250" s="51" t="s">
        <v>198</v>
      </c>
      <c r="H250" s="51"/>
      <c r="I250" s="51">
        <v>0</v>
      </c>
      <c r="J250" s="51" t="s">
        <v>191</v>
      </c>
      <c r="K250" s="51" t="s">
        <v>892</v>
      </c>
      <c r="L250" s="51" t="s">
        <v>3563</v>
      </c>
      <c r="M250" s="51"/>
      <c r="N250" s="51" t="str">
        <f t="shared" si="12"/>
        <v>Effect(BeHit, snopril.ult.B.pre.buff.01.skilleffect.01)</v>
      </c>
      <c r="O250" s="51">
        <v>0</v>
      </c>
      <c r="P250" s="51">
        <v>1000</v>
      </c>
      <c r="Q250" s="51"/>
      <c r="R250" s="51" t="b">
        <v>1</v>
      </c>
    </row>
    <row r="251" spans="1:18" s="12" customFormat="1">
      <c r="A251" s="51" t="s">
        <v>6162</v>
      </c>
      <c r="B251" s="51"/>
      <c r="C251" s="51"/>
      <c r="D251" s="51">
        <v>0</v>
      </c>
      <c r="E251" s="51">
        <v>1</v>
      </c>
      <c r="F251" s="51" t="s">
        <v>197</v>
      </c>
      <c r="G251" s="51" t="s">
        <v>198</v>
      </c>
      <c r="H251" s="51"/>
      <c r="I251" s="51">
        <v>0</v>
      </c>
      <c r="J251" s="51" t="s">
        <v>893</v>
      </c>
      <c r="K251" s="51" t="s">
        <v>6163</v>
      </c>
      <c r="L251" s="51"/>
      <c r="M251" s="51"/>
      <c r="N251" s="51" t="str">
        <f t="shared" si="12"/>
        <v>Active(snopril.ult.B.effect)</v>
      </c>
      <c r="O251" s="51">
        <v>0</v>
      </c>
      <c r="P251" s="51">
        <v>1000</v>
      </c>
      <c r="Q251" s="51"/>
      <c r="R251" s="51" t="b">
        <v>1</v>
      </c>
    </row>
    <row r="252" spans="1:18" s="12" customFormat="1">
      <c r="A252" s="51" t="s">
        <v>3550</v>
      </c>
      <c r="B252" s="51" t="s">
        <v>1367</v>
      </c>
      <c r="C252" s="51" t="s">
        <v>3548</v>
      </c>
      <c r="D252" s="51">
        <v>0</v>
      </c>
      <c r="E252" s="51">
        <v>1</v>
      </c>
      <c r="F252" s="51" t="s">
        <v>197</v>
      </c>
      <c r="G252" s="51" t="s">
        <v>198</v>
      </c>
      <c r="H252" s="51"/>
      <c r="I252" s="51">
        <v>0</v>
      </c>
      <c r="J252" s="51" t="s">
        <v>838</v>
      </c>
      <c r="K252" s="51" t="s">
        <v>905</v>
      </c>
      <c r="L252" s="51">
        <v>140</v>
      </c>
      <c r="M252" s="51"/>
      <c r="N252" s="51" t="str">
        <f t="shared" si="12"/>
        <v>Status(DamageRate, 140)</v>
      </c>
      <c r="O252" s="51">
        <v>0</v>
      </c>
      <c r="P252" s="51">
        <v>0</v>
      </c>
      <c r="Q252" s="51"/>
      <c r="R252" s="51" t="b">
        <v>1</v>
      </c>
    </row>
    <row r="253" spans="1:18" s="12" customFormat="1">
      <c r="A253" s="51" t="s">
        <v>3551</v>
      </c>
      <c r="B253" s="51" t="s">
        <v>1367</v>
      </c>
      <c r="C253" s="51" t="s">
        <v>3538</v>
      </c>
      <c r="D253" s="51">
        <v>0</v>
      </c>
      <c r="E253" s="51">
        <v>1</v>
      </c>
      <c r="F253" s="51" t="s">
        <v>197</v>
      </c>
      <c r="G253" s="51" t="s">
        <v>198</v>
      </c>
      <c r="H253" s="51"/>
      <c r="I253" s="51">
        <v>0</v>
      </c>
      <c r="J253" s="51" t="s">
        <v>838</v>
      </c>
      <c r="K253" s="51" t="s">
        <v>905</v>
      </c>
      <c r="L253" s="51">
        <v>170</v>
      </c>
      <c r="M253" s="51"/>
      <c r="N253" s="51" t="str">
        <f t="shared" si="12"/>
        <v>Status(DamageRate, 170)</v>
      </c>
      <c r="O253" s="51">
        <v>0</v>
      </c>
      <c r="P253" s="51">
        <v>0</v>
      </c>
      <c r="Q253" s="51"/>
      <c r="R253" s="51" t="b">
        <v>1</v>
      </c>
    </row>
    <row r="254" spans="1:18" s="12" customFormat="1">
      <c r="A254" s="51" t="s">
        <v>3552</v>
      </c>
      <c r="B254" s="51" t="s">
        <v>1367</v>
      </c>
      <c r="C254" s="51" t="s">
        <v>3539</v>
      </c>
      <c r="D254" s="51">
        <v>0</v>
      </c>
      <c r="E254" s="51">
        <v>1</v>
      </c>
      <c r="F254" s="51" t="s">
        <v>197</v>
      </c>
      <c r="G254" s="51" t="s">
        <v>198</v>
      </c>
      <c r="H254" s="51"/>
      <c r="I254" s="51">
        <v>0</v>
      </c>
      <c r="J254" s="51" t="s">
        <v>838</v>
      </c>
      <c r="K254" s="51" t="s">
        <v>905</v>
      </c>
      <c r="L254" s="51">
        <v>200</v>
      </c>
      <c r="M254" s="51"/>
      <c r="N254" s="51" t="str">
        <f t="shared" si="12"/>
        <v>Status(DamageRate, 200)</v>
      </c>
      <c r="O254" s="51">
        <v>0</v>
      </c>
      <c r="P254" s="51">
        <v>0</v>
      </c>
      <c r="Q254" s="51"/>
      <c r="R254" s="51" t="b">
        <v>1</v>
      </c>
    </row>
    <row r="255" spans="1:18" s="12" customFormat="1">
      <c r="A255" s="34" t="s">
        <v>3553</v>
      </c>
      <c r="B255" s="34" t="s">
        <v>1367</v>
      </c>
      <c r="C255" s="34" t="s">
        <v>3540</v>
      </c>
      <c r="D255" s="34">
        <v>0</v>
      </c>
      <c r="E255" s="34">
        <v>1</v>
      </c>
      <c r="F255" s="34" t="s">
        <v>197</v>
      </c>
      <c r="G255" s="34" t="s">
        <v>198</v>
      </c>
      <c r="H255" s="34"/>
      <c r="I255" s="34">
        <v>0</v>
      </c>
      <c r="J255" s="34" t="s">
        <v>838</v>
      </c>
      <c r="K255" s="34" t="s">
        <v>905</v>
      </c>
      <c r="L255" s="34">
        <v>230</v>
      </c>
      <c r="M255" s="34"/>
      <c r="N255" s="34" t="str">
        <f t="shared" si="12"/>
        <v>Status(DamageRate, 230)</v>
      </c>
      <c r="O255" s="34">
        <v>0</v>
      </c>
      <c r="P255" s="34">
        <v>0</v>
      </c>
      <c r="Q255" s="34"/>
      <c r="R255" s="34" t="b">
        <v>1</v>
      </c>
    </row>
    <row r="256" spans="1:18" s="12" customFormat="1">
      <c r="A256" s="34" t="s">
        <v>3554</v>
      </c>
      <c r="B256" s="34" t="s">
        <v>1367</v>
      </c>
      <c r="C256" s="34" t="s">
        <v>3541</v>
      </c>
      <c r="D256" s="34">
        <v>0</v>
      </c>
      <c r="E256" s="34">
        <v>1</v>
      </c>
      <c r="F256" s="34" t="s">
        <v>197</v>
      </c>
      <c r="G256" s="34" t="s">
        <v>198</v>
      </c>
      <c r="H256" s="34"/>
      <c r="I256" s="34">
        <v>0</v>
      </c>
      <c r="J256" s="34" t="s">
        <v>838</v>
      </c>
      <c r="K256" s="34" t="s">
        <v>905</v>
      </c>
      <c r="L256" s="34">
        <v>260</v>
      </c>
      <c r="M256" s="34"/>
      <c r="N256" s="34" t="str">
        <f t="shared" si="12"/>
        <v>Status(DamageRate, 260)</v>
      </c>
      <c r="O256" s="34">
        <v>0</v>
      </c>
      <c r="P256" s="34">
        <v>0</v>
      </c>
      <c r="Q256" s="34"/>
      <c r="R256" s="34" t="b">
        <v>1</v>
      </c>
    </row>
    <row r="257" spans="1:18" s="12" customFormat="1">
      <c r="A257" s="51" t="s">
        <v>6526</v>
      </c>
      <c r="B257" s="51"/>
      <c r="C257" s="51"/>
      <c r="D257" s="51">
        <v>0</v>
      </c>
      <c r="E257" s="51">
        <v>1</v>
      </c>
      <c r="F257" s="51" t="s">
        <v>197</v>
      </c>
      <c r="G257" s="51" t="s">
        <v>198</v>
      </c>
      <c r="H257" s="51"/>
      <c r="I257" s="51">
        <v>0</v>
      </c>
      <c r="J257" s="51" t="s">
        <v>893</v>
      </c>
      <c r="K257" s="51" t="s">
        <v>6565</v>
      </c>
      <c r="L257" s="51"/>
      <c r="M257" s="51"/>
      <c r="N257" s="51" t="str">
        <f t="shared" si="12"/>
        <v>Active(snopril.ult.B.post.buff.01.skilleffect.01)</v>
      </c>
      <c r="O257" s="51">
        <v>0</v>
      </c>
      <c r="P257" s="51">
        <v>1000</v>
      </c>
      <c r="Q257" s="51"/>
      <c r="R257" s="51" t="b">
        <v>1</v>
      </c>
    </row>
    <row r="258" spans="1:18" s="12" customFormat="1">
      <c r="A258" s="51" t="s">
        <v>2223</v>
      </c>
      <c r="B258" s="51"/>
      <c r="C258" s="51"/>
      <c r="D258" s="51">
        <v>0</v>
      </c>
      <c r="E258" s="51">
        <v>1</v>
      </c>
      <c r="F258" s="51" t="s">
        <v>197</v>
      </c>
      <c r="G258" s="51" t="s">
        <v>198</v>
      </c>
      <c r="H258" s="51"/>
      <c r="I258" s="51">
        <v>0</v>
      </c>
      <c r="J258" s="51" t="s">
        <v>889</v>
      </c>
      <c r="K258" s="51" t="s">
        <v>890</v>
      </c>
      <c r="L258" s="51">
        <v>5000</v>
      </c>
      <c r="M258" s="51"/>
      <c r="N258" s="51" t="str">
        <f t="shared" si="12"/>
        <v>Shield(Defense, 5000)</v>
      </c>
      <c r="O258" s="51">
        <v>0</v>
      </c>
      <c r="P258" s="51">
        <v>0</v>
      </c>
      <c r="Q258" s="51"/>
      <c r="R258" s="51" t="b">
        <v>1</v>
      </c>
    </row>
    <row r="259" spans="1:18" s="12" customFormat="1">
      <c r="A259" s="51" t="s">
        <v>2224</v>
      </c>
      <c r="B259" s="51"/>
      <c r="C259" s="51"/>
      <c r="D259" s="51">
        <v>0</v>
      </c>
      <c r="E259" s="51">
        <v>1</v>
      </c>
      <c r="F259" s="51" t="s">
        <v>197</v>
      </c>
      <c r="G259" s="51" t="s">
        <v>198</v>
      </c>
      <c r="H259" s="51"/>
      <c r="I259" s="51">
        <v>0</v>
      </c>
      <c r="J259" s="51" t="s">
        <v>889</v>
      </c>
      <c r="K259" s="51" t="s">
        <v>890</v>
      </c>
      <c r="L259" s="51">
        <v>5000</v>
      </c>
      <c r="M259" s="51"/>
      <c r="N259" s="51" t="str">
        <f t="shared" si="12"/>
        <v>Shield(Defense, 5000)</v>
      </c>
      <c r="O259" s="51">
        <v>0</v>
      </c>
      <c r="P259" s="51">
        <v>0</v>
      </c>
      <c r="Q259" s="51"/>
      <c r="R259" s="51" t="b">
        <v>1</v>
      </c>
    </row>
    <row r="260" spans="1:18" s="12" customFormat="1">
      <c r="A260" s="51" t="s">
        <v>2225</v>
      </c>
      <c r="B260" s="51"/>
      <c r="C260" s="51"/>
      <c r="D260" s="51">
        <v>0</v>
      </c>
      <c r="E260" s="51">
        <v>1</v>
      </c>
      <c r="F260" s="51" t="s">
        <v>197</v>
      </c>
      <c r="G260" s="51" t="s">
        <v>198</v>
      </c>
      <c r="H260" s="51"/>
      <c r="I260" s="51">
        <v>0</v>
      </c>
      <c r="J260" s="51" t="s">
        <v>889</v>
      </c>
      <c r="K260" s="51" t="s">
        <v>890</v>
      </c>
      <c r="L260" s="51">
        <v>6500</v>
      </c>
      <c r="M260" s="51"/>
      <c r="N260" s="51" t="str">
        <f t="shared" si="12"/>
        <v>Shield(Defense, 6500)</v>
      </c>
      <c r="O260" s="51">
        <v>0</v>
      </c>
      <c r="P260" s="51">
        <v>0</v>
      </c>
      <c r="Q260" s="51"/>
      <c r="R260" s="51" t="b">
        <v>1</v>
      </c>
    </row>
    <row r="261" spans="1:18" s="12" customFormat="1">
      <c r="A261" s="34" t="s">
        <v>2226</v>
      </c>
      <c r="B261" s="34"/>
      <c r="C261" s="34"/>
      <c r="D261" s="34">
        <v>0</v>
      </c>
      <c r="E261" s="34">
        <v>1</v>
      </c>
      <c r="F261" s="34" t="s">
        <v>197</v>
      </c>
      <c r="G261" s="34" t="s">
        <v>198</v>
      </c>
      <c r="H261" s="34"/>
      <c r="I261" s="34">
        <v>0</v>
      </c>
      <c r="J261" s="34" t="s">
        <v>889</v>
      </c>
      <c r="K261" s="34" t="s">
        <v>890</v>
      </c>
      <c r="L261" s="34">
        <v>6500</v>
      </c>
      <c r="M261" s="34"/>
      <c r="N261" s="34" t="str">
        <f t="shared" si="12"/>
        <v>Shield(Defense, 6500)</v>
      </c>
      <c r="O261" s="34">
        <v>0</v>
      </c>
      <c r="P261" s="34">
        <v>0</v>
      </c>
      <c r="Q261" s="34"/>
      <c r="R261" s="34" t="b">
        <v>1</v>
      </c>
    </row>
    <row r="262" spans="1:18" s="12" customFormat="1">
      <c r="A262" s="34" t="s">
        <v>2583</v>
      </c>
      <c r="B262" s="34"/>
      <c r="C262" s="34"/>
      <c r="D262" s="34">
        <v>0</v>
      </c>
      <c r="E262" s="34">
        <v>1</v>
      </c>
      <c r="F262" s="34" t="s">
        <v>197</v>
      </c>
      <c r="G262" s="34" t="s">
        <v>198</v>
      </c>
      <c r="H262" s="34"/>
      <c r="I262" s="34">
        <v>0</v>
      </c>
      <c r="J262" s="34" t="s">
        <v>889</v>
      </c>
      <c r="K262" s="34" t="s">
        <v>890</v>
      </c>
      <c r="L262" s="34">
        <v>2500</v>
      </c>
      <c r="M262" s="34"/>
      <c r="N262" s="34" t="str">
        <f t="shared" si="12"/>
        <v>Shield(Defense, 2500)</v>
      </c>
      <c r="O262" s="34">
        <v>0</v>
      </c>
      <c r="P262" s="34">
        <v>0</v>
      </c>
      <c r="Q262" s="34"/>
      <c r="R262" s="34" t="b">
        <v>1</v>
      </c>
    </row>
    <row r="263" spans="1:18" s="12" customFormat="1">
      <c r="A263" s="34" t="s">
        <v>2584</v>
      </c>
      <c r="B263" s="34"/>
      <c r="C263" s="34"/>
      <c r="D263" s="34">
        <v>0</v>
      </c>
      <c r="E263" s="34">
        <v>1</v>
      </c>
      <c r="F263" s="34" t="s">
        <v>197</v>
      </c>
      <c r="G263" s="34" t="s">
        <v>198</v>
      </c>
      <c r="H263" s="34"/>
      <c r="I263" s="34">
        <v>0</v>
      </c>
      <c r="J263" s="34" t="s">
        <v>889</v>
      </c>
      <c r="K263" s="34" t="s">
        <v>890</v>
      </c>
      <c r="L263" s="34">
        <v>2500</v>
      </c>
      <c r="M263" s="34"/>
      <c r="N263" s="34" t="str">
        <f t="shared" si="12"/>
        <v>Shield(Defense, 2500)</v>
      </c>
      <c r="O263" s="34">
        <v>0</v>
      </c>
      <c r="P263" s="34">
        <v>0</v>
      </c>
      <c r="Q263" s="34"/>
      <c r="R263" s="34" t="b">
        <v>1</v>
      </c>
    </row>
    <row r="264" spans="1:18" s="12" customFormat="1">
      <c r="A264" s="53" t="s">
        <v>6531</v>
      </c>
      <c r="B264" s="53"/>
      <c r="C264" s="53"/>
      <c r="D264" s="53">
        <v>0</v>
      </c>
      <c r="E264" s="53">
        <v>1</v>
      </c>
      <c r="F264" s="53" t="s">
        <v>197</v>
      </c>
      <c r="G264" s="53" t="s">
        <v>198</v>
      </c>
      <c r="H264" s="53"/>
      <c r="I264" s="53">
        <v>0</v>
      </c>
      <c r="J264" s="53" t="s">
        <v>191</v>
      </c>
      <c r="K264" s="53" t="s">
        <v>4232</v>
      </c>
      <c r="L264" s="53" t="s">
        <v>2227</v>
      </c>
      <c r="M264" s="53"/>
      <c r="N264" s="53" t="str">
        <f t="shared" si="12"/>
        <v>Effect(BeHitNormal, snopril.passive.buff.buffeffect.skilleffect.01)</v>
      </c>
      <c r="O264" s="53">
        <v>0</v>
      </c>
      <c r="P264" s="53">
        <v>40000</v>
      </c>
      <c r="Q264" s="53"/>
      <c r="R264" s="53" t="b">
        <v>1</v>
      </c>
    </row>
    <row r="265" spans="1:18" s="12" customFormat="1">
      <c r="A265" s="53" t="s">
        <v>350</v>
      </c>
      <c r="B265" s="53"/>
      <c r="C265" s="53"/>
      <c r="D265" s="53">
        <v>0</v>
      </c>
      <c r="E265" s="53">
        <v>1</v>
      </c>
      <c r="F265" s="53" t="s">
        <v>197</v>
      </c>
      <c r="G265" s="53" t="s">
        <v>198</v>
      </c>
      <c r="H265" s="53"/>
      <c r="I265" s="53">
        <v>0</v>
      </c>
      <c r="J265" s="53" t="s">
        <v>191</v>
      </c>
      <c r="K265" s="53" t="s">
        <v>4232</v>
      </c>
      <c r="L265" s="53" t="s">
        <v>1359</v>
      </c>
      <c r="M265" s="53"/>
      <c r="N265" s="53" t="str">
        <f t="shared" si="12"/>
        <v>Effect(BeHitNormal, snopril.passive.buff.buffeffect.skilleffect.02)</v>
      </c>
      <c r="O265" s="53">
        <v>0</v>
      </c>
      <c r="P265" s="53">
        <v>40000</v>
      </c>
      <c r="Q265" s="53"/>
      <c r="R265" s="53" t="b">
        <v>1</v>
      </c>
    </row>
    <row r="266" spans="1:18" s="12" customFormat="1">
      <c r="A266" s="53" t="s">
        <v>352</v>
      </c>
      <c r="B266" s="53"/>
      <c r="C266" s="53"/>
      <c r="D266" s="53">
        <v>0</v>
      </c>
      <c r="E266" s="53">
        <v>1</v>
      </c>
      <c r="F266" s="53" t="s">
        <v>197</v>
      </c>
      <c r="G266" s="53" t="s">
        <v>198</v>
      </c>
      <c r="H266" s="53"/>
      <c r="I266" s="53">
        <v>0</v>
      </c>
      <c r="J266" s="53" t="s">
        <v>191</v>
      </c>
      <c r="K266" s="53" t="s">
        <v>4232</v>
      </c>
      <c r="L266" s="53" t="s">
        <v>1360</v>
      </c>
      <c r="M266" s="53"/>
      <c r="N266" s="53" t="str">
        <f t="shared" si="12"/>
        <v>Effect(BeHitNormal, snopril.passive.buff.buffeffect.skilleffect.03)</v>
      </c>
      <c r="O266" s="53">
        <v>0</v>
      </c>
      <c r="P266" s="53">
        <v>40000</v>
      </c>
      <c r="Q266" s="53"/>
      <c r="R266" s="53" t="b">
        <v>1</v>
      </c>
    </row>
    <row r="267" spans="1:18" s="12" customFormat="1">
      <c r="A267" s="34" t="s">
        <v>354</v>
      </c>
      <c r="B267" s="34"/>
      <c r="C267" s="34"/>
      <c r="D267" s="34">
        <v>0</v>
      </c>
      <c r="E267" s="34">
        <v>1</v>
      </c>
      <c r="F267" s="34" t="s">
        <v>197</v>
      </c>
      <c r="G267" s="34" t="s">
        <v>198</v>
      </c>
      <c r="H267" s="34"/>
      <c r="I267" s="34">
        <v>0</v>
      </c>
      <c r="J267" s="34" t="s">
        <v>191</v>
      </c>
      <c r="K267" s="34" t="s">
        <v>4232</v>
      </c>
      <c r="L267" s="34" t="s">
        <v>2228</v>
      </c>
      <c r="M267" s="34"/>
      <c r="N267" s="34" t="str">
        <f t="shared" si="12"/>
        <v>Effect(BeHitNormal, snopril.passive.buff.buffeffect.skilleffect.04)</v>
      </c>
      <c r="O267" s="34">
        <v>0</v>
      </c>
      <c r="P267" s="34">
        <v>40000</v>
      </c>
      <c r="Q267" s="34"/>
      <c r="R267" s="34" t="b">
        <v>1</v>
      </c>
    </row>
    <row r="268" spans="1:18" s="12" customFormat="1">
      <c r="A268" s="34" t="s">
        <v>356</v>
      </c>
      <c r="B268" s="34"/>
      <c r="C268" s="34"/>
      <c r="D268" s="34">
        <v>0</v>
      </c>
      <c r="E268" s="34">
        <v>1</v>
      </c>
      <c r="F268" s="34" t="s">
        <v>197</v>
      </c>
      <c r="G268" s="34" t="s">
        <v>198</v>
      </c>
      <c r="H268" s="34"/>
      <c r="I268" s="34">
        <v>0</v>
      </c>
      <c r="J268" s="34" t="s">
        <v>191</v>
      </c>
      <c r="K268" s="34" t="s">
        <v>4232</v>
      </c>
      <c r="L268" s="34" t="s">
        <v>1361</v>
      </c>
      <c r="M268" s="34"/>
      <c r="N268" s="34" t="str">
        <f t="shared" si="12"/>
        <v>Effect(BeHitNormal, snopril.passive.buff.buffeffect.skilleffect.05)</v>
      </c>
      <c r="O268" s="34">
        <v>0</v>
      </c>
      <c r="P268" s="34">
        <v>40000</v>
      </c>
      <c r="Q268" s="34"/>
      <c r="R268" s="34" t="b">
        <v>1</v>
      </c>
    </row>
    <row r="269" spans="1:18" s="12" customFormat="1">
      <c r="A269" s="34" t="s">
        <v>358</v>
      </c>
      <c r="B269" s="34"/>
      <c r="C269" s="34"/>
      <c r="D269" s="34">
        <v>0</v>
      </c>
      <c r="E269" s="34">
        <v>1</v>
      </c>
      <c r="F269" s="34" t="s">
        <v>197</v>
      </c>
      <c r="G269" s="34" t="s">
        <v>198</v>
      </c>
      <c r="H269" s="34"/>
      <c r="I269" s="34">
        <v>0</v>
      </c>
      <c r="J269" s="34" t="s">
        <v>191</v>
      </c>
      <c r="K269" s="34" t="s">
        <v>4232</v>
      </c>
      <c r="L269" s="34" t="s">
        <v>1362</v>
      </c>
      <c r="M269" s="34"/>
      <c r="N269" s="34" t="str">
        <f t="shared" si="12"/>
        <v>Effect(BeHitNormal, snopril.passive.buff.buffeffect.skilleffect.06)</v>
      </c>
      <c r="O269" s="34">
        <v>0</v>
      </c>
      <c r="P269" s="34">
        <v>40000</v>
      </c>
      <c r="Q269" s="34"/>
      <c r="R269" s="34" t="b">
        <v>1</v>
      </c>
    </row>
    <row r="270" spans="1:18">
      <c r="A270" s="25" t="s">
        <v>5712</v>
      </c>
      <c r="B270" s="25"/>
      <c r="C270" s="25"/>
      <c r="D270" s="25">
        <v>0</v>
      </c>
      <c r="E270" s="25">
        <v>1</v>
      </c>
      <c r="F270" s="25" t="s">
        <v>197</v>
      </c>
      <c r="G270" s="25" t="s">
        <v>198</v>
      </c>
      <c r="H270" s="25"/>
      <c r="I270" s="25">
        <v>0</v>
      </c>
      <c r="J270" s="25" t="s">
        <v>837</v>
      </c>
      <c r="K270" s="25"/>
      <c r="L270" s="25"/>
      <c r="M270" s="25"/>
      <c r="N270" s="25" t="str">
        <f t="shared" si="12"/>
        <v>None()</v>
      </c>
      <c r="O270" s="25">
        <v>0</v>
      </c>
      <c r="P270" s="25">
        <v>0</v>
      </c>
      <c r="Q270" s="25"/>
      <c r="R270" s="25" t="b">
        <v>1</v>
      </c>
    </row>
    <row r="271" spans="1:18" s="13" customFormat="1">
      <c r="A271" s="26" t="s">
        <v>6533</v>
      </c>
      <c r="B271" s="26"/>
      <c r="C271" s="26"/>
      <c r="D271" s="26">
        <v>0</v>
      </c>
      <c r="E271" s="26">
        <v>1</v>
      </c>
      <c r="F271" s="26" t="s">
        <v>197</v>
      </c>
      <c r="G271" s="26" t="s">
        <v>198</v>
      </c>
      <c r="H271" s="26"/>
      <c r="I271" s="26">
        <v>0</v>
      </c>
      <c r="J271" s="26" t="s">
        <v>838</v>
      </c>
      <c r="K271" s="26" t="s">
        <v>872</v>
      </c>
      <c r="L271" s="26">
        <v>-400</v>
      </c>
      <c r="M271" s="26"/>
      <c r="N271" s="26" t="str">
        <f t="shared" si="12"/>
        <v>Status(MoveSpeedRate, -400)</v>
      </c>
      <c r="O271" s="26">
        <v>0</v>
      </c>
      <c r="P271" s="26">
        <v>0</v>
      </c>
      <c r="Q271" s="26"/>
      <c r="R271" s="26" t="b">
        <v>1</v>
      </c>
    </row>
    <row r="272" spans="1:18" s="13" customFormat="1">
      <c r="A272" s="26" t="s">
        <v>1079</v>
      </c>
      <c r="B272" s="26"/>
      <c r="C272" s="26"/>
      <c r="D272" s="26">
        <v>0</v>
      </c>
      <c r="E272" s="26">
        <v>1</v>
      </c>
      <c r="F272" s="26" t="s">
        <v>197</v>
      </c>
      <c r="G272" s="26" t="s">
        <v>198</v>
      </c>
      <c r="H272" s="26"/>
      <c r="I272" s="26">
        <v>0</v>
      </c>
      <c r="J272" s="26" t="s">
        <v>838</v>
      </c>
      <c r="K272" s="26" t="s">
        <v>872</v>
      </c>
      <c r="L272" s="26">
        <v>-500</v>
      </c>
      <c r="M272" s="26"/>
      <c r="N272" s="26" t="str">
        <f t="shared" si="12"/>
        <v>Status(MoveSpeedRate, -500)</v>
      </c>
      <c r="O272" s="26">
        <v>0</v>
      </c>
      <c r="P272" s="26">
        <v>0</v>
      </c>
      <c r="Q272" s="26"/>
      <c r="R272" s="26" t="b">
        <v>1</v>
      </c>
    </row>
    <row r="273" spans="1:18" s="13" customFormat="1">
      <c r="A273" s="26" t="s">
        <v>1080</v>
      </c>
      <c r="B273" s="26"/>
      <c r="C273" s="26"/>
      <c r="D273" s="26">
        <v>0</v>
      </c>
      <c r="E273" s="26">
        <v>1</v>
      </c>
      <c r="F273" s="26" t="s">
        <v>197</v>
      </c>
      <c r="G273" s="26" t="s">
        <v>198</v>
      </c>
      <c r="H273" s="26"/>
      <c r="I273" s="26">
        <v>0</v>
      </c>
      <c r="J273" s="26" t="s">
        <v>838</v>
      </c>
      <c r="K273" s="26" t="s">
        <v>872</v>
      </c>
      <c r="L273" s="26">
        <v>-600</v>
      </c>
      <c r="M273" s="26"/>
      <c r="N273" s="26" t="str">
        <f t="shared" si="12"/>
        <v>Status(MoveSpeedRate, -600)</v>
      </c>
      <c r="O273" s="26">
        <v>0</v>
      </c>
      <c r="P273" s="26">
        <v>0</v>
      </c>
      <c r="Q273" s="26"/>
      <c r="R273" s="26" t="b">
        <v>1</v>
      </c>
    </row>
    <row r="274" spans="1:18">
      <c r="A274" s="25" t="s">
        <v>360</v>
      </c>
      <c r="B274" s="25"/>
      <c r="C274" s="25"/>
      <c r="D274" s="25">
        <v>0</v>
      </c>
      <c r="E274" s="25">
        <v>1</v>
      </c>
      <c r="F274" s="25" t="s">
        <v>197</v>
      </c>
      <c r="G274" s="25" t="s">
        <v>198</v>
      </c>
      <c r="H274" s="25"/>
      <c r="I274" s="25">
        <v>0</v>
      </c>
      <c r="J274" s="25" t="s">
        <v>838</v>
      </c>
      <c r="K274" s="25" t="s">
        <v>905</v>
      </c>
      <c r="L274" s="25">
        <v>-400</v>
      </c>
      <c r="M274" s="25"/>
      <c r="N274" s="25" t="str">
        <f t="shared" si="12"/>
        <v>Status(DamageRate, -400)</v>
      </c>
      <c r="O274" s="25">
        <v>0</v>
      </c>
      <c r="P274" s="25">
        <v>0</v>
      </c>
      <c r="Q274" s="25"/>
      <c r="R274" s="25" t="b">
        <v>1</v>
      </c>
    </row>
    <row r="275" spans="1:18">
      <c r="A275" s="25" t="s">
        <v>363</v>
      </c>
      <c r="B275" s="25"/>
      <c r="C275" s="25"/>
      <c r="D275" s="25">
        <v>0</v>
      </c>
      <c r="E275" s="25">
        <v>1</v>
      </c>
      <c r="F275" s="25" t="s">
        <v>197</v>
      </c>
      <c r="G275" s="25" t="s">
        <v>198</v>
      </c>
      <c r="H275" s="25"/>
      <c r="I275" s="25">
        <v>0</v>
      </c>
      <c r="J275" s="25" t="s">
        <v>838</v>
      </c>
      <c r="K275" s="25" t="s">
        <v>905</v>
      </c>
      <c r="L275" s="25">
        <v>-500</v>
      </c>
      <c r="M275" s="25"/>
      <c r="N275" s="25" t="str">
        <f t="shared" si="12"/>
        <v>Status(DamageRate, -500)</v>
      </c>
      <c r="O275" s="25">
        <v>0</v>
      </c>
      <c r="P275" s="25">
        <v>0</v>
      </c>
      <c r="Q275" s="25"/>
      <c r="R275" s="25" t="b">
        <v>1</v>
      </c>
    </row>
    <row r="276" spans="1:18">
      <c r="A276" s="25" t="s">
        <v>365</v>
      </c>
      <c r="B276" s="25"/>
      <c r="C276" s="25"/>
      <c r="D276" s="25">
        <v>0</v>
      </c>
      <c r="E276" s="25">
        <v>1</v>
      </c>
      <c r="F276" s="25" t="s">
        <v>197</v>
      </c>
      <c r="G276" s="25" t="s">
        <v>198</v>
      </c>
      <c r="H276" s="25"/>
      <c r="I276" s="25">
        <v>0</v>
      </c>
      <c r="J276" s="25" t="s">
        <v>838</v>
      </c>
      <c r="K276" s="25" t="s">
        <v>905</v>
      </c>
      <c r="L276" s="25">
        <v>-550</v>
      </c>
      <c r="M276" s="25"/>
      <c r="N276" s="25" t="str">
        <f t="shared" si="12"/>
        <v>Status(DamageRate, -550)</v>
      </c>
      <c r="O276" s="25">
        <v>0</v>
      </c>
      <c r="P276" s="25">
        <v>0</v>
      </c>
      <c r="Q276" s="25"/>
      <c r="R276" s="25" t="b">
        <v>1</v>
      </c>
    </row>
    <row r="277" spans="1:18">
      <c r="A277" s="25" t="s">
        <v>6535</v>
      </c>
      <c r="B277" s="25"/>
      <c r="C277" s="25"/>
      <c r="D277" s="25">
        <v>0</v>
      </c>
      <c r="E277" s="25">
        <v>1</v>
      </c>
      <c r="F277" s="25" t="s">
        <v>197</v>
      </c>
      <c r="G277" s="25" t="s">
        <v>198</v>
      </c>
      <c r="H277" s="25"/>
      <c r="I277" s="25">
        <v>0</v>
      </c>
      <c r="J277" s="25" t="s">
        <v>838</v>
      </c>
      <c r="K277" s="25" t="s">
        <v>905</v>
      </c>
      <c r="L277" s="25">
        <v>-650</v>
      </c>
      <c r="M277" s="25"/>
      <c r="N277" s="25" t="str">
        <f t="shared" si="12"/>
        <v>Status(DamageRate, -650)</v>
      </c>
      <c r="O277" s="25">
        <v>0</v>
      </c>
      <c r="P277" s="25">
        <v>0</v>
      </c>
      <c r="Q277" s="25"/>
      <c r="R277" s="25" t="b">
        <v>1</v>
      </c>
    </row>
    <row r="278" spans="1:18">
      <c r="A278" s="44" t="s">
        <v>1002</v>
      </c>
      <c r="B278" s="44"/>
      <c r="C278" s="44"/>
      <c r="D278" s="44">
        <v>0</v>
      </c>
      <c r="E278" s="44">
        <v>1</v>
      </c>
      <c r="F278" s="44" t="s">
        <v>197</v>
      </c>
      <c r="G278" s="44" t="s">
        <v>198</v>
      </c>
      <c r="H278" s="44"/>
      <c r="I278" s="44">
        <v>0</v>
      </c>
      <c r="J278" s="44" t="s">
        <v>895</v>
      </c>
      <c r="K278" s="44" t="s">
        <v>896</v>
      </c>
      <c r="L278" s="44" t="str">
        <f>A278&amp;".skilleffectmodifier"</f>
        <v>anne.ult.ex.buff.buffeffect.skilleffectmodifier</v>
      </c>
      <c r="M278" s="44"/>
      <c r="N278" s="44" t="str">
        <f t="shared" si="12"/>
        <v>SkillEffectModifier(Op, anne.ult.ex.buff.buffeffect.skilleffectmodifier)</v>
      </c>
      <c r="O278" s="44">
        <v>0</v>
      </c>
      <c r="P278" s="44">
        <v>0</v>
      </c>
      <c r="Q278" s="44"/>
      <c r="R278" s="44" t="b">
        <v>0</v>
      </c>
    </row>
    <row r="279" spans="1:18">
      <c r="A279" s="44" t="s">
        <v>1003</v>
      </c>
      <c r="B279" s="44"/>
      <c r="C279" s="44"/>
      <c r="D279" s="44">
        <v>0</v>
      </c>
      <c r="E279" s="44">
        <v>1</v>
      </c>
      <c r="F279" s="44" t="s">
        <v>197</v>
      </c>
      <c r="G279" s="44" t="s">
        <v>198</v>
      </c>
      <c r="H279" s="44"/>
      <c r="I279" s="44">
        <v>0</v>
      </c>
      <c r="J279" s="44" t="s">
        <v>838</v>
      </c>
      <c r="K279" s="44" t="s">
        <v>870</v>
      </c>
      <c r="L279" s="44">
        <v>-140</v>
      </c>
      <c r="M279" s="44"/>
      <c r="N279" s="44" t="str">
        <f t="shared" si="12"/>
        <v>Status(AccuracyRate, -140)</v>
      </c>
      <c r="O279" s="44">
        <v>0</v>
      </c>
      <c r="P279" s="44">
        <v>0</v>
      </c>
      <c r="Q279" s="44"/>
      <c r="R279" s="44" t="b">
        <v>1</v>
      </c>
    </row>
    <row r="280" spans="1:18">
      <c r="A280" s="26" t="s">
        <v>370</v>
      </c>
      <c r="B280" s="26"/>
      <c r="C280" s="26"/>
      <c r="D280" s="26">
        <v>0</v>
      </c>
      <c r="E280" s="26">
        <v>1</v>
      </c>
      <c r="F280" s="26" t="s">
        <v>197</v>
      </c>
      <c r="G280" s="26" t="s">
        <v>198</v>
      </c>
      <c r="H280" s="26"/>
      <c r="I280" s="26">
        <v>0</v>
      </c>
      <c r="J280" s="26" t="s">
        <v>191</v>
      </c>
      <c r="K280" s="26" t="s">
        <v>906</v>
      </c>
      <c r="L280" s="26" t="s">
        <v>907</v>
      </c>
      <c r="M280" s="26"/>
      <c r="N280" s="26" t="str">
        <f t="shared" si="12"/>
        <v>Effect(BeHitMelee, anne.active2.buff.buffeffect.skilleffect.01)</v>
      </c>
      <c r="O280" s="26">
        <v>0</v>
      </c>
      <c r="P280" s="26">
        <v>0</v>
      </c>
      <c r="Q280" s="26"/>
      <c r="R280" s="26" t="b">
        <v>1</v>
      </c>
    </row>
    <row r="281" spans="1:18">
      <c r="A281" s="26" t="s">
        <v>372</v>
      </c>
      <c r="B281" s="26"/>
      <c r="C281" s="26"/>
      <c r="D281" s="26">
        <v>0</v>
      </c>
      <c r="E281" s="26">
        <v>1</v>
      </c>
      <c r="F281" s="26" t="s">
        <v>197</v>
      </c>
      <c r="G281" s="26" t="s">
        <v>198</v>
      </c>
      <c r="H281" s="26"/>
      <c r="I281" s="26">
        <v>0</v>
      </c>
      <c r="J281" s="26" t="s">
        <v>191</v>
      </c>
      <c r="K281" s="26" t="s">
        <v>906</v>
      </c>
      <c r="L281" s="26" t="s">
        <v>907</v>
      </c>
      <c r="M281" s="26"/>
      <c r="N281" s="26" t="str">
        <f t="shared" si="12"/>
        <v>Effect(BeHitMelee, anne.active2.buff.buffeffect.skilleffect.01)</v>
      </c>
      <c r="O281" s="26">
        <v>0</v>
      </c>
      <c r="P281" s="26">
        <v>0</v>
      </c>
      <c r="Q281" s="26"/>
      <c r="R281" s="26" t="b">
        <v>1</v>
      </c>
    </row>
    <row r="282" spans="1:18">
      <c r="A282" s="26" t="s">
        <v>374</v>
      </c>
      <c r="B282" s="26"/>
      <c r="C282" s="26"/>
      <c r="D282" s="26">
        <v>0</v>
      </c>
      <c r="E282" s="26">
        <v>1</v>
      </c>
      <c r="F282" s="26" t="s">
        <v>197</v>
      </c>
      <c r="G282" s="26" t="s">
        <v>198</v>
      </c>
      <c r="H282" s="26"/>
      <c r="I282" s="26">
        <v>0</v>
      </c>
      <c r="J282" s="26" t="s">
        <v>838</v>
      </c>
      <c r="K282" s="26" t="s">
        <v>908</v>
      </c>
      <c r="L282" s="26">
        <v>-250</v>
      </c>
      <c r="M282" s="26"/>
      <c r="N282" s="26" t="str">
        <f t="shared" si="12"/>
        <v>Status(AttackRatio, -250)</v>
      </c>
      <c r="O282" s="26">
        <v>0</v>
      </c>
      <c r="P282" s="26">
        <v>0</v>
      </c>
      <c r="Q282" s="26"/>
      <c r="R282" s="26" t="b">
        <v>1</v>
      </c>
    </row>
    <row r="283" spans="1:18">
      <c r="A283" s="26" t="s">
        <v>378</v>
      </c>
      <c r="B283" s="26"/>
      <c r="C283" s="26"/>
      <c r="D283" s="26">
        <v>0</v>
      </c>
      <c r="E283" s="26">
        <v>1</v>
      </c>
      <c r="F283" s="26" t="s">
        <v>197</v>
      </c>
      <c r="G283" s="26" t="s">
        <v>198</v>
      </c>
      <c r="H283" s="26"/>
      <c r="I283" s="26">
        <v>0</v>
      </c>
      <c r="J283" s="26" t="s">
        <v>838</v>
      </c>
      <c r="K283" s="26" t="s">
        <v>908</v>
      </c>
      <c r="L283" s="26">
        <v>-300</v>
      </c>
      <c r="M283" s="26"/>
      <c r="N283" s="26" t="str">
        <f t="shared" si="12"/>
        <v>Status(AttackRatio, -300)</v>
      </c>
      <c r="O283" s="26">
        <v>0</v>
      </c>
      <c r="P283" s="26">
        <v>0</v>
      </c>
      <c r="Q283" s="26"/>
      <c r="R283" s="26" t="b">
        <v>1</v>
      </c>
    </row>
    <row r="284" spans="1:18" s="13" customFormat="1">
      <c r="A284" s="25" t="s">
        <v>380</v>
      </c>
      <c r="B284" s="25"/>
      <c r="C284" s="25"/>
      <c r="D284" s="25">
        <v>0</v>
      </c>
      <c r="E284" s="25">
        <v>1</v>
      </c>
      <c r="F284" s="25" t="s">
        <v>197</v>
      </c>
      <c r="G284" s="25" t="s">
        <v>198</v>
      </c>
      <c r="H284" s="25"/>
      <c r="I284" s="25">
        <v>0</v>
      </c>
      <c r="J284" s="25" t="s">
        <v>191</v>
      </c>
      <c r="K284" s="25" t="s">
        <v>909</v>
      </c>
      <c r="L284" s="25" t="s">
        <v>910</v>
      </c>
      <c r="M284" s="25"/>
      <c r="N284" s="25" t="str">
        <f t="shared" si="12"/>
        <v>Effect(OnBlock, anne.passive.guard.heal.buff.buffeffect.skilleffect.01)</v>
      </c>
      <c r="O284" s="25">
        <v>0</v>
      </c>
      <c r="P284" s="25">
        <v>0</v>
      </c>
      <c r="Q284" s="25"/>
      <c r="R284" s="25" t="b">
        <v>1</v>
      </c>
    </row>
    <row r="285" spans="1:18" s="13" customFormat="1">
      <c r="A285" s="25" t="s">
        <v>382</v>
      </c>
      <c r="B285" s="25"/>
      <c r="C285" s="25"/>
      <c r="D285" s="25">
        <v>0</v>
      </c>
      <c r="E285" s="25">
        <v>1</v>
      </c>
      <c r="F285" s="25" t="s">
        <v>197</v>
      </c>
      <c r="G285" s="25" t="s">
        <v>198</v>
      </c>
      <c r="H285" s="25"/>
      <c r="I285" s="25">
        <v>0</v>
      </c>
      <c r="J285" s="25" t="s">
        <v>191</v>
      </c>
      <c r="K285" s="25" t="s">
        <v>909</v>
      </c>
      <c r="L285" s="25" t="s">
        <v>911</v>
      </c>
      <c r="M285" s="25"/>
      <c r="N285" s="25" t="str">
        <f t="shared" si="12"/>
        <v>Effect(OnBlock, anne.passive.guard.heal.buff.buffeffect.skilleffect.02)</v>
      </c>
      <c r="O285" s="25">
        <v>0</v>
      </c>
      <c r="P285" s="25">
        <v>0</v>
      </c>
      <c r="Q285" s="25"/>
      <c r="R285" s="25" t="b">
        <v>1</v>
      </c>
    </row>
    <row r="286" spans="1:18" s="13" customFormat="1">
      <c r="A286" s="25" t="s">
        <v>384</v>
      </c>
      <c r="B286" s="25"/>
      <c r="C286" s="25"/>
      <c r="D286" s="25">
        <v>0</v>
      </c>
      <c r="E286" s="25">
        <v>1</v>
      </c>
      <c r="F286" s="25" t="s">
        <v>197</v>
      </c>
      <c r="G286" s="25" t="s">
        <v>198</v>
      </c>
      <c r="H286" s="25"/>
      <c r="I286" s="25">
        <v>0</v>
      </c>
      <c r="J286" s="25" t="s">
        <v>191</v>
      </c>
      <c r="K286" s="25" t="s">
        <v>909</v>
      </c>
      <c r="L286" s="25" t="s">
        <v>912</v>
      </c>
      <c r="M286" s="25"/>
      <c r="N286" s="25" t="str">
        <f t="shared" si="12"/>
        <v>Effect(OnBlock, anne.passive.guard.heal.buff.buffeffect.skilleffect.03)</v>
      </c>
      <c r="O286" s="25">
        <v>0</v>
      </c>
      <c r="P286" s="25">
        <v>0</v>
      </c>
      <c r="Q286" s="25"/>
      <c r="R286" s="25" t="b">
        <v>1</v>
      </c>
    </row>
    <row r="287" spans="1:18" s="13" customFormat="1">
      <c r="A287" s="34" t="s">
        <v>386</v>
      </c>
      <c r="B287" s="34"/>
      <c r="C287" s="34"/>
      <c r="D287" s="34">
        <v>0</v>
      </c>
      <c r="E287" s="34">
        <v>1</v>
      </c>
      <c r="F287" s="34" t="s">
        <v>197</v>
      </c>
      <c r="G287" s="34" t="s">
        <v>198</v>
      </c>
      <c r="H287" s="34"/>
      <c r="I287" s="34">
        <v>0</v>
      </c>
      <c r="J287" s="34" t="s">
        <v>191</v>
      </c>
      <c r="K287" s="34" t="s">
        <v>909</v>
      </c>
      <c r="L287" s="34" t="s">
        <v>913</v>
      </c>
      <c r="M287" s="34"/>
      <c r="N287" s="34" t="str">
        <f t="shared" si="12"/>
        <v>Effect(OnBlock, anne.passive.guard.heal.buff.buffeffect.skilleffect.04)</v>
      </c>
      <c r="O287" s="34">
        <v>0</v>
      </c>
      <c r="P287" s="34">
        <v>0</v>
      </c>
      <c r="Q287" s="34"/>
      <c r="R287" s="34" t="b">
        <v>1</v>
      </c>
    </row>
    <row r="288" spans="1:18" s="13" customFormat="1">
      <c r="A288" s="34" t="s">
        <v>388</v>
      </c>
      <c r="B288" s="34"/>
      <c r="C288" s="34"/>
      <c r="D288" s="34">
        <v>0</v>
      </c>
      <c r="E288" s="34">
        <v>1</v>
      </c>
      <c r="F288" s="34" t="s">
        <v>197</v>
      </c>
      <c r="G288" s="34" t="s">
        <v>198</v>
      </c>
      <c r="H288" s="34"/>
      <c r="I288" s="34">
        <v>0</v>
      </c>
      <c r="J288" s="34" t="s">
        <v>191</v>
      </c>
      <c r="K288" s="34" t="s">
        <v>909</v>
      </c>
      <c r="L288" s="34" t="s">
        <v>914</v>
      </c>
      <c r="M288" s="34"/>
      <c r="N288" s="34" t="str">
        <f t="shared" si="12"/>
        <v>Effect(OnBlock, anne.passive.guard.heal.buff.buffeffect.skilleffect.05)</v>
      </c>
      <c r="O288" s="34">
        <v>0</v>
      </c>
      <c r="P288" s="34">
        <v>0</v>
      </c>
      <c r="Q288" s="34"/>
      <c r="R288" s="34" t="b">
        <v>1</v>
      </c>
    </row>
    <row r="289" spans="1:18" s="13" customFormat="1">
      <c r="A289" s="34" t="s">
        <v>390</v>
      </c>
      <c r="B289" s="34"/>
      <c r="C289" s="34"/>
      <c r="D289" s="34">
        <v>0</v>
      </c>
      <c r="E289" s="34">
        <v>1</v>
      </c>
      <c r="F289" s="34" t="s">
        <v>197</v>
      </c>
      <c r="G289" s="34" t="s">
        <v>198</v>
      </c>
      <c r="H289" s="34"/>
      <c r="I289" s="34">
        <v>0</v>
      </c>
      <c r="J289" s="34" t="s">
        <v>191</v>
      </c>
      <c r="K289" s="34" t="s">
        <v>909</v>
      </c>
      <c r="L289" s="34" t="s">
        <v>915</v>
      </c>
      <c r="M289" s="34"/>
      <c r="N289" s="34" t="str">
        <f t="shared" si="12"/>
        <v>Effect(OnBlock, anne.passive.guard.heal.buff.buffeffect.skilleffect.06)</v>
      </c>
      <c r="O289" s="34">
        <v>0</v>
      </c>
      <c r="P289" s="34">
        <v>0</v>
      </c>
      <c r="Q289" s="34"/>
      <c r="R289" s="34" t="b">
        <v>1</v>
      </c>
    </row>
    <row r="290" spans="1:18" s="13" customFormat="1">
      <c r="A290" s="25" t="s">
        <v>1260</v>
      </c>
      <c r="B290" s="25"/>
      <c r="C290" s="25"/>
      <c r="D290" s="25">
        <v>0</v>
      </c>
      <c r="E290" s="25">
        <v>1</v>
      </c>
      <c r="F290" s="25" t="s">
        <v>417</v>
      </c>
      <c r="G290" s="25" t="s">
        <v>418</v>
      </c>
      <c r="H290" s="25"/>
      <c r="I290" s="25">
        <v>0</v>
      </c>
      <c r="J290" s="25" t="s">
        <v>1254</v>
      </c>
      <c r="K290" s="25" t="s">
        <v>1255</v>
      </c>
      <c r="L290" s="25"/>
      <c r="M290" s="25"/>
      <c r="N290" s="25" t="str">
        <f t="shared" si="12"/>
        <v>Passive(anne.passive.rangedamagederate.buff.01)</v>
      </c>
      <c r="O290" s="25">
        <v>0</v>
      </c>
      <c r="P290" s="25">
        <v>0</v>
      </c>
      <c r="Q290" s="25"/>
      <c r="R290" s="25" t="b">
        <v>1</v>
      </c>
    </row>
    <row r="291" spans="1:18" s="13" customFormat="1">
      <c r="A291" s="25" t="s">
        <v>1262</v>
      </c>
      <c r="B291" s="25"/>
      <c r="C291" s="25"/>
      <c r="D291" s="25">
        <v>0</v>
      </c>
      <c r="E291" s="25">
        <v>1</v>
      </c>
      <c r="F291" s="25" t="s">
        <v>417</v>
      </c>
      <c r="G291" s="25" t="s">
        <v>418</v>
      </c>
      <c r="H291" s="25"/>
      <c r="I291" s="25">
        <v>0</v>
      </c>
      <c r="J291" s="25" t="s">
        <v>1254</v>
      </c>
      <c r="K291" s="25" t="s">
        <v>1257</v>
      </c>
      <c r="L291" s="25"/>
      <c r="M291" s="25"/>
      <c r="N291" s="25" t="str">
        <f t="shared" si="12"/>
        <v>Passive(anne.passive.rangedamagederate.buff.02)</v>
      </c>
      <c r="O291" s="25">
        <v>0</v>
      </c>
      <c r="P291" s="25">
        <v>0</v>
      </c>
      <c r="Q291" s="25"/>
      <c r="R291" s="25" t="b">
        <v>1</v>
      </c>
    </row>
    <row r="292" spans="1:18" s="13" customFormat="1">
      <c r="A292" s="25" t="s">
        <v>1264</v>
      </c>
      <c r="B292" s="25"/>
      <c r="C292" s="25"/>
      <c r="D292" s="25">
        <v>0</v>
      </c>
      <c r="E292" s="25">
        <v>1</v>
      </c>
      <c r="F292" s="25" t="s">
        <v>417</v>
      </c>
      <c r="G292" s="25" t="s">
        <v>418</v>
      </c>
      <c r="H292" s="25"/>
      <c r="I292" s="25">
        <v>0</v>
      </c>
      <c r="J292" s="25" t="s">
        <v>1254</v>
      </c>
      <c r="K292" s="25" t="s">
        <v>1258</v>
      </c>
      <c r="L292" s="25"/>
      <c r="M292" s="25"/>
      <c r="N292" s="25" t="str">
        <f t="shared" si="12"/>
        <v>Passive(anne.passive.rangedamagederate.buff.03)</v>
      </c>
      <c r="O292" s="25">
        <v>0</v>
      </c>
      <c r="P292" s="25">
        <v>0</v>
      </c>
      <c r="Q292" s="25"/>
      <c r="R292" s="25" t="b">
        <v>1</v>
      </c>
    </row>
    <row r="293" spans="1:18" s="13" customFormat="1">
      <c r="A293" s="26" t="s">
        <v>1256</v>
      </c>
      <c r="B293" s="26"/>
      <c r="C293" s="26"/>
      <c r="D293" s="26">
        <v>0</v>
      </c>
      <c r="E293" s="26">
        <v>1</v>
      </c>
      <c r="F293" s="26" t="s">
        <v>197</v>
      </c>
      <c r="G293" s="26" t="s">
        <v>198</v>
      </c>
      <c r="H293" s="26"/>
      <c r="I293" s="26">
        <v>0</v>
      </c>
      <c r="J293" s="26" t="s">
        <v>838</v>
      </c>
      <c r="K293" s="26" t="s">
        <v>904</v>
      </c>
      <c r="L293" s="26">
        <v>150</v>
      </c>
      <c r="M293" s="26"/>
      <c r="N293" s="26" t="str">
        <f t="shared" si="12"/>
        <v>Status(RangeDamageDerate, 150)</v>
      </c>
      <c r="O293" s="26">
        <v>0</v>
      </c>
      <c r="P293" s="26">
        <v>0</v>
      </c>
      <c r="Q293" s="26"/>
      <c r="R293" s="26" t="b">
        <v>1</v>
      </c>
    </row>
    <row r="294" spans="1:18" s="13" customFormat="1">
      <c r="A294" s="26" t="s">
        <v>1089</v>
      </c>
      <c r="B294" s="26"/>
      <c r="C294" s="26"/>
      <c r="D294" s="26">
        <v>0</v>
      </c>
      <c r="E294" s="26">
        <v>1</v>
      </c>
      <c r="F294" s="26" t="s">
        <v>197</v>
      </c>
      <c r="G294" s="26" t="s">
        <v>198</v>
      </c>
      <c r="H294" s="26"/>
      <c r="I294" s="26">
        <v>0</v>
      </c>
      <c r="J294" s="26" t="s">
        <v>838</v>
      </c>
      <c r="K294" s="26" t="s">
        <v>904</v>
      </c>
      <c r="L294" s="26">
        <v>200</v>
      </c>
      <c r="M294" s="26"/>
      <c r="N294" s="26" t="str">
        <f t="shared" si="12"/>
        <v>Status(RangeDamageDerate, 200)</v>
      </c>
      <c r="O294" s="26">
        <v>0</v>
      </c>
      <c r="P294" s="26">
        <v>0</v>
      </c>
      <c r="Q294" s="26"/>
      <c r="R294" s="26" t="b">
        <v>1</v>
      </c>
    </row>
    <row r="295" spans="1:18" s="13" customFormat="1">
      <c r="A295" s="26" t="s">
        <v>1090</v>
      </c>
      <c r="B295" s="26"/>
      <c r="C295" s="26"/>
      <c r="D295" s="26">
        <v>0</v>
      </c>
      <c r="E295" s="26">
        <v>1</v>
      </c>
      <c r="F295" s="26" t="s">
        <v>197</v>
      </c>
      <c r="G295" s="26" t="s">
        <v>198</v>
      </c>
      <c r="H295" s="26"/>
      <c r="I295" s="26">
        <v>0</v>
      </c>
      <c r="J295" s="26" t="s">
        <v>838</v>
      </c>
      <c r="K295" s="26" t="s">
        <v>904</v>
      </c>
      <c r="L295" s="26">
        <v>250</v>
      </c>
      <c r="M295" s="26"/>
      <c r="N295" s="26" t="str">
        <f t="shared" si="12"/>
        <v>Status(RangeDamageDerate, 250)</v>
      </c>
      <c r="O295" s="26">
        <v>0</v>
      </c>
      <c r="P295" s="26">
        <v>0</v>
      </c>
      <c r="Q295" s="26"/>
      <c r="R295" s="26" t="b">
        <v>1</v>
      </c>
    </row>
    <row r="296" spans="1:18">
      <c r="A296" s="51" t="s">
        <v>393</v>
      </c>
      <c r="B296" s="51" t="s">
        <v>419</v>
      </c>
      <c r="C296" s="51">
        <v>-30</v>
      </c>
      <c r="D296" s="51">
        <v>0</v>
      </c>
      <c r="E296" s="51">
        <v>1</v>
      </c>
      <c r="F296" s="51" t="s">
        <v>197</v>
      </c>
      <c r="G296" s="51" t="s">
        <v>198</v>
      </c>
      <c r="H296" s="51"/>
      <c r="I296" s="51">
        <v>0</v>
      </c>
      <c r="J296" s="51" t="s">
        <v>1254</v>
      </c>
      <c r="K296" s="51" t="s">
        <v>2315</v>
      </c>
      <c r="L296" s="51"/>
      <c r="M296" s="51"/>
      <c r="N296" s="51" t="str">
        <f t="shared" si="12"/>
        <v>Passive(taina.passive.defup.buff.01)</v>
      </c>
      <c r="O296" s="51">
        <v>0</v>
      </c>
      <c r="P296" s="51">
        <v>0</v>
      </c>
      <c r="Q296" s="51"/>
      <c r="R296" s="51" t="b">
        <v>1</v>
      </c>
    </row>
    <row r="297" spans="1:18">
      <c r="A297" s="51" t="s">
        <v>395</v>
      </c>
      <c r="B297" s="51" t="s">
        <v>419</v>
      </c>
      <c r="C297" s="51">
        <v>-30</v>
      </c>
      <c r="D297" s="51">
        <v>0</v>
      </c>
      <c r="E297" s="51">
        <v>1</v>
      </c>
      <c r="F297" s="51" t="s">
        <v>197</v>
      </c>
      <c r="G297" s="51" t="s">
        <v>198</v>
      </c>
      <c r="H297" s="51"/>
      <c r="I297" s="51">
        <v>0</v>
      </c>
      <c r="J297" s="51" t="s">
        <v>1254</v>
      </c>
      <c r="K297" s="51" t="s">
        <v>2316</v>
      </c>
      <c r="L297" s="51"/>
      <c r="M297" s="51"/>
      <c r="N297" s="51" t="str">
        <f t="shared" si="12"/>
        <v>Passive(taina.passive.defup.buff.02)</v>
      </c>
      <c r="O297" s="51">
        <v>0</v>
      </c>
      <c r="P297" s="51">
        <v>0</v>
      </c>
      <c r="Q297" s="51"/>
      <c r="R297" s="51" t="b">
        <v>1</v>
      </c>
    </row>
    <row r="298" spans="1:18">
      <c r="A298" s="51" t="s">
        <v>397</v>
      </c>
      <c r="B298" s="51" t="s">
        <v>419</v>
      </c>
      <c r="C298" s="51">
        <v>-30</v>
      </c>
      <c r="D298" s="51">
        <v>0</v>
      </c>
      <c r="E298" s="51">
        <v>1</v>
      </c>
      <c r="F298" s="51" t="s">
        <v>197</v>
      </c>
      <c r="G298" s="51" t="s">
        <v>198</v>
      </c>
      <c r="H298" s="51"/>
      <c r="I298" s="51">
        <v>0</v>
      </c>
      <c r="J298" s="51" t="s">
        <v>1254</v>
      </c>
      <c r="K298" s="51" t="s">
        <v>2317</v>
      </c>
      <c r="L298" s="51"/>
      <c r="M298" s="51"/>
      <c r="N298" s="51" t="str">
        <f t="shared" si="12"/>
        <v>Passive(taina.passive.defup.buff.03)</v>
      </c>
      <c r="O298" s="51">
        <v>0</v>
      </c>
      <c r="P298" s="51">
        <v>0</v>
      </c>
      <c r="Q298" s="51"/>
      <c r="R298" s="51" t="b">
        <v>1</v>
      </c>
    </row>
    <row r="299" spans="1:18">
      <c r="A299" s="34" t="s">
        <v>399</v>
      </c>
      <c r="B299" s="34" t="s">
        <v>419</v>
      </c>
      <c r="C299" s="34">
        <v>-30</v>
      </c>
      <c r="D299" s="34">
        <v>0</v>
      </c>
      <c r="E299" s="34">
        <v>1</v>
      </c>
      <c r="F299" s="34" t="s">
        <v>197</v>
      </c>
      <c r="G299" s="34" t="s">
        <v>198</v>
      </c>
      <c r="H299" s="34"/>
      <c r="I299" s="34">
        <v>0</v>
      </c>
      <c r="J299" s="34" t="s">
        <v>1254</v>
      </c>
      <c r="K299" s="34" t="s">
        <v>2318</v>
      </c>
      <c r="L299" s="34"/>
      <c r="M299" s="34"/>
      <c r="N299" s="34" t="str">
        <f t="shared" si="12"/>
        <v>Passive(taina.passive.defup.buff.04)</v>
      </c>
      <c r="O299" s="34">
        <v>0</v>
      </c>
      <c r="P299" s="34">
        <v>0</v>
      </c>
      <c r="Q299" s="34"/>
      <c r="R299" s="34" t="b">
        <v>1</v>
      </c>
    </row>
    <row r="300" spans="1:18">
      <c r="A300" s="34" t="s">
        <v>401</v>
      </c>
      <c r="B300" s="34" t="s">
        <v>419</v>
      </c>
      <c r="C300" s="34">
        <v>-30</v>
      </c>
      <c r="D300" s="34">
        <v>0</v>
      </c>
      <c r="E300" s="34">
        <v>1</v>
      </c>
      <c r="F300" s="34" t="s">
        <v>197</v>
      </c>
      <c r="G300" s="34" t="s">
        <v>198</v>
      </c>
      <c r="H300" s="34"/>
      <c r="I300" s="34">
        <v>0</v>
      </c>
      <c r="J300" s="34" t="s">
        <v>1254</v>
      </c>
      <c r="K300" s="34" t="s">
        <v>2319</v>
      </c>
      <c r="L300" s="34"/>
      <c r="M300" s="34"/>
      <c r="N300" s="34" t="str">
        <f t="shared" si="12"/>
        <v>Passive(taina.passive.defup.buff.05)</v>
      </c>
      <c r="O300" s="34">
        <v>0</v>
      </c>
      <c r="P300" s="34">
        <v>0</v>
      </c>
      <c r="Q300" s="34"/>
      <c r="R300" s="34" t="b">
        <v>1</v>
      </c>
    </row>
    <row r="301" spans="1:18">
      <c r="A301" s="34" t="s">
        <v>403</v>
      </c>
      <c r="B301" s="34" t="s">
        <v>419</v>
      </c>
      <c r="C301" s="34">
        <v>-30</v>
      </c>
      <c r="D301" s="34">
        <v>0</v>
      </c>
      <c r="E301" s="34">
        <v>1</v>
      </c>
      <c r="F301" s="34" t="s">
        <v>197</v>
      </c>
      <c r="G301" s="34" t="s">
        <v>198</v>
      </c>
      <c r="H301" s="34"/>
      <c r="I301" s="34">
        <v>0</v>
      </c>
      <c r="J301" s="34" t="s">
        <v>1254</v>
      </c>
      <c r="K301" s="34" t="s">
        <v>2320</v>
      </c>
      <c r="L301" s="34"/>
      <c r="M301" s="34"/>
      <c r="N301" s="34" t="str">
        <f t="shared" si="12"/>
        <v>Passive(taina.passive.defup.buff.06)</v>
      </c>
      <c r="O301" s="34">
        <v>0</v>
      </c>
      <c r="P301" s="34">
        <v>0</v>
      </c>
      <c r="Q301" s="34"/>
      <c r="R301" s="34" t="b">
        <v>1</v>
      </c>
    </row>
    <row r="302" spans="1:18">
      <c r="A302" s="53" t="s">
        <v>2321</v>
      </c>
      <c r="B302" s="53"/>
      <c r="C302" s="53"/>
      <c r="D302" s="53">
        <v>0</v>
      </c>
      <c r="E302" s="53">
        <v>1</v>
      </c>
      <c r="F302" s="53" t="s">
        <v>197</v>
      </c>
      <c r="G302" s="53" t="s">
        <v>198</v>
      </c>
      <c r="H302" s="53"/>
      <c r="I302" s="53">
        <v>0</v>
      </c>
      <c r="J302" s="53" t="s">
        <v>838</v>
      </c>
      <c r="K302" s="53" t="s">
        <v>897</v>
      </c>
      <c r="L302" s="53">
        <v>1000</v>
      </c>
      <c r="M302" s="53"/>
      <c r="N302" s="53" t="str">
        <f t="shared" si="12"/>
        <v>Status(DefenseRatio, 1000)</v>
      </c>
      <c r="O302" s="53">
        <v>0</v>
      </c>
      <c r="P302" s="53">
        <v>0</v>
      </c>
      <c r="Q302" s="53"/>
      <c r="R302" s="53" t="b">
        <v>1</v>
      </c>
    </row>
    <row r="303" spans="1:18">
      <c r="A303" s="53" t="s">
        <v>2322</v>
      </c>
      <c r="B303" s="53"/>
      <c r="C303" s="53"/>
      <c r="D303" s="53">
        <v>0</v>
      </c>
      <c r="E303" s="53">
        <v>1</v>
      </c>
      <c r="F303" s="53" t="s">
        <v>197</v>
      </c>
      <c r="G303" s="53" t="s">
        <v>198</v>
      </c>
      <c r="H303" s="53"/>
      <c r="I303" s="53">
        <v>0</v>
      </c>
      <c r="J303" s="53" t="s">
        <v>838</v>
      </c>
      <c r="K303" s="53" t="s">
        <v>897</v>
      </c>
      <c r="L303" s="53">
        <v>1200</v>
      </c>
      <c r="M303" s="53"/>
      <c r="N303" s="53" t="str">
        <f t="shared" si="12"/>
        <v>Status(DefenseRatio, 1200)</v>
      </c>
      <c r="O303" s="53">
        <v>0</v>
      </c>
      <c r="P303" s="53">
        <v>0</v>
      </c>
      <c r="Q303" s="53"/>
      <c r="R303" s="53" t="b">
        <v>1</v>
      </c>
    </row>
    <row r="304" spans="1:18">
      <c r="A304" s="53" t="s">
        <v>2323</v>
      </c>
      <c r="B304" s="53"/>
      <c r="C304" s="53"/>
      <c r="D304" s="53">
        <v>0</v>
      </c>
      <c r="E304" s="53">
        <v>1</v>
      </c>
      <c r="F304" s="53" t="s">
        <v>197</v>
      </c>
      <c r="G304" s="53" t="s">
        <v>198</v>
      </c>
      <c r="H304" s="53"/>
      <c r="I304" s="53">
        <v>0</v>
      </c>
      <c r="J304" s="53" t="s">
        <v>838</v>
      </c>
      <c r="K304" s="53" t="s">
        <v>897</v>
      </c>
      <c r="L304" s="53">
        <v>1400</v>
      </c>
      <c r="M304" s="53"/>
      <c r="N304" s="53" t="str">
        <f t="shared" si="12"/>
        <v>Status(DefenseRatio, 1400)</v>
      </c>
      <c r="O304" s="53">
        <v>0</v>
      </c>
      <c r="P304" s="53">
        <v>0</v>
      </c>
      <c r="Q304" s="53"/>
      <c r="R304" s="53" t="b">
        <v>1</v>
      </c>
    </row>
    <row r="305" spans="1:18">
      <c r="A305" s="34" t="s">
        <v>2324</v>
      </c>
      <c r="B305" s="34"/>
      <c r="C305" s="34"/>
      <c r="D305" s="34">
        <v>0</v>
      </c>
      <c r="E305" s="34">
        <v>1</v>
      </c>
      <c r="F305" s="34" t="s">
        <v>197</v>
      </c>
      <c r="G305" s="34" t="s">
        <v>198</v>
      </c>
      <c r="H305" s="34"/>
      <c r="I305" s="34">
        <v>0</v>
      </c>
      <c r="J305" s="34" t="s">
        <v>838</v>
      </c>
      <c r="K305" s="34" t="s">
        <v>897</v>
      </c>
      <c r="L305" s="34">
        <v>1600</v>
      </c>
      <c r="M305" s="34"/>
      <c r="N305" s="34" t="str">
        <f t="shared" ref="N305:N374" si="13">J305&amp;"("&amp;IF(K305="","",K305)&amp;IF(L305="","",", "&amp;L305)&amp;IF(M305="","",", "&amp;M305)&amp;")"</f>
        <v>Status(DefenseRatio, 1600)</v>
      </c>
      <c r="O305" s="34">
        <v>0</v>
      </c>
      <c r="P305" s="34">
        <v>0</v>
      </c>
      <c r="Q305" s="34"/>
      <c r="R305" s="34" t="b">
        <v>1</v>
      </c>
    </row>
    <row r="306" spans="1:18">
      <c r="A306" s="34" t="s">
        <v>2325</v>
      </c>
      <c r="B306" s="34"/>
      <c r="C306" s="34"/>
      <c r="D306" s="34">
        <v>0</v>
      </c>
      <c r="E306" s="34">
        <v>1</v>
      </c>
      <c r="F306" s="34" t="s">
        <v>197</v>
      </c>
      <c r="G306" s="34" t="s">
        <v>198</v>
      </c>
      <c r="H306" s="34"/>
      <c r="I306" s="34">
        <v>0</v>
      </c>
      <c r="J306" s="34" t="s">
        <v>838</v>
      </c>
      <c r="K306" s="34" t="s">
        <v>897</v>
      </c>
      <c r="L306" s="34">
        <v>1800</v>
      </c>
      <c r="M306" s="34"/>
      <c r="N306" s="34" t="str">
        <f t="shared" si="13"/>
        <v>Status(DefenseRatio, 1800)</v>
      </c>
      <c r="O306" s="34">
        <v>0</v>
      </c>
      <c r="P306" s="34">
        <v>0</v>
      </c>
      <c r="Q306" s="34"/>
      <c r="R306" s="34" t="b">
        <v>1</v>
      </c>
    </row>
    <row r="307" spans="1:18">
      <c r="A307" s="34" t="s">
        <v>2326</v>
      </c>
      <c r="B307" s="34"/>
      <c r="C307" s="34"/>
      <c r="D307" s="34">
        <v>0</v>
      </c>
      <c r="E307" s="34">
        <v>1</v>
      </c>
      <c r="F307" s="34" t="s">
        <v>197</v>
      </c>
      <c r="G307" s="34" t="s">
        <v>198</v>
      </c>
      <c r="H307" s="34"/>
      <c r="I307" s="34">
        <v>0</v>
      </c>
      <c r="J307" s="34" t="s">
        <v>838</v>
      </c>
      <c r="K307" s="34" t="s">
        <v>897</v>
      </c>
      <c r="L307" s="34">
        <v>2000</v>
      </c>
      <c r="M307" s="34"/>
      <c r="N307" s="34" t="str">
        <f t="shared" si="13"/>
        <v>Status(DefenseRatio, 2000)</v>
      </c>
      <c r="O307" s="34">
        <v>0</v>
      </c>
      <c r="P307" s="34">
        <v>0</v>
      </c>
      <c r="Q307" s="34"/>
      <c r="R307" s="34" t="b">
        <v>1</v>
      </c>
    </row>
    <row r="308" spans="1:18">
      <c r="A308" s="51" t="s">
        <v>2309</v>
      </c>
      <c r="B308" s="51"/>
      <c r="C308" s="51"/>
      <c r="D308" s="51">
        <v>0</v>
      </c>
      <c r="E308" s="51">
        <v>1</v>
      </c>
      <c r="F308" s="51" t="s">
        <v>197</v>
      </c>
      <c r="G308" s="51" t="s">
        <v>198</v>
      </c>
      <c r="H308" s="51"/>
      <c r="I308" s="51">
        <v>0</v>
      </c>
      <c r="J308" s="51" t="s">
        <v>838</v>
      </c>
      <c r="K308" s="51" t="s">
        <v>1363</v>
      </c>
      <c r="L308" s="51">
        <v>240</v>
      </c>
      <c r="M308" s="51"/>
      <c r="N308" s="51" t="str">
        <f t="shared" si="13"/>
        <v>Status(MeleeDamageDerate, 240)</v>
      </c>
      <c r="O308" s="51">
        <v>0</v>
      </c>
      <c r="P308" s="51">
        <v>0</v>
      </c>
      <c r="Q308" s="51"/>
      <c r="R308" s="51" t="b">
        <v>1</v>
      </c>
    </row>
    <row r="309" spans="1:18">
      <c r="A309" s="51" t="s">
        <v>2310</v>
      </c>
      <c r="B309" s="51"/>
      <c r="C309" s="51"/>
      <c r="D309" s="51">
        <v>0</v>
      </c>
      <c r="E309" s="51">
        <v>1</v>
      </c>
      <c r="F309" s="51" t="s">
        <v>197</v>
      </c>
      <c r="G309" s="51" t="s">
        <v>198</v>
      </c>
      <c r="H309" s="51"/>
      <c r="I309" s="51">
        <v>0</v>
      </c>
      <c r="J309" s="51" t="s">
        <v>838</v>
      </c>
      <c r="K309" s="51" t="s">
        <v>1363</v>
      </c>
      <c r="L309" s="51">
        <v>280</v>
      </c>
      <c r="M309" s="51"/>
      <c r="N309" s="51" t="str">
        <f t="shared" si="13"/>
        <v>Status(MeleeDamageDerate, 280)</v>
      </c>
      <c r="O309" s="51">
        <v>0</v>
      </c>
      <c r="P309" s="51">
        <v>0</v>
      </c>
      <c r="Q309" s="51"/>
      <c r="R309" s="51" t="b">
        <v>1</v>
      </c>
    </row>
    <row r="310" spans="1:18">
      <c r="A310" s="51" t="s">
        <v>2311</v>
      </c>
      <c r="B310" s="51"/>
      <c r="C310" s="51"/>
      <c r="D310" s="51">
        <v>0</v>
      </c>
      <c r="E310" s="51">
        <v>1</v>
      </c>
      <c r="F310" s="51" t="s">
        <v>197</v>
      </c>
      <c r="G310" s="51" t="s">
        <v>198</v>
      </c>
      <c r="H310" s="51"/>
      <c r="I310" s="51">
        <v>0</v>
      </c>
      <c r="J310" s="51" t="s">
        <v>838</v>
      </c>
      <c r="K310" s="51" t="s">
        <v>1363</v>
      </c>
      <c r="L310" s="51">
        <v>320</v>
      </c>
      <c r="M310" s="51"/>
      <c r="N310" s="51" t="str">
        <f t="shared" si="13"/>
        <v>Status(MeleeDamageDerate, 320)</v>
      </c>
      <c r="O310" s="51">
        <v>0</v>
      </c>
      <c r="P310" s="51">
        <v>0</v>
      </c>
      <c r="Q310" s="51"/>
      <c r="R310" s="51" t="b">
        <v>1</v>
      </c>
    </row>
    <row r="311" spans="1:18">
      <c r="A311" s="34" t="s">
        <v>2312</v>
      </c>
      <c r="B311" s="34"/>
      <c r="C311" s="34"/>
      <c r="D311" s="34">
        <v>0</v>
      </c>
      <c r="E311" s="34">
        <v>1</v>
      </c>
      <c r="F311" s="34" t="s">
        <v>197</v>
      </c>
      <c r="G311" s="34" t="s">
        <v>198</v>
      </c>
      <c r="H311" s="34"/>
      <c r="I311" s="34">
        <v>0</v>
      </c>
      <c r="J311" s="34" t="s">
        <v>838</v>
      </c>
      <c r="K311" s="34" t="s">
        <v>1363</v>
      </c>
      <c r="L311" s="34">
        <v>360</v>
      </c>
      <c r="M311" s="34"/>
      <c r="N311" s="34" t="str">
        <f t="shared" si="13"/>
        <v>Status(MeleeDamageDerate, 360)</v>
      </c>
      <c r="O311" s="34">
        <v>0</v>
      </c>
      <c r="P311" s="34">
        <v>0</v>
      </c>
      <c r="Q311" s="34"/>
      <c r="R311" s="34" t="b">
        <v>1</v>
      </c>
    </row>
    <row r="312" spans="1:18">
      <c r="A312" s="34" t="s">
        <v>2313</v>
      </c>
      <c r="B312" s="34"/>
      <c r="C312" s="34"/>
      <c r="D312" s="34">
        <v>0</v>
      </c>
      <c r="E312" s="34">
        <v>1</v>
      </c>
      <c r="F312" s="34" t="s">
        <v>197</v>
      </c>
      <c r="G312" s="34" t="s">
        <v>198</v>
      </c>
      <c r="H312" s="34"/>
      <c r="I312" s="34">
        <v>0</v>
      </c>
      <c r="J312" s="34" t="s">
        <v>838</v>
      </c>
      <c r="K312" s="34" t="s">
        <v>1363</v>
      </c>
      <c r="L312" s="34">
        <v>400</v>
      </c>
      <c r="M312" s="34"/>
      <c r="N312" s="34" t="str">
        <f t="shared" si="13"/>
        <v>Status(MeleeDamageDerate, 400)</v>
      </c>
      <c r="O312" s="34">
        <v>0</v>
      </c>
      <c r="P312" s="34">
        <v>0</v>
      </c>
      <c r="Q312" s="34"/>
      <c r="R312" s="34" t="b">
        <v>1</v>
      </c>
    </row>
    <row r="313" spans="1:18">
      <c r="A313" s="34" t="s">
        <v>2314</v>
      </c>
      <c r="B313" s="34"/>
      <c r="C313" s="34"/>
      <c r="D313" s="34">
        <v>0</v>
      </c>
      <c r="E313" s="34">
        <v>1</v>
      </c>
      <c r="F313" s="34" t="s">
        <v>197</v>
      </c>
      <c r="G313" s="34" t="s">
        <v>198</v>
      </c>
      <c r="H313" s="34"/>
      <c r="I313" s="34">
        <v>0</v>
      </c>
      <c r="J313" s="34" t="s">
        <v>838</v>
      </c>
      <c r="K313" s="34" t="s">
        <v>1363</v>
      </c>
      <c r="L313" s="34">
        <v>440</v>
      </c>
      <c r="M313" s="34"/>
      <c r="N313" s="34" t="str">
        <f t="shared" si="13"/>
        <v>Status(MeleeDamageDerate, 440)</v>
      </c>
      <c r="O313" s="34">
        <v>0</v>
      </c>
      <c r="P313" s="34">
        <v>0</v>
      </c>
      <c r="Q313" s="34"/>
      <c r="R313" s="34" t="b">
        <v>1</v>
      </c>
    </row>
    <row r="314" spans="1:18">
      <c r="A314" s="51" t="s">
        <v>8649</v>
      </c>
      <c r="B314" s="51"/>
      <c r="C314" s="51"/>
      <c r="D314" s="51">
        <v>0</v>
      </c>
      <c r="E314" s="51">
        <v>1</v>
      </c>
      <c r="F314" s="51" t="s">
        <v>197</v>
      </c>
      <c r="G314" s="51" t="s">
        <v>198</v>
      </c>
      <c r="H314" s="51"/>
      <c r="I314" s="51">
        <v>0</v>
      </c>
      <c r="J314" s="51" t="s">
        <v>8645</v>
      </c>
      <c r="K314" s="51" t="s">
        <v>8655</v>
      </c>
      <c r="L314" s="51"/>
      <c r="M314" s="51"/>
      <c r="N314" s="51" t="str">
        <f t="shared" ref="N314:N319" si="14">J314&amp;"("&amp;IF(K314="","",K314)&amp;IF(L314="","",", "&amp;L314)&amp;IF(M314="","",", "&amp;M314)&amp;")"</f>
        <v>Active(taina.passive.ex.buff.skilleffect.01)</v>
      </c>
      <c r="O314" s="51">
        <v>0</v>
      </c>
      <c r="P314" s="51">
        <v>2000</v>
      </c>
      <c r="Q314" s="51"/>
      <c r="R314" s="51" t="b">
        <v>1</v>
      </c>
    </row>
    <row r="315" spans="1:18">
      <c r="A315" s="51" t="s">
        <v>8650</v>
      </c>
      <c r="B315" s="51"/>
      <c r="C315" s="51"/>
      <c r="D315" s="51">
        <v>0</v>
      </c>
      <c r="E315" s="51">
        <v>1</v>
      </c>
      <c r="F315" s="51" t="s">
        <v>197</v>
      </c>
      <c r="G315" s="51" t="s">
        <v>198</v>
      </c>
      <c r="H315" s="51"/>
      <c r="I315" s="51">
        <v>0</v>
      </c>
      <c r="J315" s="51" t="s">
        <v>893</v>
      </c>
      <c r="K315" s="51" t="s">
        <v>8656</v>
      </c>
      <c r="L315" s="51"/>
      <c r="M315" s="51"/>
      <c r="N315" s="51" t="str">
        <f t="shared" si="14"/>
        <v>Active(taina.passive.ex.buff.skilleffect.02)</v>
      </c>
      <c r="O315" s="51">
        <v>0</v>
      </c>
      <c r="P315" s="51">
        <v>2000</v>
      </c>
      <c r="Q315" s="51"/>
      <c r="R315" s="51" t="b">
        <v>1</v>
      </c>
    </row>
    <row r="316" spans="1:18">
      <c r="A316" s="51" t="s">
        <v>8651</v>
      </c>
      <c r="B316" s="51"/>
      <c r="C316" s="51"/>
      <c r="D316" s="51">
        <v>0</v>
      </c>
      <c r="E316" s="51">
        <v>1</v>
      </c>
      <c r="F316" s="51" t="s">
        <v>197</v>
      </c>
      <c r="G316" s="51" t="s">
        <v>198</v>
      </c>
      <c r="H316" s="51"/>
      <c r="I316" s="51">
        <v>0</v>
      </c>
      <c r="J316" s="51" t="s">
        <v>893</v>
      </c>
      <c r="K316" s="51" t="s">
        <v>8657</v>
      </c>
      <c r="L316" s="51"/>
      <c r="M316" s="51"/>
      <c r="N316" s="51" t="str">
        <f t="shared" si="14"/>
        <v>Active(taina.passive.ex.buff.skilleffect.03)</v>
      </c>
      <c r="O316" s="51">
        <v>0</v>
      </c>
      <c r="P316" s="51">
        <v>2000</v>
      </c>
      <c r="Q316" s="51"/>
      <c r="R316" s="51" t="b">
        <v>1</v>
      </c>
    </row>
    <row r="317" spans="1:18">
      <c r="A317" s="34" t="s">
        <v>8652</v>
      </c>
      <c r="B317" s="34"/>
      <c r="C317" s="34"/>
      <c r="D317" s="34">
        <v>0</v>
      </c>
      <c r="E317" s="34">
        <v>1</v>
      </c>
      <c r="F317" s="34" t="s">
        <v>197</v>
      </c>
      <c r="G317" s="34" t="s">
        <v>198</v>
      </c>
      <c r="H317" s="34"/>
      <c r="I317" s="34">
        <v>0</v>
      </c>
      <c r="J317" s="34" t="s">
        <v>893</v>
      </c>
      <c r="K317" s="34" t="s">
        <v>8658</v>
      </c>
      <c r="L317" s="34"/>
      <c r="M317" s="34"/>
      <c r="N317" s="34" t="str">
        <f t="shared" si="14"/>
        <v>Active(taina.passive.ex.buff.skilleffect.04)</v>
      </c>
      <c r="O317" s="34">
        <v>0</v>
      </c>
      <c r="P317" s="34">
        <v>2000</v>
      </c>
      <c r="Q317" s="34"/>
      <c r="R317" s="34" t="b">
        <v>1</v>
      </c>
    </row>
    <row r="318" spans="1:18">
      <c r="A318" s="34" t="s">
        <v>8653</v>
      </c>
      <c r="B318" s="34"/>
      <c r="C318" s="34"/>
      <c r="D318" s="34">
        <v>0</v>
      </c>
      <c r="E318" s="34">
        <v>1</v>
      </c>
      <c r="F318" s="34" t="s">
        <v>197</v>
      </c>
      <c r="G318" s="34" t="s">
        <v>198</v>
      </c>
      <c r="H318" s="34"/>
      <c r="I318" s="34">
        <v>0</v>
      </c>
      <c r="J318" s="34" t="s">
        <v>893</v>
      </c>
      <c r="K318" s="34" t="s">
        <v>8659</v>
      </c>
      <c r="L318" s="34"/>
      <c r="M318" s="34"/>
      <c r="N318" s="34" t="str">
        <f t="shared" si="14"/>
        <v>Active(taina.passive.ex.buff.skilleffect.05)</v>
      </c>
      <c r="O318" s="34">
        <v>0</v>
      </c>
      <c r="P318" s="34">
        <v>2000</v>
      </c>
      <c r="Q318" s="34"/>
      <c r="R318" s="34" t="b">
        <v>1</v>
      </c>
    </row>
    <row r="319" spans="1:18">
      <c r="A319" s="34" t="s">
        <v>8654</v>
      </c>
      <c r="B319" s="34"/>
      <c r="C319" s="34"/>
      <c r="D319" s="34">
        <v>0</v>
      </c>
      <c r="E319" s="34">
        <v>1</v>
      </c>
      <c r="F319" s="34" t="s">
        <v>197</v>
      </c>
      <c r="G319" s="34" t="s">
        <v>198</v>
      </c>
      <c r="H319" s="34"/>
      <c r="I319" s="34">
        <v>0</v>
      </c>
      <c r="J319" s="34" t="s">
        <v>893</v>
      </c>
      <c r="K319" s="34" t="s">
        <v>8660</v>
      </c>
      <c r="L319" s="34"/>
      <c r="M319" s="34"/>
      <c r="N319" s="34" t="str">
        <f t="shared" si="14"/>
        <v>Active(taina.passive.ex.buff.skilleffect.06)</v>
      </c>
      <c r="O319" s="34">
        <v>0</v>
      </c>
      <c r="P319" s="34">
        <v>2000</v>
      </c>
      <c r="Q319" s="34"/>
      <c r="R319" s="34" t="b">
        <v>1</v>
      </c>
    </row>
    <row r="320" spans="1:18">
      <c r="A320" s="51" t="s">
        <v>8633</v>
      </c>
      <c r="B320" s="51" t="s">
        <v>419</v>
      </c>
      <c r="C320" s="51">
        <v>50</v>
      </c>
      <c r="D320" s="51">
        <v>0</v>
      </c>
      <c r="E320" s="51">
        <v>1</v>
      </c>
      <c r="F320" s="51" t="s">
        <v>197</v>
      </c>
      <c r="G320" s="51" t="s">
        <v>198</v>
      </c>
      <c r="H320" s="51"/>
      <c r="I320" s="51">
        <v>0</v>
      </c>
      <c r="J320" s="51" t="s">
        <v>992</v>
      </c>
      <c r="K320" s="51" t="s">
        <v>993</v>
      </c>
      <c r="L320" s="51">
        <v>6</v>
      </c>
      <c r="M320" s="51"/>
      <c r="N320" s="51" t="str">
        <f t="shared" si="13"/>
        <v>Hot(MaxHp, 6)</v>
      </c>
      <c r="O320" s="51">
        <v>0</v>
      </c>
      <c r="P320" s="51">
        <v>2000</v>
      </c>
      <c r="Q320" s="51"/>
      <c r="R320" s="51" t="b">
        <v>1</v>
      </c>
    </row>
    <row r="321" spans="1:18">
      <c r="A321" s="51" t="s">
        <v>8634</v>
      </c>
      <c r="B321" s="51" t="s">
        <v>419</v>
      </c>
      <c r="C321" s="51">
        <v>50</v>
      </c>
      <c r="D321" s="51">
        <v>0</v>
      </c>
      <c r="E321" s="51">
        <v>1</v>
      </c>
      <c r="F321" s="51" t="s">
        <v>197</v>
      </c>
      <c r="G321" s="51" t="s">
        <v>198</v>
      </c>
      <c r="H321" s="51"/>
      <c r="I321" s="51">
        <v>0</v>
      </c>
      <c r="J321" s="51" t="s">
        <v>992</v>
      </c>
      <c r="K321" s="51" t="s">
        <v>993</v>
      </c>
      <c r="L321" s="51">
        <v>8</v>
      </c>
      <c r="M321" s="51"/>
      <c r="N321" s="51" t="str">
        <f t="shared" si="13"/>
        <v>Hot(MaxHp, 8)</v>
      </c>
      <c r="O321" s="51">
        <v>0</v>
      </c>
      <c r="P321" s="51">
        <v>2000</v>
      </c>
      <c r="Q321" s="51"/>
      <c r="R321" s="51" t="b">
        <v>1</v>
      </c>
    </row>
    <row r="322" spans="1:18">
      <c r="A322" s="51" t="s">
        <v>8635</v>
      </c>
      <c r="B322" s="51" t="s">
        <v>419</v>
      </c>
      <c r="C322" s="51">
        <v>50</v>
      </c>
      <c r="D322" s="51">
        <v>0</v>
      </c>
      <c r="E322" s="51">
        <v>1</v>
      </c>
      <c r="F322" s="51" t="s">
        <v>197</v>
      </c>
      <c r="G322" s="51" t="s">
        <v>198</v>
      </c>
      <c r="H322" s="51"/>
      <c r="I322" s="51">
        <v>0</v>
      </c>
      <c r="J322" s="51" t="s">
        <v>992</v>
      </c>
      <c r="K322" s="51" t="s">
        <v>993</v>
      </c>
      <c r="L322" s="51">
        <v>10</v>
      </c>
      <c r="M322" s="51"/>
      <c r="N322" s="51" t="str">
        <f t="shared" si="13"/>
        <v>Hot(MaxHp, 10)</v>
      </c>
      <c r="O322" s="51">
        <v>0</v>
      </c>
      <c r="P322" s="51">
        <v>2000</v>
      </c>
      <c r="Q322" s="51"/>
      <c r="R322" s="51" t="b">
        <v>1</v>
      </c>
    </row>
    <row r="323" spans="1:18">
      <c r="A323" s="34" t="s">
        <v>8636</v>
      </c>
      <c r="B323" s="34" t="s">
        <v>419</v>
      </c>
      <c r="C323" s="34">
        <v>50</v>
      </c>
      <c r="D323" s="34">
        <v>0</v>
      </c>
      <c r="E323" s="34">
        <v>1</v>
      </c>
      <c r="F323" s="34" t="s">
        <v>197</v>
      </c>
      <c r="G323" s="34" t="s">
        <v>198</v>
      </c>
      <c r="H323" s="34"/>
      <c r="I323" s="34">
        <v>0</v>
      </c>
      <c r="J323" s="34" t="s">
        <v>992</v>
      </c>
      <c r="K323" s="34" t="s">
        <v>993</v>
      </c>
      <c r="L323" s="34">
        <v>12</v>
      </c>
      <c r="M323" s="34"/>
      <c r="N323" s="34" t="str">
        <f t="shared" si="13"/>
        <v>Hot(MaxHp, 12)</v>
      </c>
      <c r="O323" s="34">
        <v>0</v>
      </c>
      <c r="P323" s="34">
        <v>2000</v>
      </c>
      <c r="Q323" s="34"/>
      <c r="R323" s="34" t="b">
        <v>1</v>
      </c>
    </row>
    <row r="324" spans="1:18">
      <c r="A324" s="34" t="s">
        <v>8637</v>
      </c>
      <c r="B324" s="34" t="s">
        <v>419</v>
      </c>
      <c r="C324" s="34">
        <v>50</v>
      </c>
      <c r="D324" s="34">
        <v>0</v>
      </c>
      <c r="E324" s="34">
        <v>1</v>
      </c>
      <c r="F324" s="34" t="s">
        <v>197</v>
      </c>
      <c r="G324" s="34" t="s">
        <v>198</v>
      </c>
      <c r="H324" s="34"/>
      <c r="I324" s="34">
        <v>0</v>
      </c>
      <c r="J324" s="34" t="s">
        <v>992</v>
      </c>
      <c r="K324" s="34" t="s">
        <v>993</v>
      </c>
      <c r="L324" s="34">
        <v>14</v>
      </c>
      <c r="M324" s="34"/>
      <c r="N324" s="34" t="str">
        <f t="shared" si="13"/>
        <v>Hot(MaxHp, 14)</v>
      </c>
      <c r="O324" s="34">
        <v>0</v>
      </c>
      <c r="P324" s="34">
        <v>2000</v>
      </c>
      <c r="Q324" s="34"/>
      <c r="R324" s="34" t="b">
        <v>1</v>
      </c>
    </row>
    <row r="325" spans="1:18">
      <c r="A325" s="34" t="s">
        <v>8638</v>
      </c>
      <c r="B325" s="34" t="s">
        <v>419</v>
      </c>
      <c r="C325" s="34">
        <v>50</v>
      </c>
      <c r="D325" s="34">
        <v>0</v>
      </c>
      <c r="E325" s="34">
        <v>1</v>
      </c>
      <c r="F325" s="34" t="s">
        <v>197</v>
      </c>
      <c r="G325" s="34" t="s">
        <v>198</v>
      </c>
      <c r="H325" s="34"/>
      <c r="I325" s="34">
        <v>0</v>
      </c>
      <c r="J325" s="34" t="s">
        <v>992</v>
      </c>
      <c r="K325" s="34" t="s">
        <v>993</v>
      </c>
      <c r="L325" s="34">
        <v>16</v>
      </c>
      <c r="M325" s="34"/>
      <c r="N325" s="34" t="str">
        <f t="shared" si="13"/>
        <v>Hot(MaxHp, 16)</v>
      </c>
      <c r="O325" s="34">
        <v>0</v>
      </c>
      <c r="P325" s="34">
        <v>2000</v>
      </c>
      <c r="Q325" s="34"/>
      <c r="R325" s="34" t="b">
        <v>1</v>
      </c>
    </row>
    <row r="326" spans="1:18">
      <c r="A326" s="51" t="s">
        <v>8639</v>
      </c>
      <c r="B326" s="51" t="s">
        <v>419</v>
      </c>
      <c r="C326" s="51">
        <v>-50</v>
      </c>
      <c r="D326" s="51">
        <v>0</v>
      </c>
      <c r="E326" s="51">
        <v>1</v>
      </c>
      <c r="F326" s="51" t="s">
        <v>197</v>
      </c>
      <c r="G326" s="51" t="s">
        <v>198</v>
      </c>
      <c r="H326" s="51"/>
      <c r="I326" s="51">
        <v>0</v>
      </c>
      <c r="J326" s="51" t="s">
        <v>992</v>
      </c>
      <c r="K326" s="51" t="s">
        <v>993</v>
      </c>
      <c r="L326" s="51">
        <v>12</v>
      </c>
      <c r="M326" s="51"/>
      <c r="N326" s="51" t="str">
        <f t="shared" si="13"/>
        <v>Hot(MaxHp, 12)</v>
      </c>
      <c r="O326" s="51">
        <v>0</v>
      </c>
      <c r="P326" s="51">
        <v>2000</v>
      </c>
      <c r="Q326" s="51"/>
      <c r="R326" s="51" t="b">
        <v>1</v>
      </c>
    </row>
    <row r="327" spans="1:18">
      <c r="A327" s="51" t="s">
        <v>8640</v>
      </c>
      <c r="B327" s="51" t="s">
        <v>419</v>
      </c>
      <c r="C327" s="51">
        <v>-50</v>
      </c>
      <c r="D327" s="51">
        <v>0</v>
      </c>
      <c r="E327" s="51">
        <v>1</v>
      </c>
      <c r="F327" s="51" t="s">
        <v>197</v>
      </c>
      <c r="G327" s="51" t="s">
        <v>198</v>
      </c>
      <c r="H327" s="51"/>
      <c r="I327" s="51">
        <v>0</v>
      </c>
      <c r="J327" s="51" t="s">
        <v>992</v>
      </c>
      <c r="K327" s="51" t="s">
        <v>993</v>
      </c>
      <c r="L327" s="51">
        <v>16</v>
      </c>
      <c r="M327" s="51"/>
      <c r="N327" s="51" t="str">
        <f t="shared" si="13"/>
        <v>Hot(MaxHp, 16)</v>
      </c>
      <c r="O327" s="51">
        <v>0</v>
      </c>
      <c r="P327" s="51">
        <v>2000</v>
      </c>
      <c r="Q327" s="51"/>
      <c r="R327" s="51" t="b">
        <v>1</v>
      </c>
    </row>
    <row r="328" spans="1:18">
      <c r="A328" s="51" t="s">
        <v>8641</v>
      </c>
      <c r="B328" s="51" t="s">
        <v>419</v>
      </c>
      <c r="C328" s="51">
        <v>-50</v>
      </c>
      <c r="D328" s="51">
        <v>0</v>
      </c>
      <c r="E328" s="51">
        <v>1</v>
      </c>
      <c r="F328" s="51" t="s">
        <v>197</v>
      </c>
      <c r="G328" s="51" t="s">
        <v>198</v>
      </c>
      <c r="H328" s="51"/>
      <c r="I328" s="51">
        <v>0</v>
      </c>
      <c r="J328" s="51" t="s">
        <v>992</v>
      </c>
      <c r="K328" s="51" t="s">
        <v>993</v>
      </c>
      <c r="L328" s="51">
        <v>20</v>
      </c>
      <c r="M328" s="51"/>
      <c r="N328" s="51" t="str">
        <f t="shared" si="13"/>
        <v>Hot(MaxHp, 20)</v>
      </c>
      <c r="O328" s="51">
        <v>0</v>
      </c>
      <c r="P328" s="51">
        <v>2000</v>
      </c>
      <c r="Q328" s="51"/>
      <c r="R328" s="51" t="b">
        <v>1</v>
      </c>
    </row>
    <row r="329" spans="1:18">
      <c r="A329" s="34" t="s">
        <v>8642</v>
      </c>
      <c r="B329" s="34" t="s">
        <v>419</v>
      </c>
      <c r="C329" s="34">
        <v>-50</v>
      </c>
      <c r="D329" s="34">
        <v>0</v>
      </c>
      <c r="E329" s="34">
        <v>1</v>
      </c>
      <c r="F329" s="34" t="s">
        <v>197</v>
      </c>
      <c r="G329" s="34" t="s">
        <v>198</v>
      </c>
      <c r="H329" s="34"/>
      <c r="I329" s="34">
        <v>0</v>
      </c>
      <c r="J329" s="34" t="s">
        <v>992</v>
      </c>
      <c r="K329" s="34" t="s">
        <v>993</v>
      </c>
      <c r="L329" s="34">
        <v>24</v>
      </c>
      <c r="M329" s="34"/>
      <c r="N329" s="34" t="str">
        <f t="shared" si="13"/>
        <v>Hot(MaxHp, 24)</v>
      </c>
      <c r="O329" s="34">
        <v>0</v>
      </c>
      <c r="P329" s="34">
        <v>2000</v>
      </c>
      <c r="Q329" s="34"/>
      <c r="R329" s="34" t="b">
        <v>1</v>
      </c>
    </row>
    <row r="330" spans="1:18">
      <c r="A330" s="34" t="s">
        <v>8643</v>
      </c>
      <c r="B330" s="34" t="s">
        <v>419</v>
      </c>
      <c r="C330" s="34">
        <v>-50</v>
      </c>
      <c r="D330" s="34">
        <v>0</v>
      </c>
      <c r="E330" s="34">
        <v>1</v>
      </c>
      <c r="F330" s="34" t="s">
        <v>197</v>
      </c>
      <c r="G330" s="34" t="s">
        <v>198</v>
      </c>
      <c r="H330" s="34"/>
      <c r="I330" s="34">
        <v>0</v>
      </c>
      <c r="J330" s="34" t="s">
        <v>992</v>
      </c>
      <c r="K330" s="34" t="s">
        <v>993</v>
      </c>
      <c r="L330" s="34">
        <v>28</v>
      </c>
      <c r="M330" s="34"/>
      <c r="N330" s="34" t="str">
        <f t="shared" si="13"/>
        <v>Hot(MaxHp, 28)</v>
      </c>
      <c r="O330" s="34">
        <v>0</v>
      </c>
      <c r="P330" s="34">
        <v>2000</v>
      </c>
      <c r="Q330" s="34"/>
      <c r="R330" s="34" t="b">
        <v>1</v>
      </c>
    </row>
    <row r="331" spans="1:18">
      <c r="A331" s="34" t="s">
        <v>8644</v>
      </c>
      <c r="B331" s="34" t="s">
        <v>419</v>
      </c>
      <c r="C331" s="34">
        <v>-50</v>
      </c>
      <c r="D331" s="34">
        <v>0</v>
      </c>
      <c r="E331" s="34">
        <v>1</v>
      </c>
      <c r="F331" s="34" t="s">
        <v>197</v>
      </c>
      <c r="G331" s="34" t="s">
        <v>198</v>
      </c>
      <c r="H331" s="34"/>
      <c r="I331" s="34">
        <v>0</v>
      </c>
      <c r="J331" s="34" t="s">
        <v>992</v>
      </c>
      <c r="K331" s="34" t="s">
        <v>993</v>
      </c>
      <c r="L331" s="34">
        <v>32</v>
      </c>
      <c r="M331" s="34"/>
      <c r="N331" s="34" t="str">
        <f t="shared" si="13"/>
        <v>Hot(MaxHp, 32)</v>
      </c>
      <c r="O331" s="34">
        <v>0</v>
      </c>
      <c r="P331" s="34">
        <v>2000</v>
      </c>
      <c r="Q331" s="34"/>
      <c r="R331" s="34" t="b">
        <v>1</v>
      </c>
    </row>
    <row r="332" spans="1:18">
      <c r="A332" s="25" t="s">
        <v>405</v>
      </c>
      <c r="B332" s="25"/>
      <c r="C332" s="25"/>
      <c r="D332" s="25">
        <v>0</v>
      </c>
      <c r="E332" s="25">
        <v>1</v>
      </c>
      <c r="F332" s="25" t="s">
        <v>197</v>
      </c>
      <c r="G332" s="25" t="s">
        <v>198</v>
      </c>
      <c r="H332" s="25"/>
      <c r="I332" s="25">
        <v>0</v>
      </c>
      <c r="J332" s="25" t="s">
        <v>889</v>
      </c>
      <c r="K332" s="25" t="s">
        <v>993</v>
      </c>
      <c r="L332" s="25">
        <v>60</v>
      </c>
      <c r="M332" s="25"/>
      <c r="N332" s="25" t="str">
        <f t="shared" si="13"/>
        <v>Shield(MaxHp, 60)</v>
      </c>
      <c r="O332" s="25">
        <v>0</v>
      </c>
      <c r="P332" s="25">
        <v>0</v>
      </c>
      <c r="Q332" s="25"/>
      <c r="R332" s="25" t="b">
        <v>1</v>
      </c>
    </row>
    <row r="333" spans="1:18">
      <c r="A333" s="25" t="s">
        <v>407</v>
      </c>
      <c r="B333" s="25"/>
      <c r="C333" s="25"/>
      <c r="D333" s="25">
        <v>0</v>
      </c>
      <c r="E333" s="25">
        <v>1</v>
      </c>
      <c r="F333" s="25" t="s">
        <v>197</v>
      </c>
      <c r="G333" s="25" t="s">
        <v>198</v>
      </c>
      <c r="H333" s="25"/>
      <c r="I333" s="25">
        <v>0</v>
      </c>
      <c r="J333" s="25" t="s">
        <v>889</v>
      </c>
      <c r="K333" s="25" t="s">
        <v>993</v>
      </c>
      <c r="L333" s="25">
        <v>60</v>
      </c>
      <c r="M333" s="25"/>
      <c r="N333" s="25" t="str">
        <f t="shared" si="13"/>
        <v>Shield(MaxHp, 60)</v>
      </c>
      <c r="O333" s="25">
        <v>0</v>
      </c>
      <c r="P333" s="25">
        <v>0</v>
      </c>
      <c r="Q333" s="25"/>
      <c r="R333" s="25" t="b">
        <v>1</v>
      </c>
    </row>
    <row r="334" spans="1:18">
      <c r="A334" s="25" t="s">
        <v>409</v>
      </c>
      <c r="B334" s="25"/>
      <c r="C334" s="25"/>
      <c r="D334" s="25">
        <v>0</v>
      </c>
      <c r="E334" s="25">
        <v>1</v>
      </c>
      <c r="F334" s="25" t="s">
        <v>197</v>
      </c>
      <c r="G334" s="25" t="s">
        <v>198</v>
      </c>
      <c r="H334" s="25"/>
      <c r="I334" s="25">
        <v>0</v>
      </c>
      <c r="J334" s="25" t="s">
        <v>889</v>
      </c>
      <c r="K334" s="25" t="s">
        <v>993</v>
      </c>
      <c r="L334" s="25">
        <v>80</v>
      </c>
      <c r="M334" s="25"/>
      <c r="N334" s="25" t="str">
        <f t="shared" si="13"/>
        <v>Shield(MaxHp, 80)</v>
      </c>
      <c r="O334" s="25">
        <v>0</v>
      </c>
      <c r="P334" s="25">
        <v>0</v>
      </c>
      <c r="Q334" s="25"/>
      <c r="R334" s="25" t="b">
        <v>1</v>
      </c>
    </row>
    <row r="335" spans="1:18">
      <c r="A335" s="25" t="s">
        <v>6540</v>
      </c>
      <c r="B335" s="25"/>
      <c r="C335" s="25"/>
      <c r="D335" s="25">
        <v>0</v>
      </c>
      <c r="E335" s="25">
        <v>1</v>
      </c>
      <c r="F335" s="25" t="s">
        <v>197</v>
      </c>
      <c r="G335" s="25" t="s">
        <v>198</v>
      </c>
      <c r="H335" s="25"/>
      <c r="I335" s="25">
        <v>0</v>
      </c>
      <c r="J335" s="25" t="s">
        <v>889</v>
      </c>
      <c r="K335" s="25" t="s">
        <v>993</v>
      </c>
      <c r="L335" s="25">
        <v>80</v>
      </c>
      <c r="M335" s="25"/>
      <c r="N335" s="25" t="str">
        <f t="shared" si="13"/>
        <v>Shield(MaxHp, 80)</v>
      </c>
      <c r="O335" s="25">
        <v>0</v>
      </c>
      <c r="P335" s="25">
        <v>0</v>
      </c>
      <c r="Q335" s="25"/>
      <c r="R335" s="25" t="b">
        <v>1</v>
      </c>
    </row>
    <row r="336" spans="1:18">
      <c r="A336" s="26" t="s">
        <v>2340</v>
      </c>
      <c r="B336" s="26"/>
      <c r="C336" s="26"/>
      <c r="D336" s="26">
        <v>0</v>
      </c>
      <c r="E336" s="26">
        <v>1</v>
      </c>
      <c r="F336" s="26" t="s">
        <v>197</v>
      </c>
      <c r="G336" s="26" t="s">
        <v>198</v>
      </c>
      <c r="H336" s="26"/>
      <c r="I336" s="26">
        <v>0</v>
      </c>
      <c r="J336" s="26" t="s">
        <v>889</v>
      </c>
      <c r="K336" s="26" t="s">
        <v>993</v>
      </c>
      <c r="L336" s="26">
        <v>60</v>
      </c>
      <c r="M336" s="26"/>
      <c r="N336" s="26" t="str">
        <f t="shared" si="13"/>
        <v>Shield(MaxHp, 60)</v>
      </c>
      <c r="O336" s="26">
        <v>0</v>
      </c>
      <c r="P336" s="26">
        <v>0</v>
      </c>
      <c r="Q336" s="26"/>
      <c r="R336" s="26" t="b">
        <v>1</v>
      </c>
    </row>
    <row r="337" spans="1:18">
      <c r="A337" s="26" t="s">
        <v>2341</v>
      </c>
      <c r="B337" s="26"/>
      <c r="C337" s="26"/>
      <c r="D337" s="26">
        <v>0</v>
      </c>
      <c r="E337" s="26">
        <v>1</v>
      </c>
      <c r="F337" s="26" t="s">
        <v>197</v>
      </c>
      <c r="G337" s="26" t="s">
        <v>198</v>
      </c>
      <c r="H337" s="26"/>
      <c r="I337" s="26">
        <v>0</v>
      </c>
      <c r="J337" s="26" t="s">
        <v>889</v>
      </c>
      <c r="K337" s="26" t="s">
        <v>993</v>
      </c>
      <c r="L337" s="26">
        <v>60</v>
      </c>
      <c r="M337" s="26"/>
      <c r="N337" s="26" t="str">
        <f t="shared" si="13"/>
        <v>Shield(MaxHp, 60)</v>
      </c>
      <c r="O337" s="26">
        <v>0</v>
      </c>
      <c r="P337" s="26">
        <v>0</v>
      </c>
      <c r="Q337" s="26"/>
      <c r="R337" s="26" t="b">
        <v>1</v>
      </c>
    </row>
    <row r="338" spans="1:18">
      <c r="A338" s="26" t="s">
        <v>2342</v>
      </c>
      <c r="B338" s="26"/>
      <c r="C338" s="26"/>
      <c r="D338" s="26">
        <v>0</v>
      </c>
      <c r="E338" s="26">
        <v>1</v>
      </c>
      <c r="F338" s="26" t="s">
        <v>197</v>
      </c>
      <c r="G338" s="26" t="s">
        <v>198</v>
      </c>
      <c r="H338" s="26"/>
      <c r="I338" s="26">
        <v>0</v>
      </c>
      <c r="J338" s="26" t="s">
        <v>889</v>
      </c>
      <c r="K338" s="26" t="s">
        <v>993</v>
      </c>
      <c r="L338" s="26">
        <v>80</v>
      </c>
      <c r="M338" s="26"/>
      <c r="N338" s="26" t="str">
        <f t="shared" si="13"/>
        <v>Shield(MaxHp, 80)</v>
      </c>
      <c r="O338" s="26">
        <v>0</v>
      </c>
      <c r="P338" s="26">
        <v>0</v>
      </c>
      <c r="Q338" s="26"/>
      <c r="R338" s="26" t="b">
        <v>1</v>
      </c>
    </row>
    <row r="339" spans="1:18">
      <c r="A339" s="34" t="s">
        <v>2343</v>
      </c>
      <c r="B339" s="34"/>
      <c r="C339" s="34"/>
      <c r="D339" s="34">
        <v>0</v>
      </c>
      <c r="E339" s="34">
        <v>1</v>
      </c>
      <c r="F339" s="34" t="s">
        <v>197</v>
      </c>
      <c r="G339" s="34" t="s">
        <v>198</v>
      </c>
      <c r="H339" s="34"/>
      <c r="I339" s="34">
        <v>0</v>
      </c>
      <c r="J339" s="34" t="s">
        <v>889</v>
      </c>
      <c r="K339" s="34" t="s">
        <v>993</v>
      </c>
      <c r="L339" s="34">
        <v>80</v>
      </c>
      <c r="M339" s="34"/>
      <c r="N339" s="34" t="str">
        <f t="shared" si="13"/>
        <v>Shield(MaxHp, 80)</v>
      </c>
      <c r="O339" s="34">
        <v>0</v>
      </c>
      <c r="P339" s="34">
        <v>0</v>
      </c>
      <c r="Q339" s="34"/>
      <c r="R339" s="34" t="b">
        <v>1</v>
      </c>
    </row>
    <row r="340" spans="1:18">
      <c r="A340" s="34" t="s">
        <v>2344</v>
      </c>
      <c r="B340" s="34"/>
      <c r="C340" s="34"/>
      <c r="D340" s="34">
        <v>0</v>
      </c>
      <c r="E340" s="34">
        <v>1</v>
      </c>
      <c r="F340" s="34" t="s">
        <v>197</v>
      </c>
      <c r="G340" s="34" t="s">
        <v>198</v>
      </c>
      <c r="H340" s="34"/>
      <c r="I340" s="34">
        <v>0</v>
      </c>
      <c r="J340" s="34" t="s">
        <v>889</v>
      </c>
      <c r="K340" s="34" t="s">
        <v>993</v>
      </c>
      <c r="L340" s="34">
        <v>80</v>
      </c>
      <c r="M340" s="34"/>
      <c r="N340" s="34" t="str">
        <f t="shared" si="13"/>
        <v>Shield(MaxHp, 80)</v>
      </c>
      <c r="O340" s="34">
        <v>0</v>
      </c>
      <c r="P340" s="34">
        <v>0</v>
      </c>
      <c r="Q340" s="34"/>
      <c r="R340" s="34" t="b">
        <v>1</v>
      </c>
    </row>
    <row r="341" spans="1:18">
      <c r="A341" s="34" t="s">
        <v>2345</v>
      </c>
      <c r="B341" s="34"/>
      <c r="C341" s="34"/>
      <c r="D341" s="34">
        <v>0</v>
      </c>
      <c r="E341" s="34">
        <v>1</v>
      </c>
      <c r="F341" s="34" t="s">
        <v>197</v>
      </c>
      <c r="G341" s="34" t="s">
        <v>198</v>
      </c>
      <c r="H341" s="34"/>
      <c r="I341" s="34">
        <v>0</v>
      </c>
      <c r="J341" s="34" t="s">
        <v>889</v>
      </c>
      <c r="K341" s="34" t="s">
        <v>993</v>
      </c>
      <c r="L341" s="34">
        <v>80</v>
      </c>
      <c r="M341" s="34"/>
      <c r="N341" s="34" t="str">
        <f t="shared" si="13"/>
        <v>Shield(MaxHp, 80)</v>
      </c>
      <c r="O341" s="34">
        <v>0</v>
      </c>
      <c r="P341" s="34">
        <v>0</v>
      </c>
      <c r="Q341" s="34"/>
      <c r="R341" s="34" t="b">
        <v>1</v>
      </c>
    </row>
    <row r="342" spans="1:18">
      <c r="A342" s="25" t="s">
        <v>1266</v>
      </c>
      <c r="B342" s="25"/>
      <c r="C342" s="25"/>
      <c r="D342" s="25">
        <v>0</v>
      </c>
      <c r="E342" s="25">
        <v>1</v>
      </c>
      <c r="F342" s="25" t="s">
        <v>197</v>
      </c>
      <c r="G342" s="25" t="s">
        <v>198</v>
      </c>
      <c r="H342" s="25"/>
      <c r="I342" s="25">
        <v>0</v>
      </c>
      <c r="J342" s="25" t="s">
        <v>838</v>
      </c>
      <c r="K342" s="25" t="s">
        <v>897</v>
      </c>
      <c r="L342" s="25">
        <v>300</v>
      </c>
      <c r="M342" s="25"/>
      <c r="N342" s="25" t="str">
        <f t="shared" si="13"/>
        <v>Status(DefenseRatio, 300)</v>
      </c>
      <c r="O342" s="25">
        <v>0</v>
      </c>
      <c r="P342" s="25">
        <v>0</v>
      </c>
      <c r="Q342" s="25"/>
      <c r="R342" s="25" t="b">
        <v>1</v>
      </c>
    </row>
    <row r="343" spans="1:18">
      <c r="A343" s="25" t="s">
        <v>1268</v>
      </c>
      <c r="B343" s="25"/>
      <c r="C343" s="25"/>
      <c r="D343" s="25">
        <v>0</v>
      </c>
      <c r="E343" s="25">
        <v>1</v>
      </c>
      <c r="F343" s="25" t="s">
        <v>197</v>
      </c>
      <c r="G343" s="25" t="s">
        <v>198</v>
      </c>
      <c r="H343" s="25"/>
      <c r="I343" s="25">
        <v>0</v>
      </c>
      <c r="J343" s="25" t="s">
        <v>838</v>
      </c>
      <c r="K343" s="25" t="s">
        <v>897</v>
      </c>
      <c r="L343" s="25">
        <v>350</v>
      </c>
      <c r="M343" s="25"/>
      <c r="N343" s="25" t="str">
        <f t="shared" si="13"/>
        <v>Status(DefenseRatio, 350)</v>
      </c>
      <c r="O343" s="25">
        <v>0</v>
      </c>
      <c r="P343" s="25">
        <v>0</v>
      </c>
      <c r="Q343" s="25"/>
      <c r="R343" s="25" t="b">
        <v>1</v>
      </c>
    </row>
    <row r="344" spans="1:18">
      <c r="A344" s="25" t="s">
        <v>1270</v>
      </c>
      <c r="B344" s="25"/>
      <c r="C344" s="25"/>
      <c r="D344" s="25">
        <v>0</v>
      </c>
      <c r="E344" s="25">
        <v>1</v>
      </c>
      <c r="F344" s="25" t="s">
        <v>197</v>
      </c>
      <c r="G344" s="25" t="s">
        <v>198</v>
      </c>
      <c r="H344" s="25"/>
      <c r="I344" s="25">
        <v>0</v>
      </c>
      <c r="J344" s="25" t="s">
        <v>838</v>
      </c>
      <c r="K344" s="25" t="s">
        <v>897</v>
      </c>
      <c r="L344" s="25">
        <v>400</v>
      </c>
      <c r="M344" s="25"/>
      <c r="N344" s="25" t="str">
        <f t="shared" si="13"/>
        <v>Status(DefenseRatio, 400)</v>
      </c>
      <c r="O344" s="25">
        <v>0</v>
      </c>
      <c r="P344" s="25">
        <v>0</v>
      </c>
      <c r="Q344" s="25"/>
      <c r="R344" s="25" t="b">
        <v>1</v>
      </c>
    </row>
    <row r="345" spans="1:18">
      <c r="A345" s="34" t="s">
        <v>1272</v>
      </c>
      <c r="B345" s="34"/>
      <c r="C345" s="34"/>
      <c r="D345" s="34">
        <v>0</v>
      </c>
      <c r="E345" s="34">
        <v>1</v>
      </c>
      <c r="F345" s="34" t="s">
        <v>197</v>
      </c>
      <c r="G345" s="34" t="s">
        <v>198</v>
      </c>
      <c r="H345" s="34"/>
      <c r="I345" s="34">
        <v>0</v>
      </c>
      <c r="J345" s="34" t="s">
        <v>838</v>
      </c>
      <c r="K345" s="34" t="s">
        <v>897</v>
      </c>
      <c r="L345" s="34">
        <v>450</v>
      </c>
      <c r="M345" s="34"/>
      <c r="N345" s="34" t="str">
        <f t="shared" si="13"/>
        <v>Status(DefenseRatio, 450)</v>
      </c>
      <c r="O345" s="34">
        <v>0</v>
      </c>
      <c r="P345" s="34">
        <v>0</v>
      </c>
      <c r="Q345" s="34"/>
      <c r="R345" s="34" t="b">
        <v>1</v>
      </c>
    </row>
    <row r="346" spans="1:18">
      <c r="A346" s="34" t="s">
        <v>1274</v>
      </c>
      <c r="B346" s="34"/>
      <c r="C346" s="34"/>
      <c r="D346" s="34">
        <v>0</v>
      </c>
      <c r="E346" s="34">
        <v>1</v>
      </c>
      <c r="F346" s="34" t="s">
        <v>197</v>
      </c>
      <c r="G346" s="34" t="s">
        <v>198</v>
      </c>
      <c r="H346" s="34"/>
      <c r="I346" s="34">
        <v>0</v>
      </c>
      <c r="J346" s="34" t="s">
        <v>838</v>
      </c>
      <c r="K346" s="34" t="s">
        <v>897</v>
      </c>
      <c r="L346" s="34">
        <v>1100</v>
      </c>
      <c r="M346" s="34"/>
      <c r="N346" s="34" t="str">
        <f t="shared" si="13"/>
        <v>Status(DefenseRatio, 1100)</v>
      </c>
      <c r="O346" s="34">
        <v>0</v>
      </c>
      <c r="P346" s="34">
        <v>0</v>
      </c>
      <c r="Q346" s="34"/>
      <c r="R346" s="34" t="b">
        <v>1</v>
      </c>
    </row>
    <row r="347" spans="1:18">
      <c r="A347" s="34" t="s">
        <v>1276</v>
      </c>
      <c r="B347" s="34"/>
      <c r="C347" s="34"/>
      <c r="D347" s="34">
        <v>0</v>
      </c>
      <c r="E347" s="34">
        <v>1</v>
      </c>
      <c r="F347" s="34" t="s">
        <v>197</v>
      </c>
      <c r="G347" s="34" t="s">
        <v>198</v>
      </c>
      <c r="H347" s="34"/>
      <c r="I347" s="34">
        <v>0</v>
      </c>
      <c r="J347" s="34" t="s">
        <v>838</v>
      </c>
      <c r="K347" s="34" t="s">
        <v>897</v>
      </c>
      <c r="L347" s="34">
        <v>1200</v>
      </c>
      <c r="M347" s="34"/>
      <c r="N347" s="34" t="str">
        <f t="shared" si="13"/>
        <v>Status(DefenseRatio, 1200)</v>
      </c>
      <c r="O347" s="34">
        <v>0</v>
      </c>
      <c r="P347" s="34">
        <v>0</v>
      </c>
      <c r="Q347" s="34"/>
      <c r="R347" s="34" t="b">
        <v>1</v>
      </c>
    </row>
    <row r="348" spans="1:18">
      <c r="A348" s="53" t="s">
        <v>6566</v>
      </c>
      <c r="B348" s="53" t="s">
        <v>1367</v>
      </c>
      <c r="C348" s="53" t="s">
        <v>3068</v>
      </c>
      <c r="D348" s="53">
        <v>0</v>
      </c>
      <c r="E348" s="53">
        <v>1</v>
      </c>
      <c r="F348" s="53" t="s">
        <v>197</v>
      </c>
      <c r="G348" s="53" t="s">
        <v>198</v>
      </c>
      <c r="H348" s="53"/>
      <c r="I348" s="53">
        <v>0</v>
      </c>
      <c r="J348" s="53" t="s">
        <v>838</v>
      </c>
      <c r="K348" s="53" t="s">
        <v>897</v>
      </c>
      <c r="L348" s="53">
        <v>80</v>
      </c>
      <c r="M348" s="53"/>
      <c r="N348" s="53" t="str">
        <f t="shared" si="13"/>
        <v>Status(DefenseRatio, 80)</v>
      </c>
      <c r="O348" s="53">
        <v>0</v>
      </c>
      <c r="P348" s="53">
        <v>0</v>
      </c>
      <c r="Q348" s="53"/>
      <c r="R348" s="53" t="b">
        <v>1</v>
      </c>
    </row>
    <row r="349" spans="1:18">
      <c r="A349" s="53" t="s">
        <v>4515</v>
      </c>
      <c r="B349" s="53" t="s">
        <v>1367</v>
      </c>
      <c r="C349" s="53" t="s">
        <v>3063</v>
      </c>
      <c r="D349" s="53">
        <v>0</v>
      </c>
      <c r="E349" s="53">
        <v>1</v>
      </c>
      <c r="F349" s="53" t="s">
        <v>197</v>
      </c>
      <c r="G349" s="53" t="s">
        <v>198</v>
      </c>
      <c r="H349" s="53"/>
      <c r="I349" s="53">
        <v>0</v>
      </c>
      <c r="J349" s="53" t="s">
        <v>838</v>
      </c>
      <c r="K349" s="53" t="s">
        <v>897</v>
      </c>
      <c r="L349" s="53">
        <v>90</v>
      </c>
      <c r="M349" s="53"/>
      <c r="N349" s="53" t="str">
        <f t="shared" si="13"/>
        <v>Status(DefenseRatio, 90)</v>
      </c>
      <c r="O349" s="53">
        <v>0</v>
      </c>
      <c r="P349" s="53">
        <v>0</v>
      </c>
      <c r="Q349" s="53"/>
      <c r="R349" s="53" t="b">
        <v>1</v>
      </c>
    </row>
    <row r="350" spans="1:18">
      <c r="A350" s="53" t="s">
        <v>4516</v>
      </c>
      <c r="B350" s="53" t="s">
        <v>1367</v>
      </c>
      <c r="C350" s="53" t="s">
        <v>3064</v>
      </c>
      <c r="D350" s="53">
        <v>0</v>
      </c>
      <c r="E350" s="53">
        <v>1</v>
      </c>
      <c r="F350" s="53" t="s">
        <v>197</v>
      </c>
      <c r="G350" s="53" t="s">
        <v>198</v>
      </c>
      <c r="H350" s="53"/>
      <c r="I350" s="53">
        <v>0</v>
      </c>
      <c r="J350" s="53" t="s">
        <v>838</v>
      </c>
      <c r="K350" s="53" t="s">
        <v>897</v>
      </c>
      <c r="L350" s="53">
        <v>100</v>
      </c>
      <c r="M350" s="53"/>
      <c r="N350" s="53" t="str">
        <f t="shared" si="13"/>
        <v>Status(DefenseRatio, 100)</v>
      </c>
      <c r="O350" s="53">
        <v>0</v>
      </c>
      <c r="P350" s="53">
        <v>0</v>
      </c>
      <c r="Q350" s="53"/>
      <c r="R350" s="53" t="b">
        <v>1</v>
      </c>
    </row>
    <row r="351" spans="1:18">
      <c r="A351" s="53" t="s">
        <v>4517</v>
      </c>
      <c r="B351" s="53" t="s">
        <v>1367</v>
      </c>
      <c r="C351" s="53" t="s">
        <v>3065</v>
      </c>
      <c r="D351" s="53">
        <v>0</v>
      </c>
      <c r="E351" s="53">
        <v>1</v>
      </c>
      <c r="F351" s="53" t="s">
        <v>197</v>
      </c>
      <c r="G351" s="53" t="s">
        <v>198</v>
      </c>
      <c r="H351" s="53"/>
      <c r="I351" s="53">
        <v>0</v>
      </c>
      <c r="J351" s="53" t="s">
        <v>838</v>
      </c>
      <c r="K351" s="53" t="s">
        <v>897</v>
      </c>
      <c r="L351" s="53">
        <v>120</v>
      </c>
      <c r="M351" s="53"/>
      <c r="N351" s="53" t="str">
        <f t="shared" si="13"/>
        <v>Status(DefenseRatio, 120)</v>
      </c>
      <c r="O351" s="53">
        <v>0</v>
      </c>
      <c r="P351" s="53">
        <v>0</v>
      </c>
      <c r="Q351" s="53"/>
      <c r="R351" s="53" t="b">
        <v>1</v>
      </c>
    </row>
    <row r="352" spans="1:18">
      <c r="A352" s="53" t="s">
        <v>4518</v>
      </c>
      <c r="B352" s="53" t="s">
        <v>1367</v>
      </c>
      <c r="C352" s="53" t="s">
        <v>3066</v>
      </c>
      <c r="D352" s="53">
        <v>0</v>
      </c>
      <c r="E352" s="53">
        <v>1</v>
      </c>
      <c r="F352" s="53" t="s">
        <v>197</v>
      </c>
      <c r="G352" s="53" t="s">
        <v>198</v>
      </c>
      <c r="H352" s="53"/>
      <c r="I352" s="53">
        <v>0</v>
      </c>
      <c r="J352" s="53" t="s">
        <v>838</v>
      </c>
      <c r="K352" s="53" t="s">
        <v>897</v>
      </c>
      <c r="L352" s="53">
        <v>140</v>
      </c>
      <c r="M352" s="53"/>
      <c r="N352" s="53" t="str">
        <f t="shared" si="13"/>
        <v>Status(DefenseRatio, 140)</v>
      </c>
      <c r="O352" s="53">
        <v>0</v>
      </c>
      <c r="P352" s="53">
        <v>0</v>
      </c>
      <c r="Q352" s="53"/>
      <c r="R352" s="53" t="b">
        <v>1</v>
      </c>
    </row>
    <row r="353" spans="1:18">
      <c r="A353" s="60" t="s">
        <v>6546</v>
      </c>
      <c r="B353" s="60"/>
      <c r="C353" s="60"/>
      <c r="D353" s="60">
        <v>0</v>
      </c>
      <c r="E353" s="60">
        <v>1</v>
      </c>
      <c r="F353" s="60" t="s">
        <v>197</v>
      </c>
      <c r="G353" s="60" t="s">
        <v>198</v>
      </c>
      <c r="H353" s="60"/>
      <c r="I353" s="60">
        <v>0</v>
      </c>
      <c r="J353" s="60" t="s">
        <v>889</v>
      </c>
      <c r="K353" s="60" t="s">
        <v>890</v>
      </c>
      <c r="L353" s="60">
        <v>6500</v>
      </c>
      <c r="M353" s="60"/>
      <c r="N353" s="60" t="str">
        <f t="shared" si="13"/>
        <v>Shield(Defense, 6500)</v>
      </c>
      <c r="O353" s="60">
        <v>0</v>
      </c>
      <c r="P353" s="60">
        <v>0</v>
      </c>
      <c r="Q353" s="60"/>
      <c r="R353" s="60" t="b">
        <v>1</v>
      </c>
    </row>
    <row r="354" spans="1:18">
      <c r="A354" s="60" t="s">
        <v>2879</v>
      </c>
      <c r="B354" s="60"/>
      <c r="C354" s="60"/>
      <c r="D354" s="60">
        <v>0</v>
      </c>
      <c r="E354" s="60">
        <v>1</v>
      </c>
      <c r="F354" s="60" t="s">
        <v>197</v>
      </c>
      <c r="G354" s="60" t="s">
        <v>198</v>
      </c>
      <c r="H354" s="60"/>
      <c r="I354" s="60">
        <v>0</v>
      </c>
      <c r="J354" s="60" t="s">
        <v>889</v>
      </c>
      <c r="K354" s="60" t="s">
        <v>890</v>
      </c>
      <c r="L354" s="60">
        <v>6500</v>
      </c>
      <c r="M354" s="60"/>
      <c r="N354" s="60" t="str">
        <f t="shared" si="13"/>
        <v>Shield(Defense, 6500)</v>
      </c>
      <c r="O354" s="60">
        <v>0</v>
      </c>
      <c r="P354" s="60">
        <v>0</v>
      </c>
      <c r="Q354" s="60"/>
      <c r="R354" s="60" t="b">
        <v>1</v>
      </c>
    </row>
    <row r="355" spans="1:18">
      <c r="A355" s="60" t="s">
        <v>2880</v>
      </c>
      <c r="B355" s="60"/>
      <c r="C355" s="60"/>
      <c r="D355" s="60">
        <v>0</v>
      </c>
      <c r="E355" s="60">
        <v>1</v>
      </c>
      <c r="F355" s="60" t="s">
        <v>197</v>
      </c>
      <c r="G355" s="60" t="s">
        <v>198</v>
      </c>
      <c r="H355" s="60"/>
      <c r="I355" s="60">
        <v>0</v>
      </c>
      <c r="J355" s="60" t="s">
        <v>889</v>
      </c>
      <c r="K355" s="60" t="s">
        <v>890</v>
      </c>
      <c r="L355" s="60">
        <v>6500</v>
      </c>
      <c r="M355" s="60"/>
      <c r="N355" s="60" t="str">
        <f t="shared" si="13"/>
        <v>Shield(Defense, 6500)</v>
      </c>
      <c r="O355" s="60">
        <v>0</v>
      </c>
      <c r="P355" s="60">
        <v>0</v>
      </c>
      <c r="Q355" s="60"/>
      <c r="R355" s="60" t="b">
        <v>1</v>
      </c>
    </row>
    <row r="356" spans="1:18">
      <c r="A356" s="60" t="s">
        <v>2881</v>
      </c>
      <c r="B356" s="60"/>
      <c r="C356" s="60"/>
      <c r="D356" s="60">
        <v>0</v>
      </c>
      <c r="E356" s="60">
        <v>1</v>
      </c>
      <c r="F356" s="60" t="s">
        <v>197</v>
      </c>
      <c r="G356" s="60" t="s">
        <v>198</v>
      </c>
      <c r="H356" s="60"/>
      <c r="I356" s="60">
        <v>0</v>
      </c>
      <c r="J356" s="60" t="s">
        <v>889</v>
      </c>
      <c r="K356" s="60" t="s">
        <v>890</v>
      </c>
      <c r="L356" s="60">
        <v>6500</v>
      </c>
      <c r="M356" s="60"/>
      <c r="N356" s="60" t="str">
        <f t="shared" si="13"/>
        <v>Shield(Defense, 6500)</v>
      </c>
      <c r="O356" s="60">
        <v>0</v>
      </c>
      <c r="P356" s="60">
        <v>0</v>
      </c>
      <c r="Q356" s="60"/>
      <c r="R356" s="60" t="b">
        <v>1</v>
      </c>
    </row>
    <row r="357" spans="1:18">
      <c r="A357" s="60" t="s">
        <v>2882</v>
      </c>
      <c r="B357" s="60"/>
      <c r="C357" s="60"/>
      <c r="D357" s="60">
        <v>0</v>
      </c>
      <c r="E357" s="60">
        <v>1</v>
      </c>
      <c r="F357" s="60" t="s">
        <v>197</v>
      </c>
      <c r="G357" s="60" t="s">
        <v>198</v>
      </c>
      <c r="H357" s="60"/>
      <c r="I357" s="60">
        <v>0</v>
      </c>
      <c r="J357" s="60" t="s">
        <v>889</v>
      </c>
      <c r="K357" s="60" t="s">
        <v>890</v>
      </c>
      <c r="L357" s="60">
        <v>6500</v>
      </c>
      <c r="M357" s="60"/>
      <c r="N357" s="60" t="str">
        <f t="shared" si="13"/>
        <v>Shield(Defense, 6500)</v>
      </c>
      <c r="O357" s="60">
        <v>0</v>
      </c>
      <c r="P357" s="60">
        <v>0</v>
      </c>
      <c r="Q357" s="60"/>
      <c r="R357" s="60" t="b">
        <v>1</v>
      </c>
    </row>
    <row r="358" spans="1:18">
      <c r="A358" s="60" t="s">
        <v>2883</v>
      </c>
      <c r="B358" s="60"/>
      <c r="C358" s="60"/>
      <c r="D358" s="60">
        <v>0</v>
      </c>
      <c r="E358" s="60">
        <v>1</v>
      </c>
      <c r="F358" s="60" t="s">
        <v>197</v>
      </c>
      <c r="G358" s="60" t="s">
        <v>198</v>
      </c>
      <c r="H358" s="60"/>
      <c r="I358" s="60">
        <v>0</v>
      </c>
      <c r="J358" s="60" t="s">
        <v>889</v>
      </c>
      <c r="K358" s="60" t="s">
        <v>890</v>
      </c>
      <c r="L358" s="60">
        <v>6500</v>
      </c>
      <c r="M358" s="60"/>
      <c r="N358" s="60" t="str">
        <f t="shared" si="13"/>
        <v>Shield(Defense, 6500)</v>
      </c>
      <c r="O358" s="60">
        <v>0</v>
      </c>
      <c r="P358" s="60">
        <v>0</v>
      </c>
      <c r="Q358" s="60"/>
      <c r="R358" s="60" t="b">
        <v>1</v>
      </c>
    </row>
    <row r="359" spans="1:18">
      <c r="A359" s="60" t="s">
        <v>2884</v>
      </c>
      <c r="B359" s="60"/>
      <c r="C359" s="60"/>
      <c r="D359" s="60">
        <v>0</v>
      </c>
      <c r="E359" s="60">
        <v>1</v>
      </c>
      <c r="F359" s="60" t="s">
        <v>197</v>
      </c>
      <c r="G359" s="60" t="s">
        <v>198</v>
      </c>
      <c r="H359" s="60"/>
      <c r="I359" s="60">
        <v>0</v>
      </c>
      <c r="J359" s="60" t="s">
        <v>889</v>
      </c>
      <c r="K359" s="60" t="s">
        <v>890</v>
      </c>
      <c r="L359" s="60">
        <v>6500</v>
      </c>
      <c r="M359" s="60"/>
      <c r="N359" s="60" t="str">
        <f t="shared" si="13"/>
        <v>Shield(Defense, 6500)</v>
      </c>
      <c r="O359" s="60">
        <v>0</v>
      </c>
      <c r="P359" s="60">
        <v>0</v>
      </c>
      <c r="Q359" s="60"/>
      <c r="R359" s="60" t="b">
        <v>1</v>
      </c>
    </row>
    <row r="360" spans="1:18">
      <c r="A360" s="53" t="s">
        <v>6544</v>
      </c>
      <c r="B360" s="53"/>
      <c r="C360" s="53"/>
      <c r="D360" s="53">
        <v>0</v>
      </c>
      <c r="E360" s="53">
        <v>1</v>
      </c>
      <c r="F360" s="53" t="s">
        <v>197</v>
      </c>
      <c r="G360" s="53" t="s">
        <v>198</v>
      </c>
      <c r="H360" s="53"/>
      <c r="I360" s="53">
        <v>0</v>
      </c>
      <c r="J360" s="53" t="s">
        <v>191</v>
      </c>
      <c r="K360" s="53" t="s">
        <v>923</v>
      </c>
      <c r="L360" s="53" t="s">
        <v>6567</v>
      </c>
      <c r="M360" s="53"/>
      <c r="N360" s="53" t="str">
        <f t="shared" si="13"/>
        <v>Effect(OnHit, ambrosia.ult.bullet.damage.01)</v>
      </c>
      <c r="O360" s="53">
        <v>0</v>
      </c>
      <c r="P360" s="53">
        <v>0</v>
      </c>
      <c r="Q360" s="53"/>
      <c r="R360" s="53" t="b">
        <v>1</v>
      </c>
    </row>
    <row r="361" spans="1:18">
      <c r="A361" s="53" t="s">
        <v>2731</v>
      </c>
      <c r="B361" s="53"/>
      <c r="C361" s="53"/>
      <c r="D361" s="53">
        <v>0</v>
      </c>
      <c r="E361" s="53">
        <v>1</v>
      </c>
      <c r="F361" s="53" t="s">
        <v>197</v>
      </c>
      <c r="G361" s="53" t="s">
        <v>198</v>
      </c>
      <c r="H361" s="53"/>
      <c r="I361" s="53">
        <v>0</v>
      </c>
      <c r="J361" s="53" t="s">
        <v>191</v>
      </c>
      <c r="K361" s="53" t="s">
        <v>923</v>
      </c>
      <c r="L361" s="53" t="s">
        <v>2737</v>
      </c>
      <c r="M361" s="53"/>
      <c r="N361" s="53" t="str">
        <f t="shared" si="13"/>
        <v>Effect(OnHit, ambrosia.ult.bullet.damage.02)</v>
      </c>
      <c r="O361" s="53">
        <v>0</v>
      </c>
      <c r="P361" s="53">
        <v>0</v>
      </c>
      <c r="Q361" s="53"/>
      <c r="R361" s="53" t="b">
        <v>1</v>
      </c>
    </row>
    <row r="362" spans="1:18">
      <c r="A362" s="53" t="s">
        <v>2732</v>
      </c>
      <c r="B362" s="53"/>
      <c r="C362" s="53"/>
      <c r="D362" s="53">
        <v>0</v>
      </c>
      <c r="E362" s="53">
        <v>1</v>
      </c>
      <c r="F362" s="53" t="s">
        <v>197</v>
      </c>
      <c r="G362" s="53" t="s">
        <v>198</v>
      </c>
      <c r="H362" s="53"/>
      <c r="I362" s="53">
        <v>0</v>
      </c>
      <c r="J362" s="53" t="s">
        <v>191</v>
      </c>
      <c r="K362" s="53" t="s">
        <v>923</v>
      </c>
      <c r="L362" s="53" t="s">
        <v>2738</v>
      </c>
      <c r="M362" s="53"/>
      <c r="N362" s="53" t="str">
        <f t="shared" si="13"/>
        <v>Effect(OnHit, ambrosia.ult.bullet.damage.03)</v>
      </c>
      <c r="O362" s="53">
        <v>0</v>
      </c>
      <c r="P362" s="53">
        <v>0</v>
      </c>
      <c r="Q362" s="53"/>
      <c r="R362" s="53" t="b">
        <v>1</v>
      </c>
    </row>
    <row r="363" spans="1:18">
      <c r="A363" s="53" t="s">
        <v>2733</v>
      </c>
      <c r="B363" s="53"/>
      <c r="C363" s="53"/>
      <c r="D363" s="53">
        <v>0</v>
      </c>
      <c r="E363" s="53">
        <v>1</v>
      </c>
      <c r="F363" s="53" t="s">
        <v>197</v>
      </c>
      <c r="G363" s="53" t="s">
        <v>198</v>
      </c>
      <c r="H363" s="53"/>
      <c r="I363" s="53">
        <v>0</v>
      </c>
      <c r="J363" s="53" t="s">
        <v>191</v>
      </c>
      <c r="K363" s="53" t="s">
        <v>923</v>
      </c>
      <c r="L363" s="53" t="s">
        <v>2739</v>
      </c>
      <c r="M363" s="53"/>
      <c r="N363" s="53" t="str">
        <f t="shared" si="13"/>
        <v>Effect(OnHit, ambrosia.ult.bullet.damage.04)</v>
      </c>
      <c r="O363" s="53">
        <v>0</v>
      </c>
      <c r="P363" s="53">
        <v>0</v>
      </c>
      <c r="Q363" s="53"/>
      <c r="R363" s="53" t="b">
        <v>1</v>
      </c>
    </row>
    <row r="364" spans="1:18">
      <c r="A364" s="53" t="s">
        <v>2734</v>
      </c>
      <c r="B364" s="53"/>
      <c r="C364" s="53"/>
      <c r="D364" s="53">
        <v>0</v>
      </c>
      <c r="E364" s="53">
        <v>1</v>
      </c>
      <c r="F364" s="53" t="s">
        <v>197</v>
      </c>
      <c r="G364" s="53" t="s">
        <v>198</v>
      </c>
      <c r="H364" s="53"/>
      <c r="I364" s="53">
        <v>0</v>
      </c>
      <c r="J364" s="53" t="s">
        <v>191</v>
      </c>
      <c r="K364" s="53" t="s">
        <v>923</v>
      </c>
      <c r="L364" s="53" t="s">
        <v>2740</v>
      </c>
      <c r="M364" s="53"/>
      <c r="N364" s="53" t="str">
        <f t="shared" si="13"/>
        <v>Effect(OnHit, ambrosia.ult.bullet.damage.05)</v>
      </c>
      <c r="O364" s="53">
        <v>0</v>
      </c>
      <c r="P364" s="53">
        <v>0</v>
      </c>
      <c r="Q364" s="53"/>
      <c r="R364" s="53" t="b">
        <v>1</v>
      </c>
    </row>
    <row r="365" spans="1:18">
      <c r="A365" s="53" t="s">
        <v>2735</v>
      </c>
      <c r="B365" s="53"/>
      <c r="C365" s="53"/>
      <c r="D365" s="53">
        <v>0</v>
      </c>
      <c r="E365" s="53">
        <v>1</v>
      </c>
      <c r="F365" s="53" t="s">
        <v>197</v>
      </c>
      <c r="G365" s="53" t="s">
        <v>198</v>
      </c>
      <c r="H365" s="53"/>
      <c r="I365" s="53">
        <v>0</v>
      </c>
      <c r="J365" s="53" t="s">
        <v>191</v>
      </c>
      <c r="K365" s="53" t="s">
        <v>923</v>
      </c>
      <c r="L365" s="53" t="s">
        <v>2741</v>
      </c>
      <c r="M365" s="53"/>
      <c r="N365" s="53" t="str">
        <f t="shared" si="13"/>
        <v>Effect(OnHit, ambrosia.ult.bullet.damage.06)</v>
      </c>
      <c r="O365" s="53">
        <v>0</v>
      </c>
      <c r="P365" s="53">
        <v>0</v>
      </c>
      <c r="Q365" s="53"/>
      <c r="R365" s="53" t="b">
        <v>1</v>
      </c>
    </row>
    <row r="366" spans="1:18">
      <c r="A366" s="53" t="s">
        <v>2736</v>
      </c>
      <c r="B366" s="53"/>
      <c r="C366" s="53"/>
      <c r="D366" s="53">
        <v>0</v>
      </c>
      <c r="E366" s="53">
        <v>1</v>
      </c>
      <c r="F366" s="53" t="s">
        <v>197</v>
      </c>
      <c r="G366" s="53" t="s">
        <v>198</v>
      </c>
      <c r="H366" s="53"/>
      <c r="I366" s="53">
        <v>0</v>
      </c>
      <c r="J366" s="53" t="s">
        <v>191</v>
      </c>
      <c r="K366" s="53" t="s">
        <v>923</v>
      </c>
      <c r="L366" s="53" t="s">
        <v>2742</v>
      </c>
      <c r="M366" s="53"/>
      <c r="N366" s="53" t="str">
        <f t="shared" si="13"/>
        <v>Effect(OnHit, ambrosia.ult.bullet.damage.07)</v>
      </c>
      <c r="O366" s="53">
        <v>0</v>
      </c>
      <c r="P366" s="53">
        <v>0</v>
      </c>
      <c r="Q366" s="53"/>
      <c r="R366" s="53" t="b">
        <v>1</v>
      </c>
    </row>
    <row r="367" spans="1:18">
      <c r="A367" s="53" t="s">
        <v>2866</v>
      </c>
      <c r="B367" s="53"/>
      <c r="C367" s="53"/>
      <c r="D367" s="53">
        <v>0</v>
      </c>
      <c r="E367" s="53">
        <v>1</v>
      </c>
      <c r="F367" s="53" t="s">
        <v>197</v>
      </c>
      <c r="G367" s="53" t="s">
        <v>198</v>
      </c>
      <c r="H367" s="53"/>
      <c r="I367" s="53">
        <v>0</v>
      </c>
      <c r="J367" s="53" t="s">
        <v>893</v>
      </c>
      <c r="K367" s="53" t="s">
        <v>2897</v>
      </c>
      <c r="L367" s="53"/>
      <c r="M367" s="53"/>
      <c r="N367" s="53" t="str">
        <f t="shared" si="13"/>
        <v>Active(ambrosia.ult.B.buff.buffeffect.skilleffect.01)</v>
      </c>
      <c r="O367" s="53">
        <v>0</v>
      </c>
      <c r="P367" s="53">
        <v>0</v>
      </c>
      <c r="Q367" s="53"/>
      <c r="R367" s="53" t="b">
        <v>1</v>
      </c>
    </row>
    <row r="368" spans="1:18">
      <c r="A368" s="53" t="s">
        <v>2868</v>
      </c>
      <c r="B368" s="53"/>
      <c r="C368" s="53"/>
      <c r="D368" s="53">
        <v>0</v>
      </c>
      <c r="E368" s="53">
        <v>1</v>
      </c>
      <c r="F368" s="53" t="s">
        <v>197</v>
      </c>
      <c r="G368" s="53" t="s">
        <v>198</v>
      </c>
      <c r="H368" s="53"/>
      <c r="I368" s="53">
        <v>0</v>
      </c>
      <c r="J368" s="53" t="s">
        <v>893</v>
      </c>
      <c r="K368" s="53" t="s">
        <v>2891</v>
      </c>
      <c r="L368" s="53"/>
      <c r="M368" s="53"/>
      <c r="N368" s="53" t="str">
        <f t="shared" si="13"/>
        <v>Active(ambrosia.ult.B.buff.buffeffect.skilleffect.02)</v>
      </c>
      <c r="O368" s="53">
        <v>0</v>
      </c>
      <c r="P368" s="53">
        <v>0</v>
      </c>
      <c r="Q368" s="53"/>
      <c r="R368" s="53" t="b">
        <v>1</v>
      </c>
    </row>
    <row r="369" spans="1:18">
      <c r="A369" s="53" t="s">
        <v>2870</v>
      </c>
      <c r="B369" s="53"/>
      <c r="C369" s="53"/>
      <c r="D369" s="53">
        <v>0</v>
      </c>
      <c r="E369" s="53">
        <v>1</v>
      </c>
      <c r="F369" s="53" t="s">
        <v>197</v>
      </c>
      <c r="G369" s="53" t="s">
        <v>198</v>
      </c>
      <c r="H369" s="53"/>
      <c r="I369" s="53">
        <v>0</v>
      </c>
      <c r="J369" s="53" t="s">
        <v>893</v>
      </c>
      <c r="K369" s="53" t="s">
        <v>2892</v>
      </c>
      <c r="L369" s="53"/>
      <c r="M369" s="53"/>
      <c r="N369" s="53" t="str">
        <f t="shared" si="13"/>
        <v>Active(ambrosia.ult.B.buff.buffeffect.skilleffect.03)</v>
      </c>
      <c r="O369" s="53">
        <v>0</v>
      </c>
      <c r="P369" s="53">
        <v>0</v>
      </c>
      <c r="Q369" s="53"/>
      <c r="R369" s="53" t="b">
        <v>1</v>
      </c>
    </row>
    <row r="370" spans="1:18">
      <c r="A370" s="53" t="s">
        <v>2872</v>
      </c>
      <c r="B370" s="53"/>
      <c r="C370" s="53"/>
      <c r="D370" s="53">
        <v>0</v>
      </c>
      <c r="E370" s="53">
        <v>1</v>
      </c>
      <c r="F370" s="53" t="s">
        <v>197</v>
      </c>
      <c r="G370" s="53" t="s">
        <v>198</v>
      </c>
      <c r="H370" s="53"/>
      <c r="I370" s="53">
        <v>0</v>
      </c>
      <c r="J370" s="53" t="s">
        <v>893</v>
      </c>
      <c r="K370" s="53" t="s">
        <v>2893</v>
      </c>
      <c r="L370" s="53"/>
      <c r="M370" s="53"/>
      <c r="N370" s="53" t="str">
        <f t="shared" si="13"/>
        <v>Active(ambrosia.ult.B.buff.buffeffect.skilleffect.04)</v>
      </c>
      <c r="O370" s="53">
        <v>0</v>
      </c>
      <c r="P370" s="53">
        <v>0</v>
      </c>
      <c r="Q370" s="53"/>
      <c r="R370" s="53" t="b">
        <v>1</v>
      </c>
    </row>
    <row r="371" spans="1:18">
      <c r="A371" s="53" t="s">
        <v>2874</v>
      </c>
      <c r="B371" s="53"/>
      <c r="C371" s="53"/>
      <c r="D371" s="53">
        <v>0</v>
      </c>
      <c r="E371" s="53">
        <v>1</v>
      </c>
      <c r="F371" s="53" t="s">
        <v>197</v>
      </c>
      <c r="G371" s="53" t="s">
        <v>198</v>
      </c>
      <c r="H371" s="53"/>
      <c r="I371" s="53">
        <v>0</v>
      </c>
      <c r="J371" s="53" t="s">
        <v>893</v>
      </c>
      <c r="K371" s="53" t="s">
        <v>2894</v>
      </c>
      <c r="L371" s="53"/>
      <c r="M371" s="53"/>
      <c r="N371" s="53" t="str">
        <f t="shared" si="13"/>
        <v>Active(ambrosia.ult.B.buff.buffeffect.skilleffect.05)</v>
      </c>
      <c r="O371" s="53">
        <v>0</v>
      </c>
      <c r="P371" s="53">
        <v>0</v>
      </c>
      <c r="Q371" s="53"/>
      <c r="R371" s="53" t="b">
        <v>1</v>
      </c>
    </row>
    <row r="372" spans="1:18">
      <c r="A372" s="53" t="s">
        <v>2876</v>
      </c>
      <c r="B372" s="53"/>
      <c r="C372" s="53"/>
      <c r="D372" s="53">
        <v>0</v>
      </c>
      <c r="E372" s="53">
        <v>1</v>
      </c>
      <c r="F372" s="53" t="s">
        <v>197</v>
      </c>
      <c r="G372" s="53" t="s">
        <v>198</v>
      </c>
      <c r="H372" s="53"/>
      <c r="I372" s="53">
        <v>0</v>
      </c>
      <c r="J372" s="53" t="s">
        <v>893</v>
      </c>
      <c r="K372" s="53" t="s">
        <v>2895</v>
      </c>
      <c r="L372" s="53"/>
      <c r="M372" s="53"/>
      <c r="N372" s="53" t="str">
        <f t="shared" si="13"/>
        <v>Active(ambrosia.ult.B.buff.buffeffect.skilleffect.06)</v>
      </c>
      <c r="O372" s="53">
        <v>0</v>
      </c>
      <c r="P372" s="53">
        <v>0</v>
      </c>
      <c r="Q372" s="53"/>
      <c r="R372" s="53" t="b">
        <v>1</v>
      </c>
    </row>
    <row r="373" spans="1:18">
      <c r="A373" s="53" t="s">
        <v>2878</v>
      </c>
      <c r="B373" s="53"/>
      <c r="C373" s="53"/>
      <c r="D373" s="53">
        <v>0</v>
      </c>
      <c r="E373" s="53">
        <v>1</v>
      </c>
      <c r="F373" s="53" t="s">
        <v>197</v>
      </c>
      <c r="G373" s="53" t="s">
        <v>198</v>
      </c>
      <c r="H373" s="53"/>
      <c r="I373" s="53">
        <v>0</v>
      </c>
      <c r="J373" s="53" t="s">
        <v>893</v>
      </c>
      <c r="K373" s="53" t="s">
        <v>2896</v>
      </c>
      <c r="L373" s="53"/>
      <c r="M373" s="53"/>
      <c r="N373" s="53" t="str">
        <f t="shared" si="13"/>
        <v>Active(ambrosia.ult.B.buff.buffeffect.skilleffect.07)</v>
      </c>
      <c r="O373" s="53">
        <v>0</v>
      </c>
      <c r="P373" s="53">
        <v>0</v>
      </c>
      <c r="Q373" s="53"/>
      <c r="R373" s="53" t="b">
        <v>1</v>
      </c>
    </row>
    <row r="374" spans="1:18">
      <c r="A374" s="51" t="s">
        <v>2236</v>
      </c>
      <c r="B374" s="51" t="s">
        <v>1367</v>
      </c>
      <c r="C374" s="51" t="s">
        <v>2229</v>
      </c>
      <c r="D374" s="51">
        <v>0</v>
      </c>
      <c r="E374" s="51">
        <v>1</v>
      </c>
      <c r="F374" s="51" t="s">
        <v>197</v>
      </c>
      <c r="G374" s="51" t="s">
        <v>198</v>
      </c>
      <c r="H374" s="51"/>
      <c r="I374" s="51">
        <v>0</v>
      </c>
      <c r="J374" s="51" t="s">
        <v>191</v>
      </c>
      <c r="K374" s="51" t="s">
        <v>927</v>
      </c>
      <c r="L374" s="51" t="s">
        <v>2246</v>
      </c>
      <c r="M374" s="51"/>
      <c r="N374" s="51" t="str">
        <f t="shared" si="13"/>
        <v>Effect(OnHitNormal, ambrosia.passive.buff.buffeffect.skilleffect.01)</v>
      </c>
      <c r="O374" s="51">
        <v>0</v>
      </c>
      <c r="P374" s="51">
        <v>0</v>
      </c>
      <c r="Q374" s="51"/>
      <c r="R374" s="51" t="b">
        <v>1</v>
      </c>
    </row>
    <row r="375" spans="1:18">
      <c r="A375" s="51" t="s">
        <v>2237</v>
      </c>
      <c r="B375" s="51" t="s">
        <v>1367</v>
      </c>
      <c r="C375" s="51" t="s">
        <v>2229</v>
      </c>
      <c r="D375" s="51">
        <v>0</v>
      </c>
      <c r="E375" s="51">
        <v>1</v>
      </c>
      <c r="F375" s="51" t="s">
        <v>197</v>
      </c>
      <c r="G375" s="51" t="s">
        <v>198</v>
      </c>
      <c r="H375" s="51"/>
      <c r="I375" s="51">
        <v>0</v>
      </c>
      <c r="J375" s="51" t="s">
        <v>191</v>
      </c>
      <c r="K375" s="51" t="s">
        <v>927</v>
      </c>
      <c r="L375" s="51" t="s">
        <v>2247</v>
      </c>
      <c r="M375" s="51"/>
      <c r="N375" s="51" t="str">
        <f t="shared" ref="N375:N391" si="15">J375&amp;"("&amp;IF(K375="","",K375)&amp;IF(L375="","",", "&amp;L375)&amp;IF(M375="","",", "&amp;M375)&amp;")"</f>
        <v>Effect(OnHitNormal, ambrosia.passive.buff.buffeffect.skilleffect.02)</v>
      </c>
      <c r="O375" s="51">
        <v>0</v>
      </c>
      <c r="P375" s="51">
        <v>0</v>
      </c>
      <c r="Q375" s="51"/>
      <c r="R375" s="51" t="b">
        <v>1</v>
      </c>
    </row>
    <row r="376" spans="1:18">
      <c r="A376" s="51" t="s">
        <v>2238</v>
      </c>
      <c r="B376" s="51" t="s">
        <v>1367</v>
      </c>
      <c r="C376" s="51" t="s">
        <v>2229</v>
      </c>
      <c r="D376" s="51">
        <v>0</v>
      </c>
      <c r="E376" s="51">
        <v>1</v>
      </c>
      <c r="F376" s="51" t="s">
        <v>197</v>
      </c>
      <c r="G376" s="51" t="s">
        <v>198</v>
      </c>
      <c r="H376" s="51"/>
      <c r="I376" s="51">
        <v>0</v>
      </c>
      <c r="J376" s="51" t="s">
        <v>191</v>
      </c>
      <c r="K376" s="51" t="s">
        <v>927</v>
      </c>
      <c r="L376" s="51" t="s">
        <v>2248</v>
      </c>
      <c r="M376" s="51"/>
      <c r="N376" s="51" t="str">
        <f t="shared" si="15"/>
        <v>Effect(OnHitNormal, ambrosia.passive.buff.buffeffect.skilleffect.03)</v>
      </c>
      <c r="O376" s="51">
        <v>0</v>
      </c>
      <c r="P376" s="51">
        <v>0</v>
      </c>
      <c r="Q376" s="51"/>
      <c r="R376" s="51" t="b">
        <v>1</v>
      </c>
    </row>
    <row r="377" spans="1:18">
      <c r="A377" s="34" t="s">
        <v>2239</v>
      </c>
      <c r="B377" s="34" t="s">
        <v>1367</v>
      </c>
      <c r="C377" s="34" t="s">
        <v>2229</v>
      </c>
      <c r="D377" s="34">
        <v>0</v>
      </c>
      <c r="E377" s="34">
        <v>1</v>
      </c>
      <c r="F377" s="34" t="s">
        <v>197</v>
      </c>
      <c r="G377" s="34" t="s">
        <v>198</v>
      </c>
      <c r="H377" s="34"/>
      <c r="I377" s="34">
        <v>0</v>
      </c>
      <c r="J377" s="34" t="s">
        <v>191</v>
      </c>
      <c r="K377" s="34" t="s">
        <v>927</v>
      </c>
      <c r="L377" s="34" t="s">
        <v>2249</v>
      </c>
      <c r="M377" s="34"/>
      <c r="N377" s="34" t="str">
        <f t="shared" si="15"/>
        <v>Effect(OnHitNormal, ambrosia.passive.buff.buffeffect.skilleffect.04)</v>
      </c>
      <c r="O377" s="34">
        <v>0</v>
      </c>
      <c r="P377" s="34">
        <v>0</v>
      </c>
      <c r="Q377" s="34"/>
      <c r="R377" s="34" t="b">
        <v>1</v>
      </c>
    </row>
    <row r="378" spans="1:18">
      <c r="A378" s="34" t="s">
        <v>2240</v>
      </c>
      <c r="B378" s="34" t="s">
        <v>1367</v>
      </c>
      <c r="C378" s="34" t="s">
        <v>2229</v>
      </c>
      <c r="D378" s="34">
        <v>0</v>
      </c>
      <c r="E378" s="34">
        <v>1</v>
      </c>
      <c r="F378" s="34" t="s">
        <v>197</v>
      </c>
      <c r="G378" s="34" t="s">
        <v>198</v>
      </c>
      <c r="H378" s="34"/>
      <c r="I378" s="34">
        <v>0</v>
      </c>
      <c r="J378" s="34" t="s">
        <v>191</v>
      </c>
      <c r="K378" s="34" t="s">
        <v>927</v>
      </c>
      <c r="L378" s="34" t="s">
        <v>2250</v>
      </c>
      <c r="M378" s="34"/>
      <c r="N378" s="34" t="str">
        <f t="shared" si="15"/>
        <v>Effect(OnHitNormal, ambrosia.passive.buff.buffeffect.skilleffect.05)</v>
      </c>
      <c r="O378" s="34">
        <v>0</v>
      </c>
      <c r="P378" s="34">
        <v>0</v>
      </c>
      <c r="Q378" s="34"/>
      <c r="R378" s="34" t="b">
        <v>1</v>
      </c>
    </row>
    <row r="379" spans="1:18">
      <c r="A379" s="34" t="s">
        <v>2241</v>
      </c>
      <c r="B379" s="34" t="s">
        <v>1367</v>
      </c>
      <c r="C379" s="34" t="s">
        <v>2229</v>
      </c>
      <c r="D379" s="34">
        <v>0</v>
      </c>
      <c r="E379" s="34">
        <v>1</v>
      </c>
      <c r="F379" s="34" t="s">
        <v>197</v>
      </c>
      <c r="G379" s="34" t="s">
        <v>198</v>
      </c>
      <c r="H379" s="34"/>
      <c r="I379" s="34">
        <v>0</v>
      </c>
      <c r="J379" s="34" t="s">
        <v>191</v>
      </c>
      <c r="K379" s="34" t="s">
        <v>927</v>
      </c>
      <c r="L379" s="34" t="s">
        <v>2251</v>
      </c>
      <c r="M379" s="34"/>
      <c r="N379" s="34" t="str">
        <f t="shared" si="15"/>
        <v>Effect(OnHitNormal, ambrosia.passive.buff.buffeffect.skilleffect.06)</v>
      </c>
      <c r="O379" s="34">
        <v>0</v>
      </c>
      <c r="P379" s="34">
        <v>0</v>
      </c>
      <c r="Q379" s="34"/>
      <c r="R379" s="34" t="b">
        <v>1</v>
      </c>
    </row>
    <row r="380" spans="1:18">
      <c r="A380" s="51" t="s">
        <v>6568</v>
      </c>
      <c r="B380" s="51"/>
      <c r="C380" s="51"/>
      <c r="D380" s="51">
        <v>0</v>
      </c>
      <c r="E380" s="51">
        <v>1</v>
      </c>
      <c r="F380" s="51" t="s">
        <v>197</v>
      </c>
      <c r="G380" s="51" t="s">
        <v>198</v>
      </c>
      <c r="H380" s="51"/>
      <c r="I380" s="51">
        <v>0</v>
      </c>
      <c r="J380" s="51" t="s">
        <v>893</v>
      </c>
      <c r="K380" s="51" t="s">
        <v>6569</v>
      </c>
      <c r="L380" s="51"/>
      <c r="M380" s="51"/>
      <c r="N380" s="51" t="str">
        <f t="shared" si="15"/>
        <v>Active(ambrosia.passive.ex.buff.skilleffect.01.01)</v>
      </c>
      <c r="O380" s="51">
        <v>0</v>
      </c>
      <c r="P380" s="51">
        <v>0</v>
      </c>
      <c r="Q380" s="51"/>
      <c r="R380" s="51" t="b">
        <v>1</v>
      </c>
    </row>
    <row r="381" spans="1:18">
      <c r="A381" s="51" t="s">
        <v>3069</v>
      </c>
      <c r="B381" s="51"/>
      <c r="C381" s="51"/>
      <c r="D381" s="51">
        <v>0</v>
      </c>
      <c r="E381" s="51">
        <v>1</v>
      </c>
      <c r="F381" s="51" t="s">
        <v>197</v>
      </c>
      <c r="G381" s="51" t="s">
        <v>198</v>
      </c>
      <c r="H381" s="51"/>
      <c r="I381" s="51">
        <v>0</v>
      </c>
      <c r="J381" s="51" t="s">
        <v>893</v>
      </c>
      <c r="K381" s="51" t="s">
        <v>3074</v>
      </c>
      <c r="L381" s="51"/>
      <c r="M381" s="51"/>
      <c r="N381" s="51" t="str">
        <f t="shared" si="15"/>
        <v>Active(ambrosia.passive.ex.buff.skilleffect.01.02)</v>
      </c>
      <c r="O381" s="51">
        <v>0</v>
      </c>
      <c r="P381" s="51">
        <v>0</v>
      </c>
      <c r="Q381" s="51"/>
      <c r="R381" s="51" t="b">
        <v>1</v>
      </c>
    </row>
    <row r="382" spans="1:18">
      <c r="A382" s="51" t="s">
        <v>3070</v>
      </c>
      <c r="B382" s="51"/>
      <c r="C382" s="51"/>
      <c r="D382" s="51">
        <v>0</v>
      </c>
      <c r="E382" s="51">
        <v>1</v>
      </c>
      <c r="F382" s="51" t="s">
        <v>197</v>
      </c>
      <c r="G382" s="51" t="s">
        <v>198</v>
      </c>
      <c r="H382" s="51"/>
      <c r="I382" s="51">
        <v>0</v>
      </c>
      <c r="J382" s="51" t="s">
        <v>893</v>
      </c>
      <c r="K382" s="51" t="s">
        <v>3075</v>
      </c>
      <c r="L382" s="51"/>
      <c r="M382" s="51"/>
      <c r="N382" s="51" t="str">
        <f t="shared" si="15"/>
        <v>Active(ambrosia.passive.ex.buff.skilleffect.01.03)</v>
      </c>
      <c r="O382" s="51">
        <v>0</v>
      </c>
      <c r="P382" s="51">
        <v>0</v>
      </c>
      <c r="Q382" s="51"/>
      <c r="R382" s="51" t="b">
        <v>1</v>
      </c>
    </row>
    <row r="383" spans="1:18">
      <c r="A383" s="34" t="s">
        <v>3071</v>
      </c>
      <c r="B383" s="34"/>
      <c r="C383" s="34"/>
      <c r="D383" s="34">
        <v>0</v>
      </c>
      <c r="E383" s="34">
        <v>1</v>
      </c>
      <c r="F383" s="34" t="s">
        <v>197</v>
      </c>
      <c r="G383" s="34" t="s">
        <v>198</v>
      </c>
      <c r="H383" s="34"/>
      <c r="I383" s="34">
        <v>0</v>
      </c>
      <c r="J383" s="34" t="s">
        <v>893</v>
      </c>
      <c r="K383" s="34" t="s">
        <v>3076</v>
      </c>
      <c r="L383" s="34"/>
      <c r="M383" s="34"/>
      <c r="N383" s="34" t="str">
        <f t="shared" si="15"/>
        <v>Active(ambrosia.passive.ex.buff.skilleffect.01.04)</v>
      </c>
      <c r="O383" s="34">
        <v>0</v>
      </c>
      <c r="P383" s="34">
        <v>0</v>
      </c>
      <c r="Q383" s="34"/>
      <c r="R383" s="34" t="b">
        <v>1</v>
      </c>
    </row>
    <row r="384" spans="1:18">
      <c r="A384" s="34" t="s">
        <v>3072</v>
      </c>
      <c r="B384" s="34"/>
      <c r="C384" s="34"/>
      <c r="D384" s="34">
        <v>0</v>
      </c>
      <c r="E384" s="34">
        <v>1</v>
      </c>
      <c r="F384" s="34" t="s">
        <v>197</v>
      </c>
      <c r="G384" s="34" t="s">
        <v>198</v>
      </c>
      <c r="H384" s="34"/>
      <c r="I384" s="34">
        <v>0</v>
      </c>
      <c r="J384" s="34" t="s">
        <v>893</v>
      </c>
      <c r="K384" s="34" t="s">
        <v>3077</v>
      </c>
      <c r="L384" s="34"/>
      <c r="M384" s="34"/>
      <c r="N384" s="34" t="str">
        <f t="shared" si="15"/>
        <v>Active(ambrosia.passive.ex.buff.skilleffect.01.05)</v>
      </c>
      <c r="O384" s="34">
        <v>0</v>
      </c>
      <c r="P384" s="34">
        <v>0</v>
      </c>
      <c r="Q384" s="34"/>
      <c r="R384" s="34" t="b">
        <v>1</v>
      </c>
    </row>
    <row r="385" spans="1:18">
      <c r="A385" s="34" t="s">
        <v>3073</v>
      </c>
      <c r="B385" s="34"/>
      <c r="C385" s="34"/>
      <c r="D385" s="34">
        <v>0</v>
      </c>
      <c r="E385" s="34">
        <v>1</v>
      </c>
      <c r="F385" s="34" t="s">
        <v>197</v>
      </c>
      <c r="G385" s="34" t="s">
        <v>198</v>
      </c>
      <c r="H385" s="34"/>
      <c r="I385" s="34">
        <v>0</v>
      </c>
      <c r="J385" s="34" t="s">
        <v>893</v>
      </c>
      <c r="K385" s="34" t="s">
        <v>3078</v>
      </c>
      <c r="L385" s="34"/>
      <c r="M385" s="34"/>
      <c r="N385" s="34" t="str">
        <f t="shared" si="15"/>
        <v>Active(ambrosia.passive.ex.buff.skilleffect.01.06)</v>
      </c>
      <c r="O385" s="34">
        <v>0</v>
      </c>
      <c r="P385" s="34">
        <v>0</v>
      </c>
      <c r="Q385" s="34"/>
      <c r="R385" s="34" t="b">
        <v>1</v>
      </c>
    </row>
    <row r="386" spans="1:18">
      <c r="A386" s="51" t="s">
        <v>6570</v>
      </c>
      <c r="B386" s="51"/>
      <c r="C386" s="51"/>
      <c r="D386" s="51">
        <v>0</v>
      </c>
      <c r="E386" s="51">
        <v>1</v>
      </c>
      <c r="F386" s="51" t="s">
        <v>197</v>
      </c>
      <c r="G386" s="51" t="s">
        <v>198</v>
      </c>
      <c r="H386" s="51"/>
      <c r="I386" s="51">
        <v>0</v>
      </c>
      <c r="J386" s="51" t="s">
        <v>838</v>
      </c>
      <c r="K386" s="51" t="s">
        <v>871</v>
      </c>
      <c r="L386" s="51">
        <v>250</v>
      </c>
      <c r="M386" s="51"/>
      <c r="N386" s="51" t="str">
        <f t="shared" si="15"/>
        <v>Status(GuardRate, 250)</v>
      </c>
      <c r="O386" s="51">
        <v>0</v>
      </c>
      <c r="P386" s="51">
        <v>0</v>
      </c>
      <c r="Q386" s="51"/>
      <c r="R386" s="51" t="b">
        <v>1</v>
      </c>
    </row>
    <row r="387" spans="1:18">
      <c r="A387" s="51" t="s">
        <v>3079</v>
      </c>
      <c r="B387" s="51"/>
      <c r="C387" s="51"/>
      <c r="D387" s="51">
        <v>0</v>
      </c>
      <c r="E387" s="51">
        <v>1</v>
      </c>
      <c r="F387" s="51" t="s">
        <v>197</v>
      </c>
      <c r="G387" s="51" t="s">
        <v>198</v>
      </c>
      <c r="H387" s="51"/>
      <c r="I387" s="51">
        <v>0</v>
      </c>
      <c r="J387" s="51" t="s">
        <v>838</v>
      </c>
      <c r="K387" s="51" t="s">
        <v>871</v>
      </c>
      <c r="L387" s="51">
        <v>300</v>
      </c>
      <c r="M387" s="51"/>
      <c r="N387" s="51" t="str">
        <f t="shared" si="15"/>
        <v>Status(GuardRate, 300)</v>
      </c>
      <c r="O387" s="51">
        <v>0</v>
      </c>
      <c r="P387" s="51">
        <v>0</v>
      </c>
      <c r="Q387" s="51"/>
      <c r="R387" s="51" t="b">
        <v>1</v>
      </c>
    </row>
    <row r="388" spans="1:18">
      <c r="A388" s="51" t="s">
        <v>3080</v>
      </c>
      <c r="B388" s="51"/>
      <c r="C388" s="51"/>
      <c r="D388" s="51">
        <v>0</v>
      </c>
      <c r="E388" s="51">
        <v>1</v>
      </c>
      <c r="F388" s="51" t="s">
        <v>197</v>
      </c>
      <c r="G388" s="51" t="s">
        <v>198</v>
      </c>
      <c r="H388" s="51"/>
      <c r="I388" s="51">
        <v>0</v>
      </c>
      <c r="J388" s="51" t="s">
        <v>838</v>
      </c>
      <c r="K388" s="51" t="s">
        <v>871</v>
      </c>
      <c r="L388" s="51">
        <v>350</v>
      </c>
      <c r="M388" s="51"/>
      <c r="N388" s="51" t="str">
        <f t="shared" si="15"/>
        <v>Status(GuardRate, 350)</v>
      </c>
      <c r="O388" s="51">
        <v>0</v>
      </c>
      <c r="P388" s="51">
        <v>0</v>
      </c>
      <c r="Q388" s="51"/>
      <c r="R388" s="51" t="b">
        <v>1</v>
      </c>
    </row>
    <row r="389" spans="1:18">
      <c r="A389" s="34" t="s">
        <v>3081</v>
      </c>
      <c r="B389" s="34"/>
      <c r="C389" s="34"/>
      <c r="D389" s="34">
        <v>0</v>
      </c>
      <c r="E389" s="34">
        <v>1</v>
      </c>
      <c r="F389" s="34" t="s">
        <v>197</v>
      </c>
      <c r="G389" s="34" t="s">
        <v>198</v>
      </c>
      <c r="H389" s="34"/>
      <c r="I389" s="34">
        <v>0</v>
      </c>
      <c r="J389" s="34" t="s">
        <v>838</v>
      </c>
      <c r="K389" s="34" t="s">
        <v>871</v>
      </c>
      <c r="L389" s="34">
        <v>400</v>
      </c>
      <c r="M389" s="34"/>
      <c r="N389" s="34" t="str">
        <f t="shared" si="15"/>
        <v>Status(GuardRate, 400)</v>
      </c>
      <c r="O389" s="34">
        <v>0</v>
      </c>
      <c r="P389" s="34">
        <v>0</v>
      </c>
      <c r="Q389" s="34"/>
      <c r="R389" s="34" t="b">
        <v>1</v>
      </c>
    </row>
    <row r="390" spans="1:18">
      <c r="A390" s="34" t="s">
        <v>3082</v>
      </c>
      <c r="B390" s="34"/>
      <c r="C390" s="34"/>
      <c r="D390" s="34">
        <v>0</v>
      </c>
      <c r="E390" s="34">
        <v>1</v>
      </c>
      <c r="F390" s="34" t="s">
        <v>197</v>
      </c>
      <c r="G390" s="34" t="s">
        <v>198</v>
      </c>
      <c r="H390" s="34"/>
      <c r="I390" s="34">
        <v>0</v>
      </c>
      <c r="J390" s="34" t="s">
        <v>838</v>
      </c>
      <c r="K390" s="34" t="s">
        <v>871</v>
      </c>
      <c r="L390" s="34">
        <v>140</v>
      </c>
      <c r="M390" s="34"/>
      <c r="N390" s="34" t="str">
        <f t="shared" si="15"/>
        <v>Status(GuardRate, 140)</v>
      </c>
      <c r="O390" s="34">
        <v>0</v>
      </c>
      <c r="P390" s="34">
        <v>0</v>
      </c>
      <c r="Q390" s="34"/>
      <c r="R390" s="34" t="b">
        <v>1</v>
      </c>
    </row>
    <row r="391" spans="1:18">
      <c r="A391" s="34" t="s">
        <v>3083</v>
      </c>
      <c r="B391" s="34"/>
      <c r="C391" s="34"/>
      <c r="D391" s="34">
        <v>0</v>
      </c>
      <c r="E391" s="34">
        <v>1</v>
      </c>
      <c r="F391" s="34" t="s">
        <v>197</v>
      </c>
      <c r="G391" s="34" t="s">
        <v>198</v>
      </c>
      <c r="H391" s="34"/>
      <c r="I391" s="34">
        <v>0</v>
      </c>
      <c r="J391" s="34" t="s">
        <v>838</v>
      </c>
      <c r="K391" s="34" t="s">
        <v>871</v>
      </c>
      <c r="L391" s="34">
        <v>150</v>
      </c>
      <c r="M391" s="34"/>
      <c r="N391" s="34" t="str">
        <f t="shared" si="15"/>
        <v>Status(GuardRate, 150)</v>
      </c>
      <c r="O391" s="34">
        <v>0</v>
      </c>
      <c r="P391" s="34">
        <v>0</v>
      </c>
      <c r="Q391" s="34"/>
      <c r="R391" s="34" t="b">
        <v>1</v>
      </c>
    </row>
  </sheetData>
  <phoneticPr fontId="3" type="noConversion"/>
  <conditionalFormatting sqref="A1:A4 A135:A1048576">
    <cfRule type="duplicateValues" dxfId="315" priority="199"/>
  </conditionalFormatting>
  <conditionalFormatting sqref="E75:E92 E1:E73 E135:E1048576">
    <cfRule type="cellIs" dxfId="314" priority="198" operator="equal">
      <formula>1</formula>
    </cfRule>
  </conditionalFormatting>
  <conditionalFormatting sqref="A27:K33 M27:XFD33 A1:XFD26 L81:O86 A75:O80 Q75:Q92 S75:XFD92 A87:O92 A81:J86 A34:XFD73 A135:XFD1048576">
    <cfRule type="cellIs" dxfId="313" priority="200" operator="equal">
      <formula>TRUE</formula>
    </cfRule>
    <cfRule type="cellIs" dxfId="312" priority="201" operator="equal">
      <formula>FALSE</formula>
    </cfRule>
    <cfRule type="cellIs" dxfId="311" priority="202" operator="equal">
      <formula>0</formula>
    </cfRule>
    <cfRule type="cellIs" dxfId="310" priority="214" operator="equal">
      <formula>"Single"</formula>
    </cfRule>
    <cfRule type="cellIs" dxfId="309" priority="215" operator="equal">
      <formula>"Self"</formula>
    </cfRule>
  </conditionalFormatting>
  <conditionalFormatting sqref="S93:XFD104 A93:Q104">
    <cfRule type="cellIs" dxfId="308" priority="160" operator="equal">
      <formula>TRUE</formula>
    </cfRule>
    <cfRule type="cellIs" dxfId="307" priority="161" operator="equal">
      <formula>FALSE</formula>
    </cfRule>
    <cfRule type="cellIs" dxfId="306" priority="162" operator="equal">
      <formula>0</formula>
    </cfRule>
    <cfRule type="cellIs" dxfId="305" priority="163" operator="equal">
      <formula>"Single"</formula>
    </cfRule>
    <cfRule type="cellIs" dxfId="304" priority="164" operator="equal">
      <formula>"Self"</formula>
    </cfRule>
  </conditionalFormatting>
  <conditionalFormatting sqref="E105:E110">
    <cfRule type="cellIs" dxfId="303" priority="153" operator="equal">
      <formula>1</formula>
    </cfRule>
  </conditionalFormatting>
  <conditionalFormatting sqref="B105:E110 R117:R128 H105:XFD110">
    <cfRule type="cellIs" dxfId="302" priority="154" operator="equal">
      <formula>TRUE</formula>
    </cfRule>
    <cfRule type="cellIs" dxfId="301" priority="155" operator="equal">
      <formula>FALSE</formula>
    </cfRule>
    <cfRule type="cellIs" dxfId="300" priority="156" operator="equal">
      <formula>0</formula>
    </cfRule>
    <cfRule type="cellIs" dxfId="299" priority="157" operator="equal">
      <formula>"Single"</formula>
    </cfRule>
    <cfRule type="cellIs" dxfId="298" priority="158" operator="equal">
      <formula>"Self"</formula>
    </cfRule>
  </conditionalFormatting>
  <conditionalFormatting sqref="A105:A110">
    <cfRule type="cellIs" dxfId="297" priority="147" operator="equal">
      <formula>"Single"</formula>
    </cfRule>
    <cfRule type="cellIs" dxfId="296" priority="148" operator="equal">
      <formula>"Self"</formula>
    </cfRule>
    <cfRule type="containsText" dxfId="295" priority="149" operator="containsText" text="debuff">
      <formula>NOT(ISERROR(SEARCH("debuff",A105)))</formula>
    </cfRule>
    <cfRule type="cellIs" dxfId="294" priority="150" operator="equal">
      <formula>FALSE</formula>
    </cfRule>
    <cfRule type="cellIs" dxfId="293" priority="151" operator="equal">
      <formula>TRUE</formula>
    </cfRule>
    <cfRule type="cellIs" dxfId="292" priority="152" operator="equal">
      <formula>0</formula>
    </cfRule>
  </conditionalFormatting>
  <conditionalFormatting sqref="A105:A110">
    <cfRule type="duplicateValues" dxfId="291" priority="146"/>
  </conditionalFormatting>
  <conditionalFormatting sqref="A117:A122">
    <cfRule type="duplicateValues" dxfId="290" priority="134"/>
  </conditionalFormatting>
  <conditionalFormatting sqref="P117:P128 B117:XFD122">
    <cfRule type="cellIs" dxfId="289" priority="141" operator="equal">
      <formula>TRUE</formula>
    </cfRule>
    <cfRule type="cellIs" dxfId="288" priority="142" operator="equal">
      <formula>FALSE</formula>
    </cfRule>
    <cfRule type="cellIs" dxfId="287" priority="143" operator="equal">
      <formula>0</formula>
    </cfRule>
    <cfRule type="cellIs" dxfId="286" priority="144" operator="equal">
      <formula>"Single"</formula>
    </cfRule>
    <cfRule type="cellIs" dxfId="285" priority="145" operator="equal">
      <formula>"Self"</formula>
    </cfRule>
  </conditionalFormatting>
  <conditionalFormatting sqref="A117:A122">
    <cfRule type="cellIs" dxfId="284" priority="135" operator="equal">
      <formula>"Single"</formula>
    </cfRule>
    <cfRule type="cellIs" dxfId="283" priority="136" operator="equal">
      <formula>"Self"</formula>
    </cfRule>
    <cfRule type="containsText" dxfId="282" priority="137" operator="containsText" text="debuff">
      <formula>NOT(ISERROR(SEARCH("debuff",A117)))</formula>
    </cfRule>
    <cfRule type="cellIs" dxfId="281" priority="138" operator="equal">
      <formula>FALSE</formula>
    </cfRule>
    <cfRule type="cellIs" dxfId="280" priority="139" operator="equal">
      <formula>TRUE</formula>
    </cfRule>
    <cfRule type="cellIs" dxfId="279" priority="140" operator="equal">
      <formula>0</formula>
    </cfRule>
  </conditionalFormatting>
  <conditionalFormatting sqref="A123:A128">
    <cfRule type="duplicateValues" dxfId="278" priority="122"/>
  </conditionalFormatting>
  <conditionalFormatting sqref="B123:XFD128">
    <cfRule type="cellIs" dxfId="277" priority="129" operator="equal">
      <formula>TRUE</formula>
    </cfRule>
    <cfRule type="cellIs" dxfId="276" priority="130" operator="equal">
      <formula>FALSE</formula>
    </cfRule>
    <cfRule type="cellIs" dxfId="275" priority="131" operator="equal">
      <formula>0</formula>
    </cfRule>
    <cfRule type="cellIs" dxfId="274" priority="132" operator="equal">
      <formula>"Single"</formula>
    </cfRule>
    <cfRule type="cellIs" dxfId="273" priority="133" operator="equal">
      <formula>"Self"</formula>
    </cfRule>
  </conditionalFormatting>
  <conditionalFormatting sqref="A123:A128">
    <cfRule type="cellIs" dxfId="272" priority="123" operator="equal">
      <formula>"Single"</formula>
    </cfRule>
    <cfRule type="cellIs" dxfId="271" priority="124" operator="equal">
      <formula>"Self"</formula>
    </cfRule>
    <cfRule type="containsText" dxfId="270" priority="125" operator="containsText" text="debuff">
      <formula>NOT(ISERROR(SEARCH("debuff",A123)))</formula>
    </cfRule>
    <cfRule type="cellIs" dxfId="269" priority="126" operator="equal">
      <formula>FALSE</formula>
    </cfRule>
    <cfRule type="cellIs" dxfId="268" priority="127" operator="equal">
      <formula>TRUE</formula>
    </cfRule>
    <cfRule type="cellIs" dxfId="267" priority="128" operator="equal">
      <formula>0</formula>
    </cfRule>
  </conditionalFormatting>
  <conditionalFormatting sqref="L27:L33">
    <cfRule type="cellIs" dxfId="266" priority="114" operator="equal">
      <formula>0</formula>
    </cfRule>
    <cfRule type="cellIs" dxfId="265" priority="115" operator="equal">
      <formula>TRUE</formula>
    </cfRule>
    <cfRule type="cellIs" dxfId="264" priority="116" operator="equal">
      <formula>"Enemy"</formula>
    </cfRule>
    <cfRule type="cellIs" dxfId="263" priority="117" operator="equal">
      <formula>100</formula>
    </cfRule>
    <cfRule type="cellIs" dxfId="262" priority="118" operator="equal">
      <formula>"Single"</formula>
    </cfRule>
    <cfRule type="cellIs" dxfId="261" priority="119" operator="equal">
      <formula>"Damage"</formula>
    </cfRule>
    <cfRule type="cellIs" dxfId="260" priority="120" operator="equal">
      <formula>"Op"</formula>
    </cfRule>
    <cfRule type="containsBlanks" dxfId="259" priority="121">
      <formula>LEN(TRIM(L27))=0</formula>
    </cfRule>
  </conditionalFormatting>
  <conditionalFormatting sqref="L27:L33">
    <cfRule type="duplicateValues" dxfId="258" priority="113"/>
  </conditionalFormatting>
  <conditionalFormatting sqref="A93:A104">
    <cfRule type="duplicateValues" dxfId="257" priority="760"/>
  </conditionalFormatting>
  <conditionalFormatting sqref="K81:K86">
    <cfRule type="cellIs" dxfId="256" priority="83" operator="equal">
      <formula>"Single"</formula>
    </cfRule>
    <cfRule type="cellIs" dxfId="255" priority="84" operator="equal">
      <formula>"Self"</formula>
    </cfRule>
    <cfRule type="containsText" dxfId="254" priority="85" operator="containsText" text="debuff">
      <formula>NOT(ISERROR(SEARCH("debuff",K81)))</formula>
    </cfRule>
    <cfRule type="cellIs" dxfId="253" priority="86" operator="equal">
      <formula>FALSE</formula>
    </cfRule>
    <cfRule type="cellIs" dxfId="252" priority="87" operator="equal">
      <formula>TRUE</formula>
    </cfRule>
    <cfRule type="cellIs" dxfId="251" priority="88" operator="equal">
      <formula>0</formula>
    </cfRule>
  </conditionalFormatting>
  <conditionalFormatting sqref="K81:K86">
    <cfRule type="duplicateValues" dxfId="250" priority="89"/>
  </conditionalFormatting>
  <conditionalFormatting sqref="P75:P92">
    <cfRule type="cellIs" dxfId="249" priority="73" operator="equal">
      <formula>TRUE</formula>
    </cfRule>
    <cfRule type="cellIs" dxfId="248" priority="74" operator="equal">
      <formula>FALSE</formula>
    </cfRule>
    <cfRule type="cellIs" dxfId="247" priority="75" operator="equal">
      <formula>0</formula>
    </cfRule>
    <cfRule type="cellIs" dxfId="246" priority="76" operator="equal">
      <formula>"Single"</formula>
    </cfRule>
    <cfRule type="cellIs" dxfId="245" priority="77" operator="equal">
      <formula>"Self"</formula>
    </cfRule>
  </conditionalFormatting>
  <conditionalFormatting sqref="F105:G110">
    <cfRule type="cellIs" dxfId="244" priority="68" operator="equal">
      <formula>TRUE</formula>
    </cfRule>
    <cfRule type="cellIs" dxfId="243" priority="69" operator="equal">
      <formula>FALSE</formula>
    </cfRule>
    <cfRule type="cellIs" dxfId="242" priority="70" operator="equal">
      <formula>0</formula>
    </cfRule>
    <cfRule type="cellIs" dxfId="241" priority="71" operator="equal">
      <formula>"Single"</formula>
    </cfRule>
    <cfRule type="cellIs" dxfId="240" priority="72" operator="equal">
      <formula>"Self"</formula>
    </cfRule>
  </conditionalFormatting>
  <conditionalFormatting sqref="E111:E116">
    <cfRule type="cellIs" dxfId="239" priority="62" operator="equal">
      <formula>1</formula>
    </cfRule>
  </conditionalFormatting>
  <conditionalFormatting sqref="B111:E116 H111:XFD116">
    <cfRule type="cellIs" dxfId="238" priority="63" operator="equal">
      <formula>TRUE</formula>
    </cfRule>
    <cfRule type="cellIs" dxfId="237" priority="64" operator="equal">
      <formula>FALSE</formula>
    </cfRule>
    <cfRule type="cellIs" dxfId="236" priority="65" operator="equal">
      <formula>0</formula>
    </cfRule>
    <cfRule type="cellIs" dxfId="235" priority="66" operator="equal">
      <formula>"Single"</formula>
    </cfRule>
    <cfRule type="cellIs" dxfId="234" priority="67" operator="equal">
      <formula>"Self"</formula>
    </cfRule>
  </conditionalFormatting>
  <conditionalFormatting sqref="A111:A116">
    <cfRule type="cellIs" dxfId="233" priority="56" operator="equal">
      <formula>"Single"</formula>
    </cfRule>
    <cfRule type="cellIs" dxfId="232" priority="57" operator="equal">
      <formula>"Self"</formula>
    </cfRule>
    <cfRule type="containsText" dxfId="231" priority="58" operator="containsText" text="debuff">
      <formula>NOT(ISERROR(SEARCH("debuff",A111)))</formula>
    </cfRule>
    <cfRule type="cellIs" dxfId="230" priority="59" operator="equal">
      <formula>FALSE</formula>
    </cfRule>
    <cfRule type="cellIs" dxfId="229" priority="60" operator="equal">
      <formula>TRUE</formula>
    </cfRule>
    <cfRule type="cellIs" dxfId="228" priority="61" operator="equal">
      <formula>0</formula>
    </cfRule>
  </conditionalFormatting>
  <conditionalFormatting sqref="A111:A116">
    <cfRule type="duplicateValues" dxfId="227" priority="55"/>
  </conditionalFormatting>
  <conditionalFormatting sqref="F111:G116">
    <cfRule type="cellIs" dxfId="226" priority="50" operator="equal">
      <formula>TRUE</formula>
    </cfRule>
    <cfRule type="cellIs" dxfId="225" priority="51" operator="equal">
      <formula>FALSE</formula>
    </cfRule>
    <cfRule type="cellIs" dxfId="224" priority="52" operator="equal">
      <formula>0</formula>
    </cfRule>
    <cfRule type="cellIs" dxfId="223" priority="53" operator="equal">
      <formula>"Single"</formula>
    </cfRule>
    <cfRule type="cellIs" dxfId="222" priority="54" operator="equal">
      <formula>"Self"</formula>
    </cfRule>
  </conditionalFormatting>
  <conditionalFormatting sqref="A75:A92 A5:A73">
    <cfRule type="duplicateValues" dxfId="221" priority="774"/>
  </conditionalFormatting>
  <conditionalFormatting sqref="E74">
    <cfRule type="cellIs" dxfId="220" priority="38" operator="equal">
      <formula>1</formula>
    </cfRule>
  </conditionalFormatting>
  <conditionalFormatting sqref="A74:O74 Q74 S74:XFD74">
    <cfRule type="cellIs" dxfId="219" priority="39" operator="equal">
      <formula>TRUE</formula>
    </cfRule>
    <cfRule type="cellIs" dxfId="218" priority="40" operator="equal">
      <formula>FALSE</formula>
    </cfRule>
    <cfRule type="cellIs" dxfId="217" priority="41" operator="equal">
      <formula>0</formula>
    </cfRule>
    <cfRule type="cellIs" dxfId="216" priority="42" operator="equal">
      <formula>"Single"</formula>
    </cfRule>
    <cfRule type="cellIs" dxfId="215" priority="43" operator="equal">
      <formula>"Self"</formula>
    </cfRule>
  </conditionalFormatting>
  <conditionalFormatting sqref="P74">
    <cfRule type="cellIs" dxfId="214" priority="33" operator="equal">
      <formula>TRUE</formula>
    </cfRule>
    <cfRule type="cellIs" dxfId="213" priority="34" operator="equal">
      <formula>FALSE</formula>
    </cfRule>
    <cfRule type="cellIs" dxfId="212" priority="35" operator="equal">
      <formula>0</formula>
    </cfRule>
    <cfRule type="cellIs" dxfId="211" priority="36" operator="equal">
      <formula>"Single"</formula>
    </cfRule>
    <cfRule type="cellIs" dxfId="210" priority="37" operator="equal">
      <formula>"Self"</formula>
    </cfRule>
  </conditionalFormatting>
  <conditionalFormatting sqref="A74">
    <cfRule type="duplicateValues" dxfId="209" priority="44"/>
  </conditionalFormatting>
  <conditionalFormatting sqref="R93:R104">
    <cfRule type="cellIs" dxfId="208" priority="28" operator="equal">
      <formula>TRUE</formula>
    </cfRule>
    <cfRule type="cellIs" dxfId="207" priority="29" operator="equal">
      <formula>FALSE</formula>
    </cfRule>
    <cfRule type="cellIs" dxfId="206" priority="30" operator="equal">
      <formula>0</formula>
    </cfRule>
    <cfRule type="cellIs" dxfId="205" priority="31" operator="equal">
      <formula>"Single"</formula>
    </cfRule>
    <cfRule type="cellIs" dxfId="204" priority="32" operator="equal">
      <formula>"Self"</formula>
    </cfRule>
  </conditionalFormatting>
  <conditionalFormatting sqref="R74:R92">
    <cfRule type="cellIs" dxfId="203" priority="23" operator="equal">
      <formula>TRUE</formula>
    </cfRule>
    <cfRule type="cellIs" dxfId="202" priority="24" operator="equal">
      <formula>FALSE</formula>
    </cfRule>
    <cfRule type="cellIs" dxfId="201" priority="25" operator="equal">
      <formula>0</formula>
    </cfRule>
    <cfRule type="cellIs" dxfId="200" priority="26" operator="equal">
      <formula>"Single"</formula>
    </cfRule>
    <cfRule type="cellIs" dxfId="199" priority="27" operator="equal">
      <formula>"Self"</formula>
    </cfRule>
  </conditionalFormatting>
  <conditionalFormatting sqref="R129:R134">
    <cfRule type="cellIs" dxfId="198" priority="18" operator="equal">
      <formula>TRUE</formula>
    </cfRule>
    <cfRule type="cellIs" dxfId="197" priority="19" operator="equal">
      <formula>FALSE</formula>
    </cfRule>
    <cfRule type="cellIs" dxfId="196" priority="20" operator="equal">
      <formula>0</formula>
    </cfRule>
    <cfRule type="cellIs" dxfId="195" priority="21" operator="equal">
      <formula>"Single"</formula>
    </cfRule>
    <cfRule type="cellIs" dxfId="194" priority="22" operator="equal">
      <formula>"Self"</formula>
    </cfRule>
  </conditionalFormatting>
  <conditionalFormatting sqref="P129:P134">
    <cfRule type="cellIs" dxfId="193" priority="13" operator="equal">
      <formula>TRUE</formula>
    </cfRule>
    <cfRule type="cellIs" dxfId="192" priority="14" operator="equal">
      <formula>FALSE</formula>
    </cfRule>
    <cfRule type="cellIs" dxfId="191" priority="15" operator="equal">
      <formula>0</formula>
    </cfRule>
    <cfRule type="cellIs" dxfId="190" priority="16" operator="equal">
      <formula>"Single"</formula>
    </cfRule>
    <cfRule type="cellIs" dxfId="189" priority="17" operator="equal">
      <formula>"Self"</formula>
    </cfRule>
  </conditionalFormatting>
  <conditionalFormatting sqref="A129:A134">
    <cfRule type="duplicateValues" dxfId="188" priority="1"/>
  </conditionalFormatting>
  <conditionalFormatting sqref="B129:XFD134">
    <cfRule type="cellIs" dxfId="187" priority="8" operator="equal">
      <formula>TRUE</formula>
    </cfRule>
    <cfRule type="cellIs" dxfId="186" priority="9" operator="equal">
      <formula>FALSE</formula>
    </cfRule>
    <cfRule type="cellIs" dxfId="185" priority="10" operator="equal">
      <formula>0</formula>
    </cfRule>
    <cfRule type="cellIs" dxfId="184" priority="11" operator="equal">
      <formula>"Single"</formula>
    </cfRule>
    <cfRule type="cellIs" dxfId="183" priority="12" operator="equal">
      <formula>"Self"</formula>
    </cfRule>
  </conditionalFormatting>
  <conditionalFormatting sqref="A129:A134">
    <cfRule type="cellIs" dxfId="182" priority="2" operator="equal">
      <formula>"Single"</formula>
    </cfRule>
    <cfRule type="cellIs" dxfId="181" priority="3" operator="equal">
      <formula>"Self"</formula>
    </cfRule>
    <cfRule type="containsText" dxfId="180" priority="4" operator="containsText" text="debuff">
      <formula>NOT(ISERROR(SEARCH("debuff",A129)))</formula>
    </cfRule>
    <cfRule type="cellIs" dxfId="179" priority="5" operator="equal">
      <formula>FALSE</formula>
    </cfRule>
    <cfRule type="cellIs" dxfId="178" priority="6" operator="equal">
      <formula>TRUE</formula>
    </cfRule>
    <cfRule type="cellIs" dxfId="177" priority="7" operator="equal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1005"/>
  <sheetViews>
    <sheetView zoomScale="85" zoomScaleNormal="85" workbookViewId="0">
      <pane xSplit="1" ySplit="4" topLeftCell="I786" activePane="bottomRight" state="frozen"/>
      <selection pane="topRight" activeCell="B1" sqref="B1"/>
      <selection pane="bottomLeft" activeCell="A5" sqref="A5"/>
      <selection pane="bottomRight" activeCell="L804" sqref="L804"/>
    </sheetView>
  </sheetViews>
  <sheetFormatPr defaultColWidth="60.75" defaultRowHeight="16.5"/>
  <cols>
    <col min="1" max="1" width="49.875" bestFit="1" customWidth="1"/>
    <col min="2" max="2" width="16.625" bestFit="1" customWidth="1"/>
    <col min="3" max="3" width="34.625" bestFit="1" customWidth="1"/>
    <col min="4" max="6" width="10.125" bestFit="1" customWidth="1"/>
    <col min="7" max="7" width="59.5" bestFit="1" customWidth="1"/>
    <col min="8" max="8" width="31.75" bestFit="1" customWidth="1"/>
    <col min="9" max="9" width="14.375" bestFit="1" customWidth="1"/>
    <col min="10" max="10" width="13" bestFit="1" customWidth="1"/>
    <col min="11" max="11" width="13.375" bestFit="1" customWidth="1"/>
    <col min="12" max="12" width="78.875" bestFit="1" customWidth="1"/>
    <col min="13" max="13" width="30.625" bestFit="1" customWidth="1"/>
    <col min="14" max="14" width="30.5" bestFit="1" customWidth="1"/>
    <col min="15" max="15" width="40.875" bestFit="1" customWidth="1"/>
    <col min="16" max="16" width="39.75" bestFit="1" customWidth="1"/>
    <col min="17" max="17" width="13" bestFit="1" customWidth="1"/>
    <col min="18" max="18" width="10.625" bestFit="1" customWidth="1"/>
  </cols>
  <sheetData>
    <row r="1" spans="1:18" ht="33">
      <c r="A1" s="1" t="s">
        <v>0</v>
      </c>
      <c r="B1" s="3" t="s">
        <v>1</v>
      </c>
      <c r="C1" s="3" t="s">
        <v>420</v>
      </c>
      <c r="D1" s="3" t="s">
        <v>3</v>
      </c>
      <c r="E1" s="4" t="s">
        <v>421</v>
      </c>
      <c r="F1" s="4" t="s">
        <v>422</v>
      </c>
      <c r="G1" s="2" t="s">
        <v>6</v>
      </c>
      <c r="H1" s="5" t="s">
        <v>423</v>
      </c>
      <c r="I1" s="5" t="s">
        <v>424</v>
      </c>
      <c r="J1" s="1" t="s">
        <v>9</v>
      </c>
      <c r="K1" s="1" t="s">
        <v>425</v>
      </c>
      <c r="L1" s="1" t="s">
        <v>11</v>
      </c>
      <c r="M1" s="1" t="s">
        <v>6571</v>
      </c>
      <c r="N1" s="1" t="s">
        <v>12</v>
      </c>
      <c r="O1" s="1" t="s">
        <v>13</v>
      </c>
      <c r="P1" s="1" t="s">
        <v>14</v>
      </c>
      <c r="Q1" s="1" t="s">
        <v>426</v>
      </c>
      <c r="R1" s="1" t="s">
        <v>427</v>
      </c>
    </row>
    <row r="2" spans="1:18">
      <c r="A2" s="1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2" t="s">
        <v>23</v>
      </c>
      <c r="H2" s="5" t="s">
        <v>24</v>
      </c>
      <c r="I2" s="5" t="s">
        <v>25</v>
      </c>
      <c r="J2" s="1" t="s">
        <v>26</v>
      </c>
      <c r="K2" s="1" t="s">
        <v>27</v>
      </c>
      <c r="L2" s="1" t="s">
        <v>28</v>
      </c>
      <c r="M2" s="1" t="s">
        <v>883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4" t="s">
        <v>37</v>
      </c>
      <c r="F3" s="4" t="s">
        <v>37</v>
      </c>
      <c r="G3" s="2" t="s">
        <v>38</v>
      </c>
      <c r="H3" s="5" t="s">
        <v>39</v>
      </c>
      <c r="I3" s="5" t="s">
        <v>40</v>
      </c>
      <c r="J3" s="1" t="s">
        <v>40</v>
      </c>
      <c r="K3" s="1" t="s">
        <v>40</v>
      </c>
      <c r="L3" s="1" t="s">
        <v>41</v>
      </c>
      <c r="M3" s="1" t="s">
        <v>883</v>
      </c>
      <c r="N3" s="1" t="s">
        <v>36</v>
      </c>
      <c r="O3" s="1" t="s">
        <v>36</v>
      </c>
      <c r="P3" s="1" t="s">
        <v>36</v>
      </c>
      <c r="Q3" s="1" t="s">
        <v>40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4" t="s">
        <v>42</v>
      </c>
      <c r="F4" s="4" t="s">
        <v>42</v>
      </c>
      <c r="G4" s="2" t="s">
        <v>42</v>
      </c>
      <c r="H4" s="5" t="s">
        <v>42</v>
      </c>
      <c r="I4" s="5" t="s">
        <v>42</v>
      </c>
      <c r="J4" s="1" t="s">
        <v>42</v>
      </c>
      <c r="K4" s="1" t="s">
        <v>42</v>
      </c>
      <c r="L4" s="1" t="s">
        <v>43</v>
      </c>
      <c r="M4" s="1" t="s">
        <v>883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42</v>
      </c>
    </row>
    <row r="5" spans="1:18" ht="49.5">
      <c r="A5" s="23" t="s">
        <v>1031</v>
      </c>
      <c r="B5" s="23"/>
      <c r="C5" s="23"/>
      <c r="D5" s="23">
        <v>0</v>
      </c>
      <c r="E5" s="23">
        <v>0</v>
      </c>
      <c r="F5" s="23">
        <v>0</v>
      </c>
      <c r="G5" s="39" t="s">
        <v>6572</v>
      </c>
      <c r="H5" s="23"/>
      <c r="I5" s="23" t="b">
        <v>0</v>
      </c>
      <c r="J5" s="23" t="b">
        <v>0</v>
      </c>
      <c r="K5" s="23" t="b">
        <v>1</v>
      </c>
      <c r="L5" s="23"/>
      <c r="M5" s="23"/>
      <c r="N5" s="23" t="str">
        <f>_xlfn.IFNA(VLOOKUP($M5,Buff.CM!$A:$O,13,FALSE),"")</f>
        <v/>
      </c>
      <c r="O5" s="23" t="str">
        <f>_xlfn.IFNA(VLOOKUP($M5,Buff.CM!$A:$O,14,FALSE),"")</f>
        <v/>
      </c>
      <c r="P5" s="23" t="str">
        <f>_xlfn.IFNA(VLOOKUP($M5,Buff.CM!$A:$O,15,FALSE),"")</f>
        <v/>
      </c>
      <c r="Q5" s="23" t="b">
        <v>0</v>
      </c>
      <c r="R5" s="23" t="b">
        <v>0</v>
      </c>
    </row>
    <row r="6" spans="1:18" ht="49.5">
      <c r="A6" s="23" t="s">
        <v>1032</v>
      </c>
      <c r="B6" s="23"/>
      <c r="C6" s="23"/>
      <c r="D6" s="23">
        <v>0</v>
      </c>
      <c r="E6" s="23">
        <v>0</v>
      </c>
      <c r="F6" s="23">
        <v>0</v>
      </c>
      <c r="G6" s="39" t="s">
        <v>6573</v>
      </c>
      <c r="H6" s="23"/>
      <c r="I6" s="23" t="b">
        <v>0</v>
      </c>
      <c r="J6" s="23" t="b">
        <v>0</v>
      </c>
      <c r="K6" s="23" t="b">
        <v>1</v>
      </c>
      <c r="L6" s="23"/>
      <c r="M6" s="23"/>
      <c r="N6" s="23" t="str">
        <f>_xlfn.IFNA(VLOOKUP($M6,Buff.CM!$A:$O,13,FALSE),"")</f>
        <v/>
      </c>
      <c r="O6" s="23" t="str">
        <f>_xlfn.IFNA(VLOOKUP($M6,Buff.CM!$A:$O,14,FALSE),"")</f>
        <v/>
      </c>
      <c r="P6" s="23" t="str">
        <f>_xlfn.IFNA(VLOOKUP($M6,Buff.CM!$A:$O,15,FALSE),"")</f>
        <v/>
      </c>
      <c r="Q6" s="23" t="b">
        <v>0</v>
      </c>
      <c r="R6" s="23" t="b">
        <v>0</v>
      </c>
    </row>
    <row r="7" spans="1:18" ht="49.5">
      <c r="A7" s="23" t="s">
        <v>1033</v>
      </c>
      <c r="B7" s="23"/>
      <c r="C7" s="23"/>
      <c r="D7" s="23">
        <v>0</v>
      </c>
      <c r="E7" s="23">
        <v>0</v>
      </c>
      <c r="F7" s="23">
        <v>0</v>
      </c>
      <c r="G7" s="39" t="s">
        <v>6574</v>
      </c>
      <c r="H7" s="23"/>
      <c r="I7" s="23" t="b">
        <v>0</v>
      </c>
      <c r="J7" s="23" t="b">
        <v>0</v>
      </c>
      <c r="K7" s="23" t="b">
        <v>1</v>
      </c>
      <c r="L7" s="23"/>
      <c r="M7" s="23"/>
      <c r="N7" s="23" t="str">
        <f>_xlfn.IFNA(VLOOKUP($M7,Buff.CM!$A:$O,13,FALSE),"")</f>
        <v/>
      </c>
      <c r="O7" s="23" t="str">
        <f>_xlfn.IFNA(VLOOKUP($M7,Buff.CM!$A:$O,14,FALSE),"")</f>
        <v/>
      </c>
      <c r="P7" s="23" t="str">
        <f>_xlfn.IFNA(VLOOKUP($M7,Buff.CM!$A:$O,15,FALSE),"")</f>
        <v/>
      </c>
      <c r="Q7" s="23" t="b">
        <v>0</v>
      </c>
      <c r="R7" s="23" t="b">
        <v>0</v>
      </c>
    </row>
    <row r="8" spans="1:18" ht="49.5">
      <c r="A8" s="34" t="s">
        <v>1034</v>
      </c>
      <c r="B8" s="34"/>
      <c r="C8" s="34"/>
      <c r="D8" s="34">
        <v>0</v>
      </c>
      <c r="E8" s="34">
        <v>0</v>
      </c>
      <c r="F8" s="34">
        <v>0</v>
      </c>
      <c r="G8" s="40" t="s">
        <v>6575</v>
      </c>
      <c r="H8" s="34"/>
      <c r="I8" s="34" t="b">
        <v>0</v>
      </c>
      <c r="J8" s="34" t="b">
        <v>0</v>
      </c>
      <c r="K8" s="34" t="b">
        <v>1</v>
      </c>
      <c r="L8" s="34"/>
      <c r="M8" s="34"/>
      <c r="N8" s="34" t="str">
        <f>_xlfn.IFNA(VLOOKUP($M8,Buff.CM!$A:$O,13,FALSE),"")</f>
        <v/>
      </c>
      <c r="O8" s="34" t="str">
        <f>_xlfn.IFNA(VLOOKUP($M8,Buff.CM!$A:$O,14,FALSE),"")</f>
        <v/>
      </c>
      <c r="P8" s="34" t="str">
        <f>_xlfn.IFNA(VLOOKUP($M8,Buff.CM!$A:$O,15,FALSE),"")</f>
        <v/>
      </c>
      <c r="Q8" s="34" t="b">
        <v>0</v>
      </c>
      <c r="R8" s="34" t="b">
        <v>0</v>
      </c>
    </row>
    <row r="9" spans="1:18" ht="49.5">
      <c r="A9" s="34" t="s">
        <v>1035</v>
      </c>
      <c r="B9" s="34"/>
      <c r="C9" s="34"/>
      <c r="D9" s="34">
        <v>0</v>
      </c>
      <c r="E9" s="34">
        <v>0</v>
      </c>
      <c r="F9" s="34">
        <v>0</v>
      </c>
      <c r="G9" s="40" t="s">
        <v>6576</v>
      </c>
      <c r="H9" s="34"/>
      <c r="I9" s="34" t="b">
        <v>0</v>
      </c>
      <c r="J9" s="34" t="b">
        <v>0</v>
      </c>
      <c r="K9" s="34" t="b">
        <v>1</v>
      </c>
      <c r="L9" s="34"/>
      <c r="M9" s="34"/>
      <c r="N9" s="34" t="str">
        <f>_xlfn.IFNA(VLOOKUP($M9,Buff.CM!$A:$O,13,FALSE),"")</f>
        <v/>
      </c>
      <c r="O9" s="34" t="str">
        <f>_xlfn.IFNA(VLOOKUP($M9,Buff.CM!$A:$O,14,FALSE),"")</f>
        <v/>
      </c>
      <c r="P9" s="34" t="str">
        <f>_xlfn.IFNA(VLOOKUP($M9,Buff.CM!$A:$O,15,FALSE),"")</f>
        <v/>
      </c>
      <c r="Q9" s="34" t="b">
        <v>0</v>
      </c>
      <c r="R9" s="34" t="b">
        <v>0</v>
      </c>
    </row>
    <row r="10" spans="1:18" ht="49.5">
      <c r="A10" s="34" t="s">
        <v>1036</v>
      </c>
      <c r="B10" s="34"/>
      <c r="C10" s="34"/>
      <c r="D10" s="34">
        <v>0</v>
      </c>
      <c r="E10" s="34">
        <v>0</v>
      </c>
      <c r="F10" s="34">
        <v>0</v>
      </c>
      <c r="G10" s="40" t="s">
        <v>6577</v>
      </c>
      <c r="H10" s="34"/>
      <c r="I10" s="34" t="b">
        <v>0</v>
      </c>
      <c r="J10" s="34" t="b">
        <v>0</v>
      </c>
      <c r="K10" s="34" t="b">
        <v>1</v>
      </c>
      <c r="L10" s="34"/>
      <c r="M10" s="34"/>
      <c r="N10" s="34" t="str">
        <f>_xlfn.IFNA(VLOOKUP($M10,Buff.CM!$A:$O,13,FALSE),"")</f>
        <v/>
      </c>
      <c r="O10" s="34" t="str">
        <f>_xlfn.IFNA(VLOOKUP($M10,Buff.CM!$A:$O,14,FALSE),"")</f>
        <v/>
      </c>
      <c r="P10" s="34" t="str">
        <f>_xlfn.IFNA(VLOOKUP($M10,Buff.CM!$A:$O,15,FALSE),"")</f>
        <v/>
      </c>
      <c r="Q10" s="34" t="b">
        <v>0</v>
      </c>
      <c r="R10" s="34" t="b">
        <v>0</v>
      </c>
    </row>
    <row r="11" spans="1:18">
      <c r="A11" s="24" t="s">
        <v>1055</v>
      </c>
      <c r="B11" s="24"/>
      <c r="C11" s="24"/>
      <c r="D11" s="24">
        <v>3000</v>
      </c>
      <c r="E11" s="24">
        <v>0</v>
      </c>
      <c r="F11" s="24">
        <v>0</v>
      </c>
      <c r="G11" s="38" t="s">
        <v>265</v>
      </c>
      <c r="H11" s="24"/>
      <c r="I11" s="24" t="b">
        <v>0</v>
      </c>
      <c r="J11" s="24" t="b">
        <v>1</v>
      </c>
      <c r="K11" s="24" t="b">
        <v>0</v>
      </c>
      <c r="L11" s="24" t="s">
        <v>286</v>
      </c>
      <c r="M11" s="24" t="s">
        <v>5462</v>
      </c>
      <c r="N11" s="24" t="str">
        <f>_xlfn.IFNA(VLOOKUP($M11,Buff.CM!$A:$O,13,FALSE),"")</f>
        <v>icon_battle_provoke</v>
      </c>
      <c r="O11" s="24" t="str">
        <f>_xlfn.IFNA(VLOOKUP($M11,Buff.CM!$A:$O,14,FALSE),"")</f>
        <v>Buff.Name.Provoke</v>
      </c>
      <c r="P11" s="24" t="str">
        <f>_xlfn.IFNA(VLOOKUP($M11,Buff.CM!$A:$O,15,FALSE),"")</f>
        <v>Buff.Desc.Provoke</v>
      </c>
      <c r="Q11" s="24" t="b">
        <v>0</v>
      </c>
      <c r="R11" s="24" t="b">
        <v>0</v>
      </c>
    </row>
    <row r="12" spans="1:18">
      <c r="A12" s="24" t="s">
        <v>1056</v>
      </c>
      <c r="B12" s="24"/>
      <c r="C12" s="24"/>
      <c r="D12" s="24">
        <v>3000</v>
      </c>
      <c r="E12" s="24">
        <v>0</v>
      </c>
      <c r="F12" s="24">
        <v>0</v>
      </c>
      <c r="G12" s="38" t="s">
        <v>265</v>
      </c>
      <c r="H12" s="24"/>
      <c r="I12" s="24" t="b">
        <v>0</v>
      </c>
      <c r="J12" s="24" t="b">
        <v>1</v>
      </c>
      <c r="K12" s="24" t="b">
        <v>0</v>
      </c>
      <c r="L12" s="24" t="s">
        <v>286</v>
      </c>
      <c r="M12" s="24" t="s">
        <v>5462</v>
      </c>
      <c r="N12" s="24" t="str">
        <f>_xlfn.IFNA(VLOOKUP($M12,Buff.CM!$A:$O,13,FALSE),"")</f>
        <v>icon_battle_provoke</v>
      </c>
      <c r="O12" s="24" t="str">
        <f>_xlfn.IFNA(VLOOKUP($M12,Buff.CM!$A:$O,14,FALSE),"")</f>
        <v>Buff.Name.Provoke</v>
      </c>
      <c r="P12" s="24" t="str">
        <f>_xlfn.IFNA(VLOOKUP($M12,Buff.CM!$A:$O,15,FALSE),"")</f>
        <v>Buff.Desc.Provoke</v>
      </c>
      <c r="Q12" s="24" t="b">
        <v>0</v>
      </c>
      <c r="R12" s="24" t="b">
        <v>0</v>
      </c>
    </row>
    <row r="13" spans="1:18">
      <c r="A13" s="24" t="s">
        <v>1057</v>
      </c>
      <c r="B13" s="24"/>
      <c r="C13" s="24"/>
      <c r="D13" s="24">
        <v>3000</v>
      </c>
      <c r="E13" s="24">
        <v>0</v>
      </c>
      <c r="F13" s="24">
        <v>0</v>
      </c>
      <c r="G13" s="38" t="s">
        <v>265</v>
      </c>
      <c r="H13" s="24"/>
      <c r="I13" s="24" t="b">
        <v>0</v>
      </c>
      <c r="J13" s="24" t="b">
        <v>1</v>
      </c>
      <c r="K13" s="24" t="b">
        <v>0</v>
      </c>
      <c r="L13" s="24" t="s">
        <v>286</v>
      </c>
      <c r="M13" s="24" t="s">
        <v>5462</v>
      </c>
      <c r="N13" s="24" t="str">
        <f>_xlfn.IFNA(VLOOKUP($M13,Buff.CM!$A:$O,13,FALSE),"")</f>
        <v>icon_battle_provoke</v>
      </c>
      <c r="O13" s="24" t="str">
        <f>_xlfn.IFNA(VLOOKUP($M13,Buff.CM!$A:$O,14,FALSE),"")</f>
        <v>Buff.Name.Provoke</v>
      </c>
      <c r="P13" s="24" t="str">
        <f>_xlfn.IFNA(VLOOKUP($M13,Buff.CM!$A:$O,15,FALSE),"")</f>
        <v>Buff.Desc.Provoke</v>
      </c>
      <c r="Q13" s="24" t="b">
        <v>0</v>
      </c>
      <c r="R13" s="24" t="b">
        <v>0</v>
      </c>
    </row>
    <row r="14" spans="1:18">
      <c r="A14" s="34" t="s">
        <v>1058</v>
      </c>
      <c r="B14" s="34"/>
      <c r="C14" s="34"/>
      <c r="D14" s="34">
        <v>3000</v>
      </c>
      <c r="E14" s="34">
        <v>0</v>
      </c>
      <c r="F14" s="34">
        <v>0</v>
      </c>
      <c r="G14" s="40" t="s">
        <v>265</v>
      </c>
      <c r="H14" s="34"/>
      <c r="I14" s="34" t="b">
        <v>0</v>
      </c>
      <c r="J14" s="34" t="b">
        <v>1</v>
      </c>
      <c r="K14" s="34" t="b">
        <v>0</v>
      </c>
      <c r="L14" s="34" t="s">
        <v>286</v>
      </c>
      <c r="M14" s="34" t="s">
        <v>5462</v>
      </c>
      <c r="N14" s="34" t="str">
        <f>_xlfn.IFNA(VLOOKUP($M14,Buff.CM!$A:$O,13,FALSE),"")</f>
        <v>icon_battle_provoke</v>
      </c>
      <c r="O14" s="34" t="str">
        <f>_xlfn.IFNA(VLOOKUP($M14,Buff.CM!$A:$O,14,FALSE),"")</f>
        <v>Buff.Name.Provoke</v>
      </c>
      <c r="P14" s="34" t="str">
        <f>_xlfn.IFNA(VLOOKUP($M14,Buff.CM!$A:$O,15,FALSE),"")</f>
        <v>Buff.Desc.Provoke</v>
      </c>
      <c r="Q14" s="34" t="b">
        <v>0</v>
      </c>
      <c r="R14" s="34" t="b">
        <v>0</v>
      </c>
    </row>
    <row r="15" spans="1:18">
      <c r="A15" s="34" t="s">
        <v>1059</v>
      </c>
      <c r="B15" s="34"/>
      <c r="C15" s="34"/>
      <c r="D15" s="34">
        <v>3000</v>
      </c>
      <c r="E15" s="34">
        <v>0</v>
      </c>
      <c r="F15" s="34">
        <v>0</v>
      </c>
      <c r="G15" s="40" t="s">
        <v>265</v>
      </c>
      <c r="H15" s="34"/>
      <c r="I15" s="34" t="b">
        <v>0</v>
      </c>
      <c r="J15" s="34" t="b">
        <v>1</v>
      </c>
      <c r="K15" s="34" t="b">
        <v>0</v>
      </c>
      <c r="L15" s="34" t="s">
        <v>286</v>
      </c>
      <c r="M15" s="34" t="s">
        <v>5462</v>
      </c>
      <c r="N15" s="34" t="str">
        <f>_xlfn.IFNA(VLOOKUP($M15,Buff.CM!$A:$O,13,FALSE),"")</f>
        <v>icon_battle_provoke</v>
      </c>
      <c r="O15" s="34" t="str">
        <f>_xlfn.IFNA(VLOOKUP($M15,Buff.CM!$A:$O,14,FALSE),"")</f>
        <v>Buff.Name.Provoke</v>
      </c>
      <c r="P15" s="34" t="str">
        <f>_xlfn.IFNA(VLOOKUP($M15,Buff.CM!$A:$O,15,FALSE),"")</f>
        <v>Buff.Desc.Provoke</v>
      </c>
      <c r="Q15" s="34" t="b">
        <v>0</v>
      </c>
      <c r="R15" s="34" t="b">
        <v>0</v>
      </c>
    </row>
    <row r="16" spans="1:18">
      <c r="A16" s="34" t="s">
        <v>1060</v>
      </c>
      <c r="B16" s="34"/>
      <c r="C16" s="34"/>
      <c r="D16" s="34">
        <v>3000</v>
      </c>
      <c r="E16" s="34">
        <v>0</v>
      </c>
      <c r="F16" s="34">
        <v>0</v>
      </c>
      <c r="G16" s="40" t="s">
        <v>265</v>
      </c>
      <c r="H16" s="34"/>
      <c r="I16" s="34" t="b">
        <v>0</v>
      </c>
      <c r="J16" s="34" t="b">
        <v>1</v>
      </c>
      <c r="K16" s="34" t="b">
        <v>0</v>
      </c>
      <c r="L16" s="34" t="s">
        <v>286</v>
      </c>
      <c r="M16" s="34" t="s">
        <v>5462</v>
      </c>
      <c r="N16" s="34" t="str">
        <f>_xlfn.IFNA(VLOOKUP($M16,Buff.CM!$A:$O,13,FALSE),"")</f>
        <v>icon_battle_provoke</v>
      </c>
      <c r="O16" s="34" t="str">
        <f>_xlfn.IFNA(VLOOKUP($M16,Buff.CM!$A:$O,14,FALSE),"")</f>
        <v>Buff.Name.Provoke</v>
      </c>
      <c r="P16" s="34" t="str">
        <f>_xlfn.IFNA(VLOOKUP($M16,Buff.CM!$A:$O,15,FALSE),"")</f>
        <v>Buff.Desc.Provoke</v>
      </c>
      <c r="Q16" s="34" t="b">
        <v>0</v>
      </c>
      <c r="R16" s="34" t="b">
        <v>0</v>
      </c>
    </row>
    <row r="17" spans="1:18" ht="33">
      <c r="A17" s="23" t="s">
        <v>1061</v>
      </c>
      <c r="B17" s="23"/>
      <c r="C17" s="23"/>
      <c r="D17" s="23">
        <v>2000</v>
      </c>
      <c r="E17" s="23">
        <v>0</v>
      </c>
      <c r="F17" s="23">
        <v>0</v>
      </c>
      <c r="G17" s="39" t="s">
        <v>1333</v>
      </c>
      <c r="H17" s="23"/>
      <c r="I17" s="23" t="b">
        <v>0</v>
      </c>
      <c r="J17" s="23" t="b">
        <v>0</v>
      </c>
      <c r="K17" s="23" t="b">
        <v>0</v>
      </c>
      <c r="L17" s="23" t="s">
        <v>314</v>
      </c>
      <c r="M17" s="23"/>
      <c r="N17" s="23" t="str">
        <f>_xlfn.IFNA(VLOOKUP($M17,Buff.CM!$A:$O,13,FALSE),"")</f>
        <v/>
      </c>
      <c r="O17" s="23" t="str">
        <f>_xlfn.IFNA(VLOOKUP($M17,Buff.CM!$A:$O,14,FALSE),"")</f>
        <v/>
      </c>
      <c r="P17" s="23" t="str">
        <f>_xlfn.IFNA(VLOOKUP($M17,Buff.CM!$A:$O,15,FALSE),"")</f>
        <v/>
      </c>
      <c r="Q17" s="23" t="b">
        <v>0</v>
      </c>
      <c r="R17" s="23" t="b">
        <v>0</v>
      </c>
    </row>
    <row r="18" spans="1:18" ht="33">
      <c r="A18" s="23" t="s">
        <v>1062</v>
      </c>
      <c r="B18" s="23"/>
      <c r="C18" s="23"/>
      <c r="D18" s="23">
        <v>3000</v>
      </c>
      <c r="E18" s="23">
        <v>0</v>
      </c>
      <c r="F18" s="23">
        <v>0</v>
      </c>
      <c r="G18" s="39" t="s">
        <v>1333</v>
      </c>
      <c r="H18" s="23"/>
      <c r="I18" s="23" t="b">
        <v>0</v>
      </c>
      <c r="J18" s="23" t="b">
        <v>0</v>
      </c>
      <c r="K18" s="23" t="b">
        <v>0</v>
      </c>
      <c r="L18" s="23" t="s">
        <v>314</v>
      </c>
      <c r="M18" s="23"/>
      <c r="N18" s="23" t="str">
        <f>_xlfn.IFNA(VLOOKUP($M18,Buff.CM!$A:$O,13,FALSE),"")</f>
        <v/>
      </c>
      <c r="O18" s="23" t="str">
        <f>_xlfn.IFNA(VLOOKUP($M18,Buff.CM!$A:$O,14,FALSE),"")</f>
        <v/>
      </c>
      <c r="P18" s="23" t="str">
        <f>_xlfn.IFNA(VLOOKUP($M18,Buff.CM!$A:$O,15,FALSE),"")</f>
        <v/>
      </c>
      <c r="Q18" s="23" t="b">
        <v>0</v>
      </c>
      <c r="R18" s="23" t="b">
        <v>0</v>
      </c>
    </row>
    <row r="19" spans="1:18" ht="33">
      <c r="A19" s="23" t="s">
        <v>1063</v>
      </c>
      <c r="B19" s="23"/>
      <c r="C19" s="23"/>
      <c r="D19" s="23">
        <v>4000</v>
      </c>
      <c r="E19" s="23">
        <v>0</v>
      </c>
      <c r="F19" s="23">
        <v>0</v>
      </c>
      <c r="G19" s="39" t="s">
        <v>1333</v>
      </c>
      <c r="H19" s="23"/>
      <c r="I19" s="23" t="b">
        <v>0</v>
      </c>
      <c r="J19" s="23" t="b">
        <v>0</v>
      </c>
      <c r="K19" s="23" t="b">
        <v>0</v>
      </c>
      <c r="L19" s="23" t="s">
        <v>314</v>
      </c>
      <c r="M19" s="23"/>
      <c r="N19" s="23" t="str">
        <f>_xlfn.IFNA(VLOOKUP($M19,Buff.CM!$A:$O,13,FALSE),"")</f>
        <v/>
      </c>
      <c r="O19" s="23" t="str">
        <f>_xlfn.IFNA(VLOOKUP($M19,Buff.CM!$A:$O,14,FALSE),"")</f>
        <v/>
      </c>
      <c r="P19" s="23" t="str">
        <f>_xlfn.IFNA(VLOOKUP($M19,Buff.CM!$A:$O,15,FALSE),"")</f>
        <v/>
      </c>
      <c r="Q19" s="23" t="b">
        <v>0</v>
      </c>
      <c r="R19" s="23" t="b">
        <v>0</v>
      </c>
    </row>
    <row r="20" spans="1:18" ht="33">
      <c r="A20" s="34" t="s">
        <v>1064</v>
      </c>
      <c r="B20" s="34"/>
      <c r="C20" s="34"/>
      <c r="D20" s="34">
        <v>4000</v>
      </c>
      <c r="E20" s="34">
        <v>0</v>
      </c>
      <c r="F20" s="34">
        <v>0</v>
      </c>
      <c r="G20" s="40" t="s">
        <v>1333</v>
      </c>
      <c r="H20" s="34"/>
      <c r="I20" s="34" t="b">
        <v>0</v>
      </c>
      <c r="J20" s="34" t="b">
        <v>0</v>
      </c>
      <c r="K20" s="34" t="b">
        <v>0</v>
      </c>
      <c r="L20" s="34" t="s">
        <v>314</v>
      </c>
      <c r="M20" s="34"/>
      <c r="N20" s="34" t="str">
        <f>_xlfn.IFNA(VLOOKUP($M20,Buff.CM!$A:$O,13,FALSE),"")</f>
        <v/>
      </c>
      <c r="O20" s="34" t="str">
        <f>_xlfn.IFNA(VLOOKUP($M20,Buff.CM!$A:$O,14,FALSE),"")</f>
        <v/>
      </c>
      <c r="P20" s="34" t="str">
        <f>_xlfn.IFNA(VLOOKUP($M20,Buff.CM!$A:$O,15,FALSE),"")</f>
        <v/>
      </c>
      <c r="Q20" s="34" t="b">
        <v>0</v>
      </c>
      <c r="R20" s="34" t="b">
        <v>0</v>
      </c>
    </row>
    <row r="21" spans="1:18" ht="33">
      <c r="A21" s="34" t="s">
        <v>1065</v>
      </c>
      <c r="B21" s="34"/>
      <c r="C21" s="34"/>
      <c r="D21" s="34">
        <v>4000</v>
      </c>
      <c r="E21" s="34">
        <v>0</v>
      </c>
      <c r="F21" s="34">
        <v>0</v>
      </c>
      <c r="G21" s="40" t="s">
        <v>1333</v>
      </c>
      <c r="H21" s="34"/>
      <c r="I21" s="34" t="b">
        <v>0</v>
      </c>
      <c r="J21" s="34" t="b">
        <v>0</v>
      </c>
      <c r="K21" s="34" t="b">
        <v>0</v>
      </c>
      <c r="L21" s="34" t="s">
        <v>314</v>
      </c>
      <c r="M21" s="34"/>
      <c r="N21" s="34" t="str">
        <f>_xlfn.IFNA(VLOOKUP($M21,Buff.CM!$A:$O,13,FALSE),"")</f>
        <v/>
      </c>
      <c r="O21" s="34" t="str">
        <f>_xlfn.IFNA(VLOOKUP($M21,Buff.CM!$A:$O,14,FALSE),"")</f>
        <v/>
      </c>
      <c r="P21" s="34" t="str">
        <f>_xlfn.IFNA(VLOOKUP($M21,Buff.CM!$A:$O,15,FALSE),"")</f>
        <v/>
      </c>
      <c r="Q21" s="34" t="b">
        <v>0</v>
      </c>
      <c r="R21" s="34" t="b">
        <v>0</v>
      </c>
    </row>
    <row r="22" spans="1:18" ht="33">
      <c r="A22" s="34" t="s">
        <v>1066</v>
      </c>
      <c r="B22" s="34"/>
      <c r="C22" s="34"/>
      <c r="D22" s="34">
        <v>4000</v>
      </c>
      <c r="E22" s="34">
        <v>0</v>
      </c>
      <c r="F22" s="34">
        <v>0</v>
      </c>
      <c r="G22" s="40" t="s">
        <v>1333</v>
      </c>
      <c r="H22" s="34"/>
      <c r="I22" s="34" t="b">
        <v>0</v>
      </c>
      <c r="J22" s="34" t="b">
        <v>0</v>
      </c>
      <c r="K22" s="34" t="b">
        <v>0</v>
      </c>
      <c r="L22" s="34" t="s">
        <v>314</v>
      </c>
      <c r="M22" s="34"/>
      <c r="N22" s="34" t="str">
        <f>_xlfn.IFNA(VLOOKUP($M22,Buff.CM!$A:$O,13,FALSE),"")</f>
        <v/>
      </c>
      <c r="O22" s="34" t="str">
        <f>_xlfn.IFNA(VLOOKUP($M22,Buff.CM!$A:$O,14,FALSE),"")</f>
        <v/>
      </c>
      <c r="P22" s="34" t="str">
        <f>_xlfn.IFNA(VLOOKUP($M22,Buff.CM!$A:$O,15,FALSE),"")</f>
        <v/>
      </c>
      <c r="Q22" s="34" t="b">
        <v>0</v>
      </c>
      <c r="R22" s="34" t="b">
        <v>0</v>
      </c>
    </row>
    <row r="23" spans="1:18" ht="33">
      <c r="A23" s="24" t="s">
        <v>1027</v>
      </c>
      <c r="B23" s="24"/>
      <c r="C23" s="24"/>
      <c r="D23" s="24">
        <v>4000</v>
      </c>
      <c r="E23" s="24">
        <v>0</v>
      </c>
      <c r="F23" s="24">
        <v>0</v>
      </c>
      <c r="G23" s="38" t="s">
        <v>1333</v>
      </c>
      <c r="H23" s="24"/>
      <c r="I23" s="24" t="b">
        <v>0</v>
      </c>
      <c r="J23" s="24" t="b">
        <v>0</v>
      </c>
      <c r="K23" s="24" t="b">
        <v>0</v>
      </c>
      <c r="L23" s="24" t="s">
        <v>314</v>
      </c>
      <c r="M23" s="24"/>
      <c r="N23" s="24" t="str">
        <f>_xlfn.IFNA(VLOOKUP($M23,Buff.CM!$A:$O,13,FALSE),"")</f>
        <v/>
      </c>
      <c r="O23" s="24" t="str">
        <f>_xlfn.IFNA(VLOOKUP($M23,Buff.CM!$A:$O,14,FALSE),"")</f>
        <v/>
      </c>
      <c r="P23" s="24" t="str">
        <f>_xlfn.IFNA(VLOOKUP($M23,Buff.CM!$A:$O,15,FALSE),"")</f>
        <v/>
      </c>
      <c r="Q23" s="24" t="b">
        <v>0</v>
      </c>
      <c r="R23" s="24" t="b">
        <v>0</v>
      </c>
    </row>
    <row r="24" spans="1:18" ht="33">
      <c r="A24" s="24" t="s">
        <v>1028</v>
      </c>
      <c r="B24" s="24"/>
      <c r="C24" s="24"/>
      <c r="D24" s="24">
        <v>5000</v>
      </c>
      <c r="E24" s="24">
        <v>0</v>
      </c>
      <c r="F24" s="24">
        <v>0</v>
      </c>
      <c r="G24" s="38" t="s">
        <v>1333</v>
      </c>
      <c r="H24" s="24"/>
      <c r="I24" s="24" t="b">
        <v>0</v>
      </c>
      <c r="J24" s="24" t="b">
        <v>0</v>
      </c>
      <c r="K24" s="24" t="b">
        <v>0</v>
      </c>
      <c r="L24" s="24" t="s">
        <v>314</v>
      </c>
      <c r="M24" s="24"/>
      <c r="N24" s="24" t="str">
        <f>_xlfn.IFNA(VLOOKUP($M24,Buff.CM!$A:$O,13,FALSE),"")</f>
        <v/>
      </c>
      <c r="O24" s="24" t="str">
        <f>_xlfn.IFNA(VLOOKUP($M24,Buff.CM!$A:$O,14,FALSE),"")</f>
        <v/>
      </c>
      <c r="P24" s="24" t="str">
        <f>_xlfn.IFNA(VLOOKUP($M24,Buff.CM!$A:$O,15,FALSE),"")</f>
        <v/>
      </c>
      <c r="Q24" s="24" t="b">
        <v>0</v>
      </c>
      <c r="R24" s="24" t="b">
        <v>0</v>
      </c>
    </row>
    <row r="25" spans="1:18" ht="33">
      <c r="A25" s="34" t="s">
        <v>1029</v>
      </c>
      <c r="B25" s="34"/>
      <c r="C25" s="34"/>
      <c r="D25" s="34">
        <v>6000</v>
      </c>
      <c r="E25" s="34">
        <v>0</v>
      </c>
      <c r="F25" s="34">
        <v>0</v>
      </c>
      <c r="G25" s="40" t="s">
        <v>1333</v>
      </c>
      <c r="H25" s="34"/>
      <c r="I25" s="34" t="b">
        <v>0</v>
      </c>
      <c r="J25" s="34" t="b">
        <v>0</v>
      </c>
      <c r="K25" s="34" t="b">
        <v>0</v>
      </c>
      <c r="L25" s="34" t="s">
        <v>314</v>
      </c>
      <c r="M25" s="34"/>
      <c r="N25" s="34" t="str">
        <f>_xlfn.IFNA(VLOOKUP($M25,Buff.CM!$A:$O,13,FALSE),"")</f>
        <v/>
      </c>
      <c r="O25" s="34" t="str">
        <f>_xlfn.IFNA(VLOOKUP($M25,Buff.CM!$A:$O,14,FALSE),"")</f>
        <v/>
      </c>
      <c r="P25" s="34" t="str">
        <f>_xlfn.IFNA(VLOOKUP($M25,Buff.CM!$A:$O,15,FALSE),"")</f>
        <v/>
      </c>
      <c r="Q25" s="34" t="b">
        <v>0</v>
      </c>
      <c r="R25" s="34" t="b">
        <v>0</v>
      </c>
    </row>
    <row r="26" spans="1:18" ht="33">
      <c r="A26" s="34" t="s">
        <v>1030</v>
      </c>
      <c r="B26" s="34"/>
      <c r="C26" s="34"/>
      <c r="D26" s="34">
        <v>7000</v>
      </c>
      <c r="E26" s="34">
        <v>0</v>
      </c>
      <c r="F26" s="34">
        <v>0</v>
      </c>
      <c r="G26" s="40" t="s">
        <v>1333</v>
      </c>
      <c r="H26" s="34"/>
      <c r="I26" s="34" t="b">
        <v>0</v>
      </c>
      <c r="J26" s="34" t="b">
        <v>0</v>
      </c>
      <c r="K26" s="34" t="b">
        <v>0</v>
      </c>
      <c r="L26" s="34" t="s">
        <v>314</v>
      </c>
      <c r="M26" s="34"/>
      <c r="N26" s="34" t="str">
        <f>_xlfn.IFNA(VLOOKUP($M26,Buff.CM!$A:$O,13,FALSE),"")</f>
        <v/>
      </c>
      <c r="O26" s="34" t="str">
        <f>_xlfn.IFNA(VLOOKUP($M26,Buff.CM!$A:$O,14,FALSE),"")</f>
        <v/>
      </c>
      <c r="P26" s="34" t="str">
        <f>_xlfn.IFNA(VLOOKUP($M26,Buff.CM!$A:$O,15,FALSE),"")</f>
        <v/>
      </c>
      <c r="Q26" s="34" t="b">
        <v>0</v>
      </c>
      <c r="R26" s="34" t="b">
        <v>0</v>
      </c>
    </row>
    <row r="27" spans="1:18">
      <c r="A27" s="44" t="s">
        <v>1067</v>
      </c>
      <c r="B27" s="44"/>
      <c r="C27" s="44"/>
      <c r="D27" s="44">
        <v>0</v>
      </c>
      <c r="E27" s="44">
        <v>0</v>
      </c>
      <c r="F27" s="44">
        <v>0</v>
      </c>
      <c r="G27" s="66" t="str">
        <f t="shared" ref="G27" si="0">A27&amp;".buffeffect"</f>
        <v>kaito.aile.ult.ex.buff.buffeffect</v>
      </c>
      <c r="H27" s="44"/>
      <c r="I27" s="44" t="b">
        <v>0</v>
      </c>
      <c r="J27" s="44" t="b">
        <v>0</v>
      </c>
      <c r="K27" s="44" t="b">
        <v>0</v>
      </c>
      <c r="L27" s="44"/>
      <c r="M27" s="44"/>
      <c r="N27" s="44" t="str">
        <f>_xlfn.IFNA(VLOOKUP($M27,Buff.CM!$A:$O,13,FALSE),"")</f>
        <v/>
      </c>
      <c r="O27" s="44" t="str">
        <f>_xlfn.IFNA(VLOOKUP($M27,Buff.CM!$A:$O,14,FALSE),"")</f>
        <v/>
      </c>
      <c r="P27" s="44" t="str">
        <f>_xlfn.IFNA(VLOOKUP($M27,Buff.CM!$A:$O,15,FALSE),"")</f>
        <v/>
      </c>
      <c r="Q27" s="44" t="b">
        <v>0</v>
      </c>
      <c r="R27" s="44" t="b">
        <v>0</v>
      </c>
    </row>
    <row r="28" spans="1:18">
      <c r="A28" s="23" t="s">
        <v>1015</v>
      </c>
      <c r="B28" s="23"/>
      <c r="C28" s="23"/>
      <c r="D28" s="23">
        <v>0</v>
      </c>
      <c r="E28" s="23">
        <v>0</v>
      </c>
      <c r="F28" s="23">
        <v>0</v>
      </c>
      <c r="G28" s="23" t="s">
        <v>1016</v>
      </c>
      <c r="H28" s="23"/>
      <c r="I28" s="23" t="b">
        <v>0</v>
      </c>
      <c r="J28" s="23" t="b">
        <v>0</v>
      </c>
      <c r="K28" s="23" t="b">
        <v>1</v>
      </c>
      <c r="L28" s="23"/>
      <c r="M28" s="23"/>
      <c r="N28" s="23" t="str">
        <f>_xlfn.IFNA(VLOOKUP($M28,Buff.CM!$A:$O,13,FALSE),"")</f>
        <v/>
      </c>
      <c r="O28" s="23" t="str">
        <f>_xlfn.IFNA(VLOOKUP($M28,Buff.CM!$A:$O,14,FALSE),"")</f>
        <v/>
      </c>
      <c r="P28" s="23" t="str">
        <f>_xlfn.IFNA(VLOOKUP($M28,Buff.CM!$A:$O,15,FALSE),"")</f>
        <v/>
      </c>
      <c r="Q28" s="23" t="b">
        <v>0</v>
      </c>
      <c r="R28" s="23" t="b">
        <v>0</v>
      </c>
    </row>
    <row r="29" spans="1:18">
      <c r="A29" s="23" t="s">
        <v>1017</v>
      </c>
      <c r="B29" s="23"/>
      <c r="C29" s="23"/>
      <c r="D29" s="23">
        <v>0</v>
      </c>
      <c r="E29" s="23">
        <v>0</v>
      </c>
      <c r="F29" s="23">
        <v>0</v>
      </c>
      <c r="G29" s="23" t="s">
        <v>1018</v>
      </c>
      <c r="H29" s="23"/>
      <c r="I29" s="23" t="b">
        <v>0</v>
      </c>
      <c r="J29" s="23" t="b">
        <v>0</v>
      </c>
      <c r="K29" s="23" t="b">
        <v>1</v>
      </c>
      <c r="L29" s="23"/>
      <c r="M29" s="23"/>
      <c r="N29" s="23" t="str">
        <f>_xlfn.IFNA(VLOOKUP($M29,Buff.CM!$A:$O,13,FALSE),"")</f>
        <v/>
      </c>
      <c r="O29" s="23" t="str">
        <f>_xlfn.IFNA(VLOOKUP($M29,Buff.CM!$A:$O,14,FALSE),"")</f>
        <v/>
      </c>
      <c r="P29" s="23" t="str">
        <f>_xlfn.IFNA(VLOOKUP($M29,Buff.CM!$A:$O,15,FALSE),"")</f>
        <v/>
      </c>
      <c r="Q29" s="23" t="b">
        <v>0</v>
      </c>
      <c r="R29" s="23" t="b">
        <v>0</v>
      </c>
    </row>
    <row r="30" spans="1:18">
      <c r="A30" s="23" t="s">
        <v>1019</v>
      </c>
      <c r="B30" s="23"/>
      <c r="C30" s="23"/>
      <c r="D30" s="23">
        <v>0</v>
      </c>
      <c r="E30" s="23">
        <v>0</v>
      </c>
      <c r="F30" s="23">
        <v>0</v>
      </c>
      <c r="G30" s="23" t="s">
        <v>1020</v>
      </c>
      <c r="H30" s="23"/>
      <c r="I30" s="23" t="b">
        <v>0</v>
      </c>
      <c r="J30" s="23" t="b">
        <v>0</v>
      </c>
      <c r="K30" s="23" t="b">
        <v>1</v>
      </c>
      <c r="L30" s="23"/>
      <c r="M30" s="23"/>
      <c r="N30" s="23" t="str">
        <f>_xlfn.IFNA(VLOOKUP($M30,Buff.CM!$A:$O,13,FALSE),"")</f>
        <v/>
      </c>
      <c r="O30" s="23" t="str">
        <f>_xlfn.IFNA(VLOOKUP($M30,Buff.CM!$A:$O,14,FALSE),"")</f>
        <v/>
      </c>
      <c r="P30" s="23" t="str">
        <f>_xlfn.IFNA(VLOOKUP($M30,Buff.CM!$A:$O,15,FALSE),"")</f>
        <v/>
      </c>
      <c r="Q30" s="23" t="b">
        <v>0</v>
      </c>
      <c r="R30" s="23" t="b">
        <v>0</v>
      </c>
    </row>
    <row r="31" spans="1:18">
      <c r="A31" s="34" t="s">
        <v>1021</v>
      </c>
      <c r="B31" s="34"/>
      <c r="C31" s="34"/>
      <c r="D31" s="34">
        <v>0</v>
      </c>
      <c r="E31" s="34">
        <v>0</v>
      </c>
      <c r="F31" s="34">
        <v>0</v>
      </c>
      <c r="G31" s="34" t="s">
        <v>1022</v>
      </c>
      <c r="H31" s="34"/>
      <c r="I31" s="34" t="b">
        <v>0</v>
      </c>
      <c r="J31" s="34" t="b">
        <v>0</v>
      </c>
      <c r="K31" s="34" t="b">
        <v>1</v>
      </c>
      <c r="L31" s="34"/>
      <c r="M31" s="34"/>
      <c r="N31" s="34" t="str">
        <f>_xlfn.IFNA(VLOOKUP($M31,Buff.CM!$A:$O,13,FALSE),"")</f>
        <v/>
      </c>
      <c r="O31" s="34" t="str">
        <f>_xlfn.IFNA(VLOOKUP($M31,Buff.CM!$A:$O,14,FALSE),"")</f>
        <v/>
      </c>
      <c r="P31" s="34" t="str">
        <f>_xlfn.IFNA(VLOOKUP($M31,Buff.CM!$A:$O,15,FALSE),"")</f>
        <v/>
      </c>
      <c r="Q31" s="34" t="b">
        <v>0</v>
      </c>
      <c r="R31" s="34" t="b">
        <v>0</v>
      </c>
    </row>
    <row r="32" spans="1:18">
      <c r="A32" s="34" t="s">
        <v>1023</v>
      </c>
      <c r="B32" s="34"/>
      <c r="C32" s="34"/>
      <c r="D32" s="34">
        <v>0</v>
      </c>
      <c r="E32" s="34">
        <v>0</v>
      </c>
      <c r="F32" s="34">
        <v>0</v>
      </c>
      <c r="G32" s="34" t="s">
        <v>1024</v>
      </c>
      <c r="H32" s="34"/>
      <c r="I32" s="34" t="b">
        <v>0</v>
      </c>
      <c r="J32" s="34" t="b">
        <v>0</v>
      </c>
      <c r="K32" s="34" t="b">
        <v>1</v>
      </c>
      <c r="L32" s="34"/>
      <c r="M32" s="34"/>
      <c r="N32" s="34" t="str">
        <f>_xlfn.IFNA(VLOOKUP($M32,Buff.CM!$A:$O,13,FALSE),"")</f>
        <v/>
      </c>
      <c r="O32" s="34" t="str">
        <f>_xlfn.IFNA(VLOOKUP($M32,Buff.CM!$A:$O,14,FALSE),"")</f>
        <v/>
      </c>
      <c r="P32" s="34" t="str">
        <f>_xlfn.IFNA(VLOOKUP($M32,Buff.CM!$A:$O,15,FALSE),"")</f>
        <v/>
      </c>
      <c r="Q32" s="34" t="b">
        <v>0</v>
      </c>
      <c r="R32" s="34" t="b">
        <v>0</v>
      </c>
    </row>
    <row r="33" spans="1:18" s="13" customFormat="1">
      <c r="A33" s="34" t="s">
        <v>1025</v>
      </c>
      <c r="B33" s="34"/>
      <c r="C33" s="34"/>
      <c r="D33" s="34">
        <v>0</v>
      </c>
      <c r="E33" s="34">
        <v>0</v>
      </c>
      <c r="F33" s="34">
        <v>0</v>
      </c>
      <c r="G33" s="34" t="s">
        <v>1026</v>
      </c>
      <c r="H33" s="34"/>
      <c r="I33" s="34" t="b">
        <v>0</v>
      </c>
      <c r="J33" s="34" t="b">
        <v>0</v>
      </c>
      <c r="K33" s="34" t="b">
        <v>1</v>
      </c>
      <c r="L33" s="34"/>
      <c r="M33" s="34"/>
      <c r="N33" s="34" t="str">
        <f>_xlfn.IFNA(VLOOKUP($M33,Buff.CM!$A:$O,13,FALSE),"")</f>
        <v/>
      </c>
      <c r="O33" s="34" t="str">
        <f>_xlfn.IFNA(VLOOKUP($M33,Buff.CM!$A:$O,14,FALSE),"")</f>
        <v/>
      </c>
      <c r="P33" s="34" t="str">
        <f>_xlfn.IFNA(VLOOKUP($M33,Buff.CM!$A:$O,15,FALSE),"")</f>
        <v/>
      </c>
      <c r="Q33" s="34" t="b">
        <v>0</v>
      </c>
      <c r="R33" s="34" t="b">
        <v>0</v>
      </c>
    </row>
    <row r="34" spans="1:18" s="13" customFormat="1" ht="33">
      <c r="A34" s="24" t="s">
        <v>6578</v>
      </c>
      <c r="B34" s="24"/>
      <c r="C34" s="24"/>
      <c r="D34" s="24">
        <v>4000</v>
      </c>
      <c r="E34" s="24">
        <v>0</v>
      </c>
      <c r="F34" s="24">
        <v>0</v>
      </c>
      <c r="G34" s="38" t="s">
        <v>1333</v>
      </c>
      <c r="H34" s="24"/>
      <c r="I34" s="24" t="b">
        <v>0</v>
      </c>
      <c r="J34" s="24" t="b">
        <v>0</v>
      </c>
      <c r="K34" s="24" t="b">
        <v>0</v>
      </c>
      <c r="L34" s="24" t="s">
        <v>314</v>
      </c>
      <c r="M34" s="24"/>
      <c r="N34" s="24" t="str">
        <f>_xlfn.IFNA(VLOOKUP($M34,Buff.CM!$A:$O,13,FALSE),"")</f>
        <v/>
      </c>
      <c r="O34" s="24" t="str">
        <f>_xlfn.IFNA(VLOOKUP($M34,Buff.CM!$A:$O,14,FALSE),"")</f>
        <v/>
      </c>
      <c r="P34" s="24" t="str">
        <f>_xlfn.IFNA(VLOOKUP($M34,Buff.CM!$A:$O,15,FALSE),"")</f>
        <v/>
      </c>
      <c r="Q34" s="24" t="b">
        <v>0</v>
      </c>
      <c r="R34" s="24" t="b">
        <v>0</v>
      </c>
    </row>
    <row r="35" spans="1:18" s="13" customFormat="1" ht="33">
      <c r="A35" s="24" t="s">
        <v>6579</v>
      </c>
      <c r="B35" s="24"/>
      <c r="C35" s="24"/>
      <c r="D35" s="24">
        <v>5000</v>
      </c>
      <c r="E35" s="24">
        <v>0</v>
      </c>
      <c r="F35" s="24">
        <v>0</v>
      </c>
      <c r="G35" s="38" t="s">
        <v>1333</v>
      </c>
      <c r="H35" s="24"/>
      <c r="I35" s="24" t="b">
        <v>0</v>
      </c>
      <c r="J35" s="24" t="b">
        <v>0</v>
      </c>
      <c r="K35" s="24" t="b">
        <v>0</v>
      </c>
      <c r="L35" s="24" t="s">
        <v>314</v>
      </c>
      <c r="M35" s="24"/>
      <c r="N35" s="24" t="str">
        <f>_xlfn.IFNA(VLOOKUP($M35,Buff.CM!$A:$O,13,FALSE),"")</f>
        <v/>
      </c>
      <c r="O35" s="24" t="str">
        <f>_xlfn.IFNA(VLOOKUP($M35,Buff.CM!$A:$O,14,FALSE),"")</f>
        <v/>
      </c>
      <c r="P35" s="24" t="str">
        <f>_xlfn.IFNA(VLOOKUP($M35,Buff.CM!$A:$O,15,FALSE),"")</f>
        <v/>
      </c>
      <c r="Q35" s="24" t="b">
        <v>0</v>
      </c>
      <c r="R35" s="24" t="b">
        <v>0</v>
      </c>
    </row>
    <row r="36" spans="1:18" s="13" customFormat="1" ht="33">
      <c r="A36" s="24" t="s">
        <v>6580</v>
      </c>
      <c r="B36" s="24"/>
      <c r="C36" s="24"/>
      <c r="D36" s="24">
        <v>6000</v>
      </c>
      <c r="E36" s="24">
        <v>0</v>
      </c>
      <c r="F36" s="24">
        <v>0</v>
      </c>
      <c r="G36" s="38" t="s">
        <v>1333</v>
      </c>
      <c r="H36" s="24"/>
      <c r="I36" s="24" t="b">
        <v>0</v>
      </c>
      <c r="J36" s="24" t="b">
        <v>0</v>
      </c>
      <c r="K36" s="24" t="b">
        <v>0</v>
      </c>
      <c r="L36" s="24" t="s">
        <v>314</v>
      </c>
      <c r="M36" s="24"/>
      <c r="N36" s="24" t="str">
        <f>_xlfn.IFNA(VLOOKUP($M36,Buff.CM!$A:$O,13,FALSE),"")</f>
        <v/>
      </c>
      <c r="O36" s="24" t="str">
        <f>_xlfn.IFNA(VLOOKUP($M36,Buff.CM!$A:$O,14,FALSE),"")</f>
        <v/>
      </c>
      <c r="P36" s="24" t="str">
        <f>_xlfn.IFNA(VLOOKUP($M36,Buff.CM!$A:$O,15,FALSE),"")</f>
        <v/>
      </c>
      <c r="Q36" s="24" t="b">
        <v>0</v>
      </c>
      <c r="R36" s="24" t="b">
        <v>0</v>
      </c>
    </row>
    <row r="37" spans="1:18" s="13" customFormat="1" ht="33">
      <c r="A37" s="34" t="s">
        <v>6581</v>
      </c>
      <c r="B37" s="34"/>
      <c r="C37" s="34"/>
      <c r="D37" s="34">
        <v>7000</v>
      </c>
      <c r="E37" s="34">
        <v>0</v>
      </c>
      <c r="F37" s="34">
        <v>0</v>
      </c>
      <c r="G37" s="40" t="s">
        <v>1333</v>
      </c>
      <c r="H37" s="34"/>
      <c r="I37" s="34" t="b">
        <v>0</v>
      </c>
      <c r="J37" s="34" t="b">
        <v>0</v>
      </c>
      <c r="K37" s="34" t="b">
        <v>0</v>
      </c>
      <c r="L37" s="34" t="s">
        <v>314</v>
      </c>
      <c r="M37" s="34"/>
      <c r="N37" s="34" t="str">
        <f>_xlfn.IFNA(VLOOKUP($M37,Buff.CM!$A:$O,13,FALSE),"")</f>
        <v/>
      </c>
      <c r="O37" s="34" t="str">
        <f>_xlfn.IFNA(VLOOKUP($M37,Buff.CM!$A:$O,14,FALSE),"")</f>
        <v/>
      </c>
      <c r="P37" s="34" t="str">
        <f>_xlfn.IFNA(VLOOKUP($M37,Buff.CM!$A:$O,15,FALSE),"")</f>
        <v/>
      </c>
      <c r="Q37" s="34" t="b">
        <v>0</v>
      </c>
      <c r="R37" s="34" t="b">
        <v>0</v>
      </c>
    </row>
    <row r="38" spans="1:18" s="13" customFormat="1" ht="33">
      <c r="A38" s="34" t="s">
        <v>6582</v>
      </c>
      <c r="B38" s="34"/>
      <c r="C38" s="34"/>
      <c r="D38" s="34">
        <v>7000</v>
      </c>
      <c r="E38" s="34">
        <v>0</v>
      </c>
      <c r="F38" s="34">
        <v>0</v>
      </c>
      <c r="G38" s="40" t="s">
        <v>1333</v>
      </c>
      <c r="H38" s="34"/>
      <c r="I38" s="34" t="b">
        <v>0</v>
      </c>
      <c r="J38" s="34" t="b">
        <v>0</v>
      </c>
      <c r="K38" s="34" t="b">
        <v>0</v>
      </c>
      <c r="L38" s="34" t="s">
        <v>314</v>
      </c>
      <c r="M38" s="34"/>
      <c r="N38" s="34" t="str">
        <f>_xlfn.IFNA(VLOOKUP($M38,Buff.CM!$A:$O,13,FALSE),"")</f>
        <v/>
      </c>
      <c r="O38" s="34" t="str">
        <f>_xlfn.IFNA(VLOOKUP($M38,Buff.CM!$A:$O,14,FALSE),"")</f>
        <v/>
      </c>
      <c r="P38" s="34" t="str">
        <f>_xlfn.IFNA(VLOOKUP($M38,Buff.CM!$A:$O,15,FALSE),"")</f>
        <v/>
      </c>
      <c r="Q38" s="34" t="b">
        <v>0</v>
      </c>
      <c r="R38" s="34" t="b">
        <v>0</v>
      </c>
    </row>
    <row r="39" spans="1:18" s="13" customFormat="1" ht="33">
      <c r="A39" s="34" t="s">
        <v>6583</v>
      </c>
      <c r="B39" s="34"/>
      <c r="C39" s="34"/>
      <c r="D39" s="34">
        <v>7000</v>
      </c>
      <c r="E39" s="34">
        <v>0</v>
      </c>
      <c r="F39" s="34">
        <v>0</v>
      </c>
      <c r="G39" s="40" t="s">
        <v>1333</v>
      </c>
      <c r="H39" s="34"/>
      <c r="I39" s="34" t="b">
        <v>0</v>
      </c>
      <c r="J39" s="34" t="b">
        <v>0</v>
      </c>
      <c r="K39" s="34" t="b">
        <v>0</v>
      </c>
      <c r="L39" s="34" t="s">
        <v>314</v>
      </c>
      <c r="M39" s="34"/>
      <c r="N39" s="34" t="str">
        <f>_xlfn.IFNA(VLOOKUP($M39,Buff.CM!$A:$O,13,FALSE),"")</f>
        <v/>
      </c>
      <c r="O39" s="34" t="str">
        <f>_xlfn.IFNA(VLOOKUP($M39,Buff.CM!$A:$O,14,FALSE),"")</f>
        <v/>
      </c>
      <c r="P39" s="34" t="str">
        <f>_xlfn.IFNA(VLOOKUP($M39,Buff.CM!$A:$O,15,FALSE),"")</f>
        <v/>
      </c>
      <c r="Q39" s="34" t="b">
        <v>0</v>
      </c>
      <c r="R39" s="34" t="b">
        <v>0</v>
      </c>
    </row>
    <row r="40" spans="1:18" s="13" customFormat="1" ht="82.5">
      <c r="A40" s="26" t="s">
        <v>1843</v>
      </c>
      <c r="B40" s="26"/>
      <c r="C40" s="26"/>
      <c r="D40" s="26">
        <v>0</v>
      </c>
      <c r="E40" s="26">
        <v>0</v>
      </c>
      <c r="F40" s="26">
        <v>0</v>
      </c>
      <c r="G40" s="45" t="s">
        <v>6584</v>
      </c>
      <c r="H40" s="26"/>
      <c r="I40" s="26" t="b">
        <v>1</v>
      </c>
      <c r="J40" s="26" t="b">
        <v>0</v>
      </c>
      <c r="K40" s="26" t="b">
        <v>1</v>
      </c>
      <c r="L40" s="26" t="s">
        <v>428</v>
      </c>
      <c r="M40" s="26" t="s">
        <v>5671</v>
      </c>
      <c r="N40" s="26" t="str">
        <f>_xlfn.IFNA(VLOOKUP($M40,Buff.CM!$A:$O,13,FALSE),"")</f>
        <v>icon_battle_serapulsar_integrity</v>
      </c>
      <c r="O40" s="26" t="str">
        <f>_xlfn.IFNA(VLOOKUP($M40,Buff.CM!$A:$O,14,FALSE),"")</f>
        <v>info.serapulsar.buff.intergrity</v>
      </c>
      <c r="P40" s="26" t="str">
        <f>_xlfn.IFNA(VLOOKUP($M40,Buff.CM!$A:$O,15,FALSE),"")</f>
        <v>Desc.info.serapulsar.buff.intergrity</v>
      </c>
      <c r="Q40" s="26" t="b">
        <v>0</v>
      </c>
      <c r="R40" s="26" t="b">
        <v>0</v>
      </c>
    </row>
    <row r="41" spans="1:18" s="13" customFormat="1" ht="82.5">
      <c r="A41" s="26" t="s">
        <v>1844</v>
      </c>
      <c r="B41" s="26"/>
      <c r="C41" s="26"/>
      <c r="D41" s="26">
        <v>0</v>
      </c>
      <c r="E41" s="26">
        <v>0</v>
      </c>
      <c r="F41" s="26">
        <v>0</v>
      </c>
      <c r="G41" s="45" t="s">
        <v>6585</v>
      </c>
      <c r="H41" s="26"/>
      <c r="I41" s="26" t="b">
        <v>1</v>
      </c>
      <c r="J41" s="26" t="b">
        <v>0</v>
      </c>
      <c r="K41" s="26" t="b">
        <v>1</v>
      </c>
      <c r="L41" s="26" t="s">
        <v>428</v>
      </c>
      <c r="M41" s="26" t="s">
        <v>5671</v>
      </c>
      <c r="N41" s="26" t="str">
        <f>_xlfn.IFNA(VLOOKUP($M41,Buff.CM!$A:$O,13,FALSE),"")</f>
        <v>icon_battle_serapulsar_integrity</v>
      </c>
      <c r="O41" s="26" t="str">
        <f>_xlfn.IFNA(VLOOKUP($M41,Buff.CM!$A:$O,14,FALSE),"")</f>
        <v>info.serapulsar.buff.intergrity</v>
      </c>
      <c r="P41" s="26" t="str">
        <f>_xlfn.IFNA(VLOOKUP($M41,Buff.CM!$A:$O,15,FALSE),"")</f>
        <v>Desc.info.serapulsar.buff.intergrity</v>
      </c>
      <c r="Q41" s="26" t="b">
        <v>0</v>
      </c>
      <c r="R41" s="26" t="b">
        <v>0</v>
      </c>
    </row>
    <row r="42" spans="1:18" s="13" customFormat="1" ht="82.5">
      <c r="A42" s="26" t="s">
        <v>1845</v>
      </c>
      <c r="B42" s="26"/>
      <c r="C42" s="26"/>
      <c r="D42" s="26">
        <v>0</v>
      </c>
      <c r="E42" s="26">
        <v>0</v>
      </c>
      <c r="F42" s="26">
        <v>0</v>
      </c>
      <c r="G42" s="45" t="s">
        <v>6586</v>
      </c>
      <c r="H42" s="26"/>
      <c r="I42" s="26" t="b">
        <v>1</v>
      </c>
      <c r="J42" s="26" t="b">
        <v>0</v>
      </c>
      <c r="K42" s="26" t="b">
        <v>1</v>
      </c>
      <c r="L42" s="26" t="s">
        <v>428</v>
      </c>
      <c r="M42" s="26" t="s">
        <v>5671</v>
      </c>
      <c r="N42" s="26" t="str">
        <f>_xlfn.IFNA(VLOOKUP($M42,Buff.CM!$A:$O,13,FALSE),"")</f>
        <v>icon_battle_serapulsar_integrity</v>
      </c>
      <c r="O42" s="26" t="str">
        <f>_xlfn.IFNA(VLOOKUP($M42,Buff.CM!$A:$O,14,FALSE),"")</f>
        <v>info.serapulsar.buff.intergrity</v>
      </c>
      <c r="P42" s="26" t="str">
        <f>_xlfn.IFNA(VLOOKUP($M42,Buff.CM!$A:$O,15,FALSE),"")</f>
        <v>Desc.info.serapulsar.buff.intergrity</v>
      </c>
      <c r="Q42" s="26" t="b">
        <v>0</v>
      </c>
      <c r="R42" s="26" t="b">
        <v>0</v>
      </c>
    </row>
    <row r="43" spans="1:18" s="13" customFormat="1" ht="82.5">
      <c r="A43" s="26" t="s">
        <v>1846</v>
      </c>
      <c r="B43" s="26"/>
      <c r="C43" s="26"/>
      <c r="D43" s="26">
        <v>0</v>
      </c>
      <c r="E43" s="26">
        <v>0</v>
      </c>
      <c r="F43" s="26">
        <v>0</v>
      </c>
      <c r="G43" s="45" t="s">
        <v>6587</v>
      </c>
      <c r="H43" s="26"/>
      <c r="I43" s="26" t="b">
        <v>1</v>
      </c>
      <c r="J43" s="26" t="b">
        <v>0</v>
      </c>
      <c r="K43" s="26" t="b">
        <v>1</v>
      </c>
      <c r="L43" s="26" t="s">
        <v>428</v>
      </c>
      <c r="M43" s="26" t="s">
        <v>5671</v>
      </c>
      <c r="N43" s="26" t="str">
        <f>_xlfn.IFNA(VLOOKUP($M43,Buff.CM!$A:$O,13,FALSE),"")</f>
        <v>icon_battle_serapulsar_integrity</v>
      </c>
      <c r="O43" s="26" t="str">
        <f>_xlfn.IFNA(VLOOKUP($M43,Buff.CM!$A:$O,14,FALSE),"")</f>
        <v>info.serapulsar.buff.intergrity</v>
      </c>
      <c r="P43" s="26" t="str">
        <f>_xlfn.IFNA(VLOOKUP($M43,Buff.CM!$A:$O,15,FALSE),"")</f>
        <v>Desc.info.serapulsar.buff.intergrity</v>
      </c>
      <c r="Q43" s="26" t="b">
        <v>0</v>
      </c>
      <c r="R43" s="26" t="b">
        <v>0</v>
      </c>
    </row>
    <row r="44" spans="1:18" s="13" customFormat="1" ht="82.5">
      <c r="A44" s="34" t="s">
        <v>1847</v>
      </c>
      <c r="B44" s="34"/>
      <c r="C44" s="34"/>
      <c r="D44" s="34">
        <v>0</v>
      </c>
      <c r="E44" s="34">
        <v>0</v>
      </c>
      <c r="F44" s="34">
        <v>0</v>
      </c>
      <c r="G44" s="40" t="s">
        <v>6588</v>
      </c>
      <c r="H44" s="34"/>
      <c r="I44" s="26" t="b">
        <v>1</v>
      </c>
      <c r="J44" s="34" t="b">
        <v>0</v>
      </c>
      <c r="K44" s="34" t="b">
        <v>1</v>
      </c>
      <c r="L44" s="34" t="s">
        <v>428</v>
      </c>
      <c r="M44" s="34" t="s">
        <v>5671</v>
      </c>
      <c r="N44" s="34" t="str">
        <f>_xlfn.IFNA(VLOOKUP($M44,Buff.CM!$A:$O,13,FALSE),"")</f>
        <v>icon_battle_serapulsar_integrity</v>
      </c>
      <c r="O44" s="34" t="str">
        <f>_xlfn.IFNA(VLOOKUP($M44,Buff.CM!$A:$O,14,FALSE),"")</f>
        <v>info.serapulsar.buff.intergrity</v>
      </c>
      <c r="P44" s="34" t="str">
        <f>_xlfn.IFNA(VLOOKUP($M44,Buff.CM!$A:$O,15,FALSE),"")</f>
        <v>Desc.info.serapulsar.buff.intergrity</v>
      </c>
      <c r="Q44" s="34" t="b">
        <v>0</v>
      </c>
      <c r="R44" s="34" t="b">
        <v>0</v>
      </c>
    </row>
    <row r="45" spans="1:18" s="13" customFormat="1" ht="82.5">
      <c r="A45" s="34" t="s">
        <v>1848</v>
      </c>
      <c r="B45" s="34"/>
      <c r="C45" s="34"/>
      <c r="D45" s="34">
        <v>0</v>
      </c>
      <c r="E45" s="34">
        <v>0</v>
      </c>
      <c r="F45" s="34">
        <v>0</v>
      </c>
      <c r="G45" s="40" t="s">
        <v>6589</v>
      </c>
      <c r="H45" s="34"/>
      <c r="I45" s="26" t="b">
        <v>1</v>
      </c>
      <c r="J45" s="34" t="b">
        <v>0</v>
      </c>
      <c r="K45" s="34" t="b">
        <v>1</v>
      </c>
      <c r="L45" s="34" t="s">
        <v>428</v>
      </c>
      <c r="M45" s="34" t="s">
        <v>5671</v>
      </c>
      <c r="N45" s="34" t="str">
        <f>_xlfn.IFNA(VLOOKUP($M45,Buff.CM!$A:$O,13,FALSE),"")</f>
        <v>icon_battle_serapulsar_integrity</v>
      </c>
      <c r="O45" s="34" t="str">
        <f>_xlfn.IFNA(VLOOKUP($M45,Buff.CM!$A:$O,14,FALSE),"")</f>
        <v>info.serapulsar.buff.intergrity</v>
      </c>
      <c r="P45" s="34" t="str">
        <f>_xlfn.IFNA(VLOOKUP($M45,Buff.CM!$A:$O,15,FALSE),"")</f>
        <v>Desc.info.serapulsar.buff.intergrity</v>
      </c>
      <c r="Q45" s="34" t="b">
        <v>0</v>
      </c>
      <c r="R45" s="34" t="b">
        <v>0</v>
      </c>
    </row>
    <row r="46" spans="1:18" s="13" customFormat="1" ht="82.5">
      <c r="A46" s="34" t="s">
        <v>1849</v>
      </c>
      <c r="B46" s="34"/>
      <c r="C46" s="34"/>
      <c r="D46" s="34">
        <v>0</v>
      </c>
      <c r="E46" s="34">
        <v>0</v>
      </c>
      <c r="F46" s="34">
        <v>0</v>
      </c>
      <c r="G46" s="40" t="s">
        <v>6590</v>
      </c>
      <c r="H46" s="34"/>
      <c r="I46" s="26" t="b">
        <v>1</v>
      </c>
      <c r="J46" s="34" t="b">
        <v>0</v>
      </c>
      <c r="K46" s="34" t="b">
        <v>1</v>
      </c>
      <c r="L46" s="34" t="s">
        <v>428</v>
      </c>
      <c r="M46" s="34" t="s">
        <v>5671</v>
      </c>
      <c r="N46" s="34" t="str">
        <f>_xlfn.IFNA(VLOOKUP($M46,Buff.CM!$A:$O,13,FALSE),"")</f>
        <v>icon_battle_serapulsar_integrity</v>
      </c>
      <c r="O46" s="34" t="str">
        <f>_xlfn.IFNA(VLOOKUP($M46,Buff.CM!$A:$O,14,FALSE),"")</f>
        <v>info.serapulsar.buff.intergrity</v>
      </c>
      <c r="P46" s="34" t="str">
        <f>_xlfn.IFNA(VLOOKUP($M46,Buff.CM!$A:$O,15,FALSE),"")</f>
        <v>Desc.info.serapulsar.buff.intergrity</v>
      </c>
      <c r="Q46" s="34" t="b">
        <v>0</v>
      </c>
      <c r="R46" s="34" t="b">
        <v>0</v>
      </c>
    </row>
    <row r="47" spans="1:18" s="13" customFormat="1">
      <c r="A47" s="25" t="s">
        <v>3987</v>
      </c>
      <c r="B47" s="25"/>
      <c r="C47" s="25"/>
      <c r="D47" s="25">
        <v>0</v>
      </c>
      <c r="E47" s="25">
        <v>0</v>
      </c>
      <c r="F47" s="25">
        <v>0</v>
      </c>
      <c r="G47" s="25" t="s">
        <v>2799</v>
      </c>
      <c r="H47" s="25"/>
      <c r="I47" s="25" t="b">
        <v>1</v>
      </c>
      <c r="J47" s="25" t="b">
        <v>0</v>
      </c>
      <c r="K47" s="25" t="b">
        <v>1</v>
      </c>
      <c r="L47" s="25"/>
      <c r="M47" s="25"/>
      <c r="N47" s="25" t="str">
        <f>_xlfn.IFNA(VLOOKUP($M47,Buff.CM!$A:$O,13,FALSE),"")</f>
        <v/>
      </c>
      <c r="O47" s="25" t="str">
        <f>_xlfn.IFNA(VLOOKUP($M47,Buff.CM!$A:$O,14,FALSE),"")</f>
        <v/>
      </c>
      <c r="P47" s="25" t="str">
        <f>_xlfn.IFNA(VLOOKUP($M47,Buff.CM!$A:$O,15,FALSE),"")</f>
        <v/>
      </c>
      <c r="Q47" s="25" t="b">
        <v>0</v>
      </c>
      <c r="R47" s="25" t="b">
        <v>0</v>
      </c>
    </row>
    <row r="48" spans="1:18" s="13" customFormat="1">
      <c r="A48" s="25" t="s">
        <v>3982</v>
      </c>
      <c r="B48" s="25"/>
      <c r="C48" s="25"/>
      <c r="D48" s="25">
        <v>0</v>
      </c>
      <c r="E48" s="25">
        <v>0</v>
      </c>
      <c r="F48" s="25">
        <v>0</v>
      </c>
      <c r="G48" s="25" t="s">
        <v>2801</v>
      </c>
      <c r="H48" s="25"/>
      <c r="I48" s="25" t="b">
        <v>1</v>
      </c>
      <c r="J48" s="25" t="b">
        <v>0</v>
      </c>
      <c r="K48" s="25" t="b">
        <v>1</v>
      </c>
      <c r="L48" s="25"/>
      <c r="M48" s="25"/>
      <c r="N48" s="25" t="str">
        <f>_xlfn.IFNA(VLOOKUP($M48,Buff.CM!$A:$O,13,FALSE),"")</f>
        <v/>
      </c>
      <c r="O48" s="25" t="str">
        <f>_xlfn.IFNA(VLOOKUP($M48,Buff.CM!$A:$O,14,FALSE),"")</f>
        <v/>
      </c>
      <c r="P48" s="25" t="str">
        <f>_xlfn.IFNA(VLOOKUP($M48,Buff.CM!$A:$O,15,FALSE),"")</f>
        <v/>
      </c>
      <c r="Q48" s="25" t="b">
        <v>0</v>
      </c>
      <c r="R48" s="25" t="b">
        <v>0</v>
      </c>
    </row>
    <row r="49" spans="1:18" s="13" customFormat="1">
      <c r="A49" s="25" t="s">
        <v>3983</v>
      </c>
      <c r="B49" s="25"/>
      <c r="C49" s="25"/>
      <c r="D49" s="25">
        <v>0</v>
      </c>
      <c r="E49" s="25">
        <v>0</v>
      </c>
      <c r="F49" s="25">
        <v>0</v>
      </c>
      <c r="G49" s="25" t="s">
        <v>2803</v>
      </c>
      <c r="H49" s="25"/>
      <c r="I49" s="25" t="b">
        <v>1</v>
      </c>
      <c r="J49" s="25" t="b">
        <v>0</v>
      </c>
      <c r="K49" s="25" t="b">
        <v>1</v>
      </c>
      <c r="L49" s="25"/>
      <c r="M49" s="25"/>
      <c r="N49" s="25" t="str">
        <f>_xlfn.IFNA(VLOOKUP($M49,Buff.CM!$A:$O,13,FALSE),"")</f>
        <v/>
      </c>
      <c r="O49" s="25" t="str">
        <f>_xlfn.IFNA(VLOOKUP($M49,Buff.CM!$A:$O,14,FALSE),"")</f>
        <v/>
      </c>
      <c r="P49" s="25" t="str">
        <f>_xlfn.IFNA(VLOOKUP($M49,Buff.CM!$A:$O,15,FALSE),"")</f>
        <v/>
      </c>
      <c r="Q49" s="25" t="b">
        <v>0</v>
      </c>
      <c r="R49" s="25" t="b">
        <v>0</v>
      </c>
    </row>
    <row r="50" spans="1:18" s="13" customFormat="1">
      <c r="A50" s="25" t="s">
        <v>3984</v>
      </c>
      <c r="B50" s="25"/>
      <c r="C50" s="25"/>
      <c r="D50" s="25">
        <v>0</v>
      </c>
      <c r="E50" s="25">
        <v>0</v>
      </c>
      <c r="F50" s="25">
        <v>0</v>
      </c>
      <c r="G50" s="25" t="s">
        <v>2805</v>
      </c>
      <c r="H50" s="25"/>
      <c r="I50" s="25" t="b">
        <v>1</v>
      </c>
      <c r="J50" s="25" t="b">
        <v>0</v>
      </c>
      <c r="K50" s="25" t="b">
        <v>1</v>
      </c>
      <c r="L50" s="25"/>
      <c r="M50" s="25"/>
      <c r="N50" s="25" t="str">
        <f>_xlfn.IFNA(VLOOKUP($M50,Buff.CM!$A:$O,13,FALSE),"")</f>
        <v/>
      </c>
      <c r="O50" s="25" t="str">
        <f>_xlfn.IFNA(VLOOKUP($M50,Buff.CM!$A:$O,14,FALSE),"")</f>
        <v/>
      </c>
      <c r="P50" s="25" t="str">
        <f>_xlfn.IFNA(VLOOKUP($M50,Buff.CM!$A:$O,15,FALSE),"")</f>
        <v/>
      </c>
      <c r="Q50" s="25" t="b">
        <v>0</v>
      </c>
      <c r="R50" s="25" t="b">
        <v>0</v>
      </c>
    </row>
    <row r="51" spans="1:18" s="13" customFormat="1">
      <c r="A51" s="34" t="s">
        <v>3985</v>
      </c>
      <c r="B51" s="34"/>
      <c r="C51" s="34"/>
      <c r="D51" s="34">
        <v>0</v>
      </c>
      <c r="E51" s="34">
        <v>0</v>
      </c>
      <c r="F51" s="34">
        <v>0</v>
      </c>
      <c r="G51" s="25" t="s">
        <v>2807</v>
      </c>
      <c r="H51" s="34"/>
      <c r="I51" s="34" t="b">
        <v>1</v>
      </c>
      <c r="J51" s="34" t="b">
        <v>0</v>
      </c>
      <c r="K51" s="34" t="b">
        <v>1</v>
      </c>
      <c r="L51" s="34"/>
      <c r="M51" s="34"/>
      <c r="N51" s="34" t="str">
        <f>_xlfn.IFNA(VLOOKUP($M51,Buff.CM!$A:$O,13,FALSE),"")</f>
        <v/>
      </c>
      <c r="O51" s="34" t="str">
        <f>_xlfn.IFNA(VLOOKUP($M51,Buff.CM!$A:$O,14,FALSE),"")</f>
        <v/>
      </c>
      <c r="P51" s="34" t="str">
        <f>_xlfn.IFNA(VLOOKUP($M51,Buff.CM!$A:$O,15,FALSE),"")</f>
        <v/>
      </c>
      <c r="Q51" s="34" t="b">
        <v>0</v>
      </c>
      <c r="R51" s="34" t="b">
        <v>0</v>
      </c>
    </row>
    <row r="52" spans="1:18" s="13" customFormat="1">
      <c r="A52" s="34" t="s">
        <v>3986</v>
      </c>
      <c r="B52" s="34"/>
      <c r="C52" s="34"/>
      <c r="D52" s="34">
        <v>0</v>
      </c>
      <c r="E52" s="34">
        <v>0</v>
      </c>
      <c r="F52" s="34">
        <v>0</v>
      </c>
      <c r="G52" s="34" t="s">
        <v>2809</v>
      </c>
      <c r="H52" s="34"/>
      <c r="I52" s="34" t="b">
        <v>1</v>
      </c>
      <c r="J52" s="34" t="b">
        <v>0</v>
      </c>
      <c r="K52" s="34" t="b">
        <v>1</v>
      </c>
      <c r="L52" s="34"/>
      <c r="M52" s="34"/>
      <c r="N52" s="34" t="str">
        <f>_xlfn.IFNA(VLOOKUP($M52,Buff.CM!$A:$O,13,FALSE),"")</f>
        <v/>
      </c>
      <c r="O52" s="34" t="str">
        <f>_xlfn.IFNA(VLOOKUP($M52,Buff.CM!$A:$O,14,FALSE),"")</f>
        <v/>
      </c>
      <c r="P52" s="34" t="str">
        <f>_xlfn.IFNA(VLOOKUP($M52,Buff.CM!$A:$O,15,FALSE),"")</f>
        <v/>
      </c>
      <c r="Q52" s="34" t="b">
        <v>0</v>
      </c>
      <c r="R52" s="34" t="b">
        <v>0</v>
      </c>
    </row>
    <row r="53" spans="1:18" s="13" customFormat="1">
      <c r="A53" s="25" t="s">
        <v>3988</v>
      </c>
      <c r="B53" s="25"/>
      <c r="C53" s="25"/>
      <c r="D53" s="25">
        <v>6000</v>
      </c>
      <c r="E53" s="25">
        <v>5</v>
      </c>
      <c r="F53" s="25">
        <v>1</v>
      </c>
      <c r="G53" s="25" t="s">
        <v>2793</v>
      </c>
      <c r="H53" s="25"/>
      <c r="I53" s="25" t="b">
        <v>1</v>
      </c>
      <c r="J53" s="25" t="b">
        <v>0</v>
      </c>
      <c r="K53" s="25" t="b">
        <v>1</v>
      </c>
      <c r="L53" s="25" t="s">
        <v>66</v>
      </c>
      <c r="M53" s="25" t="s">
        <v>5543</v>
      </c>
      <c r="N53" s="25" t="str">
        <f>_xlfn.IFNA(VLOOKUP($M53,Buff.CM!$A:$O,13,FALSE),"")</f>
        <v>icon_battle_attack</v>
      </c>
      <c r="O53" s="25" t="str">
        <f>_xlfn.IFNA(VLOOKUP($M53,Buff.CM!$A:$O,14,FALSE),"")</f>
        <v>Buff.Name.Atk.Up.00</v>
      </c>
      <c r="P53" s="25" t="str">
        <f>_xlfn.IFNA(VLOOKUP($M53,Buff.CM!$A:$O,15,FALSE),"")</f>
        <v>Buff.Desc.Atk.Up.00</v>
      </c>
      <c r="Q53" s="25" t="b">
        <v>0</v>
      </c>
      <c r="R53" s="25" t="b">
        <v>0</v>
      </c>
    </row>
    <row r="54" spans="1:18" s="13" customFormat="1">
      <c r="A54" s="25" t="s">
        <v>3989</v>
      </c>
      <c r="B54" s="25"/>
      <c r="C54" s="25"/>
      <c r="D54" s="25">
        <v>6000</v>
      </c>
      <c r="E54" s="25">
        <v>5</v>
      </c>
      <c r="F54" s="25">
        <v>1</v>
      </c>
      <c r="G54" s="25" t="s">
        <v>2794</v>
      </c>
      <c r="H54" s="25"/>
      <c r="I54" s="25" t="b">
        <v>1</v>
      </c>
      <c r="J54" s="25" t="b">
        <v>0</v>
      </c>
      <c r="K54" s="25" t="b">
        <v>1</v>
      </c>
      <c r="L54" s="25" t="s">
        <v>66</v>
      </c>
      <c r="M54" s="25" t="s">
        <v>5543</v>
      </c>
      <c r="N54" s="25" t="str">
        <f>_xlfn.IFNA(VLOOKUP($M54,Buff.CM!$A:$O,13,FALSE),"")</f>
        <v>icon_battle_attack</v>
      </c>
      <c r="O54" s="25" t="str">
        <f>_xlfn.IFNA(VLOOKUP($M54,Buff.CM!$A:$O,14,FALSE),"")</f>
        <v>Buff.Name.Atk.Up.00</v>
      </c>
      <c r="P54" s="25" t="str">
        <f>_xlfn.IFNA(VLOOKUP($M54,Buff.CM!$A:$O,15,FALSE),"")</f>
        <v>Buff.Desc.Atk.Up.00</v>
      </c>
      <c r="Q54" s="25" t="b">
        <v>0</v>
      </c>
      <c r="R54" s="25" t="b">
        <v>0</v>
      </c>
    </row>
    <row r="55" spans="1:18" s="13" customFormat="1">
      <c r="A55" s="25" t="s">
        <v>3990</v>
      </c>
      <c r="B55" s="25"/>
      <c r="C55" s="25"/>
      <c r="D55" s="25">
        <v>6000</v>
      </c>
      <c r="E55" s="25">
        <v>5</v>
      </c>
      <c r="F55" s="25">
        <v>1</v>
      </c>
      <c r="G55" s="25" t="s">
        <v>2795</v>
      </c>
      <c r="H55" s="25"/>
      <c r="I55" s="25" t="b">
        <v>1</v>
      </c>
      <c r="J55" s="25" t="b">
        <v>0</v>
      </c>
      <c r="K55" s="25" t="b">
        <v>1</v>
      </c>
      <c r="L55" s="25" t="s">
        <v>66</v>
      </c>
      <c r="M55" s="25" t="s">
        <v>5543</v>
      </c>
      <c r="N55" s="25" t="str">
        <f>_xlfn.IFNA(VLOOKUP($M55,Buff.CM!$A:$O,13,FALSE),"")</f>
        <v>icon_battle_attack</v>
      </c>
      <c r="O55" s="25" t="str">
        <f>_xlfn.IFNA(VLOOKUP($M55,Buff.CM!$A:$O,14,FALSE),"")</f>
        <v>Buff.Name.Atk.Up.00</v>
      </c>
      <c r="P55" s="25" t="str">
        <f>_xlfn.IFNA(VLOOKUP($M55,Buff.CM!$A:$O,15,FALSE),"")</f>
        <v>Buff.Desc.Atk.Up.00</v>
      </c>
      <c r="Q55" s="25" t="b">
        <v>0</v>
      </c>
      <c r="R55" s="25" t="b">
        <v>0</v>
      </c>
    </row>
    <row r="56" spans="1:18" s="13" customFormat="1">
      <c r="A56" s="25" t="s">
        <v>3991</v>
      </c>
      <c r="B56" s="25"/>
      <c r="C56" s="25"/>
      <c r="D56" s="25">
        <v>6000</v>
      </c>
      <c r="E56" s="25">
        <v>5</v>
      </c>
      <c r="F56" s="25">
        <v>1</v>
      </c>
      <c r="G56" s="25" t="s">
        <v>2796</v>
      </c>
      <c r="H56" s="25"/>
      <c r="I56" s="25" t="b">
        <v>1</v>
      </c>
      <c r="J56" s="25" t="b">
        <v>0</v>
      </c>
      <c r="K56" s="25" t="b">
        <v>1</v>
      </c>
      <c r="L56" s="25" t="s">
        <v>66</v>
      </c>
      <c r="M56" s="25" t="s">
        <v>5543</v>
      </c>
      <c r="N56" s="25" t="str">
        <f>_xlfn.IFNA(VLOOKUP($M56,Buff.CM!$A:$O,13,FALSE),"")</f>
        <v>icon_battle_attack</v>
      </c>
      <c r="O56" s="25" t="str">
        <f>_xlfn.IFNA(VLOOKUP($M56,Buff.CM!$A:$O,14,FALSE),"")</f>
        <v>Buff.Name.Atk.Up.00</v>
      </c>
      <c r="P56" s="25" t="str">
        <f>_xlfn.IFNA(VLOOKUP($M56,Buff.CM!$A:$O,15,FALSE),"")</f>
        <v>Buff.Desc.Atk.Up.00</v>
      </c>
      <c r="Q56" s="25" t="b">
        <v>0</v>
      </c>
      <c r="R56" s="25" t="b">
        <v>0</v>
      </c>
    </row>
    <row r="57" spans="1:18" s="13" customFormat="1">
      <c r="A57" s="34" t="s">
        <v>3992</v>
      </c>
      <c r="B57" s="34"/>
      <c r="C57" s="34"/>
      <c r="D57" s="34">
        <v>1500</v>
      </c>
      <c r="E57" s="34">
        <v>5</v>
      </c>
      <c r="F57" s="34">
        <v>1</v>
      </c>
      <c r="G57" s="34" t="s">
        <v>2797</v>
      </c>
      <c r="H57" s="34"/>
      <c r="I57" s="34" t="b">
        <v>1</v>
      </c>
      <c r="J57" s="34" t="b">
        <v>0</v>
      </c>
      <c r="K57" s="34" t="b">
        <v>1</v>
      </c>
      <c r="L57" s="34" t="s">
        <v>66</v>
      </c>
      <c r="M57" s="34" t="s">
        <v>5543</v>
      </c>
      <c r="N57" s="34" t="str">
        <f>_xlfn.IFNA(VLOOKUP($M57,Buff.CM!$A:$O,13,FALSE),"")</f>
        <v>icon_battle_attack</v>
      </c>
      <c r="O57" s="34" t="str">
        <f>_xlfn.IFNA(VLOOKUP($M57,Buff.CM!$A:$O,14,FALSE),"")</f>
        <v>Buff.Name.Atk.Up.00</v>
      </c>
      <c r="P57" s="34" t="str">
        <f>_xlfn.IFNA(VLOOKUP($M57,Buff.CM!$A:$O,15,FALSE),"")</f>
        <v>Buff.Desc.Atk.Up.00</v>
      </c>
      <c r="Q57" s="34" t="b">
        <v>0</v>
      </c>
      <c r="R57" s="34" t="b">
        <v>0</v>
      </c>
    </row>
    <row r="58" spans="1:18" s="13" customFormat="1">
      <c r="A58" s="34" t="s">
        <v>3993</v>
      </c>
      <c r="B58" s="34"/>
      <c r="C58" s="34"/>
      <c r="D58" s="34">
        <v>1500</v>
      </c>
      <c r="E58" s="34">
        <v>5</v>
      </c>
      <c r="F58" s="34">
        <v>1</v>
      </c>
      <c r="G58" s="34" t="s">
        <v>2798</v>
      </c>
      <c r="H58" s="34"/>
      <c r="I58" s="34" t="b">
        <v>1</v>
      </c>
      <c r="J58" s="34" t="b">
        <v>0</v>
      </c>
      <c r="K58" s="34" t="b">
        <v>1</v>
      </c>
      <c r="L58" s="34" t="s">
        <v>66</v>
      </c>
      <c r="M58" s="34" t="s">
        <v>5543</v>
      </c>
      <c r="N58" s="34" t="str">
        <f>_xlfn.IFNA(VLOOKUP($M58,Buff.CM!$A:$O,13,FALSE),"")</f>
        <v>icon_battle_attack</v>
      </c>
      <c r="O58" s="34" t="str">
        <f>_xlfn.IFNA(VLOOKUP($M58,Buff.CM!$A:$O,14,FALSE),"")</f>
        <v>Buff.Name.Atk.Up.00</v>
      </c>
      <c r="P58" s="34" t="str">
        <f>_xlfn.IFNA(VLOOKUP($M58,Buff.CM!$A:$O,15,FALSE),"")</f>
        <v>Buff.Desc.Atk.Up.00</v>
      </c>
      <c r="Q58" s="34" t="b">
        <v>0</v>
      </c>
      <c r="R58" s="34" t="b">
        <v>0</v>
      </c>
    </row>
    <row r="59" spans="1:18" s="13" customFormat="1">
      <c r="A59" s="25" t="s">
        <v>6591</v>
      </c>
      <c r="B59" s="25"/>
      <c r="C59" s="25"/>
      <c r="D59" s="25">
        <v>0</v>
      </c>
      <c r="E59" s="25">
        <v>0</v>
      </c>
      <c r="F59" s="25">
        <v>0</v>
      </c>
      <c r="G59" s="25" t="s">
        <v>4386</v>
      </c>
      <c r="H59" s="25"/>
      <c r="I59" s="25" t="b">
        <v>1</v>
      </c>
      <c r="J59" s="25" t="b">
        <v>0</v>
      </c>
      <c r="K59" s="25" t="b">
        <v>1</v>
      </c>
      <c r="L59" s="25"/>
      <c r="M59" s="25"/>
      <c r="N59" s="25" t="str">
        <f>_xlfn.IFNA(VLOOKUP($M59,Buff.CM!$A:$O,13,FALSE),"")</f>
        <v/>
      </c>
      <c r="O59" s="25" t="str">
        <f>_xlfn.IFNA(VLOOKUP($M59,Buff.CM!$A:$O,14,FALSE),"")</f>
        <v/>
      </c>
      <c r="P59" s="25" t="str">
        <f>_xlfn.IFNA(VLOOKUP($M59,Buff.CM!$A:$O,15,FALSE),"")</f>
        <v/>
      </c>
      <c r="Q59" s="25" t="b">
        <v>0</v>
      </c>
      <c r="R59" s="25" t="b">
        <v>0</v>
      </c>
    </row>
    <row r="60" spans="1:18" s="13" customFormat="1">
      <c r="A60" s="25" t="s">
        <v>3994</v>
      </c>
      <c r="B60" s="25"/>
      <c r="C60" s="25"/>
      <c r="D60" s="25">
        <v>0</v>
      </c>
      <c r="E60" s="25">
        <v>0</v>
      </c>
      <c r="F60" s="25">
        <v>0</v>
      </c>
      <c r="G60" s="25" t="s">
        <v>4387</v>
      </c>
      <c r="H60" s="25"/>
      <c r="I60" s="25" t="b">
        <v>1</v>
      </c>
      <c r="J60" s="25" t="b">
        <v>0</v>
      </c>
      <c r="K60" s="25" t="b">
        <v>1</v>
      </c>
      <c r="L60" s="25"/>
      <c r="M60" s="25"/>
      <c r="N60" s="25" t="str">
        <f>_xlfn.IFNA(VLOOKUP($M60,Buff.CM!$A:$O,13,FALSE),"")</f>
        <v/>
      </c>
      <c r="O60" s="25" t="str">
        <f>_xlfn.IFNA(VLOOKUP($M60,Buff.CM!$A:$O,14,FALSE),"")</f>
        <v/>
      </c>
      <c r="P60" s="25" t="str">
        <f>_xlfn.IFNA(VLOOKUP($M60,Buff.CM!$A:$O,15,FALSE),"")</f>
        <v/>
      </c>
      <c r="Q60" s="25" t="b">
        <v>0</v>
      </c>
      <c r="R60" s="25" t="b">
        <v>0</v>
      </c>
    </row>
    <row r="61" spans="1:18" s="13" customFormat="1">
      <c r="A61" s="25" t="s">
        <v>3995</v>
      </c>
      <c r="B61" s="25"/>
      <c r="C61" s="25"/>
      <c r="D61" s="25">
        <v>0</v>
      </c>
      <c r="E61" s="25">
        <v>0</v>
      </c>
      <c r="F61" s="25">
        <v>0</v>
      </c>
      <c r="G61" s="25" t="s">
        <v>4388</v>
      </c>
      <c r="H61" s="25"/>
      <c r="I61" s="25" t="b">
        <v>1</v>
      </c>
      <c r="J61" s="25" t="b">
        <v>0</v>
      </c>
      <c r="K61" s="25" t="b">
        <v>1</v>
      </c>
      <c r="L61" s="25"/>
      <c r="M61" s="25"/>
      <c r="N61" s="25" t="str">
        <f>_xlfn.IFNA(VLOOKUP($M61,Buff.CM!$A:$O,13,FALSE),"")</f>
        <v/>
      </c>
      <c r="O61" s="25" t="str">
        <f>_xlfn.IFNA(VLOOKUP($M61,Buff.CM!$A:$O,14,FALSE),"")</f>
        <v/>
      </c>
      <c r="P61" s="25" t="str">
        <f>_xlfn.IFNA(VLOOKUP($M61,Buff.CM!$A:$O,15,FALSE),"")</f>
        <v/>
      </c>
      <c r="Q61" s="25" t="b">
        <v>0</v>
      </c>
      <c r="R61" s="25" t="b">
        <v>0</v>
      </c>
    </row>
    <row r="62" spans="1:18" s="13" customFormat="1">
      <c r="A62" s="25" t="s">
        <v>3996</v>
      </c>
      <c r="B62" s="25"/>
      <c r="C62" s="25"/>
      <c r="D62" s="25">
        <v>0</v>
      </c>
      <c r="E62" s="25">
        <v>0</v>
      </c>
      <c r="F62" s="25">
        <v>0</v>
      </c>
      <c r="G62" s="25" t="s">
        <v>4389</v>
      </c>
      <c r="H62" s="25"/>
      <c r="I62" s="25" t="b">
        <v>1</v>
      </c>
      <c r="J62" s="25" t="b">
        <v>0</v>
      </c>
      <c r="K62" s="25" t="b">
        <v>1</v>
      </c>
      <c r="L62" s="25"/>
      <c r="M62" s="25"/>
      <c r="N62" s="25" t="str">
        <f>_xlfn.IFNA(VLOOKUP($M62,Buff.CM!$A:$O,13,FALSE),"")</f>
        <v/>
      </c>
      <c r="O62" s="25" t="str">
        <f>_xlfn.IFNA(VLOOKUP($M62,Buff.CM!$A:$O,14,FALSE),"")</f>
        <v/>
      </c>
      <c r="P62" s="25" t="str">
        <f>_xlfn.IFNA(VLOOKUP($M62,Buff.CM!$A:$O,15,FALSE),"")</f>
        <v/>
      </c>
      <c r="Q62" s="25" t="b">
        <v>0</v>
      </c>
      <c r="R62" s="25" t="b">
        <v>0</v>
      </c>
    </row>
    <row r="63" spans="1:18" s="13" customFormat="1">
      <c r="A63" s="34" t="s">
        <v>3997</v>
      </c>
      <c r="B63" s="34"/>
      <c r="C63" s="34"/>
      <c r="D63" s="34">
        <v>0</v>
      </c>
      <c r="E63" s="34">
        <v>0</v>
      </c>
      <c r="F63" s="34">
        <v>0</v>
      </c>
      <c r="G63" s="34" t="s">
        <v>4390</v>
      </c>
      <c r="H63" s="34"/>
      <c r="I63" s="34" t="b">
        <v>1</v>
      </c>
      <c r="J63" s="34" t="b">
        <v>0</v>
      </c>
      <c r="K63" s="34" t="b">
        <v>1</v>
      </c>
      <c r="L63" s="34"/>
      <c r="M63" s="34"/>
      <c r="N63" s="34" t="str">
        <f>_xlfn.IFNA(VLOOKUP($M63,Buff.CM!$A:$O,13,FALSE),"")</f>
        <v/>
      </c>
      <c r="O63" s="34" t="str">
        <f>_xlfn.IFNA(VLOOKUP($M63,Buff.CM!$A:$O,14,FALSE),"")</f>
        <v/>
      </c>
      <c r="P63" s="34" t="str">
        <f>_xlfn.IFNA(VLOOKUP($M63,Buff.CM!$A:$O,15,FALSE),"")</f>
        <v/>
      </c>
      <c r="Q63" s="34" t="b">
        <v>0</v>
      </c>
      <c r="R63" s="34" t="b">
        <v>0</v>
      </c>
    </row>
    <row r="64" spans="1:18" s="13" customFormat="1">
      <c r="A64" s="34" t="s">
        <v>3998</v>
      </c>
      <c r="B64" s="34"/>
      <c r="C64" s="34"/>
      <c r="D64" s="34">
        <v>0</v>
      </c>
      <c r="E64" s="34">
        <v>0</v>
      </c>
      <c r="F64" s="34">
        <v>0</v>
      </c>
      <c r="G64" s="34" t="s">
        <v>4391</v>
      </c>
      <c r="H64" s="34"/>
      <c r="I64" s="34" t="b">
        <v>1</v>
      </c>
      <c r="J64" s="34" t="b">
        <v>0</v>
      </c>
      <c r="K64" s="34" t="b">
        <v>1</v>
      </c>
      <c r="L64" s="34"/>
      <c r="M64" s="34"/>
      <c r="N64" s="34" t="str">
        <f>_xlfn.IFNA(VLOOKUP($M64,Buff.CM!$A:$O,13,FALSE),"")</f>
        <v/>
      </c>
      <c r="O64" s="34" t="str">
        <f>_xlfn.IFNA(VLOOKUP($M64,Buff.CM!$A:$O,14,FALSE),"")</f>
        <v/>
      </c>
      <c r="P64" s="34" t="str">
        <f>_xlfn.IFNA(VLOOKUP($M64,Buff.CM!$A:$O,15,FALSE),"")</f>
        <v/>
      </c>
      <c r="Q64" s="34" t="b">
        <v>0</v>
      </c>
      <c r="R64" s="34" t="b">
        <v>0</v>
      </c>
    </row>
    <row r="65" spans="1:18" s="13" customFormat="1" ht="66">
      <c r="A65" s="26" t="s">
        <v>2786</v>
      </c>
      <c r="B65" s="26"/>
      <c r="C65" s="26"/>
      <c r="D65" s="26">
        <v>0</v>
      </c>
      <c r="E65" s="26">
        <v>0</v>
      </c>
      <c r="F65" s="26">
        <v>0</v>
      </c>
      <c r="G65" s="45" t="s">
        <v>4006</v>
      </c>
      <c r="H65" s="26"/>
      <c r="I65" s="26" t="b">
        <v>1</v>
      </c>
      <c r="J65" s="26" t="b">
        <v>0</v>
      </c>
      <c r="K65" s="26" t="b">
        <v>1</v>
      </c>
      <c r="L65" s="26" t="s">
        <v>428</v>
      </c>
      <c r="M65" s="26" t="s">
        <v>5674</v>
      </c>
      <c r="N65" s="26" t="str">
        <f>_xlfn.IFNA(VLOOKUP($M65,Buff.CM!$A:$O,13,FALSE),"")</f>
        <v>icon_battle_serapulsar_overdrive</v>
      </c>
      <c r="O65" s="26" t="str">
        <f>_xlfn.IFNA(VLOOKUP($M65,Buff.CM!$A:$O,14,FALSE),"")</f>
        <v>info.serapulsar.buff.overdrive</v>
      </c>
      <c r="P65" s="26" t="str">
        <f>_xlfn.IFNA(VLOOKUP($M65,Buff.CM!$A:$O,15,FALSE),"")</f>
        <v>Desc.info.serapulsar.buff.overdrive</v>
      </c>
      <c r="Q65" s="26" t="b">
        <v>0</v>
      </c>
      <c r="R65" s="26" t="b">
        <v>0</v>
      </c>
    </row>
    <row r="66" spans="1:18" s="13" customFormat="1" ht="66">
      <c r="A66" s="26" t="s">
        <v>2787</v>
      </c>
      <c r="B66" s="26"/>
      <c r="C66" s="26"/>
      <c r="D66" s="26">
        <v>0</v>
      </c>
      <c r="E66" s="26">
        <v>0</v>
      </c>
      <c r="F66" s="26">
        <v>0</v>
      </c>
      <c r="G66" s="45" t="s">
        <v>4007</v>
      </c>
      <c r="H66" s="26"/>
      <c r="I66" s="26" t="b">
        <v>1</v>
      </c>
      <c r="J66" s="26" t="b">
        <v>0</v>
      </c>
      <c r="K66" s="26" t="b">
        <v>1</v>
      </c>
      <c r="L66" s="26" t="s">
        <v>428</v>
      </c>
      <c r="M66" s="26" t="s">
        <v>5674</v>
      </c>
      <c r="N66" s="26" t="str">
        <f>_xlfn.IFNA(VLOOKUP($M66,Buff.CM!$A:$O,13,FALSE),"")</f>
        <v>icon_battle_serapulsar_overdrive</v>
      </c>
      <c r="O66" s="26" t="str">
        <f>_xlfn.IFNA(VLOOKUP($M66,Buff.CM!$A:$O,14,FALSE),"")</f>
        <v>info.serapulsar.buff.overdrive</v>
      </c>
      <c r="P66" s="26" t="str">
        <f>_xlfn.IFNA(VLOOKUP($M66,Buff.CM!$A:$O,15,FALSE),"")</f>
        <v>Desc.info.serapulsar.buff.overdrive</v>
      </c>
      <c r="Q66" s="26" t="b">
        <v>0</v>
      </c>
      <c r="R66" s="26" t="b">
        <v>0</v>
      </c>
    </row>
    <row r="67" spans="1:18" s="13" customFormat="1" ht="66">
      <c r="A67" s="26" t="s">
        <v>2788</v>
      </c>
      <c r="B67" s="26"/>
      <c r="C67" s="26"/>
      <c r="D67" s="26">
        <v>0</v>
      </c>
      <c r="E67" s="26">
        <v>0</v>
      </c>
      <c r="F67" s="26">
        <v>0</v>
      </c>
      <c r="G67" s="45" t="s">
        <v>4008</v>
      </c>
      <c r="H67" s="26"/>
      <c r="I67" s="26" t="b">
        <v>1</v>
      </c>
      <c r="J67" s="26" t="b">
        <v>0</v>
      </c>
      <c r="K67" s="26" t="b">
        <v>1</v>
      </c>
      <c r="L67" s="26" t="s">
        <v>428</v>
      </c>
      <c r="M67" s="26" t="s">
        <v>5674</v>
      </c>
      <c r="N67" s="26" t="str">
        <f>_xlfn.IFNA(VLOOKUP($M67,Buff.CM!$A:$O,13,FALSE),"")</f>
        <v>icon_battle_serapulsar_overdrive</v>
      </c>
      <c r="O67" s="26" t="str">
        <f>_xlfn.IFNA(VLOOKUP($M67,Buff.CM!$A:$O,14,FALSE),"")</f>
        <v>info.serapulsar.buff.overdrive</v>
      </c>
      <c r="P67" s="26" t="str">
        <f>_xlfn.IFNA(VLOOKUP($M67,Buff.CM!$A:$O,15,FALSE),"")</f>
        <v>Desc.info.serapulsar.buff.overdrive</v>
      </c>
      <c r="Q67" s="26" t="b">
        <v>0</v>
      </c>
      <c r="R67" s="26" t="b">
        <v>0</v>
      </c>
    </row>
    <row r="68" spans="1:18" s="13" customFormat="1" ht="66">
      <c r="A68" s="26" t="s">
        <v>2789</v>
      </c>
      <c r="B68" s="26"/>
      <c r="C68" s="26"/>
      <c r="D68" s="26">
        <v>0</v>
      </c>
      <c r="E68" s="26">
        <v>0</v>
      </c>
      <c r="F68" s="26">
        <v>0</v>
      </c>
      <c r="G68" s="45" t="s">
        <v>4009</v>
      </c>
      <c r="H68" s="26"/>
      <c r="I68" s="26" t="b">
        <v>1</v>
      </c>
      <c r="J68" s="26" t="b">
        <v>0</v>
      </c>
      <c r="K68" s="26" t="b">
        <v>1</v>
      </c>
      <c r="L68" s="26" t="s">
        <v>428</v>
      </c>
      <c r="M68" s="26" t="s">
        <v>5674</v>
      </c>
      <c r="N68" s="26" t="str">
        <f>_xlfn.IFNA(VLOOKUP($M68,Buff.CM!$A:$O,13,FALSE),"")</f>
        <v>icon_battle_serapulsar_overdrive</v>
      </c>
      <c r="O68" s="26" t="str">
        <f>_xlfn.IFNA(VLOOKUP($M68,Buff.CM!$A:$O,14,FALSE),"")</f>
        <v>info.serapulsar.buff.overdrive</v>
      </c>
      <c r="P68" s="26" t="str">
        <f>_xlfn.IFNA(VLOOKUP($M68,Buff.CM!$A:$O,15,FALSE),"")</f>
        <v>Desc.info.serapulsar.buff.overdrive</v>
      </c>
      <c r="Q68" s="26" t="b">
        <v>0</v>
      </c>
      <c r="R68" s="26" t="b">
        <v>0</v>
      </c>
    </row>
    <row r="69" spans="1:18" s="13" customFormat="1" ht="66">
      <c r="A69" s="34" t="s">
        <v>2790</v>
      </c>
      <c r="B69" s="34"/>
      <c r="C69" s="34"/>
      <c r="D69" s="34">
        <v>0</v>
      </c>
      <c r="E69" s="34">
        <v>0</v>
      </c>
      <c r="F69" s="34">
        <v>0</v>
      </c>
      <c r="G69" s="40" t="s">
        <v>4010</v>
      </c>
      <c r="H69" s="34"/>
      <c r="I69" s="34" t="b">
        <v>1</v>
      </c>
      <c r="J69" s="34" t="b">
        <v>0</v>
      </c>
      <c r="K69" s="34" t="b">
        <v>1</v>
      </c>
      <c r="L69" s="34" t="s">
        <v>428</v>
      </c>
      <c r="M69" s="34" t="s">
        <v>5674</v>
      </c>
      <c r="N69" s="34" t="str">
        <f>_xlfn.IFNA(VLOOKUP($M69,Buff.CM!$A:$O,13,FALSE),"")</f>
        <v>icon_battle_serapulsar_overdrive</v>
      </c>
      <c r="O69" s="34" t="str">
        <f>_xlfn.IFNA(VLOOKUP($M69,Buff.CM!$A:$O,14,FALSE),"")</f>
        <v>info.serapulsar.buff.overdrive</v>
      </c>
      <c r="P69" s="34" t="str">
        <f>_xlfn.IFNA(VLOOKUP($M69,Buff.CM!$A:$O,15,FALSE),"")</f>
        <v>Desc.info.serapulsar.buff.overdrive</v>
      </c>
      <c r="Q69" s="34" t="b">
        <v>0</v>
      </c>
      <c r="R69" s="34" t="b">
        <v>0</v>
      </c>
    </row>
    <row r="70" spans="1:18" s="13" customFormat="1" ht="66">
      <c r="A70" s="34" t="s">
        <v>2791</v>
      </c>
      <c r="B70" s="34"/>
      <c r="C70" s="34"/>
      <c r="D70" s="34">
        <v>0</v>
      </c>
      <c r="E70" s="34">
        <v>0</v>
      </c>
      <c r="F70" s="34">
        <v>0</v>
      </c>
      <c r="G70" s="40" t="s">
        <v>4011</v>
      </c>
      <c r="H70" s="34"/>
      <c r="I70" s="34" t="b">
        <v>1</v>
      </c>
      <c r="J70" s="34" t="b">
        <v>0</v>
      </c>
      <c r="K70" s="34" t="b">
        <v>1</v>
      </c>
      <c r="L70" s="34" t="s">
        <v>428</v>
      </c>
      <c r="M70" s="34" t="s">
        <v>5674</v>
      </c>
      <c r="N70" s="34" t="str">
        <f>_xlfn.IFNA(VLOOKUP($M70,Buff.CM!$A:$O,13,FALSE),"")</f>
        <v>icon_battle_serapulsar_overdrive</v>
      </c>
      <c r="O70" s="34" t="str">
        <f>_xlfn.IFNA(VLOOKUP($M70,Buff.CM!$A:$O,14,FALSE),"")</f>
        <v>info.serapulsar.buff.overdrive</v>
      </c>
      <c r="P70" s="34" t="str">
        <f>_xlfn.IFNA(VLOOKUP($M70,Buff.CM!$A:$O,15,FALSE),"")</f>
        <v>Desc.info.serapulsar.buff.overdrive</v>
      </c>
      <c r="Q70" s="34" t="b">
        <v>0</v>
      </c>
      <c r="R70" s="34" t="b">
        <v>0</v>
      </c>
    </row>
    <row r="71" spans="1:18" s="13" customFormat="1" ht="66">
      <c r="A71" s="34" t="s">
        <v>2792</v>
      </c>
      <c r="B71" s="34"/>
      <c r="C71" s="34"/>
      <c r="D71" s="34">
        <v>0</v>
      </c>
      <c r="E71" s="34">
        <v>0</v>
      </c>
      <c r="F71" s="34">
        <v>0</v>
      </c>
      <c r="G71" s="40" t="s">
        <v>4005</v>
      </c>
      <c r="H71" s="34"/>
      <c r="I71" s="34" t="b">
        <v>1</v>
      </c>
      <c r="J71" s="34" t="b">
        <v>0</v>
      </c>
      <c r="K71" s="34" t="b">
        <v>1</v>
      </c>
      <c r="L71" s="34" t="s">
        <v>428</v>
      </c>
      <c r="M71" s="34" t="s">
        <v>5674</v>
      </c>
      <c r="N71" s="34" t="str">
        <f>_xlfn.IFNA(VLOOKUP($M71,Buff.CM!$A:$O,13,FALSE),"")</f>
        <v>icon_battle_serapulsar_overdrive</v>
      </c>
      <c r="O71" s="34" t="str">
        <f>_xlfn.IFNA(VLOOKUP($M71,Buff.CM!$A:$O,14,FALSE),"")</f>
        <v>info.serapulsar.buff.overdrive</v>
      </c>
      <c r="P71" s="34" t="str">
        <f>_xlfn.IFNA(VLOOKUP($M71,Buff.CM!$A:$O,15,FALSE),"")</f>
        <v>Desc.info.serapulsar.buff.overdrive</v>
      </c>
      <c r="Q71" s="34" t="b">
        <v>0</v>
      </c>
      <c r="R71" s="34" t="b">
        <v>0</v>
      </c>
    </row>
    <row r="72" spans="1:18" s="13" customFormat="1">
      <c r="A72" s="25" t="s">
        <v>430</v>
      </c>
      <c r="B72" s="25"/>
      <c r="C72" s="25"/>
      <c r="D72" s="25">
        <v>5000</v>
      </c>
      <c r="E72" s="25">
        <v>0</v>
      </c>
      <c r="F72" s="25">
        <v>0</v>
      </c>
      <c r="G72" s="25" t="s">
        <v>3999</v>
      </c>
      <c r="H72" s="25"/>
      <c r="I72" s="25" t="b">
        <v>0</v>
      </c>
      <c r="J72" s="25" t="b">
        <v>0</v>
      </c>
      <c r="K72" s="25" t="b">
        <v>1</v>
      </c>
      <c r="L72" s="25" t="s">
        <v>66</v>
      </c>
      <c r="M72" s="25" t="s">
        <v>5547</v>
      </c>
      <c r="N72" s="25" t="str">
        <f>_xlfn.IFNA(VLOOKUP($M72,Buff.CM!$A:$O,13,FALSE),"")</f>
        <v>icon_battle_attackspeed</v>
      </c>
      <c r="O72" s="25" t="str">
        <f>_xlfn.IFNA(VLOOKUP($M72,Buff.CM!$A:$O,14,FALSE),"")</f>
        <v>Buff.Name.AtkSpeed.Up.00</v>
      </c>
      <c r="P72" s="25" t="str">
        <f>_xlfn.IFNA(VLOOKUP($M72,Buff.CM!$A:$O,15,FALSE),"")</f>
        <v>Buff.Desc.AtkSpeed.Up.00</v>
      </c>
      <c r="Q72" s="25" t="b">
        <v>0</v>
      </c>
      <c r="R72" s="25" t="b">
        <v>0</v>
      </c>
    </row>
    <row r="73" spans="1:18" s="13" customFormat="1">
      <c r="A73" s="25" t="s">
        <v>431</v>
      </c>
      <c r="B73" s="25"/>
      <c r="C73" s="25"/>
      <c r="D73" s="25">
        <v>5000</v>
      </c>
      <c r="E73" s="25">
        <v>0</v>
      </c>
      <c r="F73" s="25">
        <v>0</v>
      </c>
      <c r="G73" s="25" t="s">
        <v>4000</v>
      </c>
      <c r="H73" s="25"/>
      <c r="I73" s="25" t="b">
        <v>0</v>
      </c>
      <c r="J73" s="25" t="b">
        <v>0</v>
      </c>
      <c r="K73" s="25" t="b">
        <v>1</v>
      </c>
      <c r="L73" s="25" t="s">
        <v>66</v>
      </c>
      <c r="M73" s="25" t="s">
        <v>5547</v>
      </c>
      <c r="N73" s="25" t="str">
        <f>_xlfn.IFNA(VLOOKUP($M73,Buff.CM!$A:$O,13,FALSE),"")</f>
        <v>icon_battle_attackspeed</v>
      </c>
      <c r="O73" s="25" t="str">
        <f>_xlfn.IFNA(VLOOKUP($M73,Buff.CM!$A:$O,14,FALSE),"")</f>
        <v>Buff.Name.AtkSpeed.Up.00</v>
      </c>
      <c r="P73" s="25" t="str">
        <f>_xlfn.IFNA(VLOOKUP($M73,Buff.CM!$A:$O,15,FALSE),"")</f>
        <v>Buff.Desc.AtkSpeed.Up.00</v>
      </c>
      <c r="Q73" s="25" t="b">
        <v>0</v>
      </c>
      <c r="R73" s="25" t="b">
        <v>0</v>
      </c>
    </row>
    <row r="74" spans="1:18" s="13" customFormat="1">
      <c r="A74" s="25" t="s">
        <v>2541</v>
      </c>
      <c r="B74" s="25"/>
      <c r="C74" s="25"/>
      <c r="D74" s="25">
        <v>5000</v>
      </c>
      <c r="E74" s="25">
        <v>0</v>
      </c>
      <c r="F74" s="25">
        <v>0</v>
      </c>
      <c r="G74" s="25" t="s">
        <v>4001</v>
      </c>
      <c r="H74" s="25"/>
      <c r="I74" s="25" t="b">
        <v>0</v>
      </c>
      <c r="J74" s="25" t="b">
        <v>0</v>
      </c>
      <c r="K74" s="25" t="b">
        <v>1</v>
      </c>
      <c r="L74" s="25" t="s">
        <v>66</v>
      </c>
      <c r="M74" s="25" t="s">
        <v>5547</v>
      </c>
      <c r="N74" s="25" t="str">
        <f>_xlfn.IFNA(VLOOKUP($M74,Buff.CM!$A:$O,13,FALSE),"")</f>
        <v>icon_battle_attackspeed</v>
      </c>
      <c r="O74" s="25" t="str">
        <f>_xlfn.IFNA(VLOOKUP($M74,Buff.CM!$A:$O,14,FALSE),"")</f>
        <v>Buff.Name.AtkSpeed.Up.00</v>
      </c>
      <c r="P74" s="25" t="str">
        <f>_xlfn.IFNA(VLOOKUP($M74,Buff.CM!$A:$O,15,FALSE),"")</f>
        <v>Buff.Desc.AtkSpeed.Up.00</v>
      </c>
      <c r="Q74" s="25" t="b">
        <v>0</v>
      </c>
      <c r="R74" s="25" t="b">
        <v>0</v>
      </c>
    </row>
    <row r="75" spans="1:18" s="13" customFormat="1">
      <c r="A75" s="34" t="s">
        <v>2542</v>
      </c>
      <c r="B75" s="34"/>
      <c r="C75" s="34"/>
      <c r="D75" s="34">
        <v>5000</v>
      </c>
      <c r="E75" s="34">
        <v>0</v>
      </c>
      <c r="F75" s="34">
        <v>0</v>
      </c>
      <c r="G75" s="34" t="s">
        <v>4002</v>
      </c>
      <c r="H75" s="34"/>
      <c r="I75" s="34" t="b">
        <v>0</v>
      </c>
      <c r="J75" s="34" t="b">
        <v>0</v>
      </c>
      <c r="K75" s="34" t="b">
        <v>1</v>
      </c>
      <c r="L75" s="34" t="s">
        <v>66</v>
      </c>
      <c r="M75" s="34" t="s">
        <v>5547</v>
      </c>
      <c r="N75" s="34" t="str">
        <f>_xlfn.IFNA(VLOOKUP($M75,Buff.CM!$A:$O,13,FALSE),"")</f>
        <v>icon_battle_attackspeed</v>
      </c>
      <c r="O75" s="34" t="str">
        <f>_xlfn.IFNA(VLOOKUP($M75,Buff.CM!$A:$O,14,FALSE),"")</f>
        <v>Buff.Name.AtkSpeed.Up.00</v>
      </c>
      <c r="P75" s="34" t="str">
        <f>_xlfn.IFNA(VLOOKUP($M75,Buff.CM!$A:$O,15,FALSE),"")</f>
        <v>Buff.Desc.AtkSpeed.Up.00</v>
      </c>
      <c r="Q75" s="34" t="b">
        <v>0</v>
      </c>
      <c r="R75" s="34" t="b">
        <v>0</v>
      </c>
    </row>
    <row r="76" spans="1:18" s="13" customFormat="1">
      <c r="A76" s="34" t="s">
        <v>2543</v>
      </c>
      <c r="B76" s="34"/>
      <c r="C76" s="34"/>
      <c r="D76" s="34">
        <v>5000</v>
      </c>
      <c r="E76" s="34">
        <v>0</v>
      </c>
      <c r="F76" s="34">
        <v>0</v>
      </c>
      <c r="G76" s="34" t="s">
        <v>4003</v>
      </c>
      <c r="H76" s="34"/>
      <c r="I76" s="34" t="b">
        <v>0</v>
      </c>
      <c r="J76" s="34" t="b">
        <v>0</v>
      </c>
      <c r="K76" s="34" t="b">
        <v>1</v>
      </c>
      <c r="L76" s="34" t="s">
        <v>66</v>
      </c>
      <c r="M76" s="34" t="s">
        <v>5547</v>
      </c>
      <c r="N76" s="34" t="str">
        <f>_xlfn.IFNA(VLOOKUP($M76,Buff.CM!$A:$O,13,FALSE),"")</f>
        <v>icon_battle_attackspeed</v>
      </c>
      <c r="O76" s="34" t="str">
        <f>_xlfn.IFNA(VLOOKUP($M76,Buff.CM!$A:$O,14,FALSE),"")</f>
        <v>Buff.Name.AtkSpeed.Up.00</v>
      </c>
      <c r="P76" s="34" t="str">
        <f>_xlfn.IFNA(VLOOKUP($M76,Buff.CM!$A:$O,15,FALSE),"")</f>
        <v>Buff.Desc.AtkSpeed.Up.00</v>
      </c>
      <c r="Q76" s="34" t="b">
        <v>0</v>
      </c>
      <c r="R76" s="34" t="b">
        <v>0</v>
      </c>
    </row>
    <row r="77" spans="1:18" s="13" customFormat="1">
      <c r="A77" s="34" t="s">
        <v>2544</v>
      </c>
      <c r="B77" s="34"/>
      <c r="C77" s="34"/>
      <c r="D77" s="34">
        <v>5000</v>
      </c>
      <c r="E77" s="34">
        <v>0</v>
      </c>
      <c r="F77" s="34">
        <v>0</v>
      </c>
      <c r="G77" s="34" t="s">
        <v>4004</v>
      </c>
      <c r="H77" s="34"/>
      <c r="I77" s="34" t="b">
        <v>0</v>
      </c>
      <c r="J77" s="34" t="b">
        <v>0</v>
      </c>
      <c r="K77" s="34" t="b">
        <v>1</v>
      </c>
      <c r="L77" s="34" t="s">
        <v>66</v>
      </c>
      <c r="M77" s="34" t="s">
        <v>5547</v>
      </c>
      <c r="N77" s="34" t="str">
        <f>_xlfn.IFNA(VLOOKUP($M77,Buff.CM!$A:$O,13,FALSE),"")</f>
        <v>icon_battle_attackspeed</v>
      </c>
      <c r="O77" s="34" t="str">
        <f>_xlfn.IFNA(VLOOKUP($M77,Buff.CM!$A:$O,14,FALSE),"")</f>
        <v>Buff.Name.AtkSpeed.Up.00</v>
      </c>
      <c r="P77" s="34" t="str">
        <f>_xlfn.IFNA(VLOOKUP($M77,Buff.CM!$A:$O,15,FALSE),"")</f>
        <v>Buff.Desc.AtkSpeed.Up.00</v>
      </c>
      <c r="Q77" s="34" t="b">
        <v>0</v>
      </c>
      <c r="R77" s="34" t="b">
        <v>0</v>
      </c>
    </row>
    <row r="78" spans="1:18" s="13" customFormat="1">
      <c r="A78" s="25" t="s">
        <v>432</v>
      </c>
      <c r="B78" s="25"/>
      <c r="C78" s="25"/>
      <c r="D78" s="25">
        <v>0</v>
      </c>
      <c r="E78" s="25">
        <v>0</v>
      </c>
      <c r="F78" s="25">
        <v>0</v>
      </c>
      <c r="G78" s="25" t="s">
        <v>433</v>
      </c>
      <c r="H78" s="25"/>
      <c r="I78" s="25" t="b">
        <v>0</v>
      </c>
      <c r="J78" s="23" t="b">
        <v>1</v>
      </c>
      <c r="K78" s="25" t="b">
        <v>1</v>
      </c>
      <c r="L78" s="25"/>
      <c r="M78" s="25"/>
      <c r="N78" s="25" t="str">
        <f>_xlfn.IFNA(VLOOKUP($M78,Buff.CM!$A:$O,13,FALSE),"")</f>
        <v/>
      </c>
      <c r="O78" s="25" t="str">
        <f>_xlfn.IFNA(VLOOKUP($M78,Buff.CM!$A:$O,14,FALSE),"")</f>
        <v/>
      </c>
      <c r="P78" s="25" t="str">
        <f>_xlfn.IFNA(VLOOKUP($M78,Buff.CM!$A:$O,15,FALSE),"")</f>
        <v/>
      </c>
      <c r="Q78" s="25" t="b">
        <v>0</v>
      </c>
      <c r="R78" s="25" t="b">
        <v>0</v>
      </c>
    </row>
    <row r="79" spans="1:18" s="13" customFormat="1">
      <c r="A79" s="25" t="s">
        <v>434</v>
      </c>
      <c r="B79" s="25"/>
      <c r="C79" s="25"/>
      <c r="D79" s="25">
        <v>0</v>
      </c>
      <c r="E79" s="25">
        <v>0</v>
      </c>
      <c r="F79" s="25">
        <v>0</v>
      </c>
      <c r="G79" s="25" t="s">
        <v>435</v>
      </c>
      <c r="H79" s="25"/>
      <c r="I79" s="25" t="b">
        <v>0</v>
      </c>
      <c r="J79" s="23" t="b">
        <v>1</v>
      </c>
      <c r="K79" s="25" t="b">
        <v>1</v>
      </c>
      <c r="L79" s="25"/>
      <c r="M79" s="25"/>
      <c r="N79" s="25" t="str">
        <f>_xlfn.IFNA(VLOOKUP($M79,Buff.CM!$A:$O,13,FALSE),"")</f>
        <v/>
      </c>
      <c r="O79" s="25" t="str">
        <f>_xlfn.IFNA(VLOOKUP($M79,Buff.CM!$A:$O,14,FALSE),"")</f>
        <v/>
      </c>
      <c r="P79" s="25" t="str">
        <f>_xlfn.IFNA(VLOOKUP($M79,Buff.CM!$A:$O,15,FALSE),"")</f>
        <v/>
      </c>
      <c r="Q79" s="25" t="b">
        <v>0</v>
      </c>
      <c r="R79" s="25" t="b">
        <v>0</v>
      </c>
    </row>
    <row r="80" spans="1:18" s="13" customFormat="1">
      <c r="A80" s="25" t="s">
        <v>436</v>
      </c>
      <c r="B80" s="25"/>
      <c r="C80" s="25"/>
      <c r="D80" s="25">
        <v>0</v>
      </c>
      <c r="E80" s="25">
        <v>0</v>
      </c>
      <c r="F80" s="25">
        <v>0</v>
      </c>
      <c r="G80" s="25" t="s">
        <v>437</v>
      </c>
      <c r="H80" s="25"/>
      <c r="I80" s="25" t="b">
        <v>0</v>
      </c>
      <c r="J80" s="23" t="b">
        <v>1</v>
      </c>
      <c r="K80" s="25" t="b">
        <v>1</v>
      </c>
      <c r="L80" s="25"/>
      <c r="M80" s="25"/>
      <c r="N80" s="25" t="str">
        <f>_xlfn.IFNA(VLOOKUP($M80,Buff.CM!$A:$O,13,FALSE),"")</f>
        <v/>
      </c>
      <c r="O80" s="25" t="str">
        <f>_xlfn.IFNA(VLOOKUP($M80,Buff.CM!$A:$O,14,FALSE),"")</f>
        <v/>
      </c>
      <c r="P80" s="25" t="str">
        <f>_xlfn.IFNA(VLOOKUP($M80,Buff.CM!$A:$O,15,FALSE),"")</f>
        <v/>
      </c>
      <c r="Q80" s="25" t="b">
        <v>0</v>
      </c>
      <c r="R80" s="25" t="b">
        <v>0</v>
      </c>
    </row>
    <row r="81" spans="1:18" s="13" customFormat="1">
      <c r="A81" s="34" t="s">
        <v>438</v>
      </c>
      <c r="B81" s="34"/>
      <c r="C81" s="34"/>
      <c r="D81" s="34">
        <v>0</v>
      </c>
      <c r="E81" s="34">
        <v>0</v>
      </c>
      <c r="F81" s="34">
        <v>0</v>
      </c>
      <c r="G81" s="34" t="s">
        <v>439</v>
      </c>
      <c r="H81" s="34"/>
      <c r="I81" s="34" t="b">
        <v>0</v>
      </c>
      <c r="J81" s="23" t="b">
        <v>1</v>
      </c>
      <c r="K81" s="34" t="b">
        <v>1</v>
      </c>
      <c r="L81" s="34"/>
      <c r="M81" s="34"/>
      <c r="N81" s="34" t="str">
        <f>_xlfn.IFNA(VLOOKUP($M81,Buff.CM!$A:$O,13,FALSE),"")</f>
        <v/>
      </c>
      <c r="O81" s="34" t="str">
        <f>_xlfn.IFNA(VLOOKUP($M81,Buff.CM!$A:$O,14,FALSE),"")</f>
        <v/>
      </c>
      <c r="P81" s="34" t="str">
        <f>_xlfn.IFNA(VLOOKUP($M81,Buff.CM!$A:$O,15,FALSE),"")</f>
        <v/>
      </c>
      <c r="Q81" s="34" t="b">
        <v>0</v>
      </c>
      <c r="R81" s="34" t="b">
        <v>0</v>
      </c>
    </row>
    <row r="82" spans="1:18" s="13" customFormat="1">
      <c r="A82" s="34" t="s">
        <v>440</v>
      </c>
      <c r="B82" s="34"/>
      <c r="C82" s="34"/>
      <c r="D82" s="34">
        <v>0</v>
      </c>
      <c r="E82" s="34">
        <v>0</v>
      </c>
      <c r="F82" s="34">
        <v>0</v>
      </c>
      <c r="G82" s="34" t="s">
        <v>441</v>
      </c>
      <c r="H82" s="34"/>
      <c r="I82" s="34" t="b">
        <v>0</v>
      </c>
      <c r="J82" s="23" t="b">
        <v>1</v>
      </c>
      <c r="K82" s="34" t="b">
        <v>1</v>
      </c>
      <c r="L82" s="34"/>
      <c r="M82" s="34"/>
      <c r="N82" s="34" t="str">
        <f>_xlfn.IFNA(VLOOKUP($M82,Buff.CM!$A:$O,13,FALSE),"")</f>
        <v/>
      </c>
      <c r="O82" s="34" t="str">
        <f>_xlfn.IFNA(VLOOKUP($M82,Buff.CM!$A:$O,14,FALSE),"")</f>
        <v/>
      </c>
      <c r="P82" s="34" t="str">
        <f>_xlfn.IFNA(VLOOKUP($M82,Buff.CM!$A:$O,15,FALSE),"")</f>
        <v/>
      </c>
      <c r="Q82" s="34" t="b">
        <v>0</v>
      </c>
      <c r="R82" s="34" t="b">
        <v>0</v>
      </c>
    </row>
    <row r="83" spans="1:18" s="13" customFormat="1">
      <c r="A83" s="34" t="s">
        <v>442</v>
      </c>
      <c r="B83" s="34"/>
      <c r="C83" s="34"/>
      <c r="D83" s="34">
        <v>0</v>
      </c>
      <c r="E83" s="34">
        <v>0</v>
      </c>
      <c r="F83" s="34">
        <v>0</v>
      </c>
      <c r="G83" s="34" t="s">
        <v>443</v>
      </c>
      <c r="H83" s="34"/>
      <c r="I83" s="34" t="b">
        <v>0</v>
      </c>
      <c r="J83" s="23" t="b">
        <v>1</v>
      </c>
      <c r="K83" s="34" t="b">
        <v>1</v>
      </c>
      <c r="L83" s="34"/>
      <c r="M83" s="34"/>
      <c r="N83" s="34" t="str">
        <f>_xlfn.IFNA(VLOOKUP($M83,Buff.CM!$A:$O,13,FALSE),"")</f>
        <v/>
      </c>
      <c r="O83" s="34" t="str">
        <f>_xlfn.IFNA(VLOOKUP($M83,Buff.CM!$A:$O,14,FALSE),"")</f>
        <v/>
      </c>
      <c r="P83" s="34" t="str">
        <f>_xlfn.IFNA(VLOOKUP($M83,Buff.CM!$A:$O,15,FALSE),"")</f>
        <v/>
      </c>
      <c r="Q83" s="34" t="b">
        <v>0</v>
      </c>
      <c r="R83" s="34" t="b">
        <v>0</v>
      </c>
    </row>
    <row r="84" spans="1:18" s="13" customFormat="1">
      <c r="A84" s="26" t="s">
        <v>1864</v>
      </c>
      <c r="B84" s="26"/>
      <c r="C84" s="26"/>
      <c r="D84" s="26">
        <v>0</v>
      </c>
      <c r="E84" s="26">
        <v>3</v>
      </c>
      <c r="F84" s="26">
        <v>1</v>
      </c>
      <c r="G84" s="26" t="s">
        <v>122</v>
      </c>
      <c r="H84" s="26"/>
      <c r="I84" s="26" t="b">
        <v>1</v>
      </c>
      <c r="J84" s="23" t="b">
        <v>1</v>
      </c>
      <c r="K84" s="26" t="b">
        <v>1</v>
      </c>
      <c r="L84" s="26"/>
      <c r="M84" s="26"/>
      <c r="N84" s="26" t="str">
        <f>_xlfn.IFNA(VLOOKUP($M84,Buff.CM!$A:$O,13,FALSE),"")</f>
        <v/>
      </c>
      <c r="O84" s="26" t="str">
        <f>_xlfn.IFNA(VLOOKUP($M84,Buff.CM!$A:$O,14,FALSE),"")</f>
        <v/>
      </c>
      <c r="P84" s="26" t="str">
        <f>_xlfn.IFNA(VLOOKUP($M84,Buff.CM!$A:$O,15,FALSE),"")</f>
        <v/>
      </c>
      <c r="Q84" s="26" t="b">
        <v>0</v>
      </c>
      <c r="R84" s="26" t="b">
        <v>0</v>
      </c>
    </row>
    <row r="85" spans="1:18" s="13" customFormat="1">
      <c r="A85" s="25" t="s">
        <v>2916</v>
      </c>
      <c r="B85" s="25"/>
      <c r="C85" s="25"/>
      <c r="D85" s="25">
        <v>0</v>
      </c>
      <c r="E85" s="25">
        <v>0</v>
      </c>
      <c r="F85" s="25">
        <v>0</v>
      </c>
      <c r="G85" s="25" t="s">
        <v>6592</v>
      </c>
      <c r="H85" s="25"/>
      <c r="I85" s="25" t="b">
        <v>0</v>
      </c>
      <c r="J85" s="23" t="b">
        <v>1</v>
      </c>
      <c r="K85" s="25" t="b">
        <v>1</v>
      </c>
      <c r="L85" s="25"/>
      <c r="M85" s="25"/>
      <c r="N85" s="25" t="str">
        <f>_xlfn.IFNA(VLOOKUP($M85,Buff.CM!$A:$O,13,FALSE),"")</f>
        <v/>
      </c>
      <c r="O85" s="25" t="str">
        <f>_xlfn.IFNA(VLOOKUP($M85,Buff.CM!$A:$O,14,FALSE),"")</f>
        <v/>
      </c>
      <c r="P85" s="25" t="str">
        <f>_xlfn.IFNA(VLOOKUP($M85,Buff.CM!$A:$O,15,FALSE),"")</f>
        <v/>
      </c>
      <c r="Q85" s="25" t="b">
        <v>0</v>
      </c>
      <c r="R85" s="25" t="b">
        <v>0</v>
      </c>
    </row>
    <row r="86" spans="1:18" s="13" customFormat="1">
      <c r="A86" s="25" t="s">
        <v>2911</v>
      </c>
      <c r="B86" s="25"/>
      <c r="C86" s="25"/>
      <c r="D86" s="25">
        <v>0</v>
      </c>
      <c r="E86" s="25">
        <v>0</v>
      </c>
      <c r="F86" s="25">
        <v>0</v>
      </c>
      <c r="G86" s="25" t="s">
        <v>2917</v>
      </c>
      <c r="H86" s="25"/>
      <c r="I86" s="25" t="b">
        <v>0</v>
      </c>
      <c r="J86" s="23" t="b">
        <v>1</v>
      </c>
      <c r="K86" s="25" t="b">
        <v>1</v>
      </c>
      <c r="L86" s="25"/>
      <c r="M86" s="25"/>
      <c r="N86" s="25" t="str">
        <f>_xlfn.IFNA(VLOOKUP($M86,Buff.CM!$A:$O,13,FALSE),"")</f>
        <v/>
      </c>
      <c r="O86" s="25" t="str">
        <f>_xlfn.IFNA(VLOOKUP($M86,Buff.CM!$A:$O,14,FALSE),"")</f>
        <v/>
      </c>
      <c r="P86" s="25" t="str">
        <f>_xlfn.IFNA(VLOOKUP($M86,Buff.CM!$A:$O,15,FALSE),"")</f>
        <v/>
      </c>
      <c r="Q86" s="25" t="b">
        <v>0</v>
      </c>
      <c r="R86" s="25" t="b">
        <v>0</v>
      </c>
    </row>
    <row r="87" spans="1:18" s="13" customFormat="1">
      <c r="A87" s="25" t="s">
        <v>2912</v>
      </c>
      <c r="B87" s="25"/>
      <c r="C87" s="25"/>
      <c r="D87" s="25">
        <v>0</v>
      </c>
      <c r="E87" s="25">
        <v>0</v>
      </c>
      <c r="F87" s="25">
        <v>0</v>
      </c>
      <c r="G87" s="25" t="s">
        <v>2918</v>
      </c>
      <c r="H87" s="25"/>
      <c r="I87" s="25" t="b">
        <v>0</v>
      </c>
      <c r="J87" s="23" t="b">
        <v>1</v>
      </c>
      <c r="K87" s="25" t="b">
        <v>1</v>
      </c>
      <c r="L87" s="25"/>
      <c r="M87" s="25"/>
      <c r="N87" s="25" t="str">
        <f>_xlfn.IFNA(VLOOKUP($M87,Buff.CM!$A:$O,13,FALSE),"")</f>
        <v/>
      </c>
      <c r="O87" s="25" t="str">
        <f>_xlfn.IFNA(VLOOKUP($M87,Buff.CM!$A:$O,14,FALSE),"")</f>
        <v/>
      </c>
      <c r="P87" s="25" t="str">
        <f>_xlfn.IFNA(VLOOKUP($M87,Buff.CM!$A:$O,15,FALSE),"")</f>
        <v/>
      </c>
      <c r="Q87" s="25" t="b">
        <v>0</v>
      </c>
      <c r="R87" s="25" t="b">
        <v>0</v>
      </c>
    </row>
    <row r="88" spans="1:18" s="13" customFormat="1">
      <c r="A88" s="34" t="s">
        <v>2913</v>
      </c>
      <c r="B88" s="34"/>
      <c r="C88" s="34"/>
      <c r="D88" s="34">
        <v>0</v>
      </c>
      <c r="E88" s="34">
        <v>0</v>
      </c>
      <c r="F88" s="34">
        <v>0</v>
      </c>
      <c r="G88" s="34" t="s">
        <v>2919</v>
      </c>
      <c r="H88" s="34"/>
      <c r="I88" s="34" t="b">
        <v>0</v>
      </c>
      <c r="J88" s="23" t="b">
        <v>1</v>
      </c>
      <c r="K88" s="34" t="b">
        <v>1</v>
      </c>
      <c r="L88" s="34"/>
      <c r="M88" s="34"/>
      <c r="N88" s="34" t="str">
        <f>_xlfn.IFNA(VLOOKUP($M88,Buff.CM!$A:$O,13,FALSE),"")</f>
        <v/>
      </c>
      <c r="O88" s="34" t="str">
        <f>_xlfn.IFNA(VLOOKUP($M88,Buff.CM!$A:$O,14,FALSE),"")</f>
        <v/>
      </c>
      <c r="P88" s="34" t="str">
        <f>_xlfn.IFNA(VLOOKUP($M88,Buff.CM!$A:$O,15,FALSE),"")</f>
        <v/>
      </c>
      <c r="Q88" s="34" t="b">
        <v>0</v>
      </c>
      <c r="R88" s="34" t="b">
        <v>0</v>
      </c>
    </row>
    <row r="89" spans="1:18" s="13" customFormat="1">
      <c r="A89" s="34" t="s">
        <v>2914</v>
      </c>
      <c r="B89" s="34"/>
      <c r="C89" s="34"/>
      <c r="D89" s="34">
        <v>0</v>
      </c>
      <c r="E89" s="34">
        <v>0</v>
      </c>
      <c r="F89" s="34">
        <v>0</v>
      </c>
      <c r="G89" s="34" t="s">
        <v>2920</v>
      </c>
      <c r="H89" s="34"/>
      <c r="I89" s="34" t="b">
        <v>0</v>
      </c>
      <c r="J89" s="23" t="b">
        <v>1</v>
      </c>
      <c r="K89" s="34" t="b">
        <v>1</v>
      </c>
      <c r="L89" s="34"/>
      <c r="M89" s="34"/>
      <c r="N89" s="34" t="str">
        <f>_xlfn.IFNA(VLOOKUP($M89,Buff.CM!$A:$O,13,FALSE),"")</f>
        <v/>
      </c>
      <c r="O89" s="34" t="str">
        <f>_xlfn.IFNA(VLOOKUP($M89,Buff.CM!$A:$O,14,FALSE),"")</f>
        <v/>
      </c>
      <c r="P89" s="34" t="str">
        <f>_xlfn.IFNA(VLOOKUP($M89,Buff.CM!$A:$O,15,FALSE),"")</f>
        <v/>
      </c>
      <c r="Q89" s="34" t="b">
        <v>0</v>
      </c>
      <c r="R89" s="34" t="b">
        <v>0</v>
      </c>
    </row>
    <row r="90" spans="1:18" s="13" customFormat="1">
      <c r="A90" s="34" t="s">
        <v>2915</v>
      </c>
      <c r="B90" s="34"/>
      <c r="C90" s="34"/>
      <c r="D90" s="34">
        <v>0</v>
      </c>
      <c r="E90" s="34">
        <v>0</v>
      </c>
      <c r="F90" s="34">
        <v>0</v>
      </c>
      <c r="G90" s="34" t="s">
        <v>2921</v>
      </c>
      <c r="H90" s="34"/>
      <c r="I90" s="34" t="b">
        <v>0</v>
      </c>
      <c r="J90" s="23" t="b">
        <v>1</v>
      </c>
      <c r="K90" s="34" t="b">
        <v>1</v>
      </c>
      <c r="L90" s="34"/>
      <c r="M90" s="34"/>
      <c r="N90" s="34" t="str">
        <f>_xlfn.IFNA(VLOOKUP($M90,Buff.CM!$A:$O,13,FALSE),"")</f>
        <v/>
      </c>
      <c r="O90" s="34" t="str">
        <f>_xlfn.IFNA(VLOOKUP($M90,Buff.CM!$A:$O,14,FALSE),"")</f>
        <v/>
      </c>
      <c r="P90" s="34" t="str">
        <f>_xlfn.IFNA(VLOOKUP($M90,Buff.CM!$A:$O,15,FALSE),"")</f>
        <v/>
      </c>
      <c r="Q90" s="34" t="b">
        <v>0</v>
      </c>
      <c r="R90" s="34" t="b">
        <v>0</v>
      </c>
    </row>
    <row r="91" spans="1:18" s="12" customFormat="1">
      <c r="A91" s="41" t="s">
        <v>2750</v>
      </c>
      <c r="B91" s="41"/>
      <c r="C91" s="41"/>
      <c r="D91" s="41">
        <v>0</v>
      </c>
      <c r="E91" s="41">
        <v>0</v>
      </c>
      <c r="F91" s="41">
        <v>0</v>
      </c>
      <c r="G91" s="148" t="s">
        <v>2757</v>
      </c>
      <c r="H91" s="41"/>
      <c r="I91" s="41" t="b">
        <v>0</v>
      </c>
      <c r="J91" s="41" t="b">
        <v>0</v>
      </c>
      <c r="K91" s="41" t="b">
        <v>1</v>
      </c>
      <c r="L91" s="41"/>
      <c r="M91" s="41"/>
      <c r="N91" s="41" t="str">
        <f>_xlfn.IFNA(VLOOKUP($M91,Buff.CM!$A:$O,13,FALSE),"")</f>
        <v/>
      </c>
      <c r="O91" s="41" t="str">
        <f>_xlfn.IFNA(VLOOKUP($M91,Buff.CM!$A:$O,14,FALSE),"")</f>
        <v/>
      </c>
      <c r="P91" s="41" t="str">
        <f>_xlfn.IFNA(VLOOKUP($M91,Buff.CM!$A:$O,15,FALSE),"")</f>
        <v/>
      </c>
      <c r="Q91" s="41" t="b">
        <v>0</v>
      </c>
      <c r="R91" s="41" t="b">
        <v>0</v>
      </c>
    </row>
    <row r="92" spans="1:18" s="12" customFormat="1">
      <c r="A92" s="41" t="s">
        <v>2751</v>
      </c>
      <c r="B92" s="41"/>
      <c r="C92" s="41"/>
      <c r="D92" s="41">
        <v>0</v>
      </c>
      <c r="E92" s="41">
        <v>0</v>
      </c>
      <c r="F92" s="41">
        <v>0</v>
      </c>
      <c r="G92" s="148" t="s">
        <v>2758</v>
      </c>
      <c r="H92" s="41"/>
      <c r="I92" s="41" t="b">
        <v>0</v>
      </c>
      <c r="J92" s="41" t="b">
        <v>0</v>
      </c>
      <c r="K92" s="41" t="b">
        <v>1</v>
      </c>
      <c r="L92" s="41"/>
      <c r="M92" s="41"/>
      <c r="N92" s="41" t="str">
        <f>_xlfn.IFNA(VLOOKUP($M92,Buff.CM!$A:$O,13,FALSE),"")</f>
        <v/>
      </c>
      <c r="O92" s="41" t="str">
        <f>_xlfn.IFNA(VLOOKUP($M92,Buff.CM!$A:$O,14,FALSE),"")</f>
        <v/>
      </c>
      <c r="P92" s="41" t="str">
        <f>_xlfn.IFNA(VLOOKUP($M92,Buff.CM!$A:$O,15,FALSE),"")</f>
        <v/>
      </c>
      <c r="Q92" s="41" t="b">
        <v>0</v>
      </c>
      <c r="R92" s="41" t="b">
        <v>0</v>
      </c>
    </row>
    <row r="93" spans="1:18" s="12" customFormat="1">
      <c r="A93" s="41" t="s">
        <v>2752</v>
      </c>
      <c r="B93" s="41"/>
      <c r="C93" s="41"/>
      <c r="D93" s="41">
        <v>0</v>
      </c>
      <c r="E93" s="41">
        <v>0</v>
      </c>
      <c r="F93" s="41">
        <v>0</v>
      </c>
      <c r="G93" s="148" t="s">
        <v>2759</v>
      </c>
      <c r="H93" s="41"/>
      <c r="I93" s="41" t="b">
        <v>0</v>
      </c>
      <c r="J93" s="41" t="b">
        <v>0</v>
      </c>
      <c r="K93" s="41" t="b">
        <v>1</v>
      </c>
      <c r="L93" s="41"/>
      <c r="M93" s="41"/>
      <c r="N93" s="41" t="str">
        <f>_xlfn.IFNA(VLOOKUP($M93,Buff.CM!$A:$O,13,FALSE),"")</f>
        <v/>
      </c>
      <c r="O93" s="41" t="str">
        <f>_xlfn.IFNA(VLOOKUP($M93,Buff.CM!$A:$O,14,FALSE),"")</f>
        <v/>
      </c>
      <c r="P93" s="41" t="str">
        <f>_xlfn.IFNA(VLOOKUP($M93,Buff.CM!$A:$O,15,FALSE),"")</f>
        <v/>
      </c>
      <c r="Q93" s="41" t="b">
        <v>0</v>
      </c>
      <c r="R93" s="41" t="b">
        <v>0</v>
      </c>
    </row>
    <row r="94" spans="1:18" s="12" customFormat="1">
      <c r="A94" s="41" t="s">
        <v>2753</v>
      </c>
      <c r="B94" s="41"/>
      <c r="C94" s="41"/>
      <c r="D94" s="41">
        <v>0</v>
      </c>
      <c r="E94" s="41">
        <v>0</v>
      </c>
      <c r="F94" s="41">
        <v>0</v>
      </c>
      <c r="G94" s="148" t="s">
        <v>2760</v>
      </c>
      <c r="H94" s="41"/>
      <c r="I94" s="41" t="b">
        <v>0</v>
      </c>
      <c r="J94" s="41" t="b">
        <v>0</v>
      </c>
      <c r="K94" s="41" t="b">
        <v>1</v>
      </c>
      <c r="L94" s="41"/>
      <c r="M94" s="41"/>
      <c r="N94" s="41" t="str">
        <f>_xlfn.IFNA(VLOOKUP($M94,Buff.CM!$A:$O,13,FALSE),"")</f>
        <v/>
      </c>
      <c r="O94" s="41" t="str">
        <f>_xlfn.IFNA(VLOOKUP($M94,Buff.CM!$A:$O,14,FALSE),"")</f>
        <v/>
      </c>
      <c r="P94" s="41" t="str">
        <f>_xlfn.IFNA(VLOOKUP($M94,Buff.CM!$A:$O,15,FALSE),"")</f>
        <v/>
      </c>
      <c r="Q94" s="41" t="b">
        <v>0</v>
      </c>
      <c r="R94" s="41" t="b">
        <v>0</v>
      </c>
    </row>
    <row r="95" spans="1:18" s="12" customFormat="1">
      <c r="A95" s="41" t="s">
        <v>2754</v>
      </c>
      <c r="B95" s="41"/>
      <c r="C95" s="41"/>
      <c r="D95" s="41">
        <v>0</v>
      </c>
      <c r="E95" s="41">
        <v>0</v>
      </c>
      <c r="F95" s="41">
        <v>0</v>
      </c>
      <c r="G95" s="148" t="s">
        <v>2761</v>
      </c>
      <c r="H95" s="41"/>
      <c r="I95" s="41" t="b">
        <v>0</v>
      </c>
      <c r="J95" s="41" t="b">
        <v>0</v>
      </c>
      <c r="K95" s="41" t="b">
        <v>1</v>
      </c>
      <c r="L95" s="41"/>
      <c r="M95" s="41"/>
      <c r="N95" s="41" t="str">
        <f>_xlfn.IFNA(VLOOKUP($M95,Buff.CM!$A:$O,13,FALSE),"")</f>
        <v/>
      </c>
      <c r="O95" s="41" t="str">
        <f>_xlfn.IFNA(VLOOKUP($M95,Buff.CM!$A:$O,14,FALSE),"")</f>
        <v/>
      </c>
      <c r="P95" s="41" t="str">
        <f>_xlfn.IFNA(VLOOKUP($M95,Buff.CM!$A:$O,15,FALSE),"")</f>
        <v/>
      </c>
      <c r="Q95" s="41" t="b">
        <v>0</v>
      </c>
      <c r="R95" s="41" t="b">
        <v>0</v>
      </c>
    </row>
    <row r="96" spans="1:18" s="144" customFormat="1">
      <c r="A96" s="77" t="s">
        <v>2755</v>
      </c>
      <c r="B96" s="77"/>
      <c r="C96" s="77"/>
      <c r="D96" s="77">
        <v>0</v>
      </c>
      <c r="E96" s="77">
        <v>0</v>
      </c>
      <c r="F96" s="77">
        <v>0</v>
      </c>
      <c r="G96" s="149" t="s">
        <v>2762</v>
      </c>
      <c r="H96" s="77"/>
      <c r="I96" s="77" t="b">
        <v>0</v>
      </c>
      <c r="J96" s="77" t="b">
        <v>0</v>
      </c>
      <c r="K96" s="77" t="b">
        <v>1</v>
      </c>
      <c r="L96" s="77"/>
      <c r="M96" s="77"/>
      <c r="N96" s="77" t="str">
        <f>_xlfn.IFNA(VLOOKUP($M96,Buff.CM!$A:$O,13,FALSE),"")</f>
        <v/>
      </c>
      <c r="O96" s="77" t="str">
        <f>_xlfn.IFNA(VLOOKUP($M96,Buff.CM!$A:$O,14,FALSE),"")</f>
        <v/>
      </c>
      <c r="P96" s="77" t="str">
        <f>_xlfn.IFNA(VLOOKUP($M96,Buff.CM!$A:$O,15,FALSE),"")</f>
        <v/>
      </c>
      <c r="Q96" s="77" t="b">
        <v>0</v>
      </c>
      <c r="R96" s="77" t="b">
        <v>0</v>
      </c>
    </row>
    <row r="97" spans="1:18" s="144" customFormat="1">
      <c r="A97" s="77" t="s">
        <v>2756</v>
      </c>
      <c r="B97" s="77"/>
      <c r="C97" s="77"/>
      <c r="D97" s="77">
        <v>0</v>
      </c>
      <c r="E97" s="77">
        <v>0</v>
      </c>
      <c r="F97" s="77">
        <v>0</v>
      </c>
      <c r="G97" s="149" t="s">
        <v>2763</v>
      </c>
      <c r="H97" s="77"/>
      <c r="I97" s="77" t="b">
        <v>0</v>
      </c>
      <c r="J97" s="77" t="b">
        <v>0</v>
      </c>
      <c r="K97" s="77" t="b">
        <v>1</v>
      </c>
      <c r="L97" s="77"/>
      <c r="M97" s="77"/>
      <c r="N97" s="77" t="str">
        <f>_xlfn.IFNA(VLOOKUP($M97,Buff.CM!$A:$O,13,FALSE),"")</f>
        <v/>
      </c>
      <c r="O97" s="77" t="str">
        <f>_xlfn.IFNA(VLOOKUP($M97,Buff.CM!$A:$O,14,FALSE),"")</f>
        <v/>
      </c>
      <c r="P97" s="77" t="str">
        <f>_xlfn.IFNA(VLOOKUP($M97,Buff.CM!$A:$O,15,FALSE),"")</f>
        <v/>
      </c>
      <c r="Q97" s="77" t="b">
        <v>0</v>
      </c>
      <c r="R97" s="77" t="b">
        <v>0</v>
      </c>
    </row>
    <row r="98" spans="1:18" s="13" customFormat="1" ht="33">
      <c r="A98" s="23" t="s">
        <v>2071</v>
      </c>
      <c r="B98" s="23"/>
      <c r="C98" s="23"/>
      <c r="D98" s="23">
        <v>5000</v>
      </c>
      <c r="E98" s="23">
        <v>0</v>
      </c>
      <c r="F98" s="23">
        <v>0</v>
      </c>
      <c r="G98" s="39" t="s">
        <v>6593</v>
      </c>
      <c r="H98" s="23"/>
      <c r="I98" s="23" t="b">
        <v>0</v>
      </c>
      <c r="J98" s="23" t="b">
        <v>0</v>
      </c>
      <c r="K98" s="23" t="b">
        <v>0</v>
      </c>
      <c r="L98" s="23" t="s">
        <v>2075</v>
      </c>
      <c r="M98" s="23" t="s">
        <v>6120</v>
      </c>
      <c r="N98" s="23" t="str">
        <f>_xlfn.IFNA(VLOOKUP($M98,Buff.CM!$A:$O,13,FALSE),"")</f>
        <v>icon_battle_shock</v>
      </c>
      <c r="O98" s="23" t="str">
        <f>_xlfn.IFNA(VLOOKUP($M98,Buff.CM!$A:$O,14,FALSE),"")</f>
        <v>Buff.Name.Electric</v>
      </c>
      <c r="P98" s="23" t="str">
        <f>_xlfn.IFNA(VLOOKUP($M98,Buff.CM!$A:$O,15,FALSE),"")</f>
        <v>Buff.Desc.Electric</v>
      </c>
      <c r="Q98" s="23" t="b">
        <v>0</v>
      </c>
      <c r="R98" s="23" t="b">
        <v>0</v>
      </c>
    </row>
    <row r="99" spans="1:18" s="13" customFormat="1" ht="33">
      <c r="A99" s="23" t="s">
        <v>2072</v>
      </c>
      <c r="B99" s="23"/>
      <c r="C99" s="23"/>
      <c r="D99" s="23">
        <v>5500</v>
      </c>
      <c r="E99" s="23">
        <v>0</v>
      </c>
      <c r="F99" s="23">
        <v>0</v>
      </c>
      <c r="G99" s="39" t="s">
        <v>6593</v>
      </c>
      <c r="H99" s="23"/>
      <c r="I99" s="23" t="b">
        <v>0</v>
      </c>
      <c r="J99" s="23" t="b">
        <v>0</v>
      </c>
      <c r="K99" s="23" t="b">
        <v>0</v>
      </c>
      <c r="L99" s="23" t="s">
        <v>2075</v>
      </c>
      <c r="M99" s="23" t="s">
        <v>6120</v>
      </c>
      <c r="N99" s="23" t="str">
        <f>_xlfn.IFNA(VLOOKUP($M99,Buff.CM!$A:$O,13,FALSE),"")</f>
        <v>icon_battle_shock</v>
      </c>
      <c r="O99" s="23" t="str">
        <f>_xlfn.IFNA(VLOOKUP($M99,Buff.CM!$A:$O,14,FALSE),"")</f>
        <v>Buff.Name.Electric</v>
      </c>
      <c r="P99" s="23" t="str">
        <f>_xlfn.IFNA(VLOOKUP($M99,Buff.CM!$A:$O,15,FALSE),"")</f>
        <v>Buff.Desc.Electric</v>
      </c>
      <c r="Q99" s="23" t="b">
        <v>0</v>
      </c>
      <c r="R99" s="23" t="b">
        <v>0</v>
      </c>
    </row>
    <row r="100" spans="1:18" s="13" customFormat="1" ht="33">
      <c r="A100" s="23" t="s">
        <v>2073</v>
      </c>
      <c r="B100" s="23"/>
      <c r="C100" s="23"/>
      <c r="D100" s="23">
        <v>6000</v>
      </c>
      <c r="E100" s="23">
        <v>0</v>
      </c>
      <c r="F100" s="23">
        <v>0</v>
      </c>
      <c r="G100" s="39" t="s">
        <v>6594</v>
      </c>
      <c r="H100" s="23"/>
      <c r="I100" s="23" t="b">
        <v>0</v>
      </c>
      <c r="J100" s="23" t="b">
        <v>0</v>
      </c>
      <c r="K100" s="23" t="b">
        <v>0</v>
      </c>
      <c r="L100" s="23" t="s">
        <v>2075</v>
      </c>
      <c r="M100" s="23" t="s">
        <v>6120</v>
      </c>
      <c r="N100" s="23" t="str">
        <f>_xlfn.IFNA(VLOOKUP($M100,Buff.CM!$A:$O,13,FALSE),"")</f>
        <v>icon_battle_shock</v>
      </c>
      <c r="O100" s="23" t="str">
        <f>_xlfn.IFNA(VLOOKUP($M100,Buff.CM!$A:$O,14,FALSE),"")</f>
        <v>Buff.Name.Electric</v>
      </c>
      <c r="P100" s="23" t="str">
        <f>_xlfn.IFNA(VLOOKUP($M100,Buff.CM!$A:$O,15,FALSE),"")</f>
        <v>Buff.Desc.Electric</v>
      </c>
      <c r="Q100" s="23" t="b">
        <v>0</v>
      </c>
      <c r="R100" s="23" t="b">
        <v>0</v>
      </c>
    </row>
    <row r="101" spans="1:18" s="13" customFormat="1" ht="33">
      <c r="A101" s="23" t="s">
        <v>2074</v>
      </c>
      <c r="B101" s="23"/>
      <c r="C101" s="23"/>
      <c r="D101" s="23">
        <v>6500</v>
      </c>
      <c r="E101" s="23">
        <v>0</v>
      </c>
      <c r="F101" s="23">
        <v>0</v>
      </c>
      <c r="G101" s="39" t="s">
        <v>6594</v>
      </c>
      <c r="H101" s="23"/>
      <c r="I101" s="23" t="b">
        <v>0</v>
      </c>
      <c r="J101" s="23" t="b">
        <v>0</v>
      </c>
      <c r="K101" s="23" t="b">
        <v>0</v>
      </c>
      <c r="L101" s="23" t="s">
        <v>2075</v>
      </c>
      <c r="M101" s="23" t="s">
        <v>6120</v>
      </c>
      <c r="N101" s="23" t="str">
        <f>_xlfn.IFNA(VLOOKUP($M101,Buff.CM!$A:$O,13,FALSE),"")</f>
        <v>icon_battle_shock</v>
      </c>
      <c r="O101" s="23" t="str">
        <f>_xlfn.IFNA(VLOOKUP($M101,Buff.CM!$A:$O,14,FALSE),"")</f>
        <v>Buff.Name.Electric</v>
      </c>
      <c r="P101" s="23" t="str">
        <f>_xlfn.IFNA(VLOOKUP($M101,Buff.CM!$A:$O,15,FALSE),"")</f>
        <v>Buff.Desc.Electric</v>
      </c>
      <c r="Q101" s="23" t="b">
        <v>0</v>
      </c>
      <c r="R101" s="23" t="b">
        <v>0</v>
      </c>
    </row>
    <row r="102" spans="1:18" s="13" customFormat="1" ht="33">
      <c r="A102" s="23" t="s">
        <v>2531</v>
      </c>
      <c r="B102" s="23"/>
      <c r="C102" s="23"/>
      <c r="D102" s="23">
        <v>7000</v>
      </c>
      <c r="E102" s="23">
        <v>0</v>
      </c>
      <c r="F102" s="23">
        <v>0</v>
      </c>
      <c r="G102" s="39" t="s">
        <v>5871</v>
      </c>
      <c r="H102" s="23"/>
      <c r="I102" s="23" t="b">
        <v>0</v>
      </c>
      <c r="J102" s="23" t="b">
        <v>0</v>
      </c>
      <c r="K102" s="23" t="b">
        <v>0</v>
      </c>
      <c r="L102" s="23" t="s">
        <v>2075</v>
      </c>
      <c r="M102" s="23" t="s">
        <v>6120</v>
      </c>
      <c r="N102" s="23" t="str">
        <f>_xlfn.IFNA(VLOOKUP($M102,Buff.CM!$A:$O,13,FALSE),"")</f>
        <v>icon_battle_shock</v>
      </c>
      <c r="O102" s="23" t="str">
        <f>_xlfn.IFNA(VLOOKUP($M102,Buff.CM!$A:$O,14,FALSE),"")</f>
        <v>Buff.Name.Electric</v>
      </c>
      <c r="P102" s="23" t="str">
        <f>_xlfn.IFNA(VLOOKUP($M102,Buff.CM!$A:$O,15,FALSE),"")</f>
        <v>Buff.Desc.Electric</v>
      </c>
      <c r="Q102" s="23" t="b">
        <v>0</v>
      </c>
      <c r="R102" s="23" t="b">
        <v>0</v>
      </c>
    </row>
    <row r="103" spans="1:18" s="13" customFormat="1" ht="33">
      <c r="A103" s="34" t="s">
        <v>2532</v>
      </c>
      <c r="B103" s="34"/>
      <c r="C103" s="34"/>
      <c r="D103" s="34">
        <v>7000</v>
      </c>
      <c r="E103" s="34">
        <v>0</v>
      </c>
      <c r="F103" s="34">
        <v>0</v>
      </c>
      <c r="G103" s="40" t="s">
        <v>5871</v>
      </c>
      <c r="H103" s="34"/>
      <c r="I103" s="34" t="b">
        <v>0</v>
      </c>
      <c r="J103" s="34" t="b">
        <v>0</v>
      </c>
      <c r="K103" s="34" t="b">
        <v>0</v>
      </c>
      <c r="L103" s="34" t="s">
        <v>2075</v>
      </c>
      <c r="M103" s="34" t="s">
        <v>6120</v>
      </c>
      <c r="N103" s="34" t="str">
        <f>_xlfn.IFNA(VLOOKUP($M103,Buff.CM!$A:$O,13,FALSE),"")</f>
        <v>icon_battle_shock</v>
      </c>
      <c r="O103" s="34" t="str">
        <f>_xlfn.IFNA(VLOOKUP($M103,Buff.CM!$A:$O,14,FALSE),"")</f>
        <v>Buff.Name.Electric</v>
      </c>
      <c r="P103" s="34" t="str">
        <f>_xlfn.IFNA(VLOOKUP($M103,Buff.CM!$A:$O,15,FALSE),"")</f>
        <v>Buff.Desc.Electric</v>
      </c>
      <c r="Q103" s="34" t="b">
        <v>0</v>
      </c>
      <c r="R103" s="34" t="b">
        <v>0</v>
      </c>
    </row>
    <row r="104" spans="1:18" s="13" customFormat="1" ht="33">
      <c r="A104" s="34" t="s">
        <v>2533</v>
      </c>
      <c r="B104" s="34"/>
      <c r="C104" s="34"/>
      <c r="D104" s="34">
        <v>7000</v>
      </c>
      <c r="E104" s="34">
        <v>0</v>
      </c>
      <c r="F104" s="34">
        <v>0</v>
      </c>
      <c r="G104" s="40" t="s">
        <v>5871</v>
      </c>
      <c r="H104" s="34"/>
      <c r="I104" s="34" t="b">
        <v>0</v>
      </c>
      <c r="J104" s="34" t="b">
        <v>0</v>
      </c>
      <c r="K104" s="34" t="b">
        <v>0</v>
      </c>
      <c r="L104" s="34" t="s">
        <v>2075</v>
      </c>
      <c r="M104" s="34" t="s">
        <v>6120</v>
      </c>
      <c r="N104" s="34" t="str">
        <f>_xlfn.IFNA(VLOOKUP($M104,Buff.CM!$A:$O,13,FALSE),"")</f>
        <v>icon_battle_shock</v>
      </c>
      <c r="O104" s="34" t="str">
        <f>_xlfn.IFNA(VLOOKUP($M104,Buff.CM!$A:$O,14,FALSE),"")</f>
        <v>Buff.Name.Electric</v>
      </c>
      <c r="P104" s="34" t="str">
        <f>_xlfn.IFNA(VLOOKUP($M104,Buff.CM!$A:$O,15,FALSE),"")</f>
        <v>Buff.Desc.Electric</v>
      </c>
      <c r="Q104" s="34" t="b">
        <v>0</v>
      </c>
      <c r="R104" s="34" t="b">
        <v>0</v>
      </c>
    </row>
    <row r="105" spans="1:18" s="13" customFormat="1">
      <c r="A105" s="23" t="s">
        <v>6595</v>
      </c>
      <c r="B105" s="23"/>
      <c r="C105" s="23"/>
      <c r="D105" s="23">
        <v>1000</v>
      </c>
      <c r="E105" s="23">
        <v>0</v>
      </c>
      <c r="F105" s="23">
        <v>0</v>
      </c>
      <c r="G105" s="39" t="s">
        <v>1589</v>
      </c>
      <c r="H105" s="23"/>
      <c r="I105" s="23" t="b">
        <v>0</v>
      </c>
      <c r="J105" s="23" t="b">
        <v>0</v>
      </c>
      <c r="K105" s="23" t="b">
        <v>0</v>
      </c>
      <c r="L105" s="24" t="s">
        <v>175</v>
      </c>
      <c r="M105" s="24" t="s">
        <v>1589</v>
      </c>
      <c r="N105" s="23" t="str">
        <f>_xlfn.IFNA(VLOOKUP($M105,Buff.CM!$A:$O,13,FALSE),"")</f>
        <v>icon_battle_damageimmune</v>
      </c>
      <c r="O105" s="23" t="str">
        <f>_xlfn.IFNA(VLOOKUP($M105,Buff.CM!$A:$O,14,FALSE),"")</f>
        <v>Buff.Name.Reduce.DotDamage.Down.04</v>
      </c>
      <c r="P105" s="23" t="str">
        <f>_xlfn.IFNA(VLOOKUP($M105,Buff.CM!$A:$O,15,FALSE),"")</f>
        <v>Buff.Desc.Reduce.DotDamage.Down.04</v>
      </c>
      <c r="Q105" s="23" t="b">
        <v>0</v>
      </c>
      <c r="R105" s="23" t="b">
        <v>0</v>
      </c>
    </row>
    <row r="106" spans="1:18" s="13" customFormat="1">
      <c r="A106" s="23" t="s">
        <v>4524</v>
      </c>
      <c r="B106" s="23"/>
      <c r="C106" s="23"/>
      <c r="D106" s="23">
        <v>1000</v>
      </c>
      <c r="E106" s="23">
        <v>0</v>
      </c>
      <c r="F106" s="23">
        <v>0</v>
      </c>
      <c r="G106" s="39" t="s">
        <v>1589</v>
      </c>
      <c r="H106" s="23"/>
      <c r="I106" s="23" t="b">
        <v>0</v>
      </c>
      <c r="J106" s="23" t="b">
        <v>0</v>
      </c>
      <c r="K106" s="23" t="b">
        <v>0</v>
      </c>
      <c r="L106" s="24" t="s">
        <v>175</v>
      </c>
      <c r="M106" s="24" t="s">
        <v>1589</v>
      </c>
      <c r="N106" s="23" t="str">
        <f>_xlfn.IFNA(VLOOKUP($M106,Buff.CM!$A:$O,13,FALSE),"")</f>
        <v>icon_battle_damageimmune</v>
      </c>
      <c r="O106" s="23" t="str">
        <f>_xlfn.IFNA(VLOOKUP($M106,Buff.CM!$A:$O,14,FALSE),"")</f>
        <v>Buff.Name.Reduce.DotDamage.Down.04</v>
      </c>
      <c r="P106" s="23" t="str">
        <f>_xlfn.IFNA(VLOOKUP($M106,Buff.CM!$A:$O,15,FALSE),"")</f>
        <v>Buff.Desc.Reduce.DotDamage.Down.04</v>
      </c>
      <c r="Q106" s="23" t="b">
        <v>0</v>
      </c>
      <c r="R106" s="23" t="b">
        <v>0</v>
      </c>
    </row>
    <row r="107" spans="1:18" s="13" customFormat="1">
      <c r="A107" s="23" t="s">
        <v>4525</v>
      </c>
      <c r="B107" s="23"/>
      <c r="C107" s="23"/>
      <c r="D107" s="23">
        <v>1000</v>
      </c>
      <c r="E107" s="23">
        <v>0</v>
      </c>
      <c r="F107" s="23">
        <v>0</v>
      </c>
      <c r="G107" s="39" t="s">
        <v>1590</v>
      </c>
      <c r="H107" s="23"/>
      <c r="I107" s="23" t="b">
        <v>0</v>
      </c>
      <c r="J107" s="23" t="b">
        <v>0</v>
      </c>
      <c r="K107" s="23" t="b">
        <v>0</v>
      </c>
      <c r="L107" s="24" t="s">
        <v>175</v>
      </c>
      <c r="M107" s="24" t="s">
        <v>1590</v>
      </c>
      <c r="N107" s="23" t="str">
        <f>_xlfn.IFNA(VLOOKUP($M107,Buff.CM!$A:$O,13,FALSE),"")</f>
        <v>icon_battle_damageimmune</v>
      </c>
      <c r="O107" s="23" t="str">
        <f>_xlfn.IFNA(VLOOKUP($M107,Buff.CM!$A:$O,14,FALSE),"")</f>
        <v>Buff.Name.Reduce.DotDamage.Down.05</v>
      </c>
      <c r="P107" s="23" t="str">
        <f>_xlfn.IFNA(VLOOKUP($M107,Buff.CM!$A:$O,15,FALSE),"")</f>
        <v>Buff.Desc.Reduce.DotDamage.Down.05</v>
      </c>
      <c r="Q107" s="23" t="b">
        <v>0</v>
      </c>
      <c r="R107" s="23" t="b">
        <v>0</v>
      </c>
    </row>
    <row r="108" spans="1:18" s="13" customFormat="1">
      <c r="A108" s="23" t="s">
        <v>4526</v>
      </c>
      <c r="B108" s="23"/>
      <c r="C108" s="23"/>
      <c r="D108" s="23">
        <v>1000</v>
      </c>
      <c r="E108" s="23">
        <v>0</v>
      </c>
      <c r="F108" s="23">
        <v>0</v>
      </c>
      <c r="G108" s="39" t="s">
        <v>1590</v>
      </c>
      <c r="H108" s="23"/>
      <c r="I108" s="23" t="b">
        <v>0</v>
      </c>
      <c r="J108" s="23" t="b">
        <v>0</v>
      </c>
      <c r="K108" s="23" t="b">
        <v>0</v>
      </c>
      <c r="L108" s="24" t="s">
        <v>175</v>
      </c>
      <c r="M108" s="24" t="s">
        <v>1590</v>
      </c>
      <c r="N108" s="23" t="str">
        <f>_xlfn.IFNA(VLOOKUP($M108,Buff.CM!$A:$O,13,FALSE),"")</f>
        <v>icon_battle_damageimmune</v>
      </c>
      <c r="O108" s="23" t="str">
        <f>_xlfn.IFNA(VLOOKUP($M108,Buff.CM!$A:$O,14,FALSE),"")</f>
        <v>Buff.Name.Reduce.DotDamage.Down.05</v>
      </c>
      <c r="P108" s="23" t="str">
        <f>_xlfn.IFNA(VLOOKUP($M108,Buff.CM!$A:$O,15,FALSE),"")</f>
        <v>Buff.Desc.Reduce.DotDamage.Down.05</v>
      </c>
      <c r="Q108" s="23" t="b">
        <v>0</v>
      </c>
      <c r="R108" s="23" t="b">
        <v>0</v>
      </c>
    </row>
    <row r="109" spans="1:18" s="13" customFormat="1">
      <c r="A109" s="23" t="s">
        <v>4527</v>
      </c>
      <c r="B109" s="23"/>
      <c r="C109" s="23"/>
      <c r="D109" s="23">
        <v>1000</v>
      </c>
      <c r="E109" s="23">
        <v>0</v>
      </c>
      <c r="F109" s="23">
        <v>0</v>
      </c>
      <c r="G109" s="39" t="s">
        <v>4519</v>
      </c>
      <c r="H109" s="23"/>
      <c r="I109" s="23" t="b">
        <v>0</v>
      </c>
      <c r="J109" s="23" t="b">
        <v>0</v>
      </c>
      <c r="K109" s="23" t="b">
        <v>0</v>
      </c>
      <c r="L109" s="24" t="s">
        <v>175</v>
      </c>
      <c r="M109" s="24" t="s">
        <v>4519</v>
      </c>
      <c r="N109" s="23" t="str">
        <f>_xlfn.IFNA(VLOOKUP($M109,Buff.CM!$A:$O,13,FALSE),"")</f>
        <v>icon_battle_damageimmune</v>
      </c>
      <c r="O109" s="23" t="str">
        <f>_xlfn.IFNA(VLOOKUP($M109,Buff.CM!$A:$O,14,FALSE),"")</f>
        <v>Buff.Name.Reduce.DotDamage.Down.06</v>
      </c>
      <c r="P109" s="23" t="str">
        <f>_xlfn.IFNA(VLOOKUP($M109,Buff.CM!$A:$O,15,FALSE),"")</f>
        <v>Buff.Desc.Reduce.DotDamage.Down.06</v>
      </c>
      <c r="Q109" s="23" t="b">
        <v>0</v>
      </c>
      <c r="R109" s="23" t="b">
        <v>0</v>
      </c>
    </row>
    <row r="110" spans="1:18" s="13" customFormat="1">
      <c r="A110" s="34" t="s">
        <v>4528</v>
      </c>
      <c r="B110" s="34"/>
      <c r="C110" s="34"/>
      <c r="D110" s="34">
        <v>1000</v>
      </c>
      <c r="E110" s="34">
        <v>0</v>
      </c>
      <c r="F110" s="34">
        <v>0</v>
      </c>
      <c r="G110" s="40" t="s">
        <v>4519</v>
      </c>
      <c r="H110" s="34"/>
      <c r="I110" s="34" t="b">
        <v>0</v>
      </c>
      <c r="J110" s="34" t="b">
        <v>0</v>
      </c>
      <c r="K110" s="34" t="b">
        <v>0</v>
      </c>
      <c r="L110" s="24" t="s">
        <v>175</v>
      </c>
      <c r="M110" s="24" t="s">
        <v>4519</v>
      </c>
      <c r="N110" s="34" t="str">
        <f>_xlfn.IFNA(VLOOKUP($M110,Buff.CM!$A:$O,13,FALSE),"")</f>
        <v>icon_battle_damageimmune</v>
      </c>
      <c r="O110" s="34" t="str">
        <f>_xlfn.IFNA(VLOOKUP($M110,Buff.CM!$A:$O,14,FALSE),"")</f>
        <v>Buff.Name.Reduce.DotDamage.Down.06</v>
      </c>
      <c r="P110" s="34" t="str">
        <f>_xlfn.IFNA(VLOOKUP($M110,Buff.CM!$A:$O,15,FALSE),"")</f>
        <v>Buff.Desc.Reduce.DotDamage.Down.06</v>
      </c>
      <c r="Q110" s="34" t="b">
        <v>0</v>
      </c>
      <c r="R110" s="34" t="b">
        <v>0</v>
      </c>
    </row>
    <row r="111" spans="1:18" s="13" customFormat="1">
      <c r="A111" s="34" t="s">
        <v>4529</v>
      </c>
      <c r="B111" s="34"/>
      <c r="C111" s="34"/>
      <c r="D111" s="34">
        <v>1000</v>
      </c>
      <c r="E111" s="34">
        <v>0</v>
      </c>
      <c r="F111" s="34">
        <v>0</v>
      </c>
      <c r="G111" s="40" t="s">
        <v>4519</v>
      </c>
      <c r="H111" s="34"/>
      <c r="I111" s="34" t="b">
        <v>0</v>
      </c>
      <c r="J111" s="34" t="b">
        <v>0</v>
      </c>
      <c r="K111" s="34" t="b">
        <v>0</v>
      </c>
      <c r="L111" s="24" t="s">
        <v>175</v>
      </c>
      <c r="M111" s="24" t="s">
        <v>4519</v>
      </c>
      <c r="N111" s="34" t="str">
        <f>_xlfn.IFNA(VLOOKUP($M111,Buff.CM!$A:$O,13,FALSE),"")</f>
        <v>icon_battle_damageimmune</v>
      </c>
      <c r="O111" s="34" t="str">
        <f>_xlfn.IFNA(VLOOKUP($M111,Buff.CM!$A:$O,14,FALSE),"")</f>
        <v>Buff.Name.Reduce.DotDamage.Down.06</v>
      </c>
      <c r="P111" s="34" t="str">
        <f>_xlfn.IFNA(VLOOKUP($M111,Buff.CM!$A:$O,15,FALSE),"")</f>
        <v>Buff.Desc.Reduce.DotDamage.Down.06</v>
      </c>
      <c r="Q111" s="34" t="b">
        <v>0</v>
      </c>
      <c r="R111" s="34" t="b">
        <v>0</v>
      </c>
    </row>
    <row r="112" spans="1:18" s="13" customFormat="1" ht="33">
      <c r="A112" s="23" t="s">
        <v>2743</v>
      </c>
      <c r="B112" s="23"/>
      <c r="C112" s="23"/>
      <c r="D112" s="23">
        <v>3000</v>
      </c>
      <c r="E112" s="23">
        <v>0</v>
      </c>
      <c r="F112" s="23">
        <v>0</v>
      </c>
      <c r="G112" s="39" t="s">
        <v>6593</v>
      </c>
      <c r="H112" s="23"/>
      <c r="I112" s="23" t="b">
        <v>0</v>
      </c>
      <c r="J112" s="23" t="b">
        <v>0</v>
      </c>
      <c r="K112" s="23" t="b">
        <v>0</v>
      </c>
      <c r="L112" s="23" t="s">
        <v>2075</v>
      </c>
      <c r="M112" s="23" t="s">
        <v>6120</v>
      </c>
      <c r="N112" s="23" t="str">
        <f>_xlfn.IFNA(VLOOKUP($M112,Buff.CM!$A:$O,13,FALSE),"")</f>
        <v>icon_battle_shock</v>
      </c>
      <c r="O112" s="23" t="str">
        <f>_xlfn.IFNA(VLOOKUP($M112,Buff.CM!$A:$O,14,FALSE),"")</f>
        <v>Buff.Name.Electric</v>
      </c>
      <c r="P112" s="23" t="str">
        <f>_xlfn.IFNA(VLOOKUP($M112,Buff.CM!$A:$O,15,FALSE),"")</f>
        <v>Buff.Desc.Electric</v>
      </c>
      <c r="Q112" s="23" t="b">
        <v>0</v>
      </c>
      <c r="R112" s="23" t="b">
        <v>0</v>
      </c>
    </row>
    <row r="113" spans="1:18" s="13" customFormat="1" ht="33">
      <c r="A113" s="23" t="s">
        <v>2744</v>
      </c>
      <c r="B113" s="23"/>
      <c r="C113" s="23"/>
      <c r="D113" s="23">
        <v>3000</v>
      </c>
      <c r="E113" s="23">
        <v>0</v>
      </c>
      <c r="F113" s="23">
        <v>0</v>
      </c>
      <c r="G113" s="39" t="s">
        <v>6594</v>
      </c>
      <c r="H113" s="23"/>
      <c r="I113" s="23" t="b">
        <v>0</v>
      </c>
      <c r="J113" s="23" t="b">
        <v>0</v>
      </c>
      <c r="K113" s="23" t="b">
        <v>0</v>
      </c>
      <c r="L113" s="23" t="s">
        <v>2075</v>
      </c>
      <c r="M113" s="23" t="s">
        <v>6120</v>
      </c>
      <c r="N113" s="23" t="str">
        <f>_xlfn.IFNA(VLOOKUP($M113,Buff.CM!$A:$O,13,FALSE),"")</f>
        <v>icon_battle_shock</v>
      </c>
      <c r="O113" s="23" t="str">
        <f>_xlfn.IFNA(VLOOKUP($M113,Buff.CM!$A:$O,14,FALSE),"")</f>
        <v>Buff.Name.Electric</v>
      </c>
      <c r="P113" s="23" t="str">
        <f>_xlfn.IFNA(VLOOKUP($M113,Buff.CM!$A:$O,15,FALSE),"")</f>
        <v>Buff.Desc.Electric</v>
      </c>
      <c r="Q113" s="23" t="b">
        <v>0</v>
      </c>
      <c r="R113" s="23" t="b">
        <v>0</v>
      </c>
    </row>
    <row r="114" spans="1:18" s="13" customFormat="1" ht="33">
      <c r="A114" s="23" t="s">
        <v>2745</v>
      </c>
      <c r="B114" s="23"/>
      <c r="C114" s="23"/>
      <c r="D114" s="23">
        <v>3000</v>
      </c>
      <c r="E114" s="23">
        <v>0</v>
      </c>
      <c r="F114" s="23">
        <v>0</v>
      </c>
      <c r="G114" s="39" t="s">
        <v>6594</v>
      </c>
      <c r="H114" s="23"/>
      <c r="I114" s="23" t="b">
        <v>0</v>
      </c>
      <c r="J114" s="23" t="b">
        <v>0</v>
      </c>
      <c r="K114" s="23" t="b">
        <v>0</v>
      </c>
      <c r="L114" s="23" t="s">
        <v>2075</v>
      </c>
      <c r="M114" s="23" t="s">
        <v>6120</v>
      </c>
      <c r="N114" s="23" t="str">
        <f>_xlfn.IFNA(VLOOKUP($M114,Buff.CM!$A:$O,13,FALSE),"")</f>
        <v>icon_battle_shock</v>
      </c>
      <c r="O114" s="23" t="str">
        <f>_xlfn.IFNA(VLOOKUP($M114,Buff.CM!$A:$O,14,FALSE),"")</f>
        <v>Buff.Name.Electric</v>
      </c>
      <c r="P114" s="23" t="str">
        <f>_xlfn.IFNA(VLOOKUP($M114,Buff.CM!$A:$O,15,FALSE),"")</f>
        <v>Buff.Desc.Electric</v>
      </c>
      <c r="Q114" s="23" t="b">
        <v>0</v>
      </c>
      <c r="R114" s="23" t="b">
        <v>0</v>
      </c>
    </row>
    <row r="115" spans="1:18" s="13" customFormat="1" ht="33">
      <c r="A115" s="23" t="s">
        <v>2746</v>
      </c>
      <c r="B115" s="23"/>
      <c r="C115" s="23"/>
      <c r="D115" s="23">
        <v>3000</v>
      </c>
      <c r="E115" s="23">
        <v>0</v>
      </c>
      <c r="F115" s="23">
        <v>0</v>
      </c>
      <c r="G115" s="39" t="s">
        <v>5871</v>
      </c>
      <c r="H115" s="23"/>
      <c r="I115" s="23" t="b">
        <v>0</v>
      </c>
      <c r="J115" s="23" t="b">
        <v>0</v>
      </c>
      <c r="K115" s="23" t="b">
        <v>0</v>
      </c>
      <c r="L115" s="23" t="s">
        <v>2075</v>
      </c>
      <c r="M115" s="23" t="s">
        <v>6120</v>
      </c>
      <c r="N115" s="23" t="str">
        <f>_xlfn.IFNA(VLOOKUP($M115,Buff.CM!$A:$O,13,FALSE),"")</f>
        <v>icon_battle_shock</v>
      </c>
      <c r="O115" s="23" t="str">
        <f>_xlfn.IFNA(VLOOKUP($M115,Buff.CM!$A:$O,14,FALSE),"")</f>
        <v>Buff.Name.Electric</v>
      </c>
      <c r="P115" s="23" t="str">
        <f>_xlfn.IFNA(VLOOKUP($M115,Buff.CM!$A:$O,15,FALSE),"")</f>
        <v>Buff.Desc.Electric</v>
      </c>
      <c r="Q115" s="23" t="b">
        <v>0</v>
      </c>
      <c r="R115" s="23" t="b">
        <v>0</v>
      </c>
    </row>
    <row r="116" spans="1:18" s="13" customFormat="1" ht="33">
      <c r="A116" s="23" t="s">
        <v>2747</v>
      </c>
      <c r="B116" s="23"/>
      <c r="C116" s="23"/>
      <c r="D116" s="23">
        <v>3000</v>
      </c>
      <c r="E116" s="23">
        <v>0</v>
      </c>
      <c r="F116" s="23">
        <v>0</v>
      </c>
      <c r="G116" s="39" t="s">
        <v>5871</v>
      </c>
      <c r="H116" s="23"/>
      <c r="I116" s="23" t="b">
        <v>0</v>
      </c>
      <c r="J116" s="23" t="b">
        <v>0</v>
      </c>
      <c r="K116" s="23" t="b">
        <v>0</v>
      </c>
      <c r="L116" s="23" t="s">
        <v>2075</v>
      </c>
      <c r="M116" s="23" t="s">
        <v>6120</v>
      </c>
      <c r="N116" s="23" t="str">
        <f>_xlfn.IFNA(VLOOKUP($M116,Buff.CM!$A:$O,13,FALSE),"")</f>
        <v>icon_battle_shock</v>
      </c>
      <c r="O116" s="23" t="str">
        <f>_xlfn.IFNA(VLOOKUP($M116,Buff.CM!$A:$O,14,FALSE),"")</f>
        <v>Buff.Name.Electric</v>
      </c>
      <c r="P116" s="23" t="str">
        <f>_xlfn.IFNA(VLOOKUP($M116,Buff.CM!$A:$O,15,FALSE),"")</f>
        <v>Buff.Desc.Electric</v>
      </c>
      <c r="Q116" s="23" t="b">
        <v>0</v>
      </c>
      <c r="R116" s="23" t="b">
        <v>0</v>
      </c>
    </row>
    <row r="117" spans="1:18" s="13" customFormat="1" ht="33">
      <c r="A117" s="34" t="s">
        <v>2748</v>
      </c>
      <c r="B117" s="34"/>
      <c r="C117" s="34"/>
      <c r="D117" s="34">
        <v>6700</v>
      </c>
      <c r="E117" s="34">
        <v>0</v>
      </c>
      <c r="F117" s="34">
        <v>0</v>
      </c>
      <c r="G117" s="40" t="s">
        <v>5871</v>
      </c>
      <c r="H117" s="34"/>
      <c r="I117" s="34" t="b">
        <v>0</v>
      </c>
      <c r="J117" s="34" t="b">
        <v>0</v>
      </c>
      <c r="K117" s="34" t="b">
        <v>0</v>
      </c>
      <c r="L117" s="34" t="s">
        <v>2075</v>
      </c>
      <c r="M117" s="34" t="s">
        <v>6120</v>
      </c>
      <c r="N117" s="34" t="str">
        <f>_xlfn.IFNA(VLOOKUP($M117,Buff.CM!$A:$O,13,FALSE),"")</f>
        <v>icon_battle_shock</v>
      </c>
      <c r="O117" s="34" t="str">
        <f>_xlfn.IFNA(VLOOKUP($M117,Buff.CM!$A:$O,14,FALSE),"")</f>
        <v>Buff.Name.Electric</v>
      </c>
      <c r="P117" s="34" t="str">
        <f>_xlfn.IFNA(VLOOKUP($M117,Buff.CM!$A:$O,15,FALSE),"")</f>
        <v>Buff.Desc.Electric</v>
      </c>
      <c r="Q117" s="34" t="b">
        <v>0</v>
      </c>
      <c r="R117" s="34" t="b">
        <v>0</v>
      </c>
    </row>
    <row r="118" spans="1:18" s="13" customFormat="1" ht="33">
      <c r="A118" s="34" t="s">
        <v>2749</v>
      </c>
      <c r="B118" s="34"/>
      <c r="C118" s="34"/>
      <c r="D118" s="34">
        <v>7200</v>
      </c>
      <c r="E118" s="34">
        <v>0</v>
      </c>
      <c r="F118" s="34">
        <v>0</v>
      </c>
      <c r="G118" s="40" t="s">
        <v>5871</v>
      </c>
      <c r="H118" s="34"/>
      <c r="I118" s="34" t="b">
        <v>0</v>
      </c>
      <c r="J118" s="34" t="b">
        <v>0</v>
      </c>
      <c r="K118" s="34" t="b">
        <v>0</v>
      </c>
      <c r="L118" s="34" t="s">
        <v>2075</v>
      </c>
      <c r="M118" s="34" t="s">
        <v>6120</v>
      </c>
      <c r="N118" s="34" t="str">
        <f>_xlfn.IFNA(VLOOKUP($M118,Buff.CM!$A:$O,13,FALSE),"")</f>
        <v>icon_battle_shock</v>
      </c>
      <c r="O118" s="34" t="str">
        <f>_xlfn.IFNA(VLOOKUP($M118,Buff.CM!$A:$O,14,FALSE),"")</f>
        <v>Buff.Name.Electric</v>
      </c>
      <c r="P118" s="34" t="str">
        <f>_xlfn.IFNA(VLOOKUP($M118,Buff.CM!$A:$O,15,FALSE),"")</f>
        <v>Buff.Desc.Electric</v>
      </c>
      <c r="Q118" s="34" t="b">
        <v>0</v>
      </c>
      <c r="R118" s="34" t="b">
        <v>0</v>
      </c>
    </row>
    <row r="119" spans="1:18" s="13" customFormat="1">
      <c r="A119" s="24" t="s">
        <v>2077</v>
      </c>
      <c r="B119" s="24"/>
      <c r="C119" s="24"/>
      <c r="D119" s="24">
        <v>3000</v>
      </c>
      <c r="E119" s="24">
        <v>0</v>
      </c>
      <c r="F119" s="24">
        <v>0</v>
      </c>
      <c r="G119" s="38" t="s">
        <v>243</v>
      </c>
      <c r="H119" s="24"/>
      <c r="I119" s="24" t="b">
        <v>0</v>
      </c>
      <c r="J119" s="24" t="b">
        <v>0</v>
      </c>
      <c r="K119" s="24" t="b">
        <v>0</v>
      </c>
      <c r="L119" s="24" t="s">
        <v>314</v>
      </c>
      <c r="M119" s="24" t="s">
        <v>5468</v>
      </c>
      <c r="N119" s="24" t="str">
        <f>_xlfn.IFNA(VLOOKUP($M119,Buff.CM!$A:$O,13,FALSE),"")</f>
        <v>icon_battle_stun</v>
      </c>
      <c r="O119" s="24" t="str">
        <f>_xlfn.IFNA(VLOOKUP($M119,Buff.CM!$A:$O,14,FALSE),"")</f>
        <v>Buff.Name.Stun</v>
      </c>
      <c r="P119" s="24" t="str">
        <f>_xlfn.IFNA(VLOOKUP($M119,Buff.CM!$A:$O,15,FALSE),"")</f>
        <v>Buff.Desc.Stun</v>
      </c>
      <c r="Q119" s="24" t="b">
        <v>0</v>
      </c>
      <c r="R119" s="24" t="b">
        <v>0</v>
      </c>
    </row>
    <row r="120" spans="1:18" s="13" customFormat="1">
      <c r="A120" s="24" t="s">
        <v>2078</v>
      </c>
      <c r="B120" s="24"/>
      <c r="C120" s="24"/>
      <c r="D120" s="24">
        <v>3000</v>
      </c>
      <c r="E120" s="24">
        <v>0</v>
      </c>
      <c r="F120" s="24">
        <v>0</v>
      </c>
      <c r="G120" s="38" t="s">
        <v>243</v>
      </c>
      <c r="H120" s="24"/>
      <c r="I120" s="24" t="b">
        <v>0</v>
      </c>
      <c r="J120" s="24" t="b">
        <v>0</v>
      </c>
      <c r="K120" s="24" t="b">
        <v>0</v>
      </c>
      <c r="L120" s="24" t="s">
        <v>314</v>
      </c>
      <c r="M120" s="24" t="s">
        <v>5468</v>
      </c>
      <c r="N120" s="24" t="str">
        <f>_xlfn.IFNA(VLOOKUP($M120,Buff.CM!$A:$O,13,FALSE),"")</f>
        <v>icon_battle_stun</v>
      </c>
      <c r="O120" s="24" t="str">
        <f>_xlfn.IFNA(VLOOKUP($M120,Buff.CM!$A:$O,14,FALSE),"")</f>
        <v>Buff.Name.Stun</v>
      </c>
      <c r="P120" s="24" t="str">
        <f>_xlfn.IFNA(VLOOKUP($M120,Buff.CM!$A:$O,15,FALSE),"")</f>
        <v>Buff.Desc.Stun</v>
      </c>
      <c r="Q120" s="24" t="b">
        <v>0</v>
      </c>
      <c r="R120" s="24" t="b">
        <v>0</v>
      </c>
    </row>
    <row r="121" spans="1:18" s="13" customFormat="1">
      <c r="A121" s="24" t="s">
        <v>2079</v>
      </c>
      <c r="B121" s="24"/>
      <c r="C121" s="24"/>
      <c r="D121" s="24">
        <v>3000</v>
      </c>
      <c r="E121" s="24">
        <v>0</v>
      </c>
      <c r="F121" s="24">
        <v>0</v>
      </c>
      <c r="G121" s="38" t="s">
        <v>243</v>
      </c>
      <c r="H121" s="24"/>
      <c r="I121" s="24" t="b">
        <v>0</v>
      </c>
      <c r="J121" s="24" t="b">
        <v>0</v>
      </c>
      <c r="K121" s="24" t="b">
        <v>0</v>
      </c>
      <c r="L121" s="24" t="s">
        <v>314</v>
      </c>
      <c r="M121" s="24" t="s">
        <v>5468</v>
      </c>
      <c r="N121" s="24" t="str">
        <f>_xlfn.IFNA(VLOOKUP($M121,Buff.CM!$A:$O,13,FALSE),"")</f>
        <v>icon_battle_stun</v>
      </c>
      <c r="O121" s="24" t="str">
        <f>_xlfn.IFNA(VLOOKUP($M121,Buff.CM!$A:$O,14,FALSE),"")</f>
        <v>Buff.Name.Stun</v>
      </c>
      <c r="P121" s="24" t="str">
        <f>_xlfn.IFNA(VLOOKUP($M121,Buff.CM!$A:$O,15,FALSE),"")</f>
        <v>Buff.Desc.Stun</v>
      </c>
      <c r="Q121" s="24" t="b">
        <v>0</v>
      </c>
      <c r="R121" s="24" t="b">
        <v>0</v>
      </c>
    </row>
    <row r="122" spans="1:18" s="13" customFormat="1">
      <c r="A122" s="34" t="s">
        <v>2080</v>
      </c>
      <c r="B122" s="34"/>
      <c r="C122" s="34"/>
      <c r="D122" s="34">
        <v>4000</v>
      </c>
      <c r="E122" s="34">
        <v>0</v>
      </c>
      <c r="F122" s="34">
        <v>0</v>
      </c>
      <c r="G122" s="40" t="s">
        <v>243</v>
      </c>
      <c r="H122" s="34"/>
      <c r="I122" s="34" t="b">
        <v>0</v>
      </c>
      <c r="J122" s="34" t="b">
        <v>0</v>
      </c>
      <c r="K122" s="34" t="b">
        <v>0</v>
      </c>
      <c r="L122" s="34" t="s">
        <v>314</v>
      </c>
      <c r="M122" s="34" t="s">
        <v>5468</v>
      </c>
      <c r="N122" s="34" t="str">
        <f>_xlfn.IFNA(VLOOKUP($M122,Buff.CM!$A:$O,13,FALSE),"")</f>
        <v>icon_battle_stun</v>
      </c>
      <c r="O122" s="34" t="str">
        <f>_xlfn.IFNA(VLOOKUP($M122,Buff.CM!$A:$O,14,FALSE),"")</f>
        <v>Buff.Name.Stun</v>
      </c>
      <c r="P122" s="34" t="str">
        <f>_xlfn.IFNA(VLOOKUP($M122,Buff.CM!$A:$O,15,FALSE),"")</f>
        <v>Buff.Desc.Stun</v>
      </c>
      <c r="Q122" s="34" t="b">
        <v>0</v>
      </c>
      <c r="R122" s="34" t="b">
        <v>0</v>
      </c>
    </row>
    <row r="123" spans="1:18" s="13" customFormat="1">
      <c r="A123" s="34" t="s">
        <v>2534</v>
      </c>
      <c r="B123" s="34"/>
      <c r="C123" s="34"/>
      <c r="D123" s="34">
        <v>4000</v>
      </c>
      <c r="E123" s="34">
        <v>0</v>
      </c>
      <c r="F123" s="34">
        <v>0</v>
      </c>
      <c r="G123" s="40" t="s">
        <v>243</v>
      </c>
      <c r="H123" s="34"/>
      <c r="I123" s="34" t="b">
        <v>0</v>
      </c>
      <c r="J123" s="34" t="b">
        <v>0</v>
      </c>
      <c r="K123" s="34" t="b">
        <v>0</v>
      </c>
      <c r="L123" s="34" t="s">
        <v>314</v>
      </c>
      <c r="M123" s="34" t="s">
        <v>5468</v>
      </c>
      <c r="N123" s="34" t="str">
        <f>_xlfn.IFNA(VLOOKUP($M123,Buff.CM!$A:$O,13,FALSE),"")</f>
        <v>icon_battle_stun</v>
      </c>
      <c r="O123" s="34" t="str">
        <f>_xlfn.IFNA(VLOOKUP($M123,Buff.CM!$A:$O,14,FALSE),"")</f>
        <v>Buff.Name.Stun</v>
      </c>
      <c r="P123" s="34" t="str">
        <f>_xlfn.IFNA(VLOOKUP($M123,Buff.CM!$A:$O,15,FALSE),"")</f>
        <v>Buff.Desc.Stun</v>
      </c>
      <c r="Q123" s="34" t="b">
        <v>0</v>
      </c>
      <c r="R123" s="34" t="b">
        <v>0</v>
      </c>
    </row>
    <row r="124" spans="1:18" s="13" customFormat="1">
      <c r="A124" s="34" t="s">
        <v>2535</v>
      </c>
      <c r="B124" s="34"/>
      <c r="C124" s="34"/>
      <c r="D124" s="34">
        <v>4000</v>
      </c>
      <c r="E124" s="34">
        <v>0</v>
      </c>
      <c r="F124" s="34">
        <v>0</v>
      </c>
      <c r="G124" s="40" t="s">
        <v>243</v>
      </c>
      <c r="H124" s="34"/>
      <c r="I124" s="34" t="b">
        <v>0</v>
      </c>
      <c r="J124" s="34" t="b">
        <v>0</v>
      </c>
      <c r="K124" s="34" t="b">
        <v>0</v>
      </c>
      <c r="L124" s="34" t="s">
        <v>314</v>
      </c>
      <c r="M124" s="34" t="s">
        <v>5468</v>
      </c>
      <c r="N124" s="34" t="str">
        <f>_xlfn.IFNA(VLOOKUP($M124,Buff.CM!$A:$O,13,FALSE),"")</f>
        <v>icon_battle_stun</v>
      </c>
      <c r="O124" s="34" t="str">
        <f>_xlfn.IFNA(VLOOKUP($M124,Buff.CM!$A:$O,14,FALSE),"")</f>
        <v>Buff.Name.Stun</v>
      </c>
      <c r="P124" s="34" t="str">
        <f>_xlfn.IFNA(VLOOKUP($M124,Buff.CM!$A:$O,15,FALSE),"")</f>
        <v>Buff.Desc.Stun</v>
      </c>
      <c r="Q124" s="34" t="b">
        <v>0</v>
      </c>
      <c r="R124" s="34" t="b">
        <v>0</v>
      </c>
    </row>
    <row r="125" spans="1:18" s="13" customFormat="1">
      <c r="A125" s="23" t="s">
        <v>6596</v>
      </c>
      <c r="B125" s="23"/>
      <c r="C125" s="23"/>
      <c r="D125" s="23">
        <v>0</v>
      </c>
      <c r="E125" s="23">
        <v>0</v>
      </c>
      <c r="F125" s="23">
        <v>0</v>
      </c>
      <c r="G125" s="39" t="s">
        <v>2092</v>
      </c>
      <c r="H125" s="23"/>
      <c r="I125" s="23" t="b">
        <v>0</v>
      </c>
      <c r="J125" s="23" t="b">
        <v>0</v>
      </c>
      <c r="K125" s="23" t="b">
        <v>1</v>
      </c>
      <c r="L125" s="23"/>
      <c r="M125" s="23"/>
      <c r="N125" s="23" t="str">
        <f>_xlfn.IFNA(VLOOKUP($M125,Buff.CM!$A:$O,13,FALSE),"")</f>
        <v/>
      </c>
      <c r="O125" s="23" t="str">
        <f>_xlfn.IFNA(VLOOKUP($M125,Buff.CM!$A:$O,14,FALSE),"")</f>
        <v/>
      </c>
      <c r="P125" s="23" t="str">
        <f>_xlfn.IFNA(VLOOKUP($M125,Buff.CM!$A:$O,15,FALSE),"")</f>
        <v/>
      </c>
      <c r="Q125" s="23" t="b">
        <v>0</v>
      </c>
      <c r="R125" s="23" t="b">
        <v>0</v>
      </c>
    </row>
    <row r="126" spans="1:18" s="13" customFormat="1">
      <c r="A126" s="23" t="s">
        <v>2087</v>
      </c>
      <c r="B126" s="23"/>
      <c r="C126" s="23"/>
      <c r="D126" s="23">
        <v>0</v>
      </c>
      <c r="E126" s="23">
        <v>0</v>
      </c>
      <c r="F126" s="23">
        <v>0</v>
      </c>
      <c r="G126" s="39" t="s">
        <v>2093</v>
      </c>
      <c r="H126" s="23"/>
      <c r="I126" s="23" t="b">
        <v>0</v>
      </c>
      <c r="J126" s="23" t="b">
        <v>0</v>
      </c>
      <c r="K126" s="23" t="b">
        <v>1</v>
      </c>
      <c r="L126" s="23"/>
      <c r="M126" s="23"/>
      <c r="N126" s="23" t="str">
        <f>_xlfn.IFNA(VLOOKUP($M126,Buff.CM!$A:$O,13,FALSE),"")</f>
        <v/>
      </c>
      <c r="O126" s="23" t="str">
        <f>_xlfn.IFNA(VLOOKUP($M126,Buff.CM!$A:$O,14,FALSE),"")</f>
        <v/>
      </c>
      <c r="P126" s="23" t="str">
        <f>_xlfn.IFNA(VLOOKUP($M126,Buff.CM!$A:$O,15,FALSE),"")</f>
        <v/>
      </c>
      <c r="Q126" s="23" t="b">
        <v>0</v>
      </c>
      <c r="R126" s="23" t="b">
        <v>0</v>
      </c>
    </row>
    <row r="127" spans="1:18" s="13" customFormat="1">
      <c r="A127" s="23" t="s">
        <v>2088</v>
      </c>
      <c r="B127" s="23"/>
      <c r="C127" s="23"/>
      <c r="D127" s="23">
        <v>0</v>
      </c>
      <c r="E127" s="23">
        <v>0</v>
      </c>
      <c r="F127" s="23">
        <v>0</v>
      </c>
      <c r="G127" s="39" t="s">
        <v>2094</v>
      </c>
      <c r="H127" s="23"/>
      <c r="I127" s="23" t="b">
        <v>0</v>
      </c>
      <c r="J127" s="23" t="b">
        <v>0</v>
      </c>
      <c r="K127" s="23" t="b">
        <v>1</v>
      </c>
      <c r="L127" s="23"/>
      <c r="M127" s="23"/>
      <c r="N127" s="23" t="str">
        <f>_xlfn.IFNA(VLOOKUP($M127,Buff.CM!$A:$O,13,FALSE),"")</f>
        <v/>
      </c>
      <c r="O127" s="23" t="str">
        <f>_xlfn.IFNA(VLOOKUP($M127,Buff.CM!$A:$O,14,FALSE),"")</f>
        <v/>
      </c>
      <c r="P127" s="23" t="str">
        <f>_xlfn.IFNA(VLOOKUP($M127,Buff.CM!$A:$O,15,FALSE),"")</f>
        <v/>
      </c>
      <c r="Q127" s="23" t="b">
        <v>0</v>
      </c>
      <c r="R127" s="23" t="b">
        <v>0</v>
      </c>
    </row>
    <row r="128" spans="1:18" s="13" customFormat="1">
      <c r="A128" s="34" t="s">
        <v>2089</v>
      </c>
      <c r="B128" s="34"/>
      <c r="C128" s="34"/>
      <c r="D128" s="34">
        <v>0</v>
      </c>
      <c r="E128" s="34">
        <v>0</v>
      </c>
      <c r="F128" s="34">
        <v>0</v>
      </c>
      <c r="G128" s="40" t="s">
        <v>2095</v>
      </c>
      <c r="H128" s="34"/>
      <c r="I128" s="34" t="b">
        <v>0</v>
      </c>
      <c r="J128" s="34" t="b">
        <v>0</v>
      </c>
      <c r="K128" s="34" t="b">
        <v>1</v>
      </c>
      <c r="L128" s="34"/>
      <c r="M128" s="34"/>
      <c r="N128" s="34" t="str">
        <f>_xlfn.IFNA(VLOOKUP($M128,Buff.CM!$A:$O,13,FALSE),"")</f>
        <v/>
      </c>
      <c r="O128" s="34" t="str">
        <f>_xlfn.IFNA(VLOOKUP($M128,Buff.CM!$A:$O,14,FALSE),"")</f>
        <v/>
      </c>
      <c r="P128" s="34" t="str">
        <f>_xlfn.IFNA(VLOOKUP($M128,Buff.CM!$A:$O,15,FALSE),"")</f>
        <v/>
      </c>
      <c r="Q128" s="34" t="b">
        <v>0</v>
      </c>
      <c r="R128" s="34" t="b">
        <v>0</v>
      </c>
    </row>
    <row r="129" spans="1:18" s="13" customFormat="1">
      <c r="A129" s="34" t="s">
        <v>2090</v>
      </c>
      <c r="B129" s="34"/>
      <c r="C129" s="34"/>
      <c r="D129" s="34">
        <v>0</v>
      </c>
      <c r="E129" s="34">
        <v>0</v>
      </c>
      <c r="F129" s="34">
        <v>0</v>
      </c>
      <c r="G129" s="40" t="s">
        <v>2096</v>
      </c>
      <c r="H129" s="34"/>
      <c r="I129" s="34" t="b">
        <v>0</v>
      </c>
      <c r="J129" s="34" t="b">
        <v>0</v>
      </c>
      <c r="K129" s="34" t="b">
        <v>1</v>
      </c>
      <c r="L129" s="34"/>
      <c r="M129" s="34"/>
      <c r="N129" s="34" t="str">
        <f>_xlfn.IFNA(VLOOKUP($M129,Buff.CM!$A:$O,13,FALSE),"")</f>
        <v/>
      </c>
      <c r="O129" s="34" t="str">
        <f>_xlfn.IFNA(VLOOKUP($M129,Buff.CM!$A:$O,14,FALSE),"")</f>
        <v/>
      </c>
      <c r="P129" s="34" t="str">
        <f>_xlfn.IFNA(VLOOKUP($M129,Buff.CM!$A:$O,15,FALSE),"")</f>
        <v/>
      </c>
      <c r="Q129" s="34" t="b">
        <v>0</v>
      </c>
      <c r="R129" s="34" t="b">
        <v>0</v>
      </c>
    </row>
    <row r="130" spans="1:18" s="13" customFormat="1">
      <c r="A130" s="34" t="s">
        <v>2091</v>
      </c>
      <c r="B130" s="34"/>
      <c r="C130" s="34"/>
      <c r="D130" s="34">
        <v>0</v>
      </c>
      <c r="E130" s="34">
        <v>0</v>
      </c>
      <c r="F130" s="34">
        <v>0</v>
      </c>
      <c r="G130" s="40" t="s">
        <v>2097</v>
      </c>
      <c r="H130" s="34"/>
      <c r="I130" s="34" t="b">
        <v>0</v>
      </c>
      <c r="J130" s="34" t="b">
        <v>0</v>
      </c>
      <c r="K130" s="34" t="b">
        <v>1</v>
      </c>
      <c r="L130" s="34"/>
      <c r="M130" s="34"/>
      <c r="N130" s="34" t="str">
        <f>_xlfn.IFNA(VLOOKUP($M130,Buff.CM!$A:$O,13,FALSE),"")</f>
        <v/>
      </c>
      <c r="O130" s="34" t="str">
        <f>_xlfn.IFNA(VLOOKUP($M130,Buff.CM!$A:$O,14,FALSE),"")</f>
        <v/>
      </c>
      <c r="P130" s="34" t="str">
        <f>_xlfn.IFNA(VLOOKUP($M130,Buff.CM!$A:$O,15,FALSE),"")</f>
        <v/>
      </c>
      <c r="Q130" s="34" t="b">
        <v>0</v>
      </c>
      <c r="R130" s="34" t="b">
        <v>0</v>
      </c>
    </row>
    <row r="131" spans="1:18" ht="33">
      <c r="A131" s="24" t="s">
        <v>2081</v>
      </c>
      <c r="B131" s="24"/>
      <c r="C131" s="24"/>
      <c r="D131" s="24">
        <v>4000</v>
      </c>
      <c r="E131" s="24">
        <v>0</v>
      </c>
      <c r="F131" s="24">
        <v>0</v>
      </c>
      <c r="G131" s="38" t="s">
        <v>6593</v>
      </c>
      <c r="H131" s="24"/>
      <c r="I131" s="24" t="b">
        <v>0</v>
      </c>
      <c r="J131" s="24" t="b">
        <v>0</v>
      </c>
      <c r="K131" s="24" t="b">
        <v>0</v>
      </c>
      <c r="L131" s="24" t="s">
        <v>2075</v>
      </c>
      <c r="M131" s="24" t="s">
        <v>6120</v>
      </c>
      <c r="N131" s="24" t="str">
        <f>_xlfn.IFNA(VLOOKUP($M131,Buff.CM!$A:$O,13,FALSE),"")</f>
        <v>icon_battle_shock</v>
      </c>
      <c r="O131" s="24" t="str">
        <f>_xlfn.IFNA(VLOOKUP($M131,Buff.CM!$A:$O,14,FALSE),"")</f>
        <v>Buff.Name.Electric</v>
      </c>
      <c r="P131" s="24" t="str">
        <f>_xlfn.IFNA(VLOOKUP($M131,Buff.CM!$A:$O,15,FALSE),"")</f>
        <v>Buff.Desc.Electric</v>
      </c>
      <c r="Q131" s="24" t="b">
        <v>0</v>
      </c>
      <c r="R131" s="24" t="b">
        <v>0</v>
      </c>
    </row>
    <row r="132" spans="1:18" ht="33">
      <c r="A132" s="24" t="s">
        <v>2082</v>
      </c>
      <c r="B132" s="24"/>
      <c r="C132" s="24"/>
      <c r="D132" s="24">
        <v>5000</v>
      </c>
      <c r="E132" s="24">
        <v>0</v>
      </c>
      <c r="F132" s="24">
        <v>0</v>
      </c>
      <c r="G132" s="38" t="s">
        <v>6594</v>
      </c>
      <c r="H132" s="24"/>
      <c r="I132" s="24" t="b">
        <v>0</v>
      </c>
      <c r="J132" s="24" t="b">
        <v>0</v>
      </c>
      <c r="K132" s="24" t="b">
        <v>0</v>
      </c>
      <c r="L132" s="24" t="s">
        <v>2075</v>
      </c>
      <c r="M132" s="24" t="s">
        <v>6120</v>
      </c>
      <c r="N132" s="24" t="str">
        <f>_xlfn.IFNA(VLOOKUP($M132,Buff.CM!$A:$O,13,FALSE),"")</f>
        <v>icon_battle_shock</v>
      </c>
      <c r="O132" s="24" t="str">
        <f>_xlfn.IFNA(VLOOKUP($M132,Buff.CM!$A:$O,14,FALSE),"")</f>
        <v>Buff.Name.Electric</v>
      </c>
      <c r="P132" s="24" t="str">
        <f>_xlfn.IFNA(VLOOKUP($M132,Buff.CM!$A:$O,15,FALSE),"")</f>
        <v>Buff.Desc.Electric</v>
      </c>
      <c r="Q132" s="24" t="b">
        <v>0</v>
      </c>
      <c r="R132" s="24" t="b">
        <v>0</v>
      </c>
    </row>
    <row r="133" spans="1:18" ht="33">
      <c r="A133" s="24" t="s">
        <v>2083</v>
      </c>
      <c r="B133" s="24"/>
      <c r="C133" s="24"/>
      <c r="D133" s="24">
        <v>5000</v>
      </c>
      <c r="E133" s="24">
        <v>0</v>
      </c>
      <c r="F133" s="24">
        <v>0</v>
      </c>
      <c r="G133" s="38" t="s">
        <v>6594</v>
      </c>
      <c r="H133" s="24"/>
      <c r="I133" s="24" t="b">
        <v>0</v>
      </c>
      <c r="J133" s="24" t="b">
        <v>0</v>
      </c>
      <c r="K133" s="24" t="b">
        <v>0</v>
      </c>
      <c r="L133" s="24" t="s">
        <v>2075</v>
      </c>
      <c r="M133" s="24" t="s">
        <v>6120</v>
      </c>
      <c r="N133" s="24" t="str">
        <f>_xlfn.IFNA(VLOOKUP($M133,Buff.CM!$A:$O,13,FALSE),"")</f>
        <v>icon_battle_shock</v>
      </c>
      <c r="O133" s="24" t="str">
        <f>_xlfn.IFNA(VLOOKUP($M133,Buff.CM!$A:$O,14,FALSE),"")</f>
        <v>Buff.Name.Electric</v>
      </c>
      <c r="P133" s="24" t="str">
        <f>_xlfn.IFNA(VLOOKUP($M133,Buff.CM!$A:$O,15,FALSE),"")</f>
        <v>Buff.Desc.Electric</v>
      </c>
      <c r="Q133" s="24" t="b">
        <v>0</v>
      </c>
      <c r="R133" s="24" t="b">
        <v>0</v>
      </c>
    </row>
    <row r="134" spans="1:18" ht="33">
      <c r="A134" s="34" t="s">
        <v>2084</v>
      </c>
      <c r="B134" s="34"/>
      <c r="C134" s="34"/>
      <c r="D134" s="34">
        <v>6000</v>
      </c>
      <c r="E134" s="34">
        <v>0</v>
      </c>
      <c r="F134" s="34">
        <v>0</v>
      </c>
      <c r="G134" s="40" t="s">
        <v>5871</v>
      </c>
      <c r="H134" s="34"/>
      <c r="I134" s="34" t="b">
        <v>0</v>
      </c>
      <c r="J134" s="34" t="b">
        <v>0</v>
      </c>
      <c r="K134" s="34" t="b">
        <v>0</v>
      </c>
      <c r="L134" s="34" t="s">
        <v>2075</v>
      </c>
      <c r="M134" s="34" t="s">
        <v>6120</v>
      </c>
      <c r="N134" s="34" t="str">
        <f>_xlfn.IFNA(VLOOKUP($M134,Buff.CM!$A:$O,13,FALSE),"")</f>
        <v>icon_battle_shock</v>
      </c>
      <c r="O134" s="34" t="str">
        <f>_xlfn.IFNA(VLOOKUP($M134,Buff.CM!$A:$O,14,FALSE),"")</f>
        <v>Buff.Name.Electric</v>
      </c>
      <c r="P134" s="34" t="str">
        <f>_xlfn.IFNA(VLOOKUP($M134,Buff.CM!$A:$O,15,FALSE),"")</f>
        <v>Buff.Desc.Electric</v>
      </c>
      <c r="Q134" s="34" t="b">
        <v>0</v>
      </c>
      <c r="R134" s="34" t="b">
        <v>0</v>
      </c>
    </row>
    <row r="135" spans="1:18" ht="33">
      <c r="A135" s="34" t="s">
        <v>2085</v>
      </c>
      <c r="B135" s="34"/>
      <c r="C135" s="34"/>
      <c r="D135" s="34">
        <v>12000</v>
      </c>
      <c r="E135" s="34">
        <v>0</v>
      </c>
      <c r="F135" s="34">
        <v>0</v>
      </c>
      <c r="G135" s="40" t="s">
        <v>6593</v>
      </c>
      <c r="H135" s="34"/>
      <c r="I135" s="34" t="b">
        <v>0</v>
      </c>
      <c r="J135" s="34" t="b">
        <v>0</v>
      </c>
      <c r="K135" s="34" t="b">
        <v>0</v>
      </c>
      <c r="L135" s="34" t="s">
        <v>2075</v>
      </c>
      <c r="M135" s="34" t="s">
        <v>6120</v>
      </c>
      <c r="N135" s="34" t="str">
        <f>_xlfn.IFNA(VLOOKUP($M135,Buff.CM!$A:$O,13,FALSE),"")</f>
        <v>icon_battle_shock</v>
      </c>
      <c r="O135" s="34" t="str">
        <f>_xlfn.IFNA(VLOOKUP($M135,Buff.CM!$A:$O,14,FALSE),"")</f>
        <v>Buff.Name.Electric</v>
      </c>
      <c r="P135" s="34" t="str">
        <f>_xlfn.IFNA(VLOOKUP($M135,Buff.CM!$A:$O,15,FALSE),"")</f>
        <v>Buff.Desc.Electric</v>
      </c>
      <c r="Q135" s="34" t="b">
        <v>0</v>
      </c>
      <c r="R135" s="34" t="b">
        <v>0</v>
      </c>
    </row>
    <row r="136" spans="1:18" ht="33">
      <c r="A136" s="34" t="s">
        <v>2086</v>
      </c>
      <c r="B136" s="34"/>
      <c r="C136" s="34"/>
      <c r="D136" s="34">
        <v>12000</v>
      </c>
      <c r="E136" s="34">
        <v>0</v>
      </c>
      <c r="F136" s="34">
        <v>0</v>
      </c>
      <c r="G136" s="40" t="s">
        <v>6593</v>
      </c>
      <c r="H136" s="34"/>
      <c r="I136" s="34" t="b">
        <v>0</v>
      </c>
      <c r="J136" s="34" t="b">
        <v>0</v>
      </c>
      <c r="K136" s="34" t="b">
        <v>0</v>
      </c>
      <c r="L136" s="34" t="s">
        <v>2075</v>
      </c>
      <c r="M136" s="34" t="s">
        <v>6120</v>
      </c>
      <c r="N136" s="34" t="str">
        <f>_xlfn.IFNA(VLOOKUP($M136,Buff.CM!$A:$O,13,FALSE),"")</f>
        <v>icon_battle_shock</v>
      </c>
      <c r="O136" s="34" t="str">
        <f>_xlfn.IFNA(VLOOKUP($M136,Buff.CM!$A:$O,14,FALSE),"")</f>
        <v>Buff.Name.Electric</v>
      </c>
      <c r="P136" s="34" t="str">
        <f>_xlfn.IFNA(VLOOKUP($M136,Buff.CM!$A:$O,15,FALSE),"")</f>
        <v>Buff.Desc.Electric</v>
      </c>
      <c r="Q136" s="34" t="b">
        <v>0</v>
      </c>
      <c r="R136" s="34" t="b">
        <v>0</v>
      </c>
    </row>
    <row r="137" spans="1:18">
      <c r="A137" s="23" t="s">
        <v>446</v>
      </c>
      <c r="B137" s="23"/>
      <c r="C137" s="23"/>
      <c r="D137" s="23">
        <v>0</v>
      </c>
      <c r="E137" s="23">
        <v>0</v>
      </c>
      <c r="F137" s="23">
        <v>0</v>
      </c>
      <c r="G137" s="23" t="s">
        <v>447</v>
      </c>
      <c r="H137" s="23"/>
      <c r="I137" s="23" t="b">
        <v>0</v>
      </c>
      <c r="J137" s="23" t="b">
        <v>1</v>
      </c>
      <c r="K137" s="23" t="b">
        <v>1</v>
      </c>
      <c r="L137" s="23"/>
      <c r="M137" s="23"/>
      <c r="N137" s="23" t="str">
        <f>_xlfn.IFNA(VLOOKUP($M137,Buff.CM!$A:$O,13,FALSE),"")</f>
        <v/>
      </c>
      <c r="O137" s="23" t="str">
        <f>_xlfn.IFNA(VLOOKUP($M137,Buff.CM!$A:$O,14,FALSE),"")</f>
        <v/>
      </c>
      <c r="P137" s="23" t="str">
        <f>_xlfn.IFNA(VLOOKUP($M137,Buff.CM!$A:$O,15,FALSE),"")</f>
        <v/>
      </c>
      <c r="Q137" s="23" t="b">
        <v>0</v>
      </c>
      <c r="R137" s="23" t="b">
        <v>0</v>
      </c>
    </row>
    <row r="138" spans="1:18">
      <c r="A138" s="23" t="s">
        <v>448</v>
      </c>
      <c r="B138" s="23"/>
      <c r="C138" s="23"/>
      <c r="D138" s="23">
        <v>0</v>
      </c>
      <c r="E138" s="23">
        <v>0</v>
      </c>
      <c r="F138" s="23">
        <v>0</v>
      </c>
      <c r="G138" s="23" t="s">
        <v>449</v>
      </c>
      <c r="H138" s="23"/>
      <c r="I138" s="23" t="b">
        <v>0</v>
      </c>
      <c r="J138" s="23" t="b">
        <v>1</v>
      </c>
      <c r="K138" s="23" t="b">
        <v>1</v>
      </c>
      <c r="L138" s="23"/>
      <c r="M138" s="23"/>
      <c r="N138" s="23" t="str">
        <f>_xlfn.IFNA(VLOOKUP($M138,Buff.CM!$A:$O,13,FALSE),"")</f>
        <v/>
      </c>
      <c r="O138" s="23" t="str">
        <f>_xlfn.IFNA(VLOOKUP($M138,Buff.CM!$A:$O,14,FALSE),"")</f>
        <v/>
      </c>
      <c r="P138" s="23" t="str">
        <f>_xlfn.IFNA(VLOOKUP($M138,Buff.CM!$A:$O,15,FALSE),"")</f>
        <v/>
      </c>
      <c r="Q138" s="23" t="b">
        <v>0</v>
      </c>
      <c r="R138" s="23" t="b">
        <v>0</v>
      </c>
    </row>
    <row r="139" spans="1:18">
      <c r="A139" s="23" t="s">
        <v>450</v>
      </c>
      <c r="B139" s="23"/>
      <c r="C139" s="23"/>
      <c r="D139" s="23">
        <v>0</v>
      </c>
      <c r="E139" s="23">
        <v>0</v>
      </c>
      <c r="F139" s="23">
        <v>0</v>
      </c>
      <c r="G139" s="23" t="s">
        <v>451</v>
      </c>
      <c r="H139" s="23"/>
      <c r="I139" s="23" t="b">
        <v>0</v>
      </c>
      <c r="J139" s="23" t="b">
        <v>1</v>
      </c>
      <c r="K139" s="23" t="b">
        <v>1</v>
      </c>
      <c r="L139" s="23"/>
      <c r="M139" s="23"/>
      <c r="N139" s="23" t="str">
        <f>_xlfn.IFNA(VLOOKUP($M139,Buff.CM!$A:$O,13,FALSE),"")</f>
        <v/>
      </c>
      <c r="O139" s="23" t="str">
        <f>_xlfn.IFNA(VLOOKUP($M139,Buff.CM!$A:$O,14,FALSE),"")</f>
        <v/>
      </c>
      <c r="P139" s="23" t="str">
        <f>_xlfn.IFNA(VLOOKUP($M139,Buff.CM!$A:$O,15,FALSE),"")</f>
        <v/>
      </c>
      <c r="Q139" s="23" t="b">
        <v>0</v>
      </c>
      <c r="R139" s="23" t="b">
        <v>0</v>
      </c>
    </row>
    <row r="140" spans="1:18">
      <c r="A140" s="34" t="s">
        <v>452</v>
      </c>
      <c r="B140" s="34"/>
      <c r="C140" s="34"/>
      <c r="D140" s="34">
        <v>0</v>
      </c>
      <c r="E140" s="34">
        <v>0</v>
      </c>
      <c r="F140" s="34">
        <v>0</v>
      </c>
      <c r="G140" s="34" t="s">
        <v>453</v>
      </c>
      <c r="H140" s="34"/>
      <c r="I140" s="34" t="b">
        <v>0</v>
      </c>
      <c r="J140" s="23" t="b">
        <v>1</v>
      </c>
      <c r="K140" s="34" t="b">
        <v>1</v>
      </c>
      <c r="L140" s="34"/>
      <c r="M140" s="34"/>
      <c r="N140" s="34" t="str">
        <f>_xlfn.IFNA(VLOOKUP($M140,Buff.CM!$A:$O,13,FALSE),"")</f>
        <v/>
      </c>
      <c r="O140" s="34" t="str">
        <f>_xlfn.IFNA(VLOOKUP($M140,Buff.CM!$A:$O,14,FALSE),"")</f>
        <v/>
      </c>
      <c r="P140" s="34" t="str">
        <f>_xlfn.IFNA(VLOOKUP($M140,Buff.CM!$A:$O,15,FALSE),"")</f>
        <v/>
      </c>
      <c r="Q140" s="34" t="b">
        <v>0</v>
      </c>
      <c r="R140" s="34" t="b">
        <v>0</v>
      </c>
    </row>
    <row r="141" spans="1:18">
      <c r="A141" s="34" t="s">
        <v>454</v>
      </c>
      <c r="B141" s="34"/>
      <c r="C141" s="34"/>
      <c r="D141" s="34">
        <v>0</v>
      </c>
      <c r="E141" s="34">
        <v>0</v>
      </c>
      <c r="F141" s="34">
        <v>0</v>
      </c>
      <c r="G141" s="34" t="s">
        <v>455</v>
      </c>
      <c r="H141" s="34"/>
      <c r="I141" s="34" t="b">
        <v>0</v>
      </c>
      <c r="J141" s="23" t="b">
        <v>1</v>
      </c>
      <c r="K141" s="34" t="b">
        <v>1</v>
      </c>
      <c r="L141" s="34"/>
      <c r="M141" s="34"/>
      <c r="N141" s="34" t="str">
        <f>_xlfn.IFNA(VLOOKUP($M141,Buff.CM!$A:$O,13,FALSE),"")</f>
        <v/>
      </c>
      <c r="O141" s="34" t="str">
        <f>_xlfn.IFNA(VLOOKUP($M141,Buff.CM!$A:$O,14,FALSE),"")</f>
        <v/>
      </c>
      <c r="P141" s="34" t="str">
        <f>_xlfn.IFNA(VLOOKUP($M141,Buff.CM!$A:$O,15,FALSE),"")</f>
        <v/>
      </c>
      <c r="Q141" s="34" t="b">
        <v>0</v>
      </c>
      <c r="R141" s="34" t="b">
        <v>0</v>
      </c>
    </row>
    <row r="142" spans="1:18">
      <c r="A142" s="34" t="s">
        <v>456</v>
      </c>
      <c r="B142" s="34"/>
      <c r="C142" s="34"/>
      <c r="D142" s="34">
        <v>0</v>
      </c>
      <c r="E142" s="34">
        <v>0</v>
      </c>
      <c r="F142" s="34">
        <v>0</v>
      </c>
      <c r="G142" s="34" t="s">
        <v>457</v>
      </c>
      <c r="H142" s="34"/>
      <c r="I142" s="34" t="b">
        <v>0</v>
      </c>
      <c r="J142" s="23" t="b">
        <v>1</v>
      </c>
      <c r="K142" s="34" t="b">
        <v>1</v>
      </c>
      <c r="L142" s="34"/>
      <c r="M142" s="34"/>
      <c r="N142" s="34" t="str">
        <f>_xlfn.IFNA(VLOOKUP($M142,Buff.CM!$A:$O,13,FALSE),"")</f>
        <v/>
      </c>
      <c r="O142" s="34" t="str">
        <f>_xlfn.IFNA(VLOOKUP($M142,Buff.CM!$A:$O,14,FALSE),"")</f>
        <v/>
      </c>
      <c r="P142" s="34" t="str">
        <f>_xlfn.IFNA(VLOOKUP($M142,Buff.CM!$A:$O,15,FALSE),"")</f>
        <v/>
      </c>
      <c r="Q142" s="34" t="b">
        <v>0</v>
      </c>
      <c r="R142" s="34" t="b">
        <v>0</v>
      </c>
    </row>
    <row r="143" spans="1:18">
      <c r="A143" s="24" t="s">
        <v>2110</v>
      </c>
      <c r="B143" s="24"/>
      <c r="C143" s="24"/>
      <c r="D143" s="24">
        <v>2000</v>
      </c>
      <c r="E143" s="24">
        <v>0</v>
      </c>
      <c r="F143" s="24">
        <v>0</v>
      </c>
      <c r="G143" s="24" t="s">
        <v>2116</v>
      </c>
      <c r="H143" s="24"/>
      <c r="I143" s="24" t="b">
        <v>0</v>
      </c>
      <c r="J143" s="23" t="b">
        <v>1</v>
      </c>
      <c r="K143" s="24" t="b">
        <v>1</v>
      </c>
      <c r="L143" s="24" t="s">
        <v>317</v>
      </c>
      <c r="M143" s="24" t="s">
        <v>5461</v>
      </c>
      <c r="N143" s="24" t="str">
        <f>_xlfn.IFNA(VLOOKUP($M143,Buff.CM!$A:$O,13,FALSE),"")</f>
        <v>icon_battle_shield</v>
      </c>
      <c r="O143" s="24" t="str">
        <f>_xlfn.IFNA(VLOOKUP($M143,Buff.CM!$A:$O,14,FALSE),"")</f>
        <v>Buff.Name.Shield</v>
      </c>
      <c r="P143" s="24" t="str">
        <f>_xlfn.IFNA(VLOOKUP($M143,Buff.CM!$A:$O,15,FALSE),"")</f>
        <v>Buff.Desc.Shield</v>
      </c>
      <c r="Q143" s="24" t="b">
        <v>0</v>
      </c>
      <c r="R143" s="24" t="b">
        <v>0</v>
      </c>
    </row>
    <row r="144" spans="1:18">
      <c r="A144" s="24" t="s">
        <v>2111</v>
      </c>
      <c r="B144" s="24"/>
      <c r="C144" s="24"/>
      <c r="D144" s="24">
        <v>2500</v>
      </c>
      <c r="E144" s="24">
        <v>0</v>
      </c>
      <c r="F144" s="24">
        <v>0</v>
      </c>
      <c r="G144" s="24" t="s">
        <v>2117</v>
      </c>
      <c r="H144" s="24"/>
      <c r="I144" s="24" t="b">
        <v>0</v>
      </c>
      <c r="J144" s="23" t="b">
        <v>1</v>
      </c>
      <c r="K144" s="24" t="b">
        <v>1</v>
      </c>
      <c r="L144" s="24" t="s">
        <v>317</v>
      </c>
      <c r="M144" s="24" t="s">
        <v>5461</v>
      </c>
      <c r="N144" s="24" t="str">
        <f>_xlfn.IFNA(VLOOKUP($M144,Buff.CM!$A:$O,13,FALSE),"")</f>
        <v>icon_battle_shield</v>
      </c>
      <c r="O144" s="24" t="str">
        <f>_xlfn.IFNA(VLOOKUP($M144,Buff.CM!$A:$O,14,FALSE),"")</f>
        <v>Buff.Name.Shield</v>
      </c>
      <c r="P144" s="24" t="str">
        <f>_xlfn.IFNA(VLOOKUP($M144,Buff.CM!$A:$O,15,FALSE),"")</f>
        <v>Buff.Desc.Shield</v>
      </c>
      <c r="Q144" s="24" t="b">
        <v>0</v>
      </c>
      <c r="R144" s="24" t="b">
        <v>0</v>
      </c>
    </row>
    <row r="145" spans="1:18">
      <c r="A145" s="24" t="s">
        <v>2112</v>
      </c>
      <c r="B145" s="24"/>
      <c r="C145" s="24"/>
      <c r="D145" s="24">
        <v>2500</v>
      </c>
      <c r="E145" s="24">
        <v>0</v>
      </c>
      <c r="F145" s="24">
        <v>0</v>
      </c>
      <c r="G145" s="24" t="s">
        <v>2118</v>
      </c>
      <c r="H145" s="24"/>
      <c r="I145" s="24" t="b">
        <v>0</v>
      </c>
      <c r="J145" s="23" t="b">
        <v>1</v>
      </c>
      <c r="K145" s="24" t="b">
        <v>1</v>
      </c>
      <c r="L145" s="24" t="s">
        <v>317</v>
      </c>
      <c r="M145" s="24" t="s">
        <v>5461</v>
      </c>
      <c r="N145" s="24" t="str">
        <f>_xlfn.IFNA(VLOOKUP($M145,Buff.CM!$A:$O,13,FALSE),"")</f>
        <v>icon_battle_shield</v>
      </c>
      <c r="O145" s="24" t="str">
        <f>_xlfn.IFNA(VLOOKUP($M145,Buff.CM!$A:$O,14,FALSE),"")</f>
        <v>Buff.Name.Shield</v>
      </c>
      <c r="P145" s="24" t="str">
        <f>_xlfn.IFNA(VLOOKUP($M145,Buff.CM!$A:$O,15,FALSE),"")</f>
        <v>Buff.Desc.Shield</v>
      </c>
      <c r="Q145" s="24" t="b">
        <v>0</v>
      </c>
      <c r="R145" s="24" t="b">
        <v>0</v>
      </c>
    </row>
    <row r="146" spans="1:18">
      <c r="A146" s="34" t="s">
        <v>2113</v>
      </c>
      <c r="B146" s="34"/>
      <c r="C146" s="34"/>
      <c r="D146" s="34">
        <v>3000</v>
      </c>
      <c r="E146" s="34">
        <v>0</v>
      </c>
      <c r="F146" s="34">
        <v>0</v>
      </c>
      <c r="G146" s="34" t="s">
        <v>2119</v>
      </c>
      <c r="H146" s="34"/>
      <c r="I146" s="34" t="b">
        <v>0</v>
      </c>
      <c r="J146" s="23" t="b">
        <v>1</v>
      </c>
      <c r="K146" s="34" t="b">
        <v>1</v>
      </c>
      <c r="L146" s="34" t="s">
        <v>317</v>
      </c>
      <c r="M146" s="34" t="s">
        <v>5461</v>
      </c>
      <c r="N146" s="34" t="str">
        <f>_xlfn.IFNA(VLOOKUP($M146,Buff.CM!$A:$O,13,FALSE),"")</f>
        <v>icon_battle_shield</v>
      </c>
      <c r="O146" s="34" t="str">
        <f>_xlfn.IFNA(VLOOKUP($M146,Buff.CM!$A:$O,14,FALSE),"")</f>
        <v>Buff.Name.Shield</v>
      </c>
      <c r="P146" s="34" t="str">
        <f>_xlfn.IFNA(VLOOKUP($M146,Buff.CM!$A:$O,15,FALSE),"")</f>
        <v>Buff.Desc.Shield</v>
      </c>
      <c r="Q146" s="34" t="b">
        <v>0</v>
      </c>
      <c r="R146" s="34" t="b">
        <v>0</v>
      </c>
    </row>
    <row r="147" spans="1:18">
      <c r="A147" s="34" t="s">
        <v>2114</v>
      </c>
      <c r="B147" s="34"/>
      <c r="C147" s="34"/>
      <c r="D147" s="34">
        <v>3000</v>
      </c>
      <c r="E147" s="34">
        <v>0</v>
      </c>
      <c r="F147" s="34">
        <v>0</v>
      </c>
      <c r="G147" s="34" t="s">
        <v>2120</v>
      </c>
      <c r="H147" s="34"/>
      <c r="I147" s="34" t="b">
        <v>0</v>
      </c>
      <c r="J147" s="23" t="b">
        <v>1</v>
      </c>
      <c r="K147" s="34" t="b">
        <v>1</v>
      </c>
      <c r="L147" s="34" t="s">
        <v>317</v>
      </c>
      <c r="M147" s="34" t="s">
        <v>5461</v>
      </c>
      <c r="N147" s="34" t="str">
        <f>_xlfn.IFNA(VLOOKUP($M147,Buff.CM!$A:$O,13,FALSE),"")</f>
        <v>icon_battle_shield</v>
      </c>
      <c r="O147" s="34" t="str">
        <f>_xlfn.IFNA(VLOOKUP($M147,Buff.CM!$A:$O,14,FALSE),"")</f>
        <v>Buff.Name.Shield</v>
      </c>
      <c r="P147" s="34" t="str">
        <f>_xlfn.IFNA(VLOOKUP($M147,Buff.CM!$A:$O,15,FALSE),"")</f>
        <v>Buff.Desc.Shield</v>
      </c>
      <c r="Q147" s="34" t="b">
        <v>0</v>
      </c>
      <c r="R147" s="34" t="b">
        <v>0</v>
      </c>
    </row>
    <row r="148" spans="1:18">
      <c r="A148" s="34" t="s">
        <v>2115</v>
      </c>
      <c r="B148" s="34"/>
      <c r="C148" s="34"/>
      <c r="D148" s="34">
        <v>2000</v>
      </c>
      <c r="E148" s="34">
        <v>0</v>
      </c>
      <c r="F148" s="34">
        <v>0</v>
      </c>
      <c r="G148" s="34" t="s">
        <v>2121</v>
      </c>
      <c r="H148" s="34"/>
      <c r="I148" s="34" t="b">
        <v>0</v>
      </c>
      <c r="J148" s="23" t="b">
        <v>1</v>
      </c>
      <c r="K148" s="34" t="b">
        <v>1</v>
      </c>
      <c r="L148" s="34" t="s">
        <v>317</v>
      </c>
      <c r="M148" s="34" t="s">
        <v>5461</v>
      </c>
      <c r="N148" s="34" t="str">
        <f>_xlfn.IFNA(VLOOKUP($M148,Buff.CM!$A:$O,13,FALSE),"")</f>
        <v>icon_battle_shield</v>
      </c>
      <c r="O148" s="34" t="str">
        <f>_xlfn.IFNA(VLOOKUP($M148,Buff.CM!$A:$O,14,FALSE),"")</f>
        <v>Buff.Name.Shield</v>
      </c>
      <c r="P148" s="34" t="str">
        <f>_xlfn.IFNA(VLOOKUP($M148,Buff.CM!$A:$O,15,FALSE),"")</f>
        <v>Buff.Desc.Shield</v>
      </c>
      <c r="Q148" s="34" t="b">
        <v>0</v>
      </c>
      <c r="R148" s="34" t="b">
        <v>0</v>
      </c>
    </row>
    <row r="149" spans="1:18" ht="115.5">
      <c r="A149" s="23" t="s">
        <v>6597</v>
      </c>
      <c r="B149" s="23"/>
      <c r="C149" s="23"/>
      <c r="D149" s="23">
        <v>0</v>
      </c>
      <c r="E149" s="23">
        <v>0</v>
      </c>
      <c r="F149" s="23">
        <v>0</v>
      </c>
      <c r="G149" s="39" t="s">
        <v>6598</v>
      </c>
      <c r="H149" s="23"/>
      <c r="I149" s="23" t="b">
        <v>0</v>
      </c>
      <c r="J149" s="23" t="b">
        <v>1</v>
      </c>
      <c r="K149" s="23" t="b">
        <v>1</v>
      </c>
      <c r="L149" s="23"/>
      <c r="M149" s="23"/>
      <c r="N149" s="23" t="str">
        <f>_xlfn.IFNA(VLOOKUP($M149,Buff.CM!$A:$O,13,FALSE),"")</f>
        <v/>
      </c>
      <c r="O149" s="23" t="str">
        <f>_xlfn.IFNA(VLOOKUP($M149,Buff.CM!$A:$O,14,FALSE),"")</f>
        <v/>
      </c>
      <c r="P149" s="23" t="str">
        <f>_xlfn.IFNA(VLOOKUP($M149,Buff.CM!$A:$O,15,FALSE),"")</f>
        <v/>
      </c>
      <c r="Q149" s="23" t="b">
        <v>0</v>
      </c>
      <c r="R149" s="23" t="b">
        <v>0</v>
      </c>
    </row>
    <row r="150" spans="1:18" ht="115.5">
      <c r="A150" s="23" t="s">
        <v>2122</v>
      </c>
      <c r="B150" s="23"/>
      <c r="C150" s="23"/>
      <c r="D150" s="23">
        <v>0</v>
      </c>
      <c r="E150" s="23">
        <v>0</v>
      </c>
      <c r="F150" s="23">
        <v>0</v>
      </c>
      <c r="G150" s="39" t="s">
        <v>5816</v>
      </c>
      <c r="H150" s="23"/>
      <c r="I150" s="23" t="b">
        <v>0</v>
      </c>
      <c r="J150" s="23" t="b">
        <v>1</v>
      </c>
      <c r="K150" s="23" t="b">
        <v>1</v>
      </c>
      <c r="L150" s="23"/>
      <c r="M150" s="23"/>
      <c r="N150" s="23" t="str">
        <f>_xlfn.IFNA(VLOOKUP($M150,Buff.CM!$A:$O,13,FALSE),"")</f>
        <v/>
      </c>
      <c r="O150" s="23" t="str">
        <f>_xlfn.IFNA(VLOOKUP($M150,Buff.CM!$A:$O,14,FALSE),"")</f>
        <v/>
      </c>
      <c r="P150" s="23" t="str">
        <f>_xlfn.IFNA(VLOOKUP($M150,Buff.CM!$A:$O,15,FALSE),"")</f>
        <v/>
      </c>
      <c r="Q150" s="23" t="b">
        <v>0</v>
      </c>
      <c r="R150" s="23" t="b">
        <v>0</v>
      </c>
    </row>
    <row r="151" spans="1:18" ht="115.5">
      <c r="A151" s="23" t="s">
        <v>3215</v>
      </c>
      <c r="B151" s="23"/>
      <c r="C151" s="23"/>
      <c r="D151" s="23">
        <v>0</v>
      </c>
      <c r="E151" s="23">
        <v>0</v>
      </c>
      <c r="F151" s="23">
        <v>0</v>
      </c>
      <c r="G151" s="39" t="s">
        <v>5817</v>
      </c>
      <c r="H151" s="23"/>
      <c r="I151" s="23" t="b">
        <v>0</v>
      </c>
      <c r="J151" s="23" t="b">
        <v>1</v>
      </c>
      <c r="K151" s="23" t="b">
        <v>1</v>
      </c>
      <c r="L151" s="23"/>
      <c r="M151" s="23"/>
      <c r="N151" s="23" t="str">
        <f>_xlfn.IFNA(VLOOKUP($M151,Buff.CM!$A:$O,13,FALSE),"")</f>
        <v/>
      </c>
      <c r="O151" s="23" t="str">
        <f>_xlfn.IFNA(VLOOKUP($M151,Buff.CM!$A:$O,14,FALSE),"")</f>
        <v/>
      </c>
      <c r="P151" s="23" t="str">
        <f>_xlfn.IFNA(VLOOKUP($M151,Buff.CM!$A:$O,15,FALSE),"")</f>
        <v/>
      </c>
      <c r="Q151" s="23" t="b">
        <v>0</v>
      </c>
      <c r="R151" s="23" t="b">
        <v>0</v>
      </c>
    </row>
    <row r="152" spans="1:18">
      <c r="A152" s="24" t="s">
        <v>6599</v>
      </c>
      <c r="B152" s="24"/>
      <c r="C152" s="24"/>
      <c r="D152" s="24">
        <v>0</v>
      </c>
      <c r="E152" s="24">
        <v>0</v>
      </c>
      <c r="F152" s="24">
        <v>0</v>
      </c>
      <c r="G152" s="24" t="s">
        <v>2511</v>
      </c>
      <c r="H152" s="24"/>
      <c r="I152" s="24" t="b">
        <v>0</v>
      </c>
      <c r="J152" s="23" t="b">
        <v>1</v>
      </c>
      <c r="K152" s="24" t="b">
        <v>1</v>
      </c>
      <c r="L152" s="24"/>
      <c r="M152" s="24"/>
      <c r="N152" s="24" t="str">
        <f>_xlfn.IFNA(VLOOKUP($M152,Buff.CM!$A:$O,13,FALSE),"")</f>
        <v/>
      </c>
      <c r="O152" s="24" t="str">
        <f>_xlfn.IFNA(VLOOKUP($M152,Buff.CM!$A:$O,14,FALSE),"")</f>
        <v/>
      </c>
      <c r="P152" s="24" t="str">
        <f>_xlfn.IFNA(VLOOKUP($M152,Buff.CM!$A:$O,15,FALSE),"")</f>
        <v/>
      </c>
      <c r="Q152" s="24" t="b">
        <v>0</v>
      </c>
      <c r="R152" s="24" t="b">
        <v>0</v>
      </c>
    </row>
    <row r="153" spans="1:18">
      <c r="A153" s="24" t="s">
        <v>2505</v>
      </c>
      <c r="B153" s="24"/>
      <c r="C153" s="24"/>
      <c r="D153" s="24">
        <v>0</v>
      </c>
      <c r="E153" s="24">
        <v>0</v>
      </c>
      <c r="F153" s="24">
        <v>0</v>
      </c>
      <c r="G153" s="24" t="s">
        <v>2512</v>
      </c>
      <c r="H153" s="24"/>
      <c r="I153" s="24" t="b">
        <v>0</v>
      </c>
      <c r="J153" s="23" t="b">
        <v>1</v>
      </c>
      <c r="K153" s="24" t="b">
        <v>1</v>
      </c>
      <c r="L153" s="24"/>
      <c r="M153" s="24"/>
      <c r="N153" s="24" t="str">
        <f>_xlfn.IFNA(VLOOKUP($M153,Buff.CM!$A:$O,13,FALSE),"")</f>
        <v/>
      </c>
      <c r="O153" s="24" t="str">
        <f>_xlfn.IFNA(VLOOKUP($M153,Buff.CM!$A:$O,14,FALSE),"")</f>
        <v/>
      </c>
      <c r="P153" s="24" t="str">
        <f>_xlfn.IFNA(VLOOKUP($M153,Buff.CM!$A:$O,15,FALSE),"")</f>
        <v/>
      </c>
      <c r="Q153" s="24" t="b">
        <v>0</v>
      </c>
      <c r="R153" s="24" t="b">
        <v>0</v>
      </c>
    </row>
    <row r="154" spans="1:18">
      <c r="A154" s="24" t="s">
        <v>2506</v>
      </c>
      <c r="B154" s="24"/>
      <c r="C154" s="24"/>
      <c r="D154" s="24">
        <v>0</v>
      </c>
      <c r="E154" s="24">
        <v>0</v>
      </c>
      <c r="F154" s="24">
        <v>0</v>
      </c>
      <c r="G154" s="24" t="s">
        <v>2513</v>
      </c>
      <c r="H154" s="24"/>
      <c r="I154" s="24" t="b">
        <v>0</v>
      </c>
      <c r="J154" s="23" t="b">
        <v>1</v>
      </c>
      <c r="K154" s="24" t="b">
        <v>1</v>
      </c>
      <c r="L154" s="24"/>
      <c r="M154" s="24"/>
      <c r="N154" s="24" t="str">
        <f>_xlfn.IFNA(VLOOKUP($M154,Buff.CM!$A:$O,13,FALSE),"")</f>
        <v/>
      </c>
      <c r="O154" s="24" t="str">
        <f>_xlfn.IFNA(VLOOKUP($M154,Buff.CM!$A:$O,14,FALSE),"")</f>
        <v/>
      </c>
      <c r="P154" s="24" t="str">
        <f>_xlfn.IFNA(VLOOKUP($M154,Buff.CM!$A:$O,15,FALSE),"")</f>
        <v/>
      </c>
      <c r="Q154" s="24" t="b">
        <v>0</v>
      </c>
      <c r="R154" s="24" t="b">
        <v>0</v>
      </c>
    </row>
    <row r="155" spans="1:18">
      <c r="A155" s="24" t="s">
        <v>2507</v>
      </c>
      <c r="B155" s="24"/>
      <c r="C155" s="24"/>
      <c r="D155" s="24">
        <v>0</v>
      </c>
      <c r="E155" s="24">
        <v>0</v>
      </c>
      <c r="F155" s="24">
        <v>0</v>
      </c>
      <c r="G155" s="24" t="s">
        <v>2514</v>
      </c>
      <c r="H155" s="24"/>
      <c r="I155" s="24" t="b">
        <v>0</v>
      </c>
      <c r="J155" s="23" t="b">
        <v>1</v>
      </c>
      <c r="K155" s="24" t="b">
        <v>1</v>
      </c>
      <c r="L155" s="24"/>
      <c r="M155" s="24"/>
      <c r="N155" s="24" t="str">
        <f>_xlfn.IFNA(VLOOKUP($M155,Buff.CM!$A:$O,13,FALSE),"")</f>
        <v/>
      </c>
      <c r="O155" s="24" t="str">
        <f>_xlfn.IFNA(VLOOKUP($M155,Buff.CM!$A:$O,14,FALSE),"")</f>
        <v/>
      </c>
      <c r="P155" s="24" t="str">
        <f>_xlfn.IFNA(VLOOKUP($M155,Buff.CM!$A:$O,15,FALSE),"")</f>
        <v/>
      </c>
      <c r="Q155" s="24" t="b">
        <v>0</v>
      </c>
      <c r="R155" s="24" t="b">
        <v>0</v>
      </c>
    </row>
    <row r="156" spans="1:18">
      <c r="A156" s="24" t="s">
        <v>2508</v>
      </c>
      <c r="B156" s="24"/>
      <c r="C156" s="24"/>
      <c r="D156" s="24">
        <v>0</v>
      </c>
      <c r="E156" s="24">
        <v>0</v>
      </c>
      <c r="F156" s="24">
        <v>0</v>
      </c>
      <c r="G156" s="24" t="s">
        <v>2515</v>
      </c>
      <c r="H156" s="24"/>
      <c r="I156" s="24" t="b">
        <v>0</v>
      </c>
      <c r="J156" s="23" t="b">
        <v>1</v>
      </c>
      <c r="K156" s="24" t="b">
        <v>1</v>
      </c>
      <c r="L156" s="24"/>
      <c r="M156" s="24"/>
      <c r="N156" s="24" t="str">
        <f>_xlfn.IFNA(VLOOKUP($M156,Buff.CM!$A:$O,13,FALSE),"")</f>
        <v/>
      </c>
      <c r="O156" s="24" t="str">
        <f>_xlfn.IFNA(VLOOKUP($M156,Buff.CM!$A:$O,14,FALSE),"")</f>
        <v/>
      </c>
      <c r="P156" s="24" t="str">
        <f>_xlfn.IFNA(VLOOKUP($M156,Buff.CM!$A:$O,15,FALSE),"")</f>
        <v/>
      </c>
      <c r="Q156" s="24" t="b">
        <v>0</v>
      </c>
      <c r="R156" s="24" t="b">
        <v>0</v>
      </c>
    </row>
    <row r="157" spans="1:18">
      <c r="A157" s="24" t="s">
        <v>2509</v>
      </c>
      <c r="B157" s="24"/>
      <c r="C157" s="24"/>
      <c r="D157" s="24">
        <v>0</v>
      </c>
      <c r="E157" s="24">
        <v>0</v>
      </c>
      <c r="F157" s="24">
        <v>0</v>
      </c>
      <c r="G157" s="24" t="s">
        <v>2516</v>
      </c>
      <c r="H157" s="24"/>
      <c r="I157" s="24" t="b">
        <v>0</v>
      </c>
      <c r="J157" s="23" t="b">
        <v>1</v>
      </c>
      <c r="K157" s="24" t="b">
        <v>1</v>
      </c>
      <c r="L157" s="24"/>
      <c r="M157" s="24"/>
      <c r="N157" s="24" t="str">
        <f>_xlfn.IFNA(VLOOKUP($M157,Buff.CM!$A:$O,13,FALSE),"")</f>
        <v/>
      </c>
      <c r="O157" s="24" t="str">
        <f>_xlfn.IFNA(VLOOKUP($M157,Buff.CM!$A:$O,14,FALSE),"")</f>
        <v/>
      </c>
      <c r="P157" s="24" t="str">
        <f>_xlfn.IFNA(VLOOKUP($M157,Buff.CM!$A:$O,15,FALSE),"")</f>
        <v/>
      </c>
      <c r="Q157" s="24" t="b">
        <v>0</v>
      </c>
      <c r="R157" s="24" t="b">
        <v>0</v>
      </c>
    </row>
    <row r="158" spans="1:18">
      <c r="A158" s="24" t="s">
        <v>2510</v>
      </c>
      <c r="B158" s="24"/>
      <c r="C158" s="24"/>
      <c r="D158" s="24">
        <v>0</v>
      </c>
      <c r="E158" s="24">
        <v>0</v>
      </c>
      <c r="F158" s="24">
        <v>0</v>
      </c>
      <c r="G158" s="24" t="s">
        <v>2517</v>
      </c>
      <c r="H158" s="24"/>
      <c r="I158" s="24" t="b">
        <v>0</v>
      </c>
      <c r="J158" s="23" t="b">
        <v>1</v>
      </c>
      <c r="K158" s="24" t="b">
        <v>1</v>
      </c>
      <c r="L158" s="24"/>
      <c r="M158" s="24"/>
      <c r="N158" s="24" t="str">
        <f>_xlfn.IFNA(VLOOKUP($M158,Buff.CM!$A:$O,13,FALSE),"")</f>
        <v/>
      </c>
      <c r="O158" s="24" t="str">
        <f>_xlfn.IFNA(VLOOKUP($M158,Buff.CM!$A:$O,14,FALSE),"")</f>
        <v/>
      </c>
      <c r="P158" s="24" t="str">
        <f>_xlfn.IFNA(VLOOKUP($M158,Buff.CM!$A:$O,15,FALSE),"")</f>
        <v/>
      </c>
      <c r="Q158" s="24" t="b">
        <v>0</v>
      </c>
      <c r="R158" s="24" t="b">
        <v>0</v>
      </c>
    </row>
    <row r="159" spans="1:18">
      <c r="A159" s="23" t="s">
        <v>6600</v>
      </c>
      <c r="B159" s="23"/>
      <c r="C159" s="23"/>
      <c r="D159" s="23">
        <v>0</v>
      </c>
      <c r="E159" s="23">
        <v>0</v>
      </c>
      <c r="F159" s="23">
        <v>0</v>
      </c>
      <c r="G159" s="23" t="s">
        <v>2524</v>
      </c>
      <c r="H159" s="23"/>
      <c r="I159" s="23" t="b">
        <v>0</v>
      </c>
      <c r="J159" s="23" t="b">
        <v>1</v>
      </c>
      <c r="K159" s="23" t="b">
        <v>1</v>
      </c>
      <c r="L159" s="23"/>
      <c r="M159" s="23"/>
      <c r="N159" s="23" t="str">
        <f>_xlfn.IFNA(VLOOKUP($M159,Buff.CM!$A:$O,13,FALSE),"")</f>
        <v/>
      </c>
      <c r="O159" s="23" t="str">
        <f>_xlfn.IFNA(VLOOKUP($M159,Buff.CM!$A:$O,14,FALSE),"")</f>
        <v/>
      </c>
      <c r="P159" s="23" t="str">
        <f>_xlfn.IFNA(VLOOKUP($M159,Buff.CM!$A:$O,15,FALSE),"")</f>
        <v/>
      </c>
      <c r="Q159" s="23" t="b">
        <v>0</v>
      </c>
      <c r="R159" s="23" t="b">
        <v>0</v>
      </c>
    </row>
    <row r="160" spans="1:18">
      <c r="A160" s="23" t="s">
        <v>2518</v>
      </c>
      <c r="B160" s="23"/>
      <c r="C160" s="23"/>
      <c r="D160" s="23">
        <v>0</v>
      </c>
      <c r="E160" s="23">
        <v>0</v>
      </c>
      <c r="F160" s="23">
        <v>0</v>
      </c>
      <c r="G160" s="23" t="s">
        <v>2525</v>
      </c>
      <c r="H160" s="23"/>
      <c r="I160" s="23" t="b">
        <v>0</v>
      </c>
      <c r="J160" s="23" t="b">
        <v>1</v>
      </c>
      <c r="K160" s="23" t="b">
        <v>1</v>
      </c>
      <c r="L160" s="23"/>
      <c r="M160" s="23"/>
      <c r="N160" s="23" t="str">
        <f>_xlfn.IFNA(VLOOKUP($M160,Buff.CM!$A:$O,13,FALSE),"")</f>
        <v/>
      </c>
      <c r="O160" s="23" t="str">
        <f>_xlfn.IFNA(VLOOKUP($M160,Buff.CM!$A:$O,14,FALSE),"")</f>
        <v/>
      </c>
      <c r="P160" s="23" t="str">
        <f>_xlfn.IFNA(VLOOKUP($M160,Buff.CM!$A:$O,15,FALSE),"")</f>
        <v/>
      </c>
      <c r="Q160" s="23" t="b">
        <v>0</v>
      </c>
      <c r="R160" s="23" t="b">
        <v>0</v>
      </c>
    </row>
    <row r="161" spans="1:18">
      <c r="A161" s="23" t="s">
        <v>2519</v>
      </c>
      <c r="B161" s="23"/>
      <c r="C161" s="23"/>
      <c r="D161" s="23">
        <v>0</v>
      </c>
      <c r="E161" s="23">
        <v>0</v>
      </c>
      <c r="F161" s="23">
        <v>0</v>
      </c>
      <c r="G161" s="23" t="s">
        <v>2526</v>
      </c>
      <c r="H161" s="23"/>
      <c r="I161" s="23" t="b">
        <v>0</v>
      </c>
      <c r="J161" s="23" t="b">
        <v>1</v>
      </c>
      <c r="K161" s="23" t="b">
        <v>1</v>
      </c>
      <c r="L161" s="23"/>
      <c r="M161" s="23"/>
      <c r="N161" s="23" t="str">
        <f>_xlfn.IFNA(VLOOKUP($M161,Buff.CM!$A:$O,13,FALSE),"")</f>
        <v/>
      </c>
      <c r="O161" s="23" t="str">
        <f>_xlfn.IFNA(VLOOKUP($M161,Buff.CM!$A:$O,14,FALSE),"")</f>
        <v/>
      </c>
      <c r="P161" s="23" t="str">
        <f>_xlfn.IFNA(VLOOKUP($M161,Buff.CM!$A:$O,15,FALSE),"")</f>
        <v/>
      </c>
      <c r="Q161" s="23" t="b">
        <v>0</v>
      </c>
      <c r="R161" s="23" t="b">
        <v>0</v>
      </c>
    </row>
    <row r="162" spans="1:18">
      <c r="A162" s="23" t="s">
        <v>2520</v>
      </c>
      <c r="B162" s="23"/>
      <c r="C162" s="23"/>
      <c r="D162" s="23">
        <v>0</v>
      </c>
      <c r="E162" s="23">
        <v>0</v>
      </c>
      <c r="F162" s="23">
        <v>0</v>
      </c>
      <c r="G162" s="23" t="s">
        <v>2527</v>
      </c>
      <c r="H162" s="23"/>
      <c r="I162" s="23" t="b">
        <v>0</v>
      </c>
      <c r="J162" s="23" t="b">
        <v>1</v>
      </c>
      <c r="K162" s="23" t="b">
        <v>1</v>
      </c>
      <c r="L162" s="23"/>
      <c r="M162" s="23"/>
      <c r="N162" s="23" t="str">
        <f>_xlfn.IFNA(VLOOKUP($M162,Buff.CM!$A:$O,13,FALSE),"")</f>
        <v/>
      </c>
      <c r="O162" s="23" t="str">
        <f>_xlfn.IFNA(VLOOKUP($M162,Buff.CM!$A:$O,14,FALSE),"")</f>
        <v/>
      </c>
      <c r="P162" s="23" t="str">
        <f>_xlfn.IFNA(VLOOKUP($M162,Buff.CM!$A:$O,15,FALSE),"")</f>
        <v/>
      </c>
      <c r="Q162" s="23" t="b">
        <v>0</v>
      </c>
      <c r="R162" s="23" t="b">
        <v>0</v>
      </c>
    </row>
    <row r="163" spans="1:18">
      <c r="A163" s="23" t="s">
        <v>2521</v>
      </c>
      <c r="B163" s="23"/>
      <c r="C163" s="23"/>
      <c r="D163" s="23">
        <v>0</v>
      </c>
      <c r="E163" s="23">
        <v>0</v>
      </c>
      <c r="F163" s="23">
        <v>0</v>
      </c>
      <c r="G163" s="23" t="s">
        <v>2528</v>
      </c>
      <c r="H163" s="23"/>
      <c r="I163" s="23" t="b">
        <v>0</v>
      </c>
      <c r="J163" s="23" t="b">
        <v>1</v>
      </c>
      <c r="K163" s="23" t="b">
        <v>1</v>
      </c>
      <c r="L163" s="23"/>
      <c r="M163" s="23"/>
      <c r="N163" s="23" t="str">
        <f>_xlfn.IFNA(VLOOKUP($M163,Buff.CM!$A:$O,13,FALSE),"")</f>
        <v/>
      </c>
      <c r="O163" s="23" t="str">
        <f>_xlfn.IFNA(VLOOKUP($M163,Buff.CM!$A:$O,14,FALSE),"")</f>
        <v/>
      </c>
      <c r="P163" s="23" t="str">
        <f>_xlfn.IFNA(VLOOKUP($M163,Buff.CM!$A:$O,15,FALSE),"")</f>
        <v/>
      </c>
      <c r="Q163" s="23" t="b">
        <v>0</v>
      </c>
      <c r="R163" s="23" t="b">
        <v>0</v>
      </c>
    </row>
    <row r="164" spans="1:18">
      <c r="A164" s="23" t="s">
        <v>2522</v>
      </c>
      <c r="B164" s="23"/>
      <c r="C164" s="23"/>
      <c r="D164" s="23">
        <v>0</v>
      </c>
      <c r="E164" s="23">
        <v>0</v>
      </c>
      <c r="F164" s="23">
        <v>0</v>
      </c>
      <c r="G164" s="23" t="s">
        <v>2529</v>
      </c>
      <c r="H164" s="23"/>
      <c r="I164" s="23" t="b">
        <v>0</v>
      </c>
      <c r="J164" s="23" t="b">
        <v>1</v>
      </c>
      <c r="K164" s="23" t="b">
        <v>1</v>
      </c>
      <c r="L164" s="23"/>
      <c r="M164" s="23"/>
      <c r="N164" s="23" t="str">
        <f>_xlfn.IFNA(VLOOKUP($M164,Buff.CM!$A:$O,13,FALSE),"")</f>
        <v/>
      </c>
      <c r="O164" s="23" t="str">
        <f>_xlfn.IFNA(VLOOKUP($M164,Buff.CM!$A:$O,14,FALSE),"")</f>
        <v/>
      </c>
      <c r="P164" s="23" t="str">
        <f>_xlfn.IFNA(VLOOKUP($M164,Buff.CM!$A:$O,15,FALSE),"")</f>
        <v/>
      </c>
      <c r="Q164" s="23" t="b">
        <v>0</v>
      </c>
      <c r="R164" s="23" t="b">
        <v>0</v>
      </c>
    </row>
    <row r="165" spans="1:18">
      <c r="A165" s="23" t="s">
        <v>2523</v>
      </c>
      <c r="B165" s="23"/>
      <c r="C165" s="23"/>
      <c r="D165" s="23">
        <v>0</v>
      </c>
      <c r="E165" s="23">
        <v>0</v>
      </c>
      <c r="F165" s="23">
        <v>0</v>
      </c>
      <c r="G165" s="23" t="s">
        <v>2530</v>
      </c>
      <c r="H165" s="23"/>
      <c r="I165" s="23" t="b">
        <v>0</v>
      </c>
      <c r="J165" s="23" t="b">
        <v>1</v>
      </c>
      <c r="K165" s="23" t="b">
        <v>1</v>
      </c>
      <c r="L165" s="23"/>
      <c r="M165" s="23"/>
      <c r="N165" s="23" t="str">
        <f>_xlfn.IFNA(VLOOKUP($M165,Buff.CM!$A:$O,13,FALSE),"")</f>
        <v/>
      </c>
      <c r="O165" s="23" t="str">
        <f>_xlfn.IFNA(VLOOKUP($M165,Buff.CM!$A:$O,14,FALSE),"")</f>
        <v/>
      </c>
      <c r="P165" s="23" t="str">
        <f>_xlfn.IFNA(VLOOKUP($M165,Buff.CM!$A:$O,15,FALSE),"")</f>
        <v/>
      </c>
      <c r="Q165" s="23" t="b">
        <v>0</v>
      </c>
      <c r="R165" s="23" t="b">
        <v>0</v>
      </c>
    </row>
    <row r="166" spans="1:18" s="12" customFormat="1">
      <c r="A166" s="41" t="s">
        <v>3216</v>
      </c>
      <c r="B166" s="41"/>
      <c r="C166" s="41"/>
      <c r="D166" s="41">
        <v>0</v>
      </c>
      <c r="E166" s="41">
        <v>0</v>
      </c>
      <c r="F166" s="41">
        <v>0</v>
      </c>
      <c r="G166" s="41" t="s">
        <v>3217</v>
      </c>
      <c r="H166" s="41"/>
      <c r="I166" s="41" t="b">
        <v>0</v>
      </c>
      <c r="J166" s="23" t="b">
        <v>1</v>
      </c>
      <c r="K166" s="41" t="b">
        <v>1</v>
      </c>
      <c r="L166" s="41"/>
      <c r="M166" s="41"/>
      <c r="N166" s="41" t="str">
        <f>_xlfn.IFNA(VLOOKUP($M166,Buff.CM!$A:$O,13,FALSE),"")</f>
        <v/>
      </c>
      <c r="O166" s="41" t="str">
        <f>_xlfn.IFNA(VLOOKUP($M166,Buff.CM!$A:$O,14,FALSE),"")</f>
        <v/>
      </c>
      <c r="P166" s="41" t="str">
        <f>_xlfn.IFNA(VLOOKUP($M166,Buff.CM!$A:$O,15,FALSE),"")</f>
        <v/>
      </c>
      <c r="Q166" s="41" t="b">
        <v>0</v>
      </c>
      <c r="R166" s="41" t="b">
        <v>0</v>
      </c>
    </row>
    <row r="167" spans="1:18" s="12" customFormat="1">
      <c r="A167" s="41" t="s">
        <v>3218</v>
      </c>
      <c r="B167" s="41"/>
      <c r="C167" s="41"/>
      <c r="D167" s="41">
        <v>0</v>
      </c>
      <c r="E167" s="41">
        <v>0</v>
      </c>
      <c r="F167" s="41">
        <v>0</v>
      </c>
      <c r="G167" s="41" t="s">
        <v>3219</v>
      </c>
      <c r="H167" s="41"/>
      <c r="I167" s="41" t="b">
        <v>0</v>
      </c>
      <c r="J167" s="23" t="b">
        <v>1</v>
      </c>
      <c r="K167" s="41" t="b">
        <v>1</v>
      </c>
      <c r="L167" s="41"/>
      <c r="M167" s="41"/>
      <c r="N167" s="41" t="str">
        <f>_xlfn.IFNA(VLOOKUP($M167,Buff.CM!$A:$O,13,FALSE),"")</f>
        <v/>
      </c>
      <c r="O167" s="41" t="str">
        <f>_xlfn.IFNA(VLOOKUP($M167,Buff.CM!$A:$O,14,FALSE),"")</f>
        <v/>
      </c>
      <c r="P167" s="41" t="str">
        <f>_xlfn.IFNA(VLOOKUP($M167,Buff.CM!$A:$O,15,FALSE),"")</f>
        <v/>
      </c>
      <c r="Q167" s="41" t="b">
        <v>0</v>
      </c>
      <c r="R167" s="41" t="b">
        <v>0</v>
      </c>
    </row>
    <row r="168" spans="1:18" s="12" customFormat="1">
      <c r="A168" s="41" t="s">
        <v>3220</v>
      </c>
      <c r="B168" s="41"/>
      <c r="C168" s="41"/>
      <c r="D168" s="41">
        <v>0</v>
      </c>
      <c r="E168" s="41">
        <v>0</v>
      </c>
      <c r="F168" s="41">
        <v>0</v>
      </c>
      <c r="G168" s="41" t="s">
        <v>3221</v>
      </c>
      <c r="H168" s="41"/>
      <c r="I168" s="41" t="b">
        <v>0</v>
      </c>
      <c r="J168" s="23" t="b">
        <v>1</v>
      </c>
      <c r="K168" s="41" t="b">
        <v>1</v>
      </c>
      <c r="L168" s="41"/>
      <c r="M168" s="41"/>
      <c r="N168" s="41" t="str">
        <f>_xlfn.IFNA(VLOOKUP($M168,Buff.CM!$A:$O,13,FALSE),"")</f>
        <v/>
      </c>
      <c r="O168" s="41" t="str">
        <f>_xlfn.IFNA(VLOOKUP($M168,Buff.CM!$A:$O,14,FALSE),"")</f>
        <v/>
      </c>
      <c r="P168" s="41" t="str">
        <f>_xlfn.IFNA(VLOOKUP($M168,Buff.CM!$A:$O,15,FALSE),"")</f>
        <v/>
      </c>
      <c r="Q168" s="41" t="b">
        <v>0</v>
      </c>
      <c r="R168" s="41" t="b">
        <v>0</v>
      </c>
    </row>
    <row r="169" spans="1:18" s="12" customFormat="1">
      <c r="A169" s="41" t="s">
        <v>3222</v>
      </c>
      <c r="B169" s="41"/>
      <c r="C169" s="41"/>
      <c r="D169" s="41">
        <v>0</v>
      </c>
      <c r="E169" s="41">
        <v>0</v>
      </c>
      <c r="F169" s="41">
        <v>0</v>
      </c>
      <c r="G169" s="41" t="s">
        <v>3223</v>
      </c>
      <c r="H169" s="41"/>
      <c r="I169" s="41" t="b">
        <v>0</v>
      </c>
      <c r="J169" s="23" t="b">
        <v>1</v>
      </c>
      <c r="K169" s="41" t="b">
        <v>1</v>
      </c>
      <c r="L169" s="41"/>
      <c r="M169" s="41"/>
      <c r="N169" s="41" t="str">
        <f>_xlfn.IFNA(VLOOKUP($M169,Buff.CM!$A:$O,13,FALSE),"")</f>
        <v/>
      </c>
      <c r="O169" s="41" t="str">
        <f>_xlfn.IFNA(VLOOKUP($M169,Buff.CM!$A:$O,14,FALSE),"")</f>
        <v/>
      </c>
      <c r="P169" s="41" t="str">
        <f>_xlfn.IFNA(VLOOKUP($M169,Buff.CM!$A:$O,15,FALSE),"")</f>
        <v/>
      </c>
      <c r="Q169" s="41" t="b">
        <v>0</v>
      </c>
      <c r="R169" s="41" t="b">
        <v>0</v>
      </c>
    </row>
    <row r="170" spans="1:18" s="12" customFormat="1">
      <c r="A170" s="41" t="s">
        <v>3224</v>
      </c>
      <c r="B170" s="41"/>
      <c r="C170" s="41"/>
      <c r="D170" s="41">
        <v>0</v>
      </c>
      <c r="E170" s="41">
        <v>0</v>
      </c>
      <c r="F170" s="41">
        <v>0</v>
      </c>
      <c r="G170" s="41" t="s">
        <v>3225</v>
      </c>
      <c r="H170" s="41"/>
      <c r="I170" s="41" t="b">
        <v>0</v>
      </c>
      <c r="J170" s="23" t="b">
        <v>1</v>
      </c>
      <c r="K170" s="41" t="b">
        <v>1</v>
      </c>
      <c r="L170" s="41"/>
      <c r="M170" s="41"/>
      <c r="N170" s="41" t="str">
        <f>_xlfn.IFNA(VLOOKUP($M170,Buff.CM!$A:$O,13,FALSE),"")</f>
        <v/>
      </c>
      <c r="O170" s="41" t="str">
        <f>_xlfn.IFNA(VLOOKUP($M170,Buff.CM!$A:$O,14,FALSE),"")</f>
        <v/>
      </c>
      <c r="P170" s="41" t="str">
        <f>_xlfn.IFNA(VLOOKUP($M170,Buff.CM!$A:$O,15,FALSE),"")</f>
        <v/>
      </c>
      <c r="Q170" s="41" t="b">
        <v>0</v>
      </c>
      <c r="R170" s="41" t="b">
        <v>0</v>
      </c>
    </row>
    <row r="171" spans="1:18" s="12" customFormat="1">
      <c r="A171" s="41" t="s">
        <v>3226</v>
      </c>
      <c r="B171" s="41"/>
      <c r="C171" s="41"/>
      <c r="D171" s="41">
        <v>0</v>
      </c>
      <c r="E171" s="41">
        <v>0</v>
      </c>
      <c r="F171" s="41">
        <v>0</v>
      </c>
      <c r="G171" s="41" t="s">
        <v>3227</v>
      </c>
      <c r="H171" s="41"/>
      <c r="I171" s="41" t="b">
        <v>0</v>
      </c>
      <c r="J171" s="23" t="b">
        <v>1</v>
      </c>
      <c r="K171" s="41" t="b">
        <v>1</v>
      </c>
      <c r="L171" s="41"/>
      <c r="M171" s="41"/>
      <c r="N171" s="41" t="str">
        <f>_xlfn.IFNA(VLOOKUP($M171,Buff.CM!$A:$O,13,FALSE),"")</f>
        <v/>
      </c>
      <c r="O171" s="41" t="str">
        <f>_xlfn.IFNA(VLOOKUP($M171,Buff.CM!$A:$O,14,FALSE),"")</f>
        <v/>
      </c>
      <c r="P171" s="41" t="str">
        <f>_xlfn.IFNA(VLOOKUP($M171,Buff.CM!$A:$O,15,FALSE),"")</f>
        <v/>
      </c>
      <c r="Q171" s="41" t="b">
        <v>0</v>
      </c>
      <c r="R171" s="41" t="b">
        <v>0</v>
      </c>
    </row>
    <row r="172" spans="1:18" s="12" customFormat="1">
      <c r="A172" s="41" t="s">
        <v>3228</v>
      </c>
      <c r="B172" s="41"/>
      <c r="C172" s="41"/>
      <c r="D172" s="41">
        <v>0</v>
      </c>
      <c r="E172" s="41">
        <v>0</v>
      </c>
      <c r="F172" s="41">
        <v>0</v>
      </c>
      <c r="G172" s="41" t="s">
        <v>3229</v>
      </c>
      <c r="H172" s="41"/>
      <c r="I172" s="41" t="b">
        <v>0</v>
      </c>
      <c r="J172" s="23" t="b">
        <v>1</v>
      </c>
      <c r="K172" s="41" t="b">
        <v>1</v>
      </c>
      <c r="L172" s="41"/>
      <c r="M172" s="41"/>
      <c r="N172" s="41" t="str">
        <f>_xlfn.IFNA(VLOOKUP($M172,Buff.CM!$A:$O,13,FALSE),"")</f>
        <v/>
      </c>
      <c r="O172" s="41" t="str">
        <f>_xlfn.IFNA(VLOOKUP($M172,Buff.CM!$A:$O,14,FALSE),"")</f>
        <v/>
      </c>
      <c r="P172" s="41" t="str">
        <f>_xlfn.IFNA(VLOOKUP($M172,Buff.CM!$A:$O,15,FALSE),"")</f>
        <v/>
      </c>
      <c r="Q172" s="41" t="b">
        <v>0</v>
      </c>
      <c r="R172" s="41" t="b">
        <v>0</v>
      </c>
    </row>
    <row r="173" spans="1:18" s="150" customFormat="1">
      <c r="A173" s="24" t="s">
        <v>6601</v>
      </c>
      <c r="B173" s="24"/>
      <c r="C173" s="24"/>
      <c r="D173" s="24">
        <v>0</v>
      </c>
      <c r="E173" s="24">
        <v>0</v>
      </c>
      <c r="F173" s="24">
        <v>0</v>
      </c>
      <c r="G173" s="24" t="s">
        <v>4187</v>
      </c>
      <c r="H173" s="24"/>
      <c r="I173" s="24" t="b">
        <v>0</v>
      </c>
      <c r="J173" s="23" t="b">
        <v>1</v>
      </c>
      <c r="K173" s="24" t="b">
        <v>1</v>
      </c>
      <c r="L173" s="24"/>
      <c r="M173" s="24"/>
      <c r="N173" s="24" t="str">
        <f>_xlfn.IFNA(VLOOKUP($M173,Buff.CM!$A:$O,13,FALSE),"")</f>
        <v/>
      </c>
      <c r="O173" s="24" t="str">
        <f>_xlfn.IFNA(VLOOKUP($M173,Buff.CM!$A:$O,14,FALSE),"")</f>
        <v/>
      </c>
      <c r="P173" s="24" t="str">
        <f>_xlfn.IFNA(VLOOKUP($M173,Buff.CM!$A:$O,15,FALSE),"")</f>
        <v/>
      </c>
      <c r="Q173" s="24" t="b">
        <v>0</v>
      </c>
      <c r="R173" s="24" t="b">
        <v>0</v>
      </c>
    </row>
    <row r="174" spans="1:18" s="150" customFormat="1">
      <c r="A174" s="24" t="s">
        <v>3151</v>
      </c>
      <c r="B174" s="24"/>
      <c r="C174" s="24"/>
      <c r="D174" s="24">
        <v>0</v>
      </c>
      <c r="E174" s="24">
        <v>0</v>
      </c>
      <c r="F174" s="24">
        <v>0</v>
      </c>
      <c r="G174" s="24" t="s">
        <v>3156</v>
      </c>
      <c r="H174" s="24"/>
      <c r="I174" s="24" t="b">
        <v>0</v>
      </c>
      <c r="J174" s="23" t="b">
        <v>1</v>
      </c>
      <c r="K174" s="24" t="b">
        <v>1</v>
      </c>
      <c r="L174" s="24"/>
      <c r="M174" s="24"/>
      <c r="N174" s="24" t="str">
        <f>_xlfn.IFNA(VLOOKUP($M174,Buff.CM!$A:$O,13,FALSE),"")</f>
        <v/>
      </c>
      <c r="O174" s="24" t="str">
        <f>_xlfn.IFNA(VLOOKUP($M174,Buff.CM!$A:$O,14,FALSE),"")</f>
        <v/>
      </c>
      <c r="P174" s="24" t="str">
        <f>_xlfn.IFNA(VLOOKUP($M174,Buff.CM!$A:$O,15,FALSE),"")</f>
        <v/>
      </c>
      <c r="Q174" s="24" t="b">
        <v>0</v>
      </c>
      <c r="R174" s="24" t="b">
        <v>0</v>
      </c>
    </row>
    <row r="175" spans="1:18" s="150" customFormat="1">
      <c r="A175" s="24" t="s">
        <v>3152</v>
      </c>
      <c r="B175" s="24"/>
      <c r="C175" s="24"/>
      <c r="D175" s="24">
        <v>0</v>
      </c>
      <c r="E175" s="24">
        <v>0</v>
      </c>
      <c r="F175" s="24">
        <v>0</v>
      </c>
      <c r="G175" s="24" t="s">
        <v>3157</v>
      </c>
      <c r="H175" s="24"/>
      <c r="I175" s="24" t="b">
        <v>0</v>
      </c>
      <c r="J175" s="23" t="b">
        <v>1</v>
      </c>
      <c r="K175" s="24" t="b">
        <v>1</v>
      </c>
      <c r="L175" s="24"/>
      <c r="M175" s="24"/>
      <c r="N175" s="24" t="str">
        <f>_xlfn.IFNA(VLOOKUP($M175,Buff.CM!$A:$O,13,FALSE),"")</f>
        <v/>
      </c>
      <c r="O175" s="24" t="str">
        <f>_xlfn.IFNA(VLOOKUP($M175,Buff.CM!$A:$O,14,FALSE),"")</f>
        <v/>
      </c>
      <c r="P175" s="24" t="str">
        <f>_xlfn.IFNA(VLOOKUP($M175,Buff.CM!$A:$O,15,FALSE),"")</f>
        <v/>
      </c>
      <c r="Q175" s="24" t="b">
        <v>0</v>
      </c>
      <c r="R175" s="24" t="b">
        <v>0</v>
      </c>
    </row>
    <row r="176" spans="1:18">
      <c r="A176" s="34" t="s">
        <v>3153</v>
      </c>
      <c r="B176" s="34"/>
      <c r="C176" s="34"/>
      <c r="D176" s="34">
        <v>0</v>
      </c>
      <c r="E176" s="34">
        <v>0</v>
      </c>
      <c r="F176" s="34">
        <v>0</v>
      </c>
      <c r="G176" s="34" t="s">
        <v>3158</v>
      </c>
      <c r="H176" s="34"/>
      <c r="I176" s="34" t="b">
        <v>0</v>
      </c>
      <c r="J176" s="23" t="b">
        <v>1</v>
      </c>
      <c r="K176" s="34" t="b">
        <v>1</v>
      </c>
      <c r="L176" s="34"/>
      <c r="M176" s="34"/>
      <c r="N176" s="34" t="str">
        <f>_xlfn.IFNA(VLOOKUP($M176,Buff.CM!$A:$O,13,FALSE),"")</f>
        <v/>
      </c>
      <c r="O176" s="34" t="str">
        <f>_xlfn.IFNA(VLOOKUP($M176,Buff.CM!$A:$O,14,FALSE),"")</f>
        <v/>
      </c>
      <c r="P176" s="34" t="str">
        <f>_xlfn.IFNA(VLOOKUP($M176,Buff.CM!$A:$O,15,FALSE),"")</f>
        <v/>
      </c>
      <c r="Q176" s="34" t="b">
        <v>0</v>
      </c>
      <c r="R176" s="34" t="b">
        <v>0</v>
      </c>
    </row>
    <row r="177" spans="1:18">
      <c r="A177" s="34" t="s">
        <v>3154</v>
      </c>
      <c r="B177" s="34"/>
      <c r="C177" s="34"/>
      <c r="D177" s="34">
        <v>0</v>
      </c>
      <c r="E177" s="34">
        <v>0</v>
      </c>
      <c r="F177" s="34">
        <v>0</v>
      </c>
      <c r="G177" s="34" t="s">
        <v>3159</v>
      </c>
      <c r="H177" s="34"/>
      <c r="I177" s="34" t="b">
        <v>0</v>
      </c>
      <c r="J177" s="23" t="b">
        <v>1</v>
      </c>
      <c r="K177" s="34" t="b">
        <v>1</v>
      </c>
      <c r="L177" s="34"/>
      <c r="M177" s="34"/>
      <c r="N177" s="34" t="str">
        <f>_xlfn.IFNA(VLOOKUP($M177,Buff.CM!$A:$O,13,FALSE),"")</f>
        <v/>
      </c>
      <c r="O177" s="34" t="str">
        <f>_xlfn.IFNA(VLOOKUP($M177,Buff.CM!$A:$O,14,FALSE),"")</f>
        <v/>
      </c>
      <c r="P177" s="34" t="str">
        <f>_xlfn.IFNA(VLOOKUP($M177,Buff.CM!$A:$O,15,FALSE),"")</f>
        <v/>
      </c>
      <c r="Q177" s="34" t="b">
        <v>0</v>
      </c>
      <c r="R177" s="34" t="b">
        <v>0</v>
      </c>
    </row>
    <row r="178" spans="1:18">
      <c r="A178" s="34" t="s">
        <v>3155</v>
      </c>
      <c r="B178" s="34"/>
      <c r="C178" s="34"/>
      <c r="D178" s="34">
        <v>0</v>
      </c>
      <c r="E178" s="34">
        <v>0</v>
      </c>
      <c r="F178" s="34">
        <v>0</v>
      </c>
      <c r="G178" s="34" t="s">
        <v>3160</v>
      </c>
      <c r="H178" s="34"/>
      <c r="I178" s="34" t="b">
        <v>0</v>
      </c>
      <c r="J178" s="23" t="b">
        <v>1</v>
      </c>
      <c r="K178" s="34" t="b">
        <v>1</v>
      </c>
      <c r="L178" s="34"/>
      <c r="M178" s="34"/>
      <c r="N178" s="34" t="str">
        <f>_xlfn.IFNA(VLOOKUP($M178,Buff.CM!$A:$O,13,FALSE),"")</f>
        <v/>
      </c>
      <c r="O178" s="34" t="str">
        <f>_xlfn.IFNA(VLOOKUP($M178,Buff.CM!$A:$O,14,FALSE),"")</f>
        <v/>
      </c>
      <c r="P178" s="34" t="str">
        <f>_xlfn.IFNA(VLOOKUP($M178,Buff.CM!$A:$O,15,FALSE),"")</f>
        <v/>
      </c>
      <c r="Q178" s="34" t="b">
        <v>0</v>
      </c>
      <c r="R178" s="34" t="b">
        <v>0</v>
      </c>
    </row>
    <row r="179" spans="1:18" s="150" customFormat="1">
      <c r="A179" s="24" t="s">
        <v>4188</v>
      </c>
      <c r="B179" s="24"/>
      <c r="C179" s="24"/>
      <c r="D179" s="24">
        <v>0</v>
      </c>
      <c r="E179" s="24">
        <v>0</v>
      </c>
      <c r="F179" s="24">
        <v>0</v>
      </c>
      <c r="G179" s="24" t="s">
        <v>4194</v>
      </c>
      <c r="H179" s="24"/>
      <c r="I179" s="24" t="b">
        <v>0</v>
      </c>
      <c r="J179" s="23" t="b">
        <v>1</v>
      </c>
      <c r="K179" s="24" t="b">
        <v>1</v>
      </c>
      <c r="L179" s="24"/>
      <c r="M179" s="24"/>
      <c r="N179" s="24" t="str">
        <f>_xlfn.IFNA(VLOOKUP($M179,Buff.CM!$A:$O,13,FALSE),"")</f>
        <v/>
      </c>
      <c r="O179" s="24" t="str">
        <f>_xlfn.IFNA(VLOOKUP($M179,Buff.CM!$A:$O,14,FALSE),"")</f>
        <v/>
      </c>
      <c r="P179" s="24" t="str">
        <f>_xlfn.IFNA(VLOOKUP($M179,Buff.CM!$A:$O,15,FALSE),"")</f>
        <v/>
      </c>
      <c r="Q179" s="24" t="b">
        <v>0</v>
      </c>
      <c r="R179" s="24" t="b">
        <v>0</v>
      </c>
    </row>
    <row r="180" spans="1:18" s="150" customFormat="1">
      <c r="A180" s="24" t="s">
        <v>4189</v>
      </c>
      <c r="B180" s="24"/>
      <c r="C180" s="24"/>
      <c r="D180" s="24">
        <v>0</v>
      </c>
      <c r="E180" s="24">
        <v>0</v>
      </c>
      <c r="F180" s="24">
        <v>0</v>
      </c>
      <c r="G180" s="24" t="s">
        <v>4195</v>
      </c>
      <c r="H180" s="24"/>
      <c r="I180" s="24" t="b">
        <v>0</v>
      </c>
      <c r="J180" s="23" t="b">
        <v>1</v>
      </c>
      <c r="K180" s="24" t="b">
        <v>1</v>
      </c>
      <c r="L180" s="24"/>
      <c r="M180" s="24"/>
      <c r="N180" s="24" t="str">
        <f>_xlfn.IFNA(VLOOKUP($M180,Buff.CM!$A:$O,13,FALSE),"")</f>
        <v/>
      </c>
      <c r="O180" s="24" t="str">
        <f>_xlfn.IFNA(VLOOKUP($M180,Buff.CM!$A:$O,14,FALSE),"")</f>
        <v/>
      </c>
      <c r="P180" s="24" t="str">
        <f>_xlfn.IFNA(VLOOKUP($M180,Buff.CM!$A:$O,15,FALSE),"")</f>
        <v/>
      </c>
      <c r="Q180" s="24" t="b">
        <v>0</v>
      </c>
      <c r="R180" s="24" t="b">
        <v>0</v>
      </c>
    </row>
    <row r="181" spans="1:18" s="150" customFormat="1">
      <c r="A181" s="24" t="s">
        <v>4190</v>
      </c>
      <c r="B181" s="24"/>
      <c r="C181" s="24"/>
      <c r="D181" s="24">
        <v>0</v>
      </c>
      <c r="E181" s="24">
        <v>0</v>
      </c>
      <c r="F181" s="24">
        <v>0</v>
      </c>
      <c r="G181" s="24" t="s">
        <v>4196</v>
      </c>
      <c r="H181" s="24"/>
      <c r="I181" s="24" t="b">
        <v>0</v>
      </c>
      <c r="J181" s="23" t="b">
        <v>1</v>
      </c>
      <c r="K181" s="24" t="b">
        <v>1</v>
      </c>
      <c r="L181" s="24"/>
      <c r="M181" s="24"/>
      <c r="N181" s="24" t="str">
        <f>_xlfn.IFNA(VLOOKUP($M181,Buff.CM!$A:$O,13,FALSE),"")</f>
        <v/>
      </c>
      <c r="O181" s="24" t="str">
        <f>_xlfn.IFNA(VLOOKUP($M181,Buff.CM!$A:$O,14,FALSE),"")</f>
        <v/>
      </c>
      <c r="P181" s="24" t="str">
        <f>_xlfn.IFNA(VLOOKUP($M181,Buff.CM!$A:$O,15,FALSE),"")</f>
        <v/>
      </c>
      <c r="Q181" s="24" t="b">
        <v>0</v>
      </c>
      <c r="R181" s="24" t="b">
        <v>0</v>
      </c>
    </row>
    <row r="182" spans="1:18">
      <c r="A182" s="34" t="s">
        <v>4191</v>
      </c>
      <c r="B182" s="34"/>
      <c r="C182" s="34"/>
      <c r="D182" s="34">
        <v>0</v>
      </c>
      <c r="E182" s="34">
        <v>0</v>
      </c>
      <c r="F182" s="34">
        <v>0</v>
      </c>
      <c r="G182" s="34" t="s">
        <v>4197</v>
      </c>
      <c r="H182" s="34"/>
      <c r="I182" s="34" t="b">
        <v>0</v>
      </c>
      <c r="J182" s="23" t="b">
        <v>1</v>
      </c>
      <c r="K182" s="34" t="b">
        <v>1</v>
      </c>
      <c r="L182" s="34"/>
      <c r="M182" s="34"/>
      <c r="N182" s="34" t="str">
        <f>_xlfn.IFNA(VLOOKUP($M182,Buff.CM!$A:$O,13,FALSE),"")</f>
        <v/>
      </c>
      <c r="O182" s="34" t="str">
        <f>_xlfn.IFNA(VLOOKUP($M182,Buff.CM!$A:$O,14,FALSE),"")</f>
        <v/>
      </c>
      <c r="P182" s="34" t="str">
        <f>_xlfn.IFNA(VLOOKUP($M182,Buff.CM!$A:$O,15,FALSE),"")</f>
        <v/>
      </c>
      <c r="Q182" s="34" t="b">
        <v>0</v>
      </c>
      <c r="R182" s="34" t="b">
        <v>0</v>
      </c>
    </row>
    <row r="183" spans="1:18">
      <c r="A183" s="34" t="s">
        <v>4192</v>
      </c>
      <c r="B183" s="34"/>
      <c r="C183" s="34"/>
      <c r="D183" s="34">
        <v>0</v>
      </c>
      <c r="E183" s="34">
        <v>0</v>
      </c>
      <c r="F183" s="34">
        <v>0</v>
      </c>
      <c r="G183" s="34" t="s">
        <v>4198</v>
      </c>
      <c r="H183" s="34"/>
      <c r="I183" s="34" t="b">
        <v>0</v>
      </c>
      <c r="J183" s="23" t="b">
        <v>1</v>
      </c>
      <c r="K183" s="34" t="b">
        <v>1</v>
      </c>
      <c r="L183" s="34"/>
      <c r="M183" s="34"/>
      <c r="N183" s="34" t="str">
        <f>_xlfn.IFNA(VLOOKUP($M183,Buff.CM!$A:$O,13,FALSE),"")</f>
        <v/>
      </c>
      <c r="O183" s="34" t="str">
        <f>_xlfn.IFNA(VLOOKUP($M183,Buff.CM!$A:$O,14,FALSE),"")</f>
        <v/>
      </c>
      <c r="P183" s="34" t="str">
        <f>_xlfn.IFNA(VLOOKUP($M183,Buff.CM!$A:$O,15,FALSE),"")</f>
        <v/>
      </c>
      <c r="Q183" s="34" t="b">
        <v>0</v>
      </c>
      <c r="R183" s="34" t="b">
        <v>0</v>
      </c>
    </row>
    <row r="184" spans="1:18">
      <c r="A184" s="34" t="s">
        <v>4193</v>
      </c>
      <c r="B184" s="34"/>
      <c r="C184" s="34"/>
      <c r="D184" s="34">
        <v>0</v>
      </c>
      <c r="E184" s="34">
        <v>0</v>
      </c>
      <c r="F184" s="34">
        <v>0</v>
      </c>
      <c r="G184" s="34" t="s">
        <v>4199</v>
      </c>
      <c r="H184" s="34"/>
      <c r="I184" s="34" t="b">
        <v>0</v>
      </c>
      <c r="J184" s="23" t="b">
        <v>1</v>
      </c>
      <c r="K184" s="34" t="b">
        <v>1</v>
      </c>
      <c r="L184" s="34"/>
      <c r="M184" s="34"/>
      <c r="N184" s="34" t="str">
        <f>_xlfn.IFNA(VLOOKUP($M184,Buff.CM!$A:$O,13,FALSE),"")</f>
        <v/>
      </c>
      <c r="O184" s="34" t="str">
        <f>_xlfn.IFNA(VLOOKUP($M184,Buff.CM!$A:$O,14,FALSE),"")</f>
        <v/>
      </c>
      <c r="P184" s="34" t="str">
        <f>_xlfn.IFNA(VLOOKUP($M184,Buff.CM!$A:$O,15,FALSE),"")</f>
        <v/>
      </c>
      <c r="Q184" s="34" t="b">
        <v>0</v>
      </c>
      <c r="R184" s="34" t="b">
        <v>0</v>
      </c>
    </row>
    <row r="185" spans="1:18" s="153" customFormat="1">
      <c r="A185" s="26" t="s">
        <v>7498</v>
      </c>
      <c r="B185" s="26"/>
      <c r="C185" s="26"/>
      <c r="D185" s="26">
        <v>0</v>
      </c>
      <c r="E185" s="26">
        <v>5</v>
      </c>
      <c r="F185" s="26">
        <v>1</v>
      </c>
      <c r="G185" s="26" t="s">
        <v>5928</v>
      </c>
      <c r="H185" s="26"/>
      <c r="I185" s="23" t="b">
        <v>1</v>
      </c>
      <c r="J185" s="26" t="b">
        <v>0</v>
      </c>
      <c r="K185" s="26" t="b">
        <v>1</v>
      </c>
      <c r="L185" s="26"/>
      <c r="M185" s="26"/>
      <c r="N185" s="26" t="str">
        <f>_xlfn.IFNA(VLOOKUP($M185,Buff.CM!$A:$O,13,FALSE),"")</f>
        <v/>
      </c>
      <c r="O185" s="26" t="str">
        <f>_xlfn.IFNA(VLOOKUP($M185,Buff.CM!$A:$O,14,FALSE),"")</f>
        <v/>
      </c>
      <c r="P185" s="26" t="str">
        <f>_xlfn.IFNA(VLOOKUP($M185,Buff.CM!$A:$O,15,FALSE),"")</f>
        <v/>
      </c>
      <c r="Q185" s="26" t="b">
        <v>0</v>
      </c>
      <c r="R185" s="26" t="b">
        <v>0</v>
      </c>
    </row>
    <row r="186" spans="1:18">
      <c r="A186" s="44" t="s">
        <v>7313</v>
      </c>
      <c r="B186" s="44"/>
      <c r="C186" s="44"/>
      <c r="D186" s="44">
        <v>0</v>
      </c>
      <c r="E186" s="44">
        <v>0</v>
      </c>
      <c r="F186" s="44">
        <v>0</v>
      </c>
      <c r="G186" s="66" t="str">
        <f t="shared" ref="G186" si="1">A186&amp;".buffeffect"</f>
        <v>sia.ult.pre.buff.buffeffect</v>
      </c>
      <c r="H186" s="44"/>
      <c r="I186" s="44" t="b">
        <v>0</v>
      </c>
      <c r="J186" s="44" t="b">
        <v>0</v>
      </c>
      <c r="K186" s="44" t="b">
        <v>1</v>
      </c>
      <c r="L186" s="66"/>
      <c r="M186" s="66"/>
      <c r="N186" s="44" t="str">
        <f>_xlfn.IFNA(VLOOKUP($M186,Buff.CM!$A:$O,13,FALSE),"")</f>
        <v/>
      </c>
      <c r="O186" s="44" t="str">
        <f>_xlfn.IFNA(VLOOKUP($M186,Buff.CM!$A:$O,14,FALSE),"")</f>
        <v/>
      </c>
      <c r="P186" s="44" t="str">
        <f>_xlfn.IFNA(VLOOKUP($M186,Buff.CM!$A:$O,15,FALSE),"")</f>
        <v/>
      </c>
      <c r="Q186" s="44" t="b">
        <v>0</v>
      </c>
      <c r="R186" s="44" t="b">
        <v>0</v>
      </c>
    </row>
    <row r="187" spans="1:18">
      <c r="A187" s="34" t="s">
        <v>7317</v>
      </c>
      <c r="B187" s="34"/>
      <c r="C187" s="34"/>
      <c r="D187" s="34">
        <v>0</v>
      </c>
      <c r="E187" s="34">
        <v>0</v>
      </c>
      <c r="F187" s="34">
        <v>0</v>
      </c>
      <c r="G187" s="34" t="s">
        <v>7319</v>
      </c>
      <c r="H187" s="34"/>
      <c r="I187" s="34" t="b">
        <v>0</v>
      </c>
      <c r="J187" s="34" t="b">
        <v>0</v>
      </c>
      <c r="K187" s="34" t="b">
        <v>1</v>
      </c>
      <c r="L187" s="24"/>
      <c r="M187" s="24"/>
      <c r="N187" s="34" t="str">
        <f>_xlfn.IFNA(VLOOKUP($M187,Buff.CM!$A:$O,13,FALSE),"")</f>
        <v/>
      </c>
      <c r="O187" s="34" t="str">
        <f>_xlfn.IFNA(VLOOKUP($M187,Buff.CM!$A:$O,14,FALSE),"")</f>
        <v/>
      </c>
      <c r="P187" s="34" t="str">
        <f>_xlfn.IFNA(VLOOKUP($M187,Buff.CM!$A:$O,15,FALSE),"")</f>
        <v/>
      </c>
      <c r="Q187" s="34" t="b">
        <v>0</v>
      </c>
      <c r="R187" s="34" t="b">
        <v>0</v>
      </c>
    </row>
    <row r="188" spans="1:18" s="143" customFormat="1">
      <c r="A188" s="25" t="s">
        <v>7328</v>
      </c>
      <c r="B188" s="25"/>
      <c r="C188" s="25"/>
      <c r="D188" s="25">
        <v>7000</v>
      </c>
      <c r="E188" s="25">
        <v>0</v>
      </c>
      <c r="F188" s="25">
        <v>0</v>
      </c>
      <c r="G188" s="25" t="s">
        <v>7333</v>
      </c>
      <c r="H188" s="25"/>
      <c r="I188" s="23" t="b">
        <v>1</v>
      </c>
      <c r="J188" s="25" t="b">
        <v>0</v>
      </c>
      <c r="K188" s="25" t="b">
        <v>1</v>
      </c>
      <c r="L188" s="25"/>
      <c r="M188" s="25"/>
      <c r="N188" s="25" t="str">
        <f>_xlfn.IFNA(VLOOKUP($M188,Buff.CM!$A:$O,13,FALSE),"")</f>
        <v/>
      </c>
      <c r="O188" s="25" t="str">
        <f>_xlfn.IFNA(VLOOKUP($M188,Buff.CM!$A:$O,14,FALSE),"")</f>
        <v/>
      </c>
      <c r="P188" s="25" t="str">
        <f>_xlfn.IFNA(VLOOKUP($M188,Buff.CM!$A:$O,15,FALSE),"")</f>
        <v/>
      </c>
      <c r="Q188" s="25" t="b">
        <v>0</v>
      </c>
      <c r="R188" s="25" t="b">
        <v>0</v>
      </c>
    </row>
    <row r="189" spans="1:18" s="143" customFormat="1">
      <c r="A189" s="25" t="s">
        <v>7329</v>
      </c>
      <c r="B189" s="25"/>
      <c r="C189" s="25"/>
      <c r="D189" s="25">
        <v>7000</v>
      </c>
      <c r="E189" s="25">
        <v>0</v>
      </c>
      <c r="F189" s="25">
        <v>0</v>
      </c>
      <c r="G189" s="25" t="s">
        <v>7334</v>
      </c>
      <c r="H189" s="25"/>
      <c r="I189" s="23" t="b">
        <v>1</v>
      </c>
      <c r="J189" s="25" t="b">
        <v>0</v>
      </c>
      <c r="K189" s="25" t="b">
        <v>1</v>
      </c>
      <c r="L189" s="25"/>
      <c r="M189" s="25"/>
      <c r="N189" s="25" t="str">
        <f>_xlfn.IFNA(VLOOKUP($M189,Buff.CM!$A:$O,13,FALSE),"")</f>
        <v/>
      </c>
      <c r="O189" s="25" t="str">
        <f>_xlfn.IFNA(VLOOKUP($M189,Buff.CM!$A:$O,14,FALSE),"")</f>
        <v/>
      </c>
      <c r="P189" s="25" t="str">
        <f>_xlfn.IFNA(VLOOKUP($M189,Buff.CM!$A:$O,15,FALSE),"")</f>
        <v/>
      </c>
      <c r="Q189" s="25" t="b">
        <v>0</v>
      </c>
      <c r="R189" s="25" t="b">
        <v>0</v>
      </c>
    </row>
    <row r="190" spans="1:18" s="143" customFormat="1">
      <c r="A190" s="25" t="s">
        <v>7330</v>
      </c>
      <c r="B190" s="25"/>
      <c r="C190" s="25"/>
      <c r="D190" s="25">
        <v>7000</v>
      </c>
      <c r="E190" s="25">
        <v>0</v>
      </c>
      <c r="F190" s="25">
        <v>0</v>
      </c>
      <c r="G190" s="25" t="s">
        <v>7335</v>
      </c>
      <c r="H190" s="25"/>
      <c r="I190" s="23" t="b">
        <v>1</v>
      </c>
      <c r="J190" s="25" t="b">
        <v>0</v>
      </c>
      <c r="K190" s="25" t="b">
        <v>1</v>
      </c>
      <c r="L190" s="25"/>
      <c r="M190" s="25"/>
      <c r="N190" s="25" t="str">
        <f>_xlfn.IFNA(VLOOKUP($M190,Buff.CM!$A:$O,13,FALSE),"")</f>
        <v/>
      </c>
      <c r="O190" s="25" t="str">
        <f>_xlfn.IFNA(VLOOKUP($M190,Buff.CM!$A:$O,14,FALSE),"")</f>
        <v/>
      </c>
      <c r="P190" s="25" t="str">
        <f>_xlfn.IFNA(VLOOKUP($M190,Buff.CM!$A:$O,15,FALSE),"")</f>
        <v/>
      </c>
      <c r="Q190" s="25" t="b">
        <v>0</v>
      </c>
      <c r="R190" s="25" t="b">
        <v>0</v>
      </c>
    </row>
    <row r="191" spans="1:18" s="143" customFormat="1">
      <c r="A191" s="25" t="s">
        <v>7706</v>
      </c>
      <c r="B191" s="25"/>
      <c r="C191" s="25"/>
      <c r="D191" s="25">
        <v>7000</v>
      </c>
      <c r="E191" s="25">
        <v>0</v>
      </c>
      <c r="F191" s="25">
        <v>0</v>
      </c>
      <c r="G191" s="25" t="s">
        <v>7336</v>
      </c>
      <c r="H191" s="25"/>
      <c r="I191" s="23" t="b">
        <v>1</v>
      </c>
      <c r="J191" s="25" t="b">
        <v>0</v>
      </c>
      <c r="K191" s="25" t="b">
        <v>1</v>
      </c>
      <c r="L191" s="25"/>
      <c r="M191" s="25"/>
      <c r="N191" s="25" t="str">
        <f>_xlfn.IFNA(VLOOKUP($M191,Buff.CM!$A:$O,13,FALSE),"")</f>
        <v/>
      </c>
      <c r="O191" s="25" t="str">
        <f>_xlfn.IFNA(VLOOKUP($M191,Buff.CM!$A:$O,14,FALSE),"")</f>
        <v/>
      </c>
      <c r="P191" s="25" t="str">
        <f>_xlfn.IFNA(VLOOKUP($M191,Buff.CM!$A:$O,15,FALSE),"")</f>
        <v/>
      </c>
      <c r="Q191" s="25" t="b">
        <v>0</v>
      </c>
      <c r="R191" s="25" t="b">
        <v>0</v>
      </c>
    </row>
    <row r="192" spans="1:18" s="143" customFormat="1">
      <c r="A192" s="25" t="s">
        <v>7331</v>
      </c>
      <c r="B192" s="25"/>
      <c r="C192" s="25"/>
      <c r="D192" s="25">
        <v>7000</v>
      </c>
      <c r="E192" s="25">
        <v>0</v>
      </c>
      <c r="F192" s="25">
        <v>0</v>
      </c>
      <c r="G192" s="25" t="s">
        <v>7337</v>
      </c>
      <c r="H192" s="25"/>
      <c r="I192" s="23" t="b">
        <v>1</v>
      </c>
      <c r="J192" s="25" t="b">
        <v>0</v>
      </c>
      <c r="K192" s="25" t="b">
        <v>1</v>
      </c>
      <c r="L192" s="25"/>
      <c r="M192" s="25"/>
      <c r="N192" s="25" t="str">
        <f>_xlfn.IFNA(VLOOKUP($M192,Buff.CM!$A:$O,13,FALSE),"")</f>
        <v/>
      </c>
      <c r="O192" s="25" t="str">
        <f>_xlfn.IFNA(VLOOKUP($M192,Buff.CM!$A:$O,14,FALSE),"")</f>
        <v/>
      </c>
      <c r="P192" s="25" t="str">
        <f>_xlfn.IFNA(VLOOKUP($M192,Buff.CM!$A:$O,15,FALSE),"")</f>
        <v/>
      </c>
      <c r="Q192" s="25" t="b">
        <v>0</v>
      </c>
      <c r="R192" s="25" t="b">
        <v>0</v>
      </c>
    </row>
    <row r="193" spans="1:18" s="143" customFormat="1">
      <c r="A193" s="25" t="s">
        <v>7332</v>
      </c>
      <c r="B193" s="25"/>
      <c r="C193" s="25"/>
      <c r="D193" s="25">
        <v>7000</v>
      </c>
      <c r="E193" s="25">
        <v>0</v>
      </c>
      <c r="F193" s="25">
        <v>0</v>
      </c>
      <c r="G193" s="25" t="s">
        <v>7338</v>
      </c>
      <c r="H193" s="25"/>
      <c r="I193" s="23" t="b">
        <v>1</v>
      </c>
      <c r="J193" s="25" t="b">
        <v>0</v>
      </c>
      <c r="K193" s="25" t="b">
        <v>1</v>
      </c>
      <c r="L193" s="25"/>
      <c r="M193" s="25"/>
      <c r="N193" s="25" t="str">
        <f>_xlfn.IFNA(VLOOKUP($M193,Buff.CM!$A:$O,13,FALSE),"")</f>
        <v/>
      </c>
      <c r="O193" s="25" t="str">
        <f>_xlfn.IFNA(VLOOKUP($M193,Buff.CM!$A:$O,14,FALSE),"")</f>
        <v/>
      </c>
      <c r="P193" s="25" t="str">
        <f>_xlfn.IFNA(VLOOKUP($M193,Buff.CM!$A:$O,15,FALSE),"")</f>
        <v/>
      </c>
      <c r="Q193" s="25" t="b">
        <v>0</v>
      </c>
      <c r="R193" s="25" t="b">
        <v>0</v>
      </c>
    </row>
    <row r="194" spans="1:18" s="143" customFormat="1">
      <c r="A194" s="25" t="s">
        <v>7346</v>
      </c>
      <c r="B194" s="25"/>
      <c r="C194" s="25"/>
      <c r="D194" s="25">
        <v>7000</v>
      </c>
      <c r="E194" s="25">
        <v>0</v>
      </c>
      <c r="F194" s="25">
        <v>0</v>
      </c>
      <c r="G194" s="25" t="s">
        <v>7345</v>
      </c>
      <c r="H194" s="25"/>
      <c r="I194" s="23" t="b">
        <v>1</v>
      </c>
      <c r="J194" s="25" t="b">
        <v>0</v>
      </c>
      <c r="K194" s="25" t="b">
        <v>1</v>
      </c>
      <c r="L194" s="25"/>
      <c r="M194" s="25"/>
      <c r="N194" s="25" t="str">
        <f>_xlfn.IFNA(VLOOKUP($M194,Buff.CM!$A:$O,13,FALSE),"")</f>
        <v/>
      </c>
      <c r="O194" s="25" t="str">
        <f>_xlfn.IFNA(VLOOKUP($M194,Buff.CM!$A:$O,14,FALSE),"")</f>
        <v/>
      </c>
      <c r="P194" s="25" t="str">
        <f>_xlfn.IFNA(VLOOKUP($M194,Buff.CM!$A:$O,15,FALSE),"")</f>
        <v/>
      </c>
      <c r="Q194" s="25" t="b">
        <v>0</v>
      </c>
      <c r="R194" s="25" t="b">
        <v>0</v>
      </c>
    </row>
    <row r="195" spans="1:18" ht="33">
      <c r="A195" s="26" t="s">
        <v>7475</v>
      </c>
      <c r="B195" s="26"/>
      <c r="C195" s="26"/>
      <c r="D195" s="26">
        <v>6000</v>
      </c>
      <c r="E195" s="26">
        <v>0</v>
      </c>
      <c r="F195" s="26">
        <v>0</v>
      </c>
      <c r="G195" s="45" t="s">
        <v>6697</v>
      </c>
      <c r="H195" s="26"/>
      <c r="I195" s="26" t="b">
        <v>0</v>
      </c>
      <c r="J195" s="26" t="b">
        <v>0</v>
      </c>
      <c r="K195" s="26" t="b">
        <v>0</v>
      </c>
      <c r="L195" s="26" t="s">
        <v>161</v>
      </c>
      <c r="M195" s="26" t="s">
        <v>6121</v>
      </c>
      <c r="N195" s="26" t="str">
        <f>_xlfn.IFNA(VLOOKUP($M195,Buff.CM!$A:$O,13,FALSE),"")</f>
        <v>icon_battle_burn</v>
      </c>
      <c r="O195" s="26" t="str">
        <f>_xlfn.IFNA(VLOOKUP($M195,Buff.CM!$A:$O,14,FALSE),"")</f>
        <v>Buff.Name.burn</v>
      </c>
      <c r="P195" s="26" t="str">
        <f>_xlfn.IFNA(VLOOKUP($M195,Buff.CM!$A:$O,15,FALSE),"")</f>
        <v>Buff.Desc.burn</v>
      </c>
      <c r="Q195" s="26" t="b">
        <v>0</v>
      </c>
      <c r="R195" s="26" t="b">
        <v>1</v>
      </c>
    </row>
    <row r="196" spans="1:18" ht="33">
      <c r="A196" s="26" t="s">
        <v>7476</v>
      </c>
      <c r="B196" s="26"/>
      <c r="C196" s="26"/>
      <c r="D196" s="26">
        <v>6000</v>
      </c>
      <c r="E196" s="26">
        <v>0</v>
      </c>
      <c r="F196" s="26">
        <v>0</v>
      </c>
      <c r="G196" s="45" t="s">
        <v>6698</v>
      </c>
      <c r="H196" s="26"/>
      <c r="I196" s="26" t="b">
        <v>0</v>
      </c>
      <c r="J196" s="26" t="b">
        <v>0</v>
      </c>
      <c r="K196" s="26" t="b">
        <v>0</v>
      </c>
      <c r="L196" s="26" t="s">
        <v>161</v>
      </c>
      <c r="M196" s="26" t="s">
        <v>6121</v>
      </c>
      <c r="N196" s="26" t="str">
        <f>_xlfn.IFNA(VLOOKUP($M196,Buff.CM!$A:$O,13,FALSE),"")</f>
        <v>icon_battle_burn</v>
      </c>
      <c r="O196" s="26" t="str">
        <f>_xlfn.IFNA(VLOOKUP($M196,Buff.CM!$A:$O,14,FALSE),"")</f>
        <v>Buff.Name.burn</v>
      </c>
      <c r="P196" s="26" t="str">
        <f>_xlfn.IFNA(VLOOKUP($M196,Buff.CM!$A:$O,15,FALSE),"")</f>
        <v>Buff.Desc.burn</v>
      </c>
      <c r="Q196" s="26" t="b">
        <v>0</v>
      </c>
      <c r="R196" s="26" t="b">
        <v>1</v>
      </c>
    </row>
    <row r="197" spans="1:18" ht="33">
      <c r="A197" s="26" t="s">
        <v>7477</v>
      </c>
      <c r="B197" s="26"/>
      <c r="C197" s="26"/>
      <c r="D197" s="26">
        <v>6000</v>
      </c>
      <c r="E197" s="26">
        <v>0</v>
      </c>
      <c r="F197" s="26">
        <v>0</v>
      </c>
      <c r="G197" s="45" t="s">
        <v>6698</v>
      </c>
      <c r="H197" s="26"/>
      <c r="I197" s="26" t="b">
        <v>0</v>
      </c>
      <c r="J197" s="26" t="b">
        <v>0</v>
      </c>
      <c r="K197" s="26" t="b">
        <v>0</v>
      </c>
      <c r="L197" s="26" t="s">
        <v>161</v>
      </c>
      <c r="M197" s="26" t="s">
        <v>6121</v>
      </c>
      <c r="N197" s="26" t="str">
        <f>_xlfn.IFNA(VLOOKUP($M197,Buff.CM!$A:$O,13,FALSE),"")</f>
        <v>icon_battle_burn</v>
      </c>
      <c r="O197" s="26" t="str">
        <f>_xlfn.IFNA(VLOOKUP($M197,Buff.CM!$A:$O,14,FALSE),"")</f>
        <v>Buff.Name.burn</v>
      </c>
      <c r="P197" s="26" t="str">
        <f>_xlfn.IFNA(VLOOKUP($M197,Buff.CM!$A:$O,15,FALSE),"")</f>
        <v>Buff.Desc.burn</v>
      </c>
      <c r="Q197" s="26" t="b">
        <v>0</v>
      </c>
      <c r="R197" s="26" t="b">
        <v>1</v>
      </c>
    </row>
    <row r="198" spans="1:18" ht="33">
      <c r="A198" s="26" t="s">
        <v>7478</v>
      </c>
      <c r="B198" s="26"/>
      <c r="C198" s="26"/>
      <c r="D198" s="26">
        <v>6000</v>
      </c>
      <c r="E198" s="26">
        <v>0</v>
      </c>
      <c r="F198" s="26">
        <v>0</v>
      </c>
      <c r="G198" s="45" t="s">
        <v>6699</v>
      </c>
      <c r="H198" s="26"/>
      <c r="I198" s="26" t="b">
        <v>0</v>
      </c>
      <c r="J198" s="26" t="b">
        <v>0</v>
      </c>
      <c r="K198" s="26" t="b">
        <v>0</v>
      </c>
      <c r="L198" s="26" t="s">
        <v>161</v>
      </c>
      <c r="M198" s="26" t="s">
        <v>6121</v>
      </c>
      <c r="N198" s="26" t="str">
        <f>_xlfn.IFNA(VLOOKUP($M198,Buff.CM!$A:$O,13,FALSE),"")</f>
        <v>icon_battle_burn</v>
      </c>
      <c r="O198" s="26" t="str">
        <f>_xlfn.IFNA(VLOOKUP($M198,Buff.CM!$A:$O,14,FALSE),"")</f>
        <v>Buff.Name.burn</v>
      </c>
      <c r="P198" s="26" t="str">
        <f>_xlfn.IFNA(VLOOKUP($M198,Buff.CM!$A:$O,15,FALSE),"")</f>
        <v>Buff.Desc.burn</v>
      </c>
      <c r="Q198" s="26" t="b">
        <v>0</v>
      </c>
      <c r="R198" s="26" t="b">
        <v>1</v>
      </c>
    </row>
    <row r="199" spans="1:18" s="153" customFormat="1">
      <c r="A199" s="26" t="s">
        <v>7399</v>
      </c>
      <c r="B199" s="26"/>
      <c r="C199" s="26"/>
      <c r="D199" s="26">
        <v>0</v>
      </c>
      <c r="E199" s="26">
        <v>0</v>
      </c>
      <c r="F199" s="26">
        <v>0</v>
      </c>
      <c r="G199" s="45" t="s">
        <v>7404</v>
      </c>
      <c r="H199" s="26"/>
      <c r="I199" s="26" t="b">
        <v>0</v>
      </c>
      <c r="J199" s="26" t="b">
        <v>0</v>
      </c>
      <c r="K199" s="26" t="b">
        <v>1</v>
      </c>
      <c r="L199" s="45"/>
      <c r="M199" s="26"/>
      <c r="N199" s="26" t="str">
        <f>_xlfn.IFNA(VLOOKUP($M199,Buff.CM!$A:$O,13,FALSE),"")</f>
        <v/>
      </c>
      <c r="O199" s="26" t="str">
        <f>_xlfn.IFNA(VLOOKUP($M199,Buff.CM!$A:$O,14,FALSE),"")</f>
        <v/>
      </c>
      <c r="P199" s="26" t="str">
        <f>_xlfn.IFNA(VLOOKUP($M199,Buff.CM!$A:$O,15,FALSE),"")</f>
        <v/>
      </c>
      <c r="Q199" s="26" t="b">
        <v>0</v>
      </c>
      <c r="R199" s="26" t="b">
        <v>0</v>
      </c>
    </row>
    <row r="200" spans="1:18" s="153" customFormat="1">
      <c r="A200" s="26" t="s">
        <v>7400</v>
      </c>
      <c r="B200" s="26" t="s">
        <v>7392</v>
      </c>
      <c r="C200" s="26" t="s">
        <v>7410</v>
      </c>
      <c r="D200" s="26">
        <v>0</v>
      </c>
      <c r="E200" s="26">
        <v>0</v>
      </c>
      <c r="F200" s="26">
        <v>0</v>
      </c>
      <c r="G200" s="45" t="s">
        <v>7404</v>
      </c>
      <c r="H200" s="26"/>
      <c r="I200" s="26" t="b">
        <v>0</v>
      </c>
      <c r="J200" s="26" t="b">
        <v>0</v>
      </c>
      <c r="K200" s="26" t="b">
        <v>1</v>
      </c>
      <c r="L200" s="45"/>
      <c r="M200" s="26"/>
      <c r="N200" s="26" t="str">
        <f>_xlfn.IFNA(VLOOKUP($M200,Buff.CM!$A:$O,13,FALSE),"")</f>
        <v/>
      </c>
      <c r="O200" s="26" t="str">
        <f>_xlfn.IFNA(VLOOKUP($M200,Buff.CM!$A:$O,14,FALSE),"")</f>
        <v/>
      </c>
      <c r="P200" s="26" t="str">
        <f>_xlfn.IFNA(VLOOKUP($M200,Buff.CM!$A:$O,15,FALSE),"")</f>
        <v/>
      </c>
      <c r="Q200" s="26" t="b">
        <v>0</v>
      </c>
      <c r="R200" s="26" t="b">
        <v>0</v>
      </c>
    </row>
    <row r="201" spans="1:18" s="153" customFormat="1">
      <c r="A201" s="26" t="s">
        <v>7401</v>
      </c>
      <c r="B201" s="26" t="s">
        <v>7392</v>
      </c>
      <c r="C201" s="26" t="s">
        <v>7394</v>
      </c>
      <c r="D201" s="26">
        <v>0</v>
      </c>
      <c r="E201" s="26">
        <v>0</v>
      </c>
      <c r="F201" s="26">
        <v>0</v>
      </c>
      <c r="G201" s="45" t="s">
        <v>7404</v>
      </c>
      <c r="H201" s="26"/>
      <c r="I201" s="26" t="b">
        <v>0</v>
      </c>
      <c r="J201" s="26" t="b">
        <v>0</v>
      </c>
      <c r="K201" s="26" t="b">
        <v>1</v>
      </c>
      <c r="L201" s="45"/>
      <c r="M201" s="26"/>
      <c r="N201" s="26" t="str">
        <f>_xlfn.IFNA(VLOOKUP($M201,Buff.CM!$A:$O,13,FALSE),"")</f>
        <v/>
      </c>
      <c r="O201" s="26" t="str">
        <f>_xlfn.IFNA(VLOOKUP($M201,Buff.CM!$A:$O,14,FALSE),"")</f>
        <v/>
      </c>
      <c r="P201" s="26" t="str">
        <f>_xlfn.IFNA(VLOOKUP($M201,Buff.CM!$A:$O,15,FALSE),"")</f>
        <v/>
      </c>
      <c r="Q201" s="26" t="b">
        <v>0</v>
      </c>
      <c r="R201" s="26" t="b">
        <v>0</v>
      </c>
    </row>
    <row r="202" spans="1:18" s="153" customFormat="1">
      <c r="A202" s="26" t="s">
        <v>7402</v>
      </c>
      <c r="B202" s="26" t="s">
        <v>7392</v>
      </c>
      <c r="C202" s="26" t="s">
        <v>7395</v>
      </c>
      <c r="D202" s="26">
        <v>0</v>
      </c>
      <c r="E202" s="26">
        <v>0</v>
      </c>
      <c r="F202" s="26">
        <v>0</v>
      </c>
      <c r="G202" s="45" t="s">
        <v>7404</v>
      </c>
      <c r="H202" s="26"/>
      <c r="I202" s="26" t="b">
        <v>0</v>
      </c>
      <c r="J202" s="26" t="b">
        <v>0</v>
      </c>
      <c r="K202" s="26" t="b">
        <v>1</v>
      </c>
      <c r="L202" s="45"/>
      <c r="M202" s="26"/>
      <c r="N202" s="26" t="str">
        <f>_xlfn.IFNA(VLOOKUP($M202,Buff.CM!$A:$O,13,FALSE),"")</f>
        <v/>
      </c>
      <c r="O202" s="26" t="str">
        <f>_xlfn.IFNA(VLOOKUP($M202,Buff.CM!$A:$O,14,FALSE),"")</f>
        <v/>
      </c>
      <c r="P202" s="26" t="str">
        <f>_xlfn.IFNA(VLOOKUP($M202,Buff.CM!$A:$O,15,FALSE),"")</f>
        <v/>
      </c>
      <c r="Q202" s="26" t="b">
        <v>0</v>
      </c>
      <c r="R202" s="26" t="b">
        <v>0</v>
      </c>
    </row>
    <row r="203" spans="1:18" s="153" customFormat="1">
      <c r="A203" s="26" t="s">
        <v>7403</v>
      </c>
      <c r="B203" s="26" t="s">
        <v>7392</v>
      </c>
      <c r="C203" s="26" t="s">
        <v>7396</v>
      </c>
      <c r="D203" s="26">
        <v>0</v>
      </c>
      <c r="E203" s="26">
        <v>0</v>
      </c>
      <c r="F203" s="26">
        <v>0</v>
      </c>
      <c r="G203" s="45" t="s">
        <v>7404</v>
      </c>
      <c r="H203" s="26"/>
      <c r="I203" s="26" t="b">
        <v>0</v>
      </c>
      <c r="J203" s="26" t="b">
        <v>0</v>
      </c>
      <c r="K203" s="26" t="b">
        <v>1</v>
      </c>
      <c r="L203" s="45"/>
      <c r="M203" s="26"/>
      <c r="N203" s="26" t="str">
        <f>_xlfn.IFNA(VLOOKUP($M203,Buff.CM!$A:$O,13,FALSE),"")</f>
        <v/>
      </c>
      <c r="O203" s="26" t="str">
        <f>_xlfn.IFNA(VLOOKUP($M203,Buff.CM!$A:$O,14,FALSE),"")</f>
        <v/>
      </c>
      <c r="P203" s="26" t="str">
        <f>_xlfn.IFNA(VLOOKUP($M203,Buff.CM!$A:$O,15,FALSE),"")</f>
        <v/>
      </c>
      <c r="Q203" s="26" t="b">
        <v>0</v>
      </c>
      <c r="R203" s="26" t="b">
        <v>0</v>
      </c>
    </row>
    <row r="204" spans="1:18" s="143" customFormat="1">
      <c r="A204" s="25" t="s">
        <v>7407</v>
      </c>
      <c r="B204" s="25"/>
      <c r="C204" s="25"/>
      <c r="D204" s="25">
        <v>0</v>
      </c>
      <c r="E204" s="25">
        <v>5</v>
      </c>
      <c r="F204" s="25">
        <v>1</v>
      </c>
      <c r="G204" s="25" t="s">
        <v>7409</v>
      </c>
      <c r="H204" s="25"/>
      <c r="I204" s="25" t="b">
        <v>0</v>
      </c>
      <c r="J204" s="25" t="b">
        <v>0</v>
      </c>
      <c r="K204" s="25" t="b">
        <v>1</v>
      </c>
      <c r="L204" s="43" t="s">
        <v>7479</v>
      </c>
      <c r="M204" s="25" t="s">
        <v>123</v>
      </c>
      <c r="N204" s="25" t="str">
        <f>_xlfn.IFNA(VLOOKUP($M204,Buff.CM!$A:$O,13,FALSE),"")</f>
        <v>icon_battle_damageimmune</v>
      </c>
      <c r="O204" s="25" t="str">
        <f>_xlfn.IFNA(VLOOKUP($M204,Buff.CM!$A:$O,14,FALSE),"")</f>
        <v>Buff.Name.DamageImmune</v>
      </c>
      <c r="P204" s="25" t="str">
        <f>_xlfn.IFNA(VLOOKUP($M204,Buff.CM!$A:$O,15,FALSE),"")</f>
        <v>Buff.Desc.DamageImmune</v>
      </c>
      <c r="Q204" s="25" t="b">
        <v>0</v>
      </c>
      <c r="R204" s="25" t="b">
        <v>0</v>
      </c>
    </row>
    <row r="205" spans="1:18" s="153" customFormat="1" ht="33">
      <c r="A205" s="26" t="s">
        <v>458</v>
      </c>
      <c r="B205" s="26"/>
      <c r="C205" s="26"/>
      <c r="D205" s="26">
        <v>0</v>
      </c>
      <c r="E205" s="26">
        <v>0</v>
      </c>
      <c r="F205" s="26">
        <v>0</v>
      </c>
      <c r="G205" s="45" t="s">
        <v>7353</v>
      </c>
      <c r="H205" s="26"/>
      <c r="I205" s="26" t="b">
        <v>0</v>
      </c>
      <c r="J205" s="26" t="b">
        <v>0</v>
      </c>
      <c r="K205" s="26" t="b">
        <v>1</v>
      </c>
      <c r="L205" s="26"/>
      <c r="M205" s="26"/>
      <c r="N205" s="26" t="str">
        <f>_xlfn.IFNA(VLOOKUP($M205,Buff.CM!$A:$O,13,FALSE),"")</f>
        <v/>
      </c>
      <c r="O205" s="26" t="str">
        <f>_xlfn.IFNA(VLOOKUP($M205,Buff.CM!$A:$O,14,FALSE),"")</f>
        <v/>
      </c>
      <c r="P205" s="26" t="str">
        <f>_xlfn.IFNA(VLOOKUP($M205,Buff.CM!$A:$O,15,FALSE),"")</f>
        <v/>
      </c>
      <c r="Q205" s="26" t="b">
        <v>0</v>
      </c>
      <c r="R205" s="26" t="b">
        <v>0</v>
      </c>
    </row>
    <row r="206" spans="1:18" s="153" customFormat="1" ht="33">
      <c r="A206" s="26" t="s">
        <v>459</v>
      </c>
      <c r="B206" s="26"/>
      <c r="C206" s="26"/>
      <c r="D206" s="26">
        <v>0</v>
      </c>
      <c r="E206" s="26">
        <v>0</v>
      </c>
      <c r="F206" s="26">
        <v>0</v>
      </c>
      <c r="G206" s="45" t="s">
        <v>7354</v>
      </c>
      <c r="H206" s="26"/>
      <c r="I206" s="26" t="b">
        <v>0</v>
      </c>
      <c r="J206" s="26" t="b">
        <v>0</v>
      </c>
      <c r="K206" s="26" t="b">
        <v>1</v>
      </c>
      <c r="L206" s="26"/>
      <c r="M206" s="26"/>
      <c r="N206" s="26" t="str">
        <f>_xlfn.IFNA(VLOOKUP($M206,Buff.CM!$A:$O,13,FALSE),"")</f>
        <v/>
      </c>
      <c r="O206" s="26" t="str">
        <f>_xlfn.IFNA(VLOOKUP($M206,Buff.CM!$A:$O,14,FALSE),"")</f>
        <v/>
      </c>
      <c r="P206" s="26" t="str">
        <f>_xlfn.IFNA(VLOOKUP($M206,Buff.CM!$A:$O,15,FALSE),"")</f>
        <v/>
      </c>
      <c r="Q206" s="26" t="b">
        <v>0</v>
      </c>
      <c r="R206" s="26" t="b">
        <v>0</v>
      </c>
    </row>
    <row r="207" spans="1:18" s="153" customFormat="1" ht="33">
      <c r="A207" s="26" t="s">
        <v>460</v>
      </c>
      <c r="B207" s="26"/>
      <c r="C207" s="26"/>
      <c r="D207" s="26">
        <v>0</v>
      </c>
      <c r="E207" s="26">
        <v>0</v>
      </c>
      <c r="F207" s="26">
        <v>0</v>
      </c>
      <c r="G207" s="45" t="s">
        <v>7355</v>
      </c>
      <c r="H207" s="26"/>
      <c r="I207" s="26" t="b">
        <v>0</v>
      </c>
      <c r="J207" s="26" t="b">
        <v>0</v>
      </c>
      <c r="K207" s="26" t="b">
        <v>1</v>
      </c>
      <c r="L207" s="26"/>
      <c r="M207" s="26"/>
      <c r="N207" s="26" t="str">
        <f>_xlfn.IFNA(VLOOKUP($M207,Buff.CM!$A:$O,13,FALSE),"")</f>
        <v/>
      </c>
      <c r="O207" s="26" t="str">
        <f>_xlfn.IFNA(VLOOKUP($M207,Buff.CM!$A:$O,14,FALSE),"")</f>
        <v/>
      </c>
      <c r="P207" s="26" t="str">
        <f>_xlfn.IFNA(VLOOKUP($M207,Buff.CM!$A:$O,15,FALSE),"")</f>
        <v/>
      </c>
      <c r="Q207" s="26" t="b">
        <v>0</v>
      </c>
      <c r="R207" s="26" t="b">
        <v>0</v>
      </c>
    </row>
    <row r="208" spans="1:18" s="153" customFormat="1" ht="33">
      <c r="A208" s="26" t="s">
        <v>461</v>
      </c>
      <c r="B208" s="26"/>
      <c r="C208" s="26"/>
      <c r="D208" s="26">
        <v>0</v>
      </c>
      <c r="E208" s="26">
        <v>0</v>
      </c>
      <c r="F208" s="26">
        <v>0</v>
      </c>
      <c r="G208" s="45" t="s">
        <v>7356</v>
      </c>
      <c r="H208" s="26"/>
      <c r="I208" s="26" t="b">
        <v>0</v>
      </c>
      <c r="J208" s="26" t="b">
        <v>0</v>
      </c>
      <c r="K208" s="26" t="b">
        <v>1</v>
      </c>
      <c r="L208" s="26"/>
      <c r="M208" s="26"/>
      <c r="N208" s="26" t="str">
        <f>_xlfn.IFNA(VLOOKUP($M208,Buff.CM!$A:$O,13,FALSE),"")</f>
        <v/>
      </c>
      <c r="O208" s="26" t="str">
        <f>_xlfn.IFNA(VLOOKUP($M208,Buff.CM!$A:$O,14,FALSE),"")</f>
        <v/>
      </c>
      <c r="P208" s="26" t="str">
        <f>_xlfn.IFNA(VLOOKUP($M208,Buff.CM!$A:$O,15,FALSE),"")</f>
        <v/>
      </c>
      <c r="Q208" s="26" t="b">
        <v>0</v>
      </c>
      <c r="R208" s="26" t="b">
        <v>0</v>
      </c>
    </row>
    <row r="209" spans="1:18" s="153" customFormat="1" ht="33">
      <c r="A209" s="26" t="s">
        <v>462</v>
      </c>
      <c r="B209" s="26"/>
      <c r="C209" s="26"/>
      <c r="D209" s="26">
        <v>0</v>
      </c>
      <c r="E209" s="26">
        <v>0</v>
      </c>
      <c r="F209" s="26">
        <v>0</v>
      </c>
      <c r="G209" s="45" t="s">
        <v>7357</v>
      </c>
      <c r="H209" s="26"/>
      <c r="I209" s="26" t="b">
        <v>0</v>
      </c>
      <c r="J209" s="26" t="b">
        <v>0</v>
      </c>
      <c r="K209" s="26" t="b">
        <v>1</v>
      </c>
      <c r="L209" s="26"/>
      <c r="M209" s="26"/>
      <c r="N209" s="26" t="str">
        <f>_xlfn.IFNA(VLOOKUP($M209,Buff.CM!$A:$O,13,FALSE),"")</f>
        <v/>
      </c>
      <c r="O209" s="26" t="str">
        <f>_xlfn.IFNA(VLOOKUP($M209,Buff.CM!$A:$O,14,FALSE),"")</f>
        <v/>
      </c>
      <c r="P209" s="26" t="str">
        <f>_xlfn.IFNA(VLOOKUP($M209,Buff.CM!$A:$O,15,FALSE),"")</f>
        <v/>
      </c>
      <c r="Q209" s="26" t="b">
        <v>0</v>
      </c>
      <c r="R209" s="26" t="b">
        <v>0</v>
      </c>
    </row>
    <row r="210" spans="1:18" s="153" customFormat="1" ht="33">
      <c r="A210" s="26" t="s">
        <v>463</v>
      </c>
      <c r="B210" s="26"/>
      <c r="C210" s="26"/>
      <c r="D210" s="26">
        <v>0</v>
      </c>
      <c r="E210" s="26">
        <v>0</v>
      </c>
      <c r="F210" s="26">
        <v>0</v>
      </c>
      <c r="G210" s="45" t="s">
        <v>7358</v>
      </c>
      <c r="H210" s="26"/>
      <c r="I210" s="26" t="b">
        <v>0</v>
      </c>
      <c r="J210" s="26" t="b">
        <v>0</v>
      </c>
      <c r="K210" s="26" t="b">
        <v>1</v>
      </c>
      <c r="L210" s="26"/>
      <c r="M210" s="26"/>
      <c r="N210" s="26" t="str">
        <f>_xlfn.IFNA(VLOOKUP($M210,Buff.CM!$A:$O,13,FALSE),"")</f>
        <v/>
      </c>
      <c r="O210" s="26" t="str">
        <f>_xlfn.IFNA(VLOOKUP($M210,Buff.CM!$A:$O,14,FALSE),"")</f>
        <v/>
      </c>
      <c r="P210" s="26" t="str">
        <f>_xlfn.IFNA(VLOOKUP($M210,Buff.CM!$A:$O,15,FALSE),"")</f>
        <v/>
      </c>
      <c r="Q210" s="26" t="b">
        <v>0</v>
      </c>
      <c r="R210" s="26" t="b">
        <v>0</v>
      </c>
    </row>
    <row r="211" spans="1:18" s="162" customFormat="1" ht="33">
      <c r="A211" s="188" t="s">
        <v>7374</v>
      </c>
      <c r="B211" s="44"/>
      <c r="C211" s="44"/>
      <c r="D211" s="44">
        <v>0</v>
      </c>
      <c r="E211" s="44">
        <v>5</v>
      </c>
      <c r="F211" s="44">
        <v>5</v>
      </c>
      <c r="G211" s="66" t="s">
        <v>7398</v>
      </c>
      <c r="H211" s="44"/>
      <c r="I211" s="44" t="b">
        <v>1</v>
      </c>
      <c r="J211" s="44" t="b">
        <v>1</v>
      </c>
      <c r="K211" s="44" t="b">
        <v>1</v>
      </c>
      <c r="L211" s="44"/>
      <c r="M211" s="44" t="s">
        <v>7492</v>
      </c>
      <c r="N211" s="44" t="str">
        <f>_xlfn.IFNA(VLOOKUP($M211,Buff.CM!$A:$O,13,FALSE),"")</f>
        <v>icon_battle_sia_buff_01</v>
      </c>
      <c r="O211" s="44" t="str">
        <f>_xlfn.IFNA(VLOOKUP($M211,Buff.CM!$A:$O,14,FALSE),"")</f>
        <v>info.sia.buff.strongest</v>
      </c>
      <c r="P211" s="44" t="str">
        <f>_xlfn.IFNA(VLOOKUP($M211,Buff.CM!$A:$O,15,FALSE),"")</f>
        <v>Desc.info.sia.buff.strongest.01</v>
      </c>
      <c r="Q211" s="44" t="b">
        <v>0</v>
      </c>
      <c r="R211" s="44" t="b">
        <v>0</v>
      </c>
    </row>
    <row r="212" spans="1:18" s="162" customFormat="1" ht="33">
      <c r="A212" s="188" t="s">
        <v>7375</v>
      </c>
      <c r="B212" s="44"/>
      <c r="C212" s="44"/>
      <c r="D212" s="44">
        <v>0</v>
      </c>
      <c r="E212" s="44">
        <v>5</v>
      </c>
      <c r="F212" s="44">
        <v>5</v>
      </c>
      <c r="G212" s="66" t="s">
        <v>7387</v>
      </c>
      <c r="H212" s="44"/>
      <c r="I212" s="44" t="b">
        <v>1</v>
      </c>
      <c r="J212" s="44" t="b">
        <v>1</v>
      </c>
      <c r="K212" s="44" t="b">
        <v>1</v>
      </c>
      <c r="L212" s="44"/>
      <c r="M212" s="44" t="s">
        <v>7493</v>
      </c>
      <c r="N212" s="44" t="str">
        <f>_xlfn.IFNA(VLOOKUP($M212,Buff.CM!$A:$O,13,FALSE),"")</f>
        <v>icon_battle_sia_buff_01</v>
      </c>
      <c r="O212" s="44" t="str">
        <f>_xlfn.IFNA(VLOOKUP($M212,Buff.CM!$A:$O,14,FALSE),"")</f>
        <v>info.sia.buff.strongest</v>
      </c>
      <c r="P212" s="44" t="str">
        <f>_xlfn.IFNA(VLOOKUP($M212,Buff.CM!$A:$O,15,FALSE),"")</f>
        <v>Desc.info.sia.buff.strongest.02</v>
      </c>
      <c r="Q212" s="44" t="b">
        <v>0</v>
      </c>
      <c r="R212" s="44" t="b">
        <v>0</v>
      </c>
    </row>
    <row r="213" spans="1:18" s="162" customFormat="1" ht="33">
      <c r="A213" s="188" t="s">
        <v>7376</v>
      </c>
      <c r="B213" s="44"/>
      <c r="C213" s="44"/>
      <c r="D213" s="44">
        <v>0</v>
      </c>
      <c r="E213" s="44">
        <v>5</v>
      </c>
      <c r="F213" s="44">
        <v>5</v>
      </c>
      <c r="G213" s="66" t="s">
        <v>7388</v>
      </c>
      <c r="H213" s="44"/>
      <c r="I213" s="44" t="b">
        <v>1</v>
      </c>
      <c r="J213" s="44" t="b">
        <v>1</v>
      </c>
      <c r="K213" s="44" t="b">
        <v>1</v>
      </c>
      <c r="L213" s="44"/>
      <c r="M213" s="44" t="s">
        <v>7494</v>
      </c>
      <c r="N213" s="44" t="str">
        <f>_xlfn.IFNA(VLOOKUP($M213,Buff.CM!$A:$O,13,FALSE),"")</f>
        <v>icon_battle_sia_buff_01</v>
      </c>
      <c r="O213" s="44" t="str">
        <f>_xlfn.IFNA(VLOOKUP($M213,Buff.CM!$A:$O,14,FALSE),"")</f>
        <v>info.sia.buff.strongest</v>
      </c>
      <c r="P213" s="44" t="str">
        <f>_xlfn.IFNA(VLOOKUP($M213,Buff.CM!$A:$O,15,FALSE),"")</f>
        <v>Desc.info.sia.buff.strongest.03</v>
      </c>
      <c r="Q213" s="44" t="b">
        <v>0</v>
      </c>
      <c r="R213" s="44" t="b">
        <v>0</v>
      </c>
    </row>
    <row r="214" spans="1:18" s="162" customFormat="1" ht="33">
      <c r="A214" s="188" t="s">
        <v>7377</v>
      </c>
      <c r="B214" s="44"/>
      <c r="C214" s="44"/>
      <c r="D214" s="44">
        <v>0</v>
      </c>
      <c r="E214" s="44">
        <v>5</v>
      </c>
      <c r="F214" s="44">
        <v>5</v>
      </c>
      <c r="G214" s="66" t="s">
        <v>7389</v>
      </c>
      <c r="H214" s="44"/>
      <c r="I214" s="44" t="b">
        <v>1</v>
      </c>
      <c r="J214" s="44" t="b">
        <v>1</v>
      </c>
      <c r="K214" s="44" t="b">
        <v>1</v>
      </c>
      <c r="L214" s="44"/>
      <c r="M214" s="44" t="s">
        <v>7495</v>
      </c>
      <c r="N214" s="44" t="str">
        <f>_xlfn.IFNA(VLOOKUP($M214,Buff.CM!$A:$O,13,FALSE),"")</f>
        <v>icon_battle_sia_buff_01</v>
      </c>
      <c r="O214" s="44" t="str">
        <f>_xlfn.IFNA(VLOOKUP($M214,Buff.CM!$A:$O,14,FALSE),"")</f>
        <v>info.sia.buff.strongest</v>
      </c>
      <c r="P214" s="44" t="str">
        <f>_xlfn.IFNA(VLOOKUP($M214,Buff.CM!$A:$O,15,FALSE),"")</f>
        <v>Desc.info.sia.buff.strongest.04</v>
      </c>
      <c r="Q214" s="44" t="b">
        <v>0</v>
      </c>
      <c r="R214" s="44" t="b">
        <v>0</v>
      </c>
    </row>
    <row r="215" spans="1:18" s="162" customFormat="1" ht="33">
      <c r="A215" s="188" t="s">
        <v>7378</v>
      </c>
      <c r="B215" s="44"/>
      <c r="C215" s="44"/>
      <c r="D215" s="44">
        <v>0</v>
      </c>
      <c r="E215" s="44">
        <v>5</v>
      </c>
      <c r="F215" s="44">
        <v>5</v>
      </c>
      <c r="G215" s="66" t="s">
        <v>7390</v>
      </c>
      <c r="H215" s="44"/>
      <c r="I215" s="44" t="b">
        <v>1</v>
      </c>
      <c r="J215" s="44" t="b">
        <v>1</v>
      </c>
      <c r="K215" s="44" t="b">
        <v>1</v>
      </c>
      <c r="L215" s="44"/>
      <c r="M215" s="44" t="s">
        <v>7496</v>
      </c>
      <c r="N215" s="44" t="str">
        <f>_xlfn.IFNA(VLOOKUP($M215,Buff.CM!$A:$O,13,FALSE),"")</f>
        <v>icon_battle_sia_buff_01</v>
      </c>
      <c r="O215" s="44" t="str">
        <f>_xlfn.IFNA(VLOOKUP($M215,Buff.CM!$A:$O,14,FALSE),"")</f>
        <v>info.sia.buff.strongest</v>
      </c>
      <c r="P215" s="44" t="str">
        <f>_xlfn.IFNA(VLOOKUP($M215,Buff.CM!$A:$O,15,FALSE),"")</f>
        <v>Desc.info.sia.buff.strongest.05</v>
      </c>
      <c r="Q215" s="44" t="b">
        <v>0</v>
      </c>
      <c r="R215" s="44" t="b">
        <v>0</v>
      </c>
    </row>
    <row r="216" spans="1:18" s="162" customFormat="1" ht="33">
      <c r="A216" s="188" t="s">
        <v>7379</v>
      </c>
      <c r="B216" s="44"/>
      <c r="C216" s="44"/>
      <c r="D216" s="44">
        <v>0</v>
      </c>
      <c r="E216" s="44">
        <v>5</v>
      </c>
      <c r="F216" s="44">
        <v>5</v>
      </c>
      <c r="G216" s="66" t="s">
        <v>7391</v>
      </c>
      <c r="H216" s="44"/>
      <c r="I216" s="44" t="b">
        <v>1</v>
      </c>
      <c r="J216" s="44" t="b">
        <v>1</v>
      </c>
      <c r="K216" s="44" t="b">
        <v>1</v>
      </c>
      <c r="L216" s="44"/>
      <c r="M216" s="44" t="s">
        <v>7497</v>
      </c>
      <c r="N216" s="44" t="str">
        <f>_xlfn.IFNA(VLOOKUP($M216,Buff.CM!$A:$O,13,FALSE),"")</f>
        <v>icon_battle_sia_buff_01</v>
      </c>
      <c r="O216" s="44" t="str">
        <f>_xlfn.IFNA(VLOOKUP($M216,Buff.CM!$A:$O,14,FALSE),"")</f>
        <v>info.sia.buff.strongest</v>
      </c>
      <c r="P216" s="44" t="str">
        <f>_xlfn.IFNA(VLOOKUP($M216,Buff.CM!$A:$O,15,FALSE),"")</f>
        <v>Desc.info.sia.buff.strongest.06</v>
      </c>
      <c r="Q216" s="44" t="b">
        <v>0</v>
      </c>
      <c r="R216" s="44" t="b">
        <v>0</v>
      </c>
    </row>
    <row r="217" spans="1:18" s="143" customFormat="1" ht="165">
      <c r="A217" s="25" t="s">
        <v>7322</v>
      </c>
      <c r="B217" s="25"/>
      <c r="C217" s="25"/>
      <c r="D217" s="25">
        <v>0</v>
      </c>
      <c r="E217" s="25">
        <v>0</v>
      </c>
      <c r="F217" s="25">
        <v>0</v>
      </c>
      <c r="G217" s="43" t="s">
        <v>7423</v>
      </c>
      <c r="H217" s="25"/>
      <c r="I217" s="25" t="b">
        <v>0</v>
      </c>
      <c r="J217" s="25" t="b">
        <v>0</v>
      </c>
      <c r="K217" s="25" t="b">
        <v>1</v>
      </c>
      <c r="L217" s="25"/>
      <c r="M217" s="25"/>
      <c r="N217" s="25" t="str">
        <f>_xlfn.IFNA(VLOOKUP($M217,Buff.CM!$A:$O,13,FALSE),"")</f>
        <v/>
      </c>
      <c r="O217" s="25" t="str">
        <f>_xlfn.IFNA(VLOOKUP($M217,Buff.CM!$A:$O,14,FALSE),"")</f>
        <v/>
      </c>
      <c r="P217" s="25" t="str">
        <f>_xlfn.IFNA(VLOOKUP($M217,Buff.CM!$A:$O,15,FALSE),"")</f>
        <v/>
      </c>
      <c r="Q217" s="25" t="b">
        <v>0</v>
      </c>
      <c r="R217" s="25" t="b">
        <v>0</v>
      </c>
    </row>
    <row r="218" spans="1:18" s="143" customFormat="1" ht="165">
      <c r="A218" s="25" t="s">
        <v>7323</v>
      </c>
      <c r="B218" s="25"/>
      <c r="C218" s="25"/>
      <c r="D218" s="25">
        <v>0</v>
      </c>
      <c r="E218" s="25">
        <v>0</v>
      </c>
      <c r="F218" s="25">
        <v>0</v>
      </c>
      <c r="G218" s="43" t="s">
        <v>7420</v>
      </c>
      <c r="H218" s="25"/>
      <c r="I218" s="25" t="b">
        <v>0</v>
      </c>
      <c r="J218" s="25" t="b">
        <v>0</v>
      </c>
      <c r="K218" s="25" t="b">
        <v>1</v>
      </c>
      <c r="L218" s="25"/>
      <c r="M218" s="25"/>
      <c r="N218" s="25" t="str">
        <f>_xlfn.IFNA(VLOOKUP($M218,Buff.CM!$A:$O,13,FALSE),"")</f>
        <v/>
      </c>
      <c r="O218" s="25" t="str">
        <f>_xlfn.IFNA(VLOOKUP($M218,Buff.CM!$A:$O,14,FALSE),"")</f>
        <v/>
      </c>
      <c r="P218" s="25" t="str">
        <f>_xlfn.IFNA(VLOOKUP($M218,Buff.CM!$A:$O,15,FALSE),"")</f>
        <v/>
      </c>
      <c r="Q218" s="25" t="b">
        <v>0</v>
      </c>
      <c r="R218" s="25" t="b">
        <v>0</v>
      </c>
    </row>
    <row r="219" spans="1:18" s="143" customFormat="1" ht="165">
      <c r="A219" s="25" t="s">
        <v>7324</v>
      </c>
      <c r="B219" s="25"/>
      <c r="C219" s="25"/>
      <c r="D219" s="25">
        <v>0</v>
      </c>
      <c r="E219" s="25">
        <v>0</v>
      </c>
      <c r="F219" s="25">
        <v>0</v>
      </c>
      <c r="G219" s="43" t="s">
        <v>7421</v>
      </c>
      <c r="H219" s="25"/>
      <c r="I219" s="25" t="b">
        <v>0</v>
      </c>
      <c r="J219" s="25" t="b">
        <v>0</v>
      </c>
      <c r="K219" s="25" t="b">
        <v>1</v>
      </c>
      <c r="L219" s="25"/>
      <c r="M219" s="25"/>
      <c r="N219" s="25" t="str">
        <f>_xlfn.IFNA(VLOOKUP($M219,Buff.CM!$A:$O,13,FALSE),"")</f>
        <v/>
      </c>
      <c r="O219" s="25" t="str">
        <f>_xlfn.IFNA(VLOOKUP($M219,Buff.CM!$A:$O,14,FALSE),"")</f>
        <v/>
      </c>
      <c r="P219" s="25" t="str">
        <f>_xlfn.IFNA(VLOOKUP($M219,Buff.CM!$A:$O,15,FALSE),"")</f>
        <v/>
      </c>
      <c r="Q219" s="25" t="b">
        <v>0</v>
      </c>
      <c r="R219" s="25" t="b">
        <v>0</v>
      </c>
    </row>
    <row r="220" spans="1:18" s="143" customFormat="1" ht="165">
      <c r="A220" s="25" t="s">
        <v>7325</v>
      </c>
      <c r="B220" s="25"/>
      <c r="C220" s="25"/>
      <c r="D220" s="25">
        <v>0</v>
      </c>
      <c r="E220" s="25">
        <v>0</v>
      </c>
      <c r="F220" s="25">
        <v>0</v>
      </c>
      <c r="G220" s="43" t="s">
        <v>7422</v>
      </c>
      <c r="H220" s="25"/>
      <c r="I220" s="25" t="b">
        <v>0</v>
      </c>
      <c r="J220" s="25" t="b">
        <v>0</v>
      </c>
      <c r="K220" s="25" t="b">
        <v>1</v>
      </c>
      <c r="L220" s="25"/>
      <c r="M220" s="25"/>
      <c r="N220" s="25" t="str">
        <f>_xlfn.IFNA(VLOOKUP($M220,Buff.CM!$A:$O,13,FALSE),"")</f>
        <v/>
      </c>
      <c r="O220" s="25" t="str">
        <f>_xlfn.IFNA(VLOOKUP($M220,Buff.CM!$A:$O,14,FALSE),"")</f>
        <v/>
      </c>
      <c r="P220" s="25" t="str">
        <f>_xlfn.IFNA(VLOOKUP($M220,Buff.CM!$A:$O,15,FALSE),"")</f>
        <v/>
      </c>
      <c r="Q220" s="25" t="b">
        <v>0</v>
      </c>
      <c r="R220" s="25" t="b">
        <v>0</v>
      </c>
    </row>
    <row r="221" spans="1:18" s="143" customFormat="1" ht="165">
      <c r="A221" s="25" t="s">
        <v>7326</v>
      </c>
      <c r="B221" s="25"/>
      <c r="C221" s="25"/>
      <c r="D221" s="25">
        <v>0</v>
      </c>
      <c r="E221" s="25">
        <v>0</v>
      </c>
      <c r="F221" s="25">
        <v>0</v>
      </c>
      <c r="G221" s="43" t="s">
        <v>7422</v>
      </c>
      <c r="H221" s="25"/>
      <c r="I221" s="25" t="b">
        <v>0</v>
      </c>
      <c r="J221" s="25" t="b">
        <v>0</v>
      </c>
      <c r="K221" s="25" t="b">
        <v>1</v>
      </c>
      <c r="L221" s="25"/>
      <c r="M221" s="25"/>
      <c r="N221" s="25" t="str">
        <f>_xlfn.IFNA(VLOOKUP($M221,Buff.CM!$A:$O,13,FALSE),"")</f>
        <v/>
      </c>
      <c r="O221" s="25" t="str">
        <f>_xlfn.IFNA(VLOOKUP($M221,Buff.CM!$A:$O,14,FALSE),"")</f>
        <v/>
      </c>
      <c r="P221" s="25" t="str">
        <f>_xlfn.IFNA(VLOOKUP($M221,Buff.CM!$A:$O,15,FALSE),"")</f>
        <v/>
      </c>
      <c r="Q221" s="25" t="b">
        <v>0</v>
      </c>
      <c r="R221" s="25" t="b">
        <v>0</v>
      </c>
    </row>
    <row r="222" spans="1:18" s="143" customFormat="1" ht="165">
      <c r="A222" s="25" t="s">
        <v>7327</v>
      </c>
      <c r="B222" s="25"/>
      <c r="C222" s="25"/>
      <c r="D222" s="25">
        <v>0</v>
      </c>
      <c r="E222" s="25">
        <v>0</v>
      </c>
      <c r="F222" s="25">
        <v>0</v>
      </c>
      <c r="G222" s="43" t="s">
        <v>7422</v>
      </c>
      <c r="H222" s="25"/>
      <c r="I222" s="25" t="b">
        <v>0</v>
      </c>
      <c r="J222" s="25" t="b">
        <v>0</v>
      </c>
      <c r="K222" s="25" t="b">
        <v>1</v>
      </c>
      <c r="L222" s="25"/>
      <c r="M222" s="25"/>
      <c r="N222" s="25" t="str">
        <f>_xlfn.IFNA(VLOOKUP($M222,Buff.CM!$A:$O,13,FALSE),"")</f>
        <v/>
      </c>
      <c r="O222" s="25" t="str">
        <f>_xlfn.IFNA(VLOOKUP($M222,Buff.CM!$A:$O,14,FALSE),"")</f>
        <v/>
      </c>
      <c r="P222" s="25" t="str">
        <f>_xlfn.IFNA(VLOOKUP($M222,Buff.CM!$A:$O,15,FALSE),"")</f>
        <v/>
      </c>
      <c r="Q222" s="25" t="b">
        <v>0</v>
      </c>
      <c r="R222" s="25" t="b">
        <v>0</v>
      </c>
    </row>
    <row r="223" spans="1:18">
      <c r="A223" s="23" t="s">
        <v>6602</v>
      </c>
      <c r="B223" s="23"/>
      <c r="C223" s="23"/>
      <c r="D223" s="23">
        <v>0</v>
      </c>
      <c r="E223" s="23">
        <v>0</v>
      </c>
      <c r="F223" s="23">
        <v>0</v>
      </c>
      <c r="G223" s="23" t="s">
        <v>6603</v>
      </c>
      <c r="H223" s="23"/>
      <c r="I223" s="23" t="b">
        <v>0</v>
      </c>
      <c r="J223" s="23" t="b">
        <v>0</v>
      </c>
      <c r="K223" s="26" t="b">
        <v>1</v>
      </c>
      <c r="L223" s="23"/>
      <c r="M223" s="23" t="s">
        <v>5556</v>
      </c>
      <c r="N223" s="23" t="str">
        <f>_xlfn.IFNA(VLOOKUP($M223,Buff.CM!$A:$O,13,FALSE),"")</f>
        <v>icon_battle_effect_res</v>
      </c>
      <c r="O223" s="23" t="str">
        <f>_xlfn.IFNA(VLOOKUP($M223,Buff.CM!$A:$O,14,FALSE),"")</f>
        <v>Buff.Name.Reduce.Damage.Up.00</v>
      </c>
      <c r="P223" s="23" t="str">
        <f>_xlfn.IFNA(VLOOKUP($M223,Buff.CM!$A:$O,15,FALSE),"")</f>
        <v>Buff.Desc.Reduce.Damage.Up.00</v>
      </c>
      <c r="Q223" s="23" t="b">
        <v>0</v>
      </c>
      <c r="R223" s="23" t="b">
        <v>0</v>
      </c>
    </row>
    <row r="224" spans="1:18">
      <c r="A224" s="23" t="s">
        <v>5796</v>
      </c>
      <c r="B224" s="23"/>
      <c r="C224" s="23"/>
      <c r="D224" s="23">
        <v>0</v>
      </c>
      <c r="E224" s="23">
        <v>0</v>
      </c>
      <c r="F224" s="23">
        <v>0</v>
      </c>
      <c r="G224" s="23" t="s">
        <v>5791</v>
      </c>
      <c r="H224" s="23"/>
      <c r="I224" s="23" t="b">
        <v>0</v>
      </c>
      <c r="J224" s="23" t="b">
        <v>0</v>
      </c>
      <c r="K224" s="26" t="b">
        <v>1</v>
      </c>
      <c r="L224" s="23"/>
      <c r="M224" s="23" t="s">
        <v>5556</v>
      </c>
      <c r="N224" s="23" t="str">
        <f>_xlfn.IFNA(VLOOKUP($M224,Buff.CM!$A:$O,13,FALSE),"")</f>
        <v>icon_battle_effect_res</v>
      </c>
      <c r="O224" s="23" t="str">
        <f>_xlfn.IFNA(VLOOKUP($M224,Buff.CM!$A:$O,14,FALSE),"")</f>
        <v>Buff.Name.Reduce.Damage.Up.00</v>
      </c>
      <c r="P224" s="23" t="str">
        <f>_xlfn.IFNA(VLOOKUP($M224,Buff.CM!$A:$O,15,FALSE),"")</f>
        <v>Buff.Desc.Reduce.Damage.Up.00</v>
      </c>
      <c r="Q224" s="23" t="b">
        <v>0</v>
      </c>
      <c r="R224" s="23" t="b">
        <v>0</v>
      </c>
    </row>
    <row r="225" spans="1:18">
      <c r="A225" s="23" t="s">
        <v>5797</v>
      </c>
      <c r="B225" s="23"/>
      <c r="C225" s="23"/>
      <c r="D225" s="23">
        <v>0</v>
      </c>
      <c r="E225" s="23">
        <v>0</v>
      </c>
      <c r="F225" s="23">
        <v>0</v>
      </c>
      <c r="G225" s="23" t="s">
        <v>5792</v>
      </c>
      <c r="H225" s="23"/>
      <c r="I225" s="23" t="b">
        <v>0</v>
      </c>
      <c r="J225" s="23" t="b">
        <v>0</v>
      </c>
      <c r="K225" s="26" t="b">
        <v>1</v>
      </c>
      <c r="L225" s="23"/>
      <c r="M225" s="23" t="s">
        <v>5556</v>
      </c>
      <c r="N225" s="23" t="str">
        <f>_xlfn.IFNA(VLOOKUP($M225,Buff.CM!$A:$O,13,FALSE),"")</f>
        <v>icon_battle_effect_res</v>
      </c>
      <c r="O225" s="23" t="str">
        <f>_xlfn.IFNA(VLOOKUP($M225,Buff.CM!$A:$O,14,FALSE),"")</f>
        <v>Buff.Name.Reduce.Damage.Up.00</v>
      </c>
      <c r="P225" s="23" t="str">
        <f>_xlfn.IFNA(VLOOKUP($M225,Buff.CM!$A:$O,15,FALSE),"")</f>
        <v>Buff.Desc.Reduce.Damage.Up.00</v>
      </c>
      <c r="Q225" s="23" t="b">
        <v>0</v>
      </c>
      <c r="R225" s="23" t="b">
        <v>0</v>
      </c>
    </row>
    <row r="226" spans="1:18">
      <c r="A226" s="23" t="s">
        <v>5798</v>
      </c>
      <c r="B226" s="23"/>
      <c r="C226" s="23"/>
      <c r="D226" s="23">
        <v>0</v>
      </c>
      <c r="E226" s="23">
        <v>0</v>
      </c>
      <c r="F226" s="23">
        <v>0</v>
      </c>
      <c r="G226" s="23" t="s">
        <v>5793</v>
      </c>
      <c r="H226" s="23"/>
      <c r="I226" s="23" t="b">
        <v>0</v>
      </c>
      <c r="J226" s="23" t="b">
        <v>0</v>
      </c>
      <c r="K226" s="26" t="b">
        <v>1</v>
      </c>
      <c r="L226" s="23"/>
      <c r="M226" s="23" t="s">
        <v>5556</v>
      </c>
      <c r="N226" s="23" t="str">
        <f>_xlfn.IFNA(VLOOKUP($M226,Buff.CM!$A:$O,13,FALSE),"")</f>
        <v>icon_battle_effect_res</v>
      </c>
      <c r="O226" s="23" t="str">
        <f>_xlfn.IFNA(VLOOKUP($M226,Buff.CM!$A:$O,14,FALSE),"")</f>
        <v>Buff.Name.Reduce.Damage.Up.00</v>
      </c>
      <c r="P226" s="23" t="str">
        <f>_xlfn.IFNA(VLOOKUP($M226,Buff.CM!$A:$O,15,FALSE),"")</f>
        <v>Buff.Desc.Reduce.Damage.Up.00</v>
      </c>
      <c r="Q226" s="23" t="b">
        <v>0</v>
      </c>
      <c r="R226" s="23" t="b">
        <v>0</v>
      </c>
    </row>
    <row r="227" spans="1:18">
      <c r="A227" s="23" t="s">
        <v>5799</v>
      </c>
      <c r="B227" s="23"/>
      <c r="C227" s="23"/>
      <c r="D227" s="23">
        <v>0</v>
      </c>
      <c r="E227" s="23">
        <v>0</v>
      </c>
      <c r="F227" s="23">
        <v>0</v>
      </c>
      <c r="G227" s="23" t="s">
        <v>5794</v>
      </c>
      <c r="H227" s="23"/>
      <c r="I227" s="23" t="b">
        <v>0</v>
      </c>
      <c r="J227" s="23" t="b">
        <v>0</v>
      </c>
      <c r="K227" s="26" t="b">
        <v>1</v>
      </c>
      <c r="L227" s="23"/>
      <c r="M227" s="23" t="s">
        <v>5556</v>
      </c>
      <c r="N227" s="23" t="str">
        <f>_xlfn.IFNA(VLOOKUP($M227,Buff.CM!$A:$O,13,FALSE),"")</f>
        <v>icon_battle_effect_res</v>
      </c>
      <c r="O227" s="23" t="str">
        <f>_xlfn.IFNA(VLOOKUP($M227,Buff.CM!$A:$O,14,FALSE),"")</f>
        <v>Buff.Name.Reduce.Damage.Up.00</v>
      </c>
      <c r="P227" s="23" t="str">
        <f>_xlfn.IFNA(VLOOKUP($M227,Buff.CM!$A:$O,15,FALSE),"")</f>
        <v>Buff.Desc.Reduce.Damage.Up.00</v>
      </c>
      <c r="Q227" s="23" t="b">
        <v>0</v>
      </c>
      <c r="R227" s="23" t="b">
        <v>0</v>
      </c>
    </row>
    <row r="228" spans="1:18">
      <c r="A228" s="23" t="s">
        <v>5800</v>
      </c>
      <c r="B228" s="23"/>
      <c r="C228" s="23"/>
      <c r="D228" s="23">
        <v>0</v>
      </c>
      <c r="E228" s="23">
        <v>0</v>
      </c>
      <c r="F228" s="23">
        <v>0</v>
      </c>
      <c r="G228" s="23" t="s">
        <v>5795</v>
      </c>
      <c r="H228" s="23"/>
      <c r="I228" s="23" t="b">
        <v>0</v>
      </c>
      <c r="J228" s="23" t="b">
        <v>0</v>
      </c>
      <c r="K228" s="26" t="b">
        <v>1</v>
      </c>
      <c r="L228" s="23"/>
      <c r="M228" s="23" t="s">
        <v>5556</v>
      </c>
      <c r="N228" s="23" t="str">
        <f>_xlfn.IFNA(VLOOKUP($M228,Buff.CM!$A:$O,13,FALSE),"")</f>
        <v>icon_battle_effect_res</v>
      </c>
      <c r="O228" s="23" t="str">
        <f>_xlfn.IFNA(VLOOKUP($M228,Buff.CM!$A:$O,14,FALSE),"")</f>
        <v>Buff.Name.Reduce.Damage.Up.00</v>
      </c>
      <c r="P228" s="23" t="str">
        <f>_xlfn.IFNA(VLOOKUP($M228,Buff.CM!$A:$O,15,FALSE),"")</f>
        <v>Buff.Desc.Reduce.Damage.Up.00</v>
      </c>
      <c r="Q228" s="23" t="b">
        <v>0</v>
      </c>
      <c r="R228" s="23" t="b">
        <v>0</v>
      </c>
    </row>
    <row r="229" spans="1:18">
      <c r="A229" s="24" t="s">
        <v>6604</v>
      </c>
      <c r="B229" s="24"/>
      <c r="C229" s="24"/>
      <c r="D229" s="24">
        <v>1000</v>
      </c>
      <c r="E229" s="24">
        <v>0</v>
      </c>
      <c r="F229" s="24">
        <v>0</v>
      </c>
      <c r="G229" s="24" t="s">
        <v>1396</v>
      </c>
      <c r="H229" s="24"/>
      <c r="I229" s="24" t="b">
        <v>0</v>
      </c>
      <c r="J229" s="24" t="b">
        <v>0</v>
      </c>
      <c r="K229" s="23" t="b">
        <v>0</v>
      </c>
      <c r="L229" s="24"/>
      <c r="M229" s="24"/>
      <c r="N229" s="24" t="str">
        <f>_xlfn.IFNA(VLOOKUP($M229,Buff.CM!$A:$O,13,FALSE),"")</f>
        <v/>
      </c>
      <c r="O229" s="24" t="str">
        <f>_xlfn.IFNA(VLOOKUP($M229,Buff.CM!$A:$O,14,FALSE),"")</f>
        <v/>
      </c>
      <c r="P229" s="24" t="str">
        <f>_xlfn.IFNA(VLOOKUP($M229,Buff.CM!$A:$O,15,FALSE),"")</f>
        <v/>
      </c>
      <c r="Q229" s="24" t="b">
        <v>0</v>
      </c>
      <c r="R229" s="24" t="b">
        <v>0</v>
      </c>
    </row>
    <row r="230" spans="1:18">
      <c r="A230" s="24" t="s">
        <v>464</v>
      </c>
      <c r="B230" s="24"/>
      <c r="C230" s="24"/>
      <c r="D230" s="24">
        <v>1000</v>
      </c>
      <c r="E230" s="24">
        <v>0</v>
      </c>
      <c r="F230" s="24">
        <v>0</v>
      </c>
      <c r="G230" s="24" t="s">
        <v>1396</v>
      </c>
      <c r="H230" s="24"/>
      <c r="I230" s="24" t="b">
        <v>0</v>
      </c>
      <c r="J230" s="24" t="b">
        <v>0</v>
      </c>
      <c r="K230" s="23" t="b">
        <v>0</v>
      </c>
      <c r="L230" s="24"/>
      <c r="M230" s="24"/>
      <c r="N230" s="24" t="str">
        <f>_xlfn.IFNA(VLOOKUP($M230,Buff.CM!$A:$O,13,FALSE),"")</f>
        <v/>
      </c>
      <c r="O230" s="24" t="str">
        <f>_xlfn.IFNA(VLOOKUP($M230,Buff.CM!$A:$O,14,FALSE),"")</f>
        <v/>
      </c>
      <c r="P230" s="24" t="str">
        <f>_xlfn.IFNA(VLOOKUP($M230,Buff.CM!$A:$O,15,FALSE),"")</f>
        <v/>
      </c>
      <c r="Q230" s="24" t="b">
        <v>0</v>
      </c>
      <c r="R230" s="24" t="b">
        <v>0</v>
      </c>
    </row>
    <row r="231" spans="1:18">
      <c r="A231" s="24" t="s">
        <v>465</v>
      </c>
      <c r="B231" s="24"/>
      <c r="C231" s="24"/>
      <c r="D231" s="24">
        <v>1000</v>
      </c>
      <c r="E231" s="24">
        <v>0</v>
      </c>
      <c r="F231" s="24">
        <v>0</v>
      </c>
      <c r="G231" s="24" t="s">
        <v>1396</v>
      </c>
      <c r="H231" s="24"/>
      <c r="I231" s="24" t="b">
        <v>0</v>
      </c>
      <c r="J231" s="24" t="b">
        <v>0</v>
      </c>
      <c r="K231" s="23" t="b">
        <v>0</v>
      </c>
      <c r="L231" s="24"/>
      <c r="M231" s="24"/>
      <c r="N231" s="24" t="str">
        <f>_xlfn.IFNA(VLOOKUP($M231,Buff.CM!$A:$O,13,FALSE),"")</f>
        <v/>
      </c>
      <c r="O231" s="24" t="str">
        <f>_xlfn.IFNA(VLOOKUP($M231,Buff.CM!$A:$O,14,FALSE),"")</f>
        <v/>
      </c>
      <c r="P231" s="24" t="str">
        <f>_xlfn.IFNA(VLOOKUP($M231,Buff.CM!$A:$O,15,FALSE),"")</f>
        <v/>
      </c>
      <c r="Q231" s="24" t="b">
        <v>0</v>
      </c>
      <c r="R231" s="24" t="b">
        <v>0</v>
      </c>
    </row>
    <row r="232" spans="1:18">
      <c r="A232" s="24" t="s">
        <v>4256</v>
      </c>
      <c r="B232" s="24"/>
      <c r="C232" s="24"/>
      <c r="D232" s="24">
        <v>1000</v>
      </c>
      <c r="E232" s="24">
        <v>0</v>
      </c>
      <c r="F232" s="24">
        <v>0</v>
      </c>
      <c r="G232" s="24" t="s">
        <v>1396</v>
      </c>
      <c r="H232" s="24"/>
      <c r="I232" s="24" t="b">
        <v>0</v>
      </c>
      <c r="J232" s="24" t="b">
        <v>0</v>
      </c>
      <c r="K232" s="23" t="b">
        <v>0</v>
      </c>
      <c r="L232" s="24"/>
      <c r="M232" s="24"/>
      <c r="N232" s="24" t="str">
        <f>_xlfn.IFNA(VLOOKUP($M232,Buff.CM!$A:$O,13,FALSE),"")</f>
        <v/>
      </c>
      <c r="O232" s="24" t="str">
        <f>_xlfn.IFNA(VLOOKUP($M232,Buff.CM!$A:$O,14,FALSE),"")</f>
        <v/>
      </c>
      <c r="P232" s="24" t="str">
        <f>_xlfn.IFNA(VLOOKUP($M232,Buff.CM!$A:$O,15,FALSE),"")</f>
        <v/>
      </c>
      <c r="Q232" s="24" t="b">
        <v>0</v>
      </c>
      <c r="R232" s="24" t="b">
        <v>0</v>
      </c>
    </row>
    <row r="233" spans="1:18">
      <c r="A233" s="24" t="s">
        <v>4257</v>
      </c>
      <c r="B233" s="24"/>
      <c r="C233" s="24"/>
      <c r="D233" s="24">
        <v>1000</v>
      </c>
      <c r="E233" s="24">
        <v>0</v>
      </c>
      <c r="F233" s="24">
        <v>0</v>
      </c>
      <c r="G233" s="24" t="s">
        <v>1396</v>
      </c>
      <c r="H233" s="24"/>
      <c r="I233" s="24" t="b">
        <v>0</v>
      </c>
      <c r="J233" s="24" t="b">
        <v>0</v>
      </c>
      <c r="K233" s="23" t="b">
        <v>0</v>
      </c>
      <c r="L233" s="24"/>
      <c r="M233" s="24"/>
      <c r="N233" s="24" t="str">
        <f>_xlfn.IFNA(VLOOKUP($M233,Buff.CM!$A:$O,13,FALSE),"")</f>
        <v/>
      </c>
      <c r="O233" s="24" t="str">
        <f>_xlfn.IFNA(VLOOKUP($M233,Buff.CM!$A:$O,14,FALSE),"")</f>
        <v/>
      </c>
      <c r="P233" s="24" t="str">
        <f>_xlfn.IFNA(VLOOKUP($M233,Buff.CM!$A:$O,15,FALSE),"")</f>
        <v/>
      </c>
      <c r="Q233" s="24" t="b">
        <v>0</v>
      </c>
      <c r="R233" s="24" t="b">
        <v>0</v>
      </c>
    </row>
    <row r="234" spans="1:18">
      <c r="A234" s="24" t="s">
        <v>4258</v>
      </c>
      <c r="B234" s="24"/>
      <c r="C234" s="24"/>
      <c r="D234" s="24">
        <v>1000</v>
      </c>
      <c r="E234" s="24">
        <v>0</v>
      </c>
      <c r="F234" s="24">
        <v>0</v>
      </c>
      <c r="G234" s="24" t="s">
        <v>1396</v>
      </c>
      <c r="H234" s="24"/>
      <c r="I234" s="24" t="b">
        <v>0</v>
      </c>
      <c r="J234" s="24" t="b">
        <v>0</v>
      </c>
      <c r="K234" s="23" t="b">
        <v>0</v>
      </c>
      <c r="L234" s="24"/>
      <c r="M234" s="24"/>
      <c r="N234" s="24" t="str">
        <f>_xlfn.IFNA(VLOOKUP($M234,Buff.CM!$A:$O,13,FALSE),"")</f>
        <v/>
      </c>
      <c r="O234" s="24" t="str">
        <f>_xlfn.IFNA(VLOOKUP($M234,Buff.CM!$A:$O,14,FALSE),"")</f>
        <v/>
      </c>
      <c r="P234" s="24" t="str">
        <f>_xlfn.IFNA(VLOOKUP($M234,Buff.CM!$A:$O,15,FALSE),"")</f>
        <v/>
      </c>
      <c r="Q234" s="24" t="b">
        <v>0</v>
      </c>
      <c r="R234" s="24" t="b">
        <v>0</v>
      </c>
    </row>
    <row r="235" spans="1:18">
      <c r="A235" s="24" t="s">
        <v>4259</v>
      </c>
      <c r="B235" s="24"/>
      <c r="C235" s="24"/>
      <c r="D235" s="24">
        <v>1000</v>
      </c>
      <c r="E235" s="24">
        <v>0</v>
      </c>
      <c r="F235" s="24">
        <v>0</v>
      </c>
      <c r="G235" s="24" t="s">
        <v>1396</v>
      </c>
      <c r="H235" s="24"/>
      <c r="I235" s="24" t="b">
        <v>0</v>
      </c>
      <c r="J235" s="24" t="b">
        <v>0</v>
      </c>
      <c r="K235" s="23" t="b">
        <v>0</v>
      </c>
      <c r="L235" s="24"/>
      <c r="M235" s="24"/>
      <c r="N235" s="24" t="str">
        <f>_xlfn.IFNA(VLOOKUP($M235,Buff.CM!$A:$O,13,FALSE),"")</f>
        <v/>
      </c>
      <c r="O235" s="24" t="str">
        <f>_xlfn.IFNA(VLOOKUP($M235,Buff.CM!$A:$O,14,FALSE),"")</f>
        <v/>
      </c>
      <c r="P235" s="24" t="str">
        <f>_xlfn.IFNA(VLOOKUP($M235,Buff.CM!$A:$O,15,FALSE),"")</f>
        <v/>
      </c>
      <c r="Q235" s="24" t="b">
        <v>0</v>
      </c>
      <c r="R235" s="24" t="b">
        <v>0</v>
      </c>
    </row>
    <row r="236" spans="1:18">
      <c r="A236" s="23" t="s">
        <v>4268</v>
      </c>
      <c r="B236" s="23"/>
      <c r="C236" s="23"/>
      <c r="D236" s="23">
        <v>1000</v>
      </c>
      <c r="E236" s="23">
        <v>0</v>
      </c>
      <c r="F236" s="23">
        <v>0</v>
      </c>
      <c r="G236" s="23" t="s">
        <v>122</v>
      </c>
      <c r="H236" s="23"/>
      <c r="I236" s="23" t="b">
        <v>0</v>
      </c>
      <c r="J236" s="23" t="b">
        <v>0</v>
      </c>
      <c r="K236" s="23" t="b">
        <v>0</v>
      </c>
      <c r="L236" s="23"/>
      <c r="M236" s="23"/>
      <c r="N236" s="23" t="str">
        <f>_xlfn.IFNA(VLOOKUP($M236,Buff.CM!$A:$O,13,FALSE),"")</f>
        <v/>
      </c>
      <c r="O236" s="23" t="str">
        <f>_xlfn.IFNA(VLOOKUP($M236,Buff.CM!$A:$O,14,FALSE),"")</f>
        <v/>
      </c>
      <c r="P236" s="23" t="str">
        <f>_xlfn.IFNA(VLOOKUP($M236,Buff.CM!$A:$O,15,FALSE),"")</f>
        <v/>
      </c>
      <c r="Q236" s="23" t="b">
        <v>0</v>
      </c>
      <c r="R236" s="23" t="b">
        <v>0</v>
      </c>
    </row>
    <row r="237" spans="1:18">
      <c r="A237" s="23" t="s">
        <v>4269</v>
      </c>
      <c r="B237" s="23"/>
      <c r="C237" s="23"/>
      <c r="D237" s="23">
        <v>1000</v>
      </c>
      <c r="E237" s="23">
        <v>0</v>
      </c>
      <c r="F237" s="23">
        <v>0</v>
      </c>
      <c r="G237" s="23" t="s">
        <v>122</v>
      </c>
      <c r="H237" s="23"/>
      <c r="I237" s="23" t="b">
        <v>0</v>
      </c>
      <c r="J237" s="23" t="b">
        <v>0</v>
      </c>
      <c r="K237" s="23" t="b">
        <v>0</v>
      </c>
      <c r="L237" s="23"/>
      <c r="M237" s="23"/>
      <c r="N237" s="23" t="str">
        <f>_xlfn.IFNA(VLOOKUP($M237,Buff.CM!$A:$O,13,FALSE),"")</f>
        <v/>
      </c>
      <c r="O237" s="23" t="str">
        <f>_xlfn.IFNA(VLOOKUP($M237,Buff.CM!$A:$O,14,FALSE),"")</f>
        <v/>
      </c>
      <c r="P237" s="23" t="str">
        <f>_xlfn.IFNA(VLOOKUP($M237,Buff.CM!$A:$O,15,FALSE),"")</f>
        <v/>
      </c>
      <c r="Q237" s="23" t="b">
        <v>0</v>
      </c>
      <c r="R237" s="23" t="b">
        <v>0</v>
      </c>
    </row>
    <row r="238" spans="1:18">
      <c r="A238" s="23" t="s">
        <v>4270</v>
      </c>
      <c r="B238" s="23"/>
      <c r="C238" s="23"/>
      <c r="D238" s="23">
        <v>1000</v>
      </c>
      <c r="E238" s="23">
        <v>0</v>
      </c>
      <c r="F238" s="23">
        <v>0</v>
      </c>
      <c r="G238" s="23" t="s">
        <v>122</v>
      </c>
      <c r="H238" s="23"/>
      <c r="I238" s="23" t="b">
        <v>0</v>
      </c>
      <c r="J238" s="23" t="b">
        <v>0</v>
      </c>
      <c r="K238" s="23" t="b">
        <v>0</v>
      </c>
      <c r="L238" s="23"/>
      <c r="M238" s="23"/>
      <c r="N238" s="23" t="str">
        <f>_xlfn.IFNA(VLOOKUP($M238,Buff.CM!$A:$O,13,FALSE),"")</f>
        <v/>
      </c>
      <c r="O238" s="23" t="str">
        <f>_xlfn.IFNA(VLOOKUP($M238,Buff.CM!$A:$O,14,FALSE),"")</f>
        <v/>
      </c>
      <c r="P238" s="23" t="str">
        <f>_xlfn.IFNA(VLOOKUP($M238,Buff.CM!$A:$O,15,FALSE),"")</f>
        <v/>
      </c>
      <c r="Q238" s="23" t="b">
        <v>0</v>
      </c>
      <c r="R238" s="23" t="b">
        <v>0</v>
      </c>
    </row>
    <row r="239" spans="1:18">
      <c r="A239" s="23" t="s">
        <v>4271</v>
      </c>
      <c r="B239" s="23"/>
      <c r="C239" s="23"/>
      <c r="D239" s="23">
        <v>1000</v>
      </c>
      <c r="E239" s="23">
        <v>0</v>
      </c>
      <c r="F239" s="23">
        <v>0</v>
      </c>
      <c r="G239" s="23" t="s">
        <v>122</v>
      </c>
      <c r="H239" s="23"/>
      <c r="I239" s="23" t="b">
        <v>0</v>
      </c>
      <c r="J239" s="23" t="b">
        <v>0</v>
      </c>
      <c r="K239" s="23" t="b">
        <v>0</v>
      </c>
      <c r="L239" s="23"/>
      <c r="M239" s="23"/>
      <c r="N239" s="23" t="str">
        <f>_xlfn.IFNA(VLOOKUP($M239,Buff.CM!$A:$O,13,FALSE),"")</f>
        <v/>
      </c>
      <c r="O239" s="23" t="str">
        <f>_xlfn.IFNA(VLOOKUP($M239,Buff.CM!$A:$O,14,FALSE),"")</f>
        <v/>
      </c>
      <c r="P239" s="23" t="str">
        <f>_xlfn.IFNA(VLOOKUP($M239,Buff.CM!$A:$O,15,FALSE),"")</f>
        <v/>
      </c>
      <c r="Q239" s="23" t="b">
        <v>0</v>
      </c>
      <c r="R239" s="23" t="b">
        <v>0</v>
      </c>
    </row>
    <row r="240" spans="1:18">
      <c r="A240" s="23" t="s">
        <v>4272</v>
      </c>
      <c r="B240" s="23"/>
      <c r="C240" s="23"/>
      <c r="D240" s="23">
        <v>1000</v>
      </c>
      <c r="E240" s="23">
        <v>0</v>
      </c>
      <c r="F240" s="23">
        <v>0</v>
      </c>
      <c r="G240" s="23" t="s">
        <v>122</v>
      </c>
      <c r="H240" s="23"/>
      <c r="I240" s="23" t="b">
        <v>0</v>
      </c>
      <c r="J240" s="23" t="b">
        <v>0</v>
      </c>
      <c r="K240" s="23" t="b">
        <v>0</v>
      </c>
      <c r="L240" s="23"/>
      <c r="M240" s="23"/>
      <c r="N240" s="23" t="str">
        <f>_xlfn.IFNA(VLOOKUP($M240,Buff.CM!$A:$O,13,FALSE),"")</f>
        <v/>
      </c>
      <c r="O240" s="23" t="str">
        <f>_xlfn.IFNA(VLOOKUP($M240,Buff.CM!$A:$O,14,FALSE),"")</f>
        <v/>
      </c>
      <c r="P240" s="23" t="str">
        <f>_xlfn.IFNA(VLOOKUP($M240,Buff.CM!$A:$O,15,FALSE),"")</f>
        <v/>
      </c>
      <c r="Q240" s="23" t="b">
        <v>0</v>
      </c>
      <c r="R240" s="23" t="b">
        <v>0</v>
      </c>
    </row>
    <row r="241" spans="1:18">
      <c r="A241" s="23" t="s">
        <v>4273</v>
      </c>
      <c r="B241" s="23"/>
      <c r="C241" s="23"/>
      <c r="D241" s="23">
        <v>1000</v>
      </c>
      <c r="E241" s="23">
        <v>0</v>
      </c>
      <c r="F241" s="23">
        <v>0</v>
      </c>
      <c r="G241" s="23" t="s">
        <v>122</v>
      </c>
      <c r="H241" s="23"/>
      <c r="I241" s="23" t="b">
        <v>0</v>
      </c>
      <c r="J241" s="23" t="b">
        <v>0</v>
      </c>
      <c r="K241" s="23" t="b">
        <v>0</v>
      </c>
      <c r="L241" s="23"/>
      <c r="M241" s="23"/>
      <c r="N241" s="23" t="str">
        <f>_xlfn.IFNA(VLOOKUP($M241,Buff.CM!$A:$O,13,FALSE),"")</f>
        <v/>
      </c>
      <c r="O241" s="23" t="str">
        <f>_xlfn.IFNA(VLOOKUP($M241,Buff.CM!$A:$O,14,FALSE),"")</f>
        <v/>
      </c>
      <c r="P241" s="23" t="str">
        <f>_xlfn.IFNA(VLOOKUP($M241,Buff.CM!$A:$O,15,FALSE),"")</f>
        <v/>
      </c>
      <c r="Q241" s="23" t="b">
        <v>0</v>
      </c>
      <c r="R241" s="23" t="b">
        <v>0</v>
      </c>
    </row>
    <row r="242" spans="1:18">
      <c r="A242" s="23" t="s">
        <v>4274</v>
      </c>
      <c r="B242" s="23"/>
      <c r="C242" s="23"/>
      <c r="D242" s="23">
        <v>1000</v>
      </c>
      <c r="E242" s="23">
        <v>0</v>
      </c>
      <c r="F242" s="23">
        <v>0</v>
      </c>
      <c r="G242" s="23" t="s">
        <v>122</v>
      </c>
      <c r="H242" s="23"/>
      <c r="I242" s="23" t="b">
        <v>0</v>
      </c>
      <c r="J242" s="23" t="b">
        <v>0</v>
      </c>
      <c r="K242" s="23" t="b">
        <v>0</v>
      </c>
      <c r="L242" s="23"/>
      <c r="M242" s="23"/>
      <c r="N242" s="23" t="str">
        <f>_xlfn.IFNA(VLOOKUP($M242,Buff.CM!$A:$O,13,FALSE),"")</f>
        <v/>
      </c>
      <c r="O242" s="23" t="str">
        <f>_xlfn.IFNA(VLOOKUP($M242,Buff.CM!$A:$O,14,FALSE),"")</f>
        <v/>
      </c>
      <c r="P242" s="23" t="str">
        <f>_xlfn.IFNA(VLOOKUP($M242,Buff.CM!$A:$O,15,FALSE),"")</f>
        <v/>
      </c>
      <c r="Q242" s="23" t="b">
        <v>0</v>
      </c>
      <c r="R242" s="23" t="b">
        <v>0</v>
      </c>
    </row>
    <row r="243" spans="1:18" ht="33">
      <c r="A243" s="24" t="s">
        <v>1392</v>
      </c>
      <c r="B243" s="24"/>
      <c r="C243" s="24"/>
      <c r="D243" s="24">
        <v>4000</v>
      </c>
      <c r="E243" s="24">
        <v>0</v>
      </c>
      <c r="F243" s="24">
        <v>0</v>
      </c>
      <c r="G243" s="38" t="s">
        <v>6605</v>
      </c>
      <c r="H243" s="24"/>
      <c r="I243" s="24" t="b">
        <v>0</v>
      </c>
      <c r="J243" s="24" t="b">
        <v>0</v>
      </c>
      <c r="K243" s="23" t="b">
        <v>0</v>
      </c>
      <c r="L243" s="24" t="s">
        <v>466</v>
      </c>
      <c r="M243" s="24" t="s">
        <v>5469</v>
      </c>
      <c r="N243" s="24" t="str">
        <f>_xlfn.IFNA(VLOOKUP($M243,Buff.CM!$A:$O,13,FALSE),"")</f>
        <v>icon_battle_fear</v>
      </c>
      <c r="O243" s="24" t="str">
        <f>_xlfn.IFNA(VLOOKUP($M243,Buff.CM!$A:$O,14,FALSE),"")</f>
        <v>Buff.Name.Fear</v>
      </c>
      <c r="P243" s="24" t="str">
        <f>_xlfn.IFNA(VLOOKUP($M243,Buff.CM!$A:$O,15,FALSE),"")</f>
        <v>Buff.Desc.Fear</v>
      </c>
      <c r="Q243" s="24" t="b">
        <v>0</v>
      </c>
      <c r="R243" s="24" t="b">
        <v>0</v>
      </c>
    </row>
    <row r="244" spans="1:18" ht="33">
      <c r="A244" s="24" t="s">
        <v>1393</v>
      </c>
      <c r="B244" s="24"/>
      <c r="C244" s="24"/>
      <c r="D244" s="24">
        <v>4000</v>
      </c>
      <c r="E244" s="24">
        <v>0</v>
      </c>
      <c r="F244" s="24">
        <v>0</v>
      </c>
      <c r="G244" s="38" t="s">
        <v>6605</v>
      </c>
      <c r="H244" s="24"/>
      <c r="I244" s="24" t="b">
        <v>0</v>
      </c>
      <c r="J244" s="24" t="b">
        <v>0</v>
      </c>
      <c r="K244" s="23" t="b">
        <v>0</v>
      </c>
      <c r="L244" s="24" t="s">
        <v>466</v>
      </c>
      <c r="M244" s="24" t="s">
        <v>5469</v>
      </c>
      <c r="N244" s="24" t="str">
        <f>_xlfn.IFNA(VLOOKUP($M244,Buff.CM!$A:$O,13,FALSE),"")</f>
        <v>icon_battle_fear</v>
      </c>
      <c r="O244" s="24" t="str">
        <f>_xlfn.IFNA(VLOOKUP($M244,Buff.CM!$A:$O,14,FALSE),"")</f>
        <v>Buff.Name.Fear</v>
      </c>
      <c r="P244" s="24" t="str">
        <f>_xlfn.IFNA(VLOOKUP($M244,Buff.CM!$A:$O,15,FALSE),"")</f>
        <v>Buff.Desc.Fear</v>
      </c>
      <c r="Q244" s="24" t="b">
        <v>0</v>
      </c>
      <c r="R244" s="24" t="b">
        <v>0</v>
      </c>
    </row>
    <row r="245" spans="1:18" ht="33">
      <c r="A245" s="24" t="s">
        <v>1394</v>
      </c>
      <c r="B245" s="24"/>
      <c r="C245" s="24"/>
      <c r="D245" s="24">
        <v>4000</v>
      </c>
      <c r="E245" s="24">
        <v>0</v>
      </c>
      <c r="F245" s="24">
        <v>0</v>
      </c>
      <c r="G245" s="38" t="s">
        <v>6605</v>
      </c>
      <c r="H245" s="24"/>
      <c r="I245" s="24" t="b">
        <v>0</v>
      </c>
      <c r="J245" s="24" t="b">
        <v>0</v>
      </c>
      <c r="K245" s="23" t="b">
        <v>0</v>
      </c>
      <c r="L245" s="24" t="s">
        <v>466</v>
      </c>
      <c r="M245" s="24" t="s">
        <v>5469</v>
      </c>
      <c r="N245" s="24" t="str">
        <f>_xlfn.IFNA(VLOOKUP($M245,Buff.CM!$A:$O,13,FALSE),"")</f>
        <v>icon_battle_fear</v>
      </c>
      <c r="O245" s="24" t="str">
        <f>_xlfn.IFNA(VLOOKUP($M245,Buff.CM!$A:$O,14,FALSE),"")</f>
        <v>Buff.Name.Fear</v>
      </c>
      <c r="P245" s="24" t="str">
        <f>_xlfn.IFNA(VLOOKUP($M245,Buff.CM!$A:$O,15,FALSE),"")</f>
        <v>Buff.Desc.Fear</v>
      </c>
      <c r="Q245" s="24" t="b">
        <v>0</v>
      </c>
      <c r="R245" s="24" t="b">
        <v>0</v>
      </c>
    </row>
    <row r="246" spans="1:18" ht="33">
      <c r="A246" s="24" t="s">
        <v>4260</v>
      </c>
      <c r="B246" s="24"/>
      <c r="C246" s="24"/>
      <c r="D246" s="24">
        <v>4000</v>
      </c>
      <c r="E246" s="24">
        <v>0</v>
      </c>
      <c r="F246" s="24">
        <v>0</v>
      </c>
      <c r="G246" s="38" t="s">
        <v>6605</v>
      </c>
      <c r="H246" s="24"/>
      <c r="I246" s="24" t="b">
        <v>0</v>
      </c>
      <c r="J246" s="24" t="b">
        <v>0</v>
      </c>
      <c r="K246" s="23" t="b">
        <v>0</v>
      </c>
      <c r="L246" s="24" t="s">
        <v>466</v>
      </c>
      <c r="M246" s="24" t="s">
        <v>5469</v>
      </c>
      <c r="N246" s="24" t="str">
        <f>_xlfn.IFNA(VLOOKUP($M246,Buff.CM!$A:$O,13,FALSE),"")</f>
        <v>icon_battle_fear</v>
      </c>
      <c r="O246" s="24" t="str">
        <f>_xlfn.IFNA(VLOOKUP($M246,Buff.CM!$A:$O,14,FALSE),"")</f>
        <v>Buff.Name.Fear</v>
      </c>
      <c r="P246" s="24" t="str">
        <f>_xlfn.IFNA(VLOOKUP($M246,Buff.CM!$A:$O,15,FALSE),"")</f>
        <v>Buff.Desc.Fear</v>
      </c>
      <c r="Q246" s="24" t="b">
        <v>0</v>
      </c>
      <c r="R246" s="24" t="b">
        <v>0</v>
      </c>
    </row>
    <row r="247" spans="1:18" ht="33">
      <c r="A247" s="24" t="s">
        <v>4261</v>
      </c>
      <c r="B247" s="24"/>
      <c r="C247" s="24"/>
      <c r="D247" s="24">
        <v>4000</v>
      </c>
      <c r="E247" s="24">
        <v>0</v>
      </c>
      <c r="F247" s="24">
        <v>0</v>
      </c>
      <c r="G247" s="38" t="s">
        <v>6605</v>
      </c>
      <c r="H247" s="24"/>
      <c r="I247" s="24" t="b">
        <v>0</v>
      </c>
      <c r="J247" s="24" t="b">
        <v>0</v>
      </c>
      <c r="K247" s="23" t="b">
        <v>0</v>
      </c>
      <c r="L247" s="24" t="s">
        <v>466</v>
      </c>
      <c r="M247" s="24" t="s">
        <v>5469</v>
      </c>
      <c r="N247" s="24" t="str">
        <f>_xlfn.IFNA(VLOOKUP($M247,Buff.CM!$A:$O,13,FALSE),"")</f>
        <v>icon_battle_fear</v>
      </c>
      <c r="O247" s="24" t="str">
        <f>_xlfn.IFNA(VLOOKUP($M247,Buff.CM!$A:$O,14,FALSE),"")</f>
        <v>Buff.Name.Fear</v>
      </c>
      <c r="P247" s="24" t="str">
        <f>_xlfn.IFNA(VLOOKUP($M247,Buff.CM!$A:$O,15,FALSE),"")</f>
        <v>Buff.Desc.Fear</v>
      </c>
      <c r="Q247" s="24" t="b">
        <v>0</v>
      </c>
      <c r="R247" s="24" t="b">
        <v>0</v>
      </c>
    </row>
    <row r="248" spans="1:18" ht="33">
      <c r="A248" s="24" t="s">
        <v>4262</v>
      </c>
      <c r="B248" s="24"/>
      <c r="C248" s="24"/>
      <c r="D248" s="24">
        <v>4000</v>
      </c>
      <c r="E248" s="24">
        <v>0</v>
      </c>
      <c r="F248" s="24">
        <v>0</v>
      </c>
      <c r="G248" s="38" t="s">
        <v>6605</v>
      </c>
      <c r="H248" s="24"/>
      <c r="I248" s="24" t="b">
        <v>0</v>
      </c>
      <c r="J248" s="24" t="b">
        <v>0</v>
      </c>
      <c r="K248" s="23" t="b">
        <v>0</v>
      </c>
      <c r="L248" s="24" t="s">
        <v>466</v>
      </c>
      <c r="M248" s="24" t="s">
        <v>5469</v>
      </c>
      <c r="N248" s="24" t="str">
        <f>_xlfn.IFNA(VLOOKUP($M248,Buff.CM!$A:$O,13,FALSE),"")</f>
        <v>icon_battle_fear</v>
      </c>
      <c r="O248" s="24" t="str">
        <f>_xlfn.IFNA(VLOOKUP($M248,Buff.CM!$A:$O,14,FALSE),"")</f>
        <v>Buff.Name.Fear</v>
      </c>
      <c r="P248" s="24" t="str">
        <f>_xlfn.IFNA(VLOOKUP($M248,Buff.CM!$A:$O,15,FALSE),"")</f>
        <v>Buff.Desc.Fear</v>
      </c>
      <c r="Q248" s="24" t="b">
        <v>0</v>
      </c>
      <c r="R248" s="24" t="b">
        <v>0</v>
      </c>
    </row>
    <row r="249" spans="1:18" ht="33">
      <c r="A249" s="24" t="s">
        <v>4263</v>
      </c>
      <c r="B249" s="24"/>
      <c r="C249" s="24"/>
      <c r="D249" s="24">
        <v>4000</v>
      </c>
      <c r="E249" s="24">
        <v>0</v>
      </c>
      <c r="F249" s="24">
        <v>0</v>
      </c>
      <c r="G249" s="38" t="s">
        <v>6605</v>
      </c>
      <c r="H249" s="24"/>
      <c r="I249" s="24" t="b">
        <v>0</v>
      </c>
      <c r="J249" s="24" t="b">
        <v>0</v>
      </c>
      <c r="K249" s="23" t="b">
        <v>0</v>
      </c>
      <c r="L249" s="24" t="s">
        <v>466</v>
      </c>
      <c r="M249" s="24" t="s">
        <v>5469</v>
      </c>
      <c r="N249" s="24" t="str">
        <f>_xlfn.IFNA(VLOOKUP($M249,Buff.CM!$A:$O,13,FALSE),"")</f>
        <v>icon_battle_fear</v>
      </c>
      <c r="O249" s="24" t="str">
        <f>_xlfn.IFNA(VLOOKUP($M249,Buff.CM!$A:$O,14,FALSE),"")</f>
        <v>Buff.Name.Fear</v>
      </c>
      <c r="P249" s="24" t="str">
        <f>_xlfn.IFNA(VLOOKUP($M249,Buff.CM!$A:$O,15,FALSE),"")</f>
        <v>Buff.Desc.Fear</v>
      </c>
      <c r="Q249" s="24" t="b">
        <v>0</v>
      </c>
      <c r="R249" s="24" t="b">
        <v>0</v>
      </c>
    </row>
    <row r="250" spans="1:18" ht="33">
      <c r="A250" s="23" t="s">
        <v>1389</v>
      </c>
      <c r="B250" s="23"/>
      <c r="C250" s="23"/>
      <c r="D250" s="23">
        <v>4000</v>
      </c>
      <c r="E250" s="23">
        <v>0</v>
      </c>
      <c r="F250" s="23">
        <v>0</v>
      </c>
      <c r="G250" s="39" t="s">
        <v>6606</v>
      </c>
      <c r="H250" s="23"/>
      <c r="I250" s="23" t="b">
        <v>0</v>
      </c>
      <c r="J250" s="23" t="b">
        <v>0</v>
      </c>
      <c r="K250" s="23" t="b">
        <v>0</v>
      </c>
      <c r="L250" s="23" t="s">
        <v>314</v>
      </c>
      <c r="M250" s="23" t="s">
        <v>5468</v>
      </c>
      <c r="N250" s="23" t="str">
        <f>_xlfn.IFNA(VLOOKUP($M250,Buff.CM!$A:$O,13,FALSE),"")</f>
        <v>icon_battle_stun</v>
      </c>
      <c r="O250" s="23" t="str">
        <f>_xlfn.IFNA(VLOOKUP($M250,Buff.CM!$A:$O,14,FALSE),"")</f>
        <v>Buff.Name.Stun</v>
      </c>
      <c r="P250" s="23" t="str">
        <f>_xlfn.IFNA(VLOOKUP($M250,Buff.CM!$A:$O,15,FALSE),"")</f>
        <v>Buff.Desc.Stun</v>
      </c>
      <c r="Q250" s="23" t="b">
        <v>0</v>
      </c>
      <c r="R250" s="23" t="b">
        <v>0</v>
      </c>
    </row>
    <row r="251" spans="1:18" ht="33">
      <c r="A251" s="23" t="s">
        <v>1390</v>
      </c>
      <c r="B251" s="23"/>
      <c r="C251" s="23"/>
      <c r="D251" s="23">
        <v>4000</v>
      </c>
      <c r="E251" s="23">
        <v>0</v>
      </c>
      <c r="F251" s="23">
        <v>0</v>
      </c>
      <c r="G251" s="39" t="s">
        <v>6606</v>
      </c>
      <c r="H251" s="23"/>
      <c r="I251" s="23" t="b">
        <v>0</v>
      </c>
      <c r="J251" s="23" t="b">
        <v>0</v>
      </c>
      <c r="K251" s="23" t="b">
        <v>0</v>
      </c>
      <c r="L251" s="23" t="s">
        <v>314</v>
      </c>
      <c r="M251" s="23" t="s">
        <v>5468</v>
      </c>
      <c r="N251" s="23" t="str">
        <f>_xlfn.IFNA(VLOOKUP($M251,Buff.CM!$A:$O,13,FALSE),"")</f>
        <v>icon_battle_stun</v>
      </c>
      <c r="O251" s="23" t="str">
        <f>_xlfn.IFNA(VLOOKUP($M251,Buff.CM!$A:$O,14,FALSE),"")</f>
        <v>Buff.Name.Stun</v>
      </c>
      <c r="P251" s="23" t="str">
        <f>_xlfn.IFNA(VLOOKUP($M251,Buff.CM!$A:$O,15,FALSE),"")</f>
        <v>Buff.Desc.Stun</v>
      </c>
      <c r="Q251" s="23" t="b">
        <v>0</v>
      </c>
      <c r="R251" s="23" t="b">
        <v>0</v>
      </c>
    </row>
    <row r="252" spans="1:18" ht="33">
      <c r="A252" s="23" t="s">
        <v>1391</v>
      </c>
      <c r="B252" s="23"/>
      <c r="C252" s="23"/>
      <c r="D252" s="23">
        <v>4000</v>
      </c>
      <c r="E252" s="23">
        <v>0</v>
      </c>
      <c r="F252" s="23">
        <v>0</v>
      </c>
      <c r="G252" s="39" t="s">
        <v>6606</v>
      </c>
      <c r="H252" s="23"/>
      <c r="I252" s="23" t="b">
        <v>0</v>
      </c>
      <c r="J252" s="23" t="b">
        <v>0</v>
      </c>
      <c r="K252" s="23" t="b">
        <v>0</v>
      </c>
      <c r="L252" s="23" t="s">
        <v>314</v>
      </c>
      <c r="M252" s="23" t="s">
        <v>5468</v>
      </c>
      <c r="N252" s="23" t="str">
        <f>_xlfn.IFNA(VLOOKUP($M252,Buff.CM!$A:$O,13,FALSE),"")</f>
        <v>icon_battle_stun</v>
      </c>
      <c r="O252" s="23" t="str">
        <f>_xlfn.IFNA(VLOOKUP($M252,Buff.CM!$A:$O,14,FALSE),"")</f>
        <v>Buff.Name.Stun</v>
      </c>
      <c r="P252" s="23" t="str">
        <f>_xlfn.IFNA(VLOOKUP($M252,Buff.CM!$A:$O,15,FALSE),"")</f>
        <v>Buff.Desc.Stun</v>
      </c>
      <c r="Q252" s="23" t="b">
        <v>0</v>
      </c>
      <c r="R252" s="23" t="b">
        <v>0</v>
      </c>
    </row>
    <row r="253" spans="1:18" ht="33">
      <c r="A253" s="23" t="s">
        <v>4264</v>
      </c>
      <c r="B253" s="23"/>
      <c r="C253" s="23"/>
      <c r="D253" s="23">
        <v>4000</v>
      </c>
      <c r="E253" s="23">
        <v>0</v>
      </c>
      <c r="F253" s="23">
        <v>0</v>
      </c>
      <c r="G253" s="39" t="s">
        <v>6606</v>
      </c>
      <c r="H253" s="23"/>
      <c r="I253" s="23" t="b">
        <v>0</v>
      </c>
      <c r="J253" s="23" t="b">
        <v>0</v>
      </c>
      <c r="K253" s="23" t="b">
        <v>0</v>
      </c>
      <c r="L253" s="23" t="s">
        <v>314</v>
      </c>
      <c r="M253" s="23" t="s">
        <v>5468</v>
      </c>
      <c r="N253" s="23" t="str">
        <f>_xlfn.IFNA(VLOOKUP($M253,Buff.CM!$A:$O,13,FALSE),"")</f>
        <v>icon_battle_stun</v>
      </c>
      <c r="O253" s="23" t="str">
        <f>_xlfn.IFNA(VLOOKUP($M253,Buff.CM!$A:$O,14,FALSE),"")</f>
        <v>Buff.Name.Stun</v>
      </c>
      <c r="P253" s="23" t="str">
        <f>_xlfn.IFNA(VLOOKUP($M253,Buff.CM!$A:$O,15,FALSE),"")</f>
        <v>Buff.Desc.Stun</v>
      </c>
      <c r="Q253" s="23" t="b">
        <v>0</v>
      </c>
      <c r="R253" s="23" t="b">
        <v>0</v>
      </c>
    </row>
    <row r="254" spans="1:18" ht="33">
      <c r="A254" s="23" t="s">
        <v>4265</v>
      </c>
      <c r="B254" s="23"/>
      <c r="C254" s="23"/>
      <c r="D254" s="23">
        <v>4000</v>
      </c>
      <c r="E254" s="23">
        <v>0</v>
      </c>
      <c r="F254" s="23">
        <v>0</v>
      </c>
      <c r="G254" s="39" t="s">
        <v>6606</v>
      </c>
      <c r="H254" s="23"/>
      <c r="I254" s="23" t="b">
        <v>0</v>
      </c>
      <c r="J254" s="23" t="b">
        <v>0</v>
      </c>
      <c r="K254" s="23" t="b">
        <v>0</v>
      </c>
      <c r="L254" s="23" t="s">
        <v>314</v>
      </c>
      <c r="M254" s="23" t="s">
        <v>5468</v>
      </c>
      <c r="N254" s="23" t="str">
        <f>_xlfn.IFNA(VLOOKUP($M254,Buff.CM!$A:$O,13,FALSE),"")</f>
        <v>icon_battle_stun</v>
      </c>
      <c r="O254" s="23" t="str">
        <f>_xlfn.IFNA(VLOOKUP($M254,Buff.CM!$A:$O,14,FALSE),"")</f>
        <v>Buff.Name.Stun</v>
      </c>
      <c r="P254" s="23" t="str">
        <f>_xlfn.IFNA(VLOOKUP($M254,Buff.CM!$A:$O,15,FALSE),"")</f>
        <v>Buff.Desc.Stun</v>
      </c>
      <c r="Q254" s="23" t="b">
        <v>0</v>
      </c>
      <c r="R254" s="23" t="b">
        <v>0</v>
      </c>
    </row>
    <row r="255" spans="1:18" ht="33">
      <c r="A255" s="23" t="s">
        <v>4266</v>
      </c>
      <c r="B255" s="23"/>
      <c r="C255" s="23"/>
      <c r="D255" s="23">
        <v>4000</v>
      </c>
      <c r="E255" s="23">
        <v>0</v>
      </c>
      <c r="F255" s="23">
        <v>0</v>
      </c>
      <c r="G255" s="39" t="s">
        <v>6606</v>
      </c>
      <c r="H255" s="23"/>
      <c r="I255" s="23" t="b">
        <v>0</v>
      </c>
      <c r="J255" s="23" t="b">
        <v>0</v>
      </c>
      <c r="K255" s="23" t="b">
        <v>0</v>
      </c>
      <c r="L255" s="23" t="s">
        <v>314</v>
      </c>
      <c r="M255" s="23" t="s">
        <v>5468</v>
      </c>
      <c r="N255" s="23" t="str">
        <f>_xlfn.IFNA(VLOOKUP($M255,Buff.CM!$A:$O,13,FALSE),"")</f>
        <v>icon_battle_stun</v>
      </c>
      <c r="O255" s="23" t="str">
        <f>_xlfn.IFNA(VLOOKUP($M255,Buff.CM!$A:$O,14,FALSE),"")</f>
        <v>Buff.Name.Stun</v>
      </c>
      <c r="P255" s="23" t="str">
        <f>_xlfn.IFNA(VLOOKUP($M255,Buff.CM!$A:$O,15,FALSE),"")</f>
        <v>Buff.Desc.Stun</v>
      </c>
      <c r="Q255" s="23" t="b">
        <v>0</v>
      </c>
      <c r="R255" s="23" t="b">
        <v>0</v>
      </c>
    </row>
    <row r="256" spans="1:18" ht="33">
      <c r="A256" s="23" t="s">
        <v>4267</v>
      </c>
      <c r="B256" s="23"/>
      <c r="C256" s="23"/>
      <c r="D256" s="23">
        <v>4000</v>
      </c>
      <c r="E256" s="23">
        <v>0</v>
      </c>
      <c r="F256" s="23">
        <v>0</v>
      </c>
      <c r="G256" s="39" t="s">
        <v>6606</v>
      </c>
      <c r="H256" s="23"/>
      <c r="I256" s="23" t="b">
        <v>0</v>
      </c>
      <c r="J256" s="23" t="b">
        <v>0</v>
      </c>
      <c r="K256" s="23" t="b">
        <v>0</v>
      </c>
      <c r="L256" s="23" t="s">
        <v>314</v>
      </c>
      <c r="M256" s="23" t="s">
        <v>5468</v>
      </c>
      <c r="N256" s="23" t="str">
        <f>_xlfn.IFNA(VLOOKUP($M256,Buff.CM!$A:$O,13,FALSE),"")</f>
        <v>icon_battle_stun</v>
      </c>
      <c r="O256" s="23" t="str">
        <f>_xlfn.IFNA(VLOOKUP($M256,Buff.CM!$A:$O,14,FALSE),"")</f>
        <v>Buff.Name.Stun</v>
      </c>
      <c r="P256" s="23" t="str">
        <f>_xlfn.IFNA(VLOOKUP($M256,Buff.CM!$A:$O,15,FALSE),"")</f>
        <v>Buff.Desc.Stun</v>
      </c>
      <c r="Q256" s="23" t="b">
        <v>0</v>
      </c>
      <c r="R256" s="23" t="b">
        <v>0</v>
      </c>
    </row>
    <row r="257" spans="1:18">
      <c r="A257" s="24" t="s">
        <v>5500</v>
      </c>
      <c r="B257" s="24"/>
      <c r="C257" s="24"/>
      <c r="D257" s="24">
        <v>4000</v>
      </c>
      <c r="E257" s="24">
        <v>0</v>
      </c>
      <c r="F257" s="24">
        <v>0</v>
      </c>
      <c r="G257" s="38" t="s">
        <v>6189</v>
      </c>
      <c r="H257" s="24"/>
      <c r="I257" s="24" t="b">
        <v>0</v>
      </c>
      <c r="J257" s="23" t="b">
        <v>0</v>
      </c>
      <c r="K257" s="23" t="b">
        <v>0</v>
      </c>
      <c r="L257" s="24"/>
      <c r="M257" s="24"/>
      <c r="N257" s="24" t="str">
        <f>_xlfn.IFNA(VLOOKUP($M257,Buff.CM!$A:$O,13,FALSE),"")</f>
        <v/>
      </c>
      <c r="O257" s="24" t="str">
        <f>_xlfn.IFNA(VLOOKUP($M257,Buff.CM!$A:$O,14,FALSE),"")</f>
        <v/>
      </c>
      <c r="P257" s="24" t="str">
        <f>_xlfn.IFNA(VLOOKUP($M257,Buff.CM!$A:$O,15,FALSE),"")</f>
        <v/>
      </c>
      <c r="Q257" s="24" t="b">
        <v>0</v>
      </c>
      <c r="R257" s="24" t="b">
        <v>0</v>
      </c>
    </row>
    <row r="258" spans="1:18" s="143" customFormat="1" ht="33">
      <c r="A258" s="25" t="s">
        <v>2676</v>
      </c>
      <c r="B258" s="25"/>
      <c r="C258" s="25"/>
      <c r="D258" s="25">
        <v>6000</v>
      </c>
      <c r="E258" s="25">
        <v>0</v>
      </c>
      <c r="F258" s="25">
        <v>0</v>
      </c>
      <c r="G258" s="43" t="s">
        <v>6607</v>
      </c>
      <c r="H258" s="25" t="s">
        <v>5783</v>
      </c>
      <c r="I258" s="25" t="b">
        <v>0</v>
      </c>
      <c r="J258" s="25" t="b">
        <v>1</v>
      </c>
      <c r="K258" s="25" t="b">
        <v>0</v>
      </c>
      <c r="L258" s="24" t="s">
        <v>6608</v>
      </c>
      <c r="M258" s="24" t="s">
        <v>5700</v>
      </c>
      <c r="N258" s="24" t="str">
        <f>_xlfn.IFNA(VLOOKUP($M258,Buff.CM!$A:$O,13,FALSE),"")</f>
        <v>icon_battle_mea_fearseed</v>
      </c>
      <c r="O258" s="25" t="str">
        <f>_xlfn.IFNA(VLOOKUP($M258,Buff.CM!$A:$O,14,FALSE),"")</f>
        <v>info.mea.debuff.fearseed</v>
      </c>
      <c r="P258" s="25" t="str">
        <f>_xlfn.IFNA(VLOOKUP($M258,Buff.CM!$A:$O,15,FALSE),"")</f>
        <v>Desc.info.mea.debuff.fearseed</v>
      </c>
      <c r="Q258" s="25" t="b">
        <v>0</v>
      </c>
      <c r="R258" s="25" t="b">
        <v>0</v>
      </c>
    </row>
    <row r="259" spans="1:18" s="143" customFormat="1" ht="33">
      <c r="A259" s="25" t="s">
        <v>2670</v>
      </c>
      <c r="B259" s="25"/>
      <c r="C259" s="25"/>
      <c r="D259" s="25">
        <v>6000</v>
      </c>
      <c r="E259" s="25">
        <v>0</v>
      </c>
      <c r="F259" s="25">
        <v>0</v>
      </c>
      <c r="G259" s="43" t="s">
        <v>6609</v>
      </c>
      <c r="H259" s="25" t="s">
        <v>5784</v>
      </c>
      <c r="I259" s="25" t="b">
        <v>0</v>
      </c>
      <c r="J259" s="25" t="b">
        <v>1</v>
      </c>
      <c r="K259" s="25" t="b">
        <v>0</v>
      </c>
      <c r="L259" s="24" t="s">
        <v>6608</v>
      </c>
      <c r="M259" s="24" t="s">
        <v>5700</v>
      </c>
      <c r="N259" s="24" t="str">
        <f>_xlfn.IFNA(VLOOKUP($M259,Buff.CM!$A:$O,13,FALSE),"")</f>
        <v>icon_battle_mea_fearseed</v>
      </c>
      <c r="O259" s="25" t="str">
        <f>_xlfn.IFNA(VLOOKUP($M259,Buff.CM!$A:$O,14,FALSE),"")</f>
        <v>info.mea.debuff.fearseed</v>
      </c>
      <c r="P259" s="25" t="str">
        <f>_xlfn.IFNA(VLOOKUP($M259,Buff.CM!$A:$O,15,FALSE),"")</f>
        <v>Desc.info.mea.debuff.fearseed</v>
      </c>
      <c r="Q259" s="25" t="b">
        <v>0</v>
      </c>
      <c r="R259" s="25" t="b">
        <v>0</v>
      </c>
    </row>
    <row r="260" spans="1:18" s="143" customFormat="1" ht="33">
      <c r="A260" s="25" t="s">
        <v>2671</v>
      </c>
      <c r="B260" s="25"/>
      <c r="C260" s="25"/>
      <c r="D260" s="25">
        <v>6000</v>
      </c>
      <c r="E260" s="25">
        <v>0</v>
      </c>
      <c r="F260" s="25">
        <v>0</v>
      </c>
      <c r="G260" s="43" t="s">
        <v>6610</v>
      </c>
      <c r="H260" s="25" t="s">
        <v>5785</v>
      </c>
      <c r="I260" s="25" t="b">
        <v>0</v>
      </c>
      <c r="J260" s="25" t="b">
        <v>1</v>
      </c>
      <c r="K260" s="25" t="b">
        <v>0</v>
      </c>
      <c r="L260" s="24" t="s">
        <v>6608</v>
      </c>
      <c r="M260" s="24" t="s">
        <v>5700</v>
      </c>
      <c r="N260" s="24" t="str">
        <f>_xlfn.IFNA(VLOOKUP($M260,Buff.CM!$A:$O,13,FALSE),"")</f>
        <v>icon_battle_mea_fearseed</v>
      </c>
      <c r="O260" s="25" t="str">
        <f>_xlfn.IFNA(VLOOKUP($M260,Buff.CM!$A:$O,14,FALSE),"")</f>
        <v>info.mea.debuff.fearseed</v>
      </c>
      <c r="P260" s="25" t="str">
        <f>_xlfn.IFNA(VLOOKUP($M260,Buff.CM!$A:$O,15,FALSE),"")</f>
        <v>Desc.info.mea.debuff.fearseed</v>
      </c>
      <c r="Q260" s="25" t="b">
        <v>0</v>
      </c>
      <c r="R260" s="25" t="b">
        <v>0</v>
      </c>
    </row>
    <row r="261" spans="1:18" s="143" customFormat="1" ht="33">
      <c r="A261" s="25" t="s">
        <v>2672</v>
      </c>
      <c r="B261" s="25"/>
      <c r="C261" s="25"/>
      <c r="D261" s="25">
        <v>6000</v>
      </c>
      <c r="E261" s="25">
        <v>0</v>
      </c>
      <c r="F261" s="25">
        <v>0</v>
      </c>
      <c r="G261" s="43" t="s">
        <v>6611</v>
      </c>
      <c r="H261" s="25" t="s">
        <v>5786</v>
      </c>
      <c r="I261" s="25" t="b">
        <v>0</v>
      </c>
      <c r="J261" s="25" t="b">
        <v>1</v>
      </c>
      <c r="K261" s="25" t="b">
        <v>0</v>
      </c>
      <c r="L261" s="24" t="s">
        <v>6608</v>
      </c>
      <c r="M261" s="24" t="s">
        <v>5700</v>
      </c>
      <c r="N261" s="24" t="str">
        <f>_xlfn.IFNA(VLOOKUP($M261,Buff.CM!$A:$O,13,FALSE),"")</f>
        <v>icon_battle_mea_fearseed</v>
      </c>
      <c r="O261" s="25" t="str">
        <f>_xlfn.IFNA(VLOOKUP($M261,Buff.CM!$A:$O,14,FALSE),"")</f>
        <v>info.mea.debuff.fearseed</v>
      </c>
      <c r="P261" s="25" t="str">
        <f>_xlfn.IFNA(VLOOKUP($M261,Buff.CM!$A:$O,15,FALSE),"")</f>
        <v>Desc.info.mea.debuff.fearseed</v>
      </c>
      <c r="Q261" s="25" t="b">
        <v>0</v>
      </c>
      <c r="R261" s="25" t="b">
        <v>0</v>
      </c>
    </row>
    <row r="262" spans="1:18" s="143" customFormat="1" ht="33">
      <c r="A262" s="25" t="s">
        <v>2673</v>
      </c>
      <c r="B262" s="25"/>
      <c r="C262" s="25"/>
      <c r="D262" s="25">
        <v>6000</v>
      </c>
      <c r="E262" s="25">
        <v>0</v>
      </c>
      <c r="F262" s="25">
        <v>0</v>
      </c>
      <c r="G262" s="43" t="s">
        <v>6612</v>
      </c>
      <c r="H262" s="25" t="s">
        <v>5787</v>
      </c>
      <c r="I262" s="25" t="b">
        <v>0</v>
      </c>
      <c r="J262" s="25" t="b">
        <v>1</v>
      </c>
      <c r="K262" s="25" t="b">
        <v>0</v>
      </c>
      <c r="L262" s="24" t="s">
        <v>6608</v>
      </c>
      <c r="M262" s="24" t="s">
        <v>5700</v>
      </c>
      <c r="N262" s="24" t="str">
        <f>_xlfn.IFNA(VLOOKUP($M262,Buff.CM!$A:$O,13,FALSE),"")</f>
        <v>icon_battle_mea_fearseed</v>
      </c>
      <c r="O262" s="25" t="str">
        <f>_xlfn.IFNA(VLOOKUP($M262,Buff.CM!$A:$O,14,FALSE),"")</f>
        <v>info.mea.debuff.fearseed</v>
      </c>
      <c r="P262" s="25" t="str">
        <f>_xlfn.IFNA(VLOOKUP($M262,Buff.CM!$A:$O,15,FALSE),"")</f>
        <v>Desc.info.mea.debuff.fearseed</v>
      </c>
      <c r="Q262" s="25" t="b">
        <v>0</v>
      </c>
      <c r="R262" s="25" t="b">
        <v>0</v>
      </c>
    </row>
    <row r="263" spans="1:18" s="143" customFormat="1" ht="33">
      <c r="A263" s="25" t="s">
        <v>2674</v>
      </c>
      <c r="B263" s="25"/>
      <c r="C263" s="25"/>
      <c r="D263" s="25">
        <v>6000</v>
      </c>
      <c r="E263" s="25">
        <v>0</v>
      </c>
      <c r="F263" s="25">
        <v>0</v>
      </c>
      <c r="G263" s="43" t="s">
        <v>6613</v>
      </c>
      <c r="H263" s="25" t="s">
        <v>5788</v>
      </c>
      <c r="I263" s="25" t="b">
        <v>0</v>
      </c>
      <c r="J263" s="25" t="b">
        <v>1</v>
      </c>
      <c r="K263" s="25" t="b">
        <v>0</v>
      </c>
      <c r="L263" s="24" t="s">
        <v>6608</v>
      </c>
      <c r="M263" s="24" t="s">
        <v>5700</v>
      </c>
      <c r="N263" s="24" t="str">
        <f>_xlfn.IFNA(VLOOKUP($M263,Buff.CM!$A:$O,13,FALSE),"")</f>
        <v>icon_battle_mea_fearseed</v>
      </c>
      <c r="O263" s="25" t="str">
        <f>_xlfn.IFNA(VLOOKUP($M263,Buff.CM!$A:$O,14,FALSE),"")</f>
        <v>info.mea.debuff.fearseed</v>
      </c>
      <c r="P263" s="25" t="str">
        <f>_xlfn.IFNA(VLOOKUP($M263,Buff.CM!$A:$O,15,FALSE),"")</f>
        <v>Desc.info.mea.debuff.fearseed</v>
      </c>
      <c r="Q263" s="25" t="b">
        <v>0</v>
      </c>
      <c r="R263" s="25" t="b">
        <v>0</v>
      </c>
    </row>
    <row r="264" spans="1:18" s="143" customFormat="1" ht="33">
      <c r="A264" s="25" t="s">
        <v>2675</v>
      </c>
      <c r="B264" s="25"/>
      <c r="C264" s="25"/>
      <c r="D264" s="25">
        <v>6000</v>
      </c>
      <c r="E264" s="25">
        <v>0</v>
      </c>
      <c r="F264" s="25">
        <v>0</v>
      </c>
      <c r="G264" s="43" t="s">
        <v>6614</v>
      </c>
      <c r="H264" s="25" t="s">
        <v>5789</v>
      </c>
      <c r="I264" s="25" t="b">
        <v>0</v>
      </c>
      <c r="J264" s="25" t="b">
        <v>1</v>
      </c>
      <c r="K264" s="25" t="b">
        <v>0</v>
      </c>
      <c r="L264" s="24" t="s">
        <v>6608</v>
      </c>
      <c r="M264" s="24" t="s">
        <v>5700</v>
      </c>
      <c r="N264" s="24" t="str">
        <f>_xlfn.IFNA(VLOOKUP($M264,Buff.CM!$A:$O,13,FALSE),"")</f>
        <v>icon_battle_mea_fearseed</v>
      </c>
      <c r="O264" s="25" t="str">
        <f>_xlfn.IFNA(VLOOKUP($M264,Buff.CM!$A:$O,14,FALSE),"")</f>
        <v>info.mea.debuff.fearseed</v>
      </c>
      <c r="P264" s="25" t="str">
        <f>_xlfn.IFNA(VLOOKUP($M264,Buff.CM!$A:$O,15,FALSE),"")</f>
        <v>Desc.info.mea.debuff.fearseed</v>
      </c>
      <c r="Q264" s="25" t="b">
        <v>0</v>
      </c>
      <c r="R264" s="25" t="b">
        <v>0</v>
      </c>
    </row>
    <row r="265" spans="1:18" ht="33">
      <c r="A265" s="24" t="s">
        <v>6615</v>
      </c>
      <c r="B265" s="24"/>
      <c r="C265" s="24"/>
      <c r="D265" s="24">
        <v>1500</v>
      </c>
      <c r="E265" s="24">
        <v>0</v>
      </c>
      <c r="F265" s="24">
        <v>0</v>
      </c>
      <c r="G265" s="38" t="s">
        <v>6605</v>
      </c>
      <c r="H265" s="24"/>
      <c r="I265" s="24" t="b">
        <v>0</v>
      </c>
      <c r="J265" s="24" t="b">
        <v>1</v>
      </c>
      <c r="K265" s="23" t="b">
        <v>0</v>
      </c>
      <c r="L265" s="24" t="s">
        <v>466</v>
      </c>
      <c r="M265" s="24" t="s">
        <v>5469</v>
      </c>
      <c r="N265" s="24" t="str">
        <f>_xlfn.IFNA(VLOOKUP($M265,Buff.CM!$A:$O,13,FALSE),"")</f>
        <v>icon_battle_fear</v>
      </c>
      <c r="O265" s="24" t="str">
        <f>_xlfn.IFNA(VLOOKUP($M265,Buff.CM!$A:$O,14,FALSE),"")</f>
        <v>Buff.Name.Fear</v>
      </c>
      <c r="P265" s="24" t="str">
        <f>_xlfn.IFNA(VLOOKUP($M265,Buff.CM!$A:$O,15,FALSE),"")</f>
        <v>Buff.Desc.Fear</v>
      </c>
      <c r="Q265" s="24" t="b">
        <v>0</v>
      </c>
      <c r="R265" s="24" t="b">
        <v>0</v>
      </c>
    </row>
    <row r="266" spans="1:18">
      <c r="A266" s="24" t="s">
        <v>6616</v>
      </c>
      <c r="B266" s="24"/>
      <c r="C266" s="24"/>
      <c r="D266" s="24">
        <v>1500</v>
      </c>
      <c r="E266" s="24">
        <v>0</v>
      </c>
      <c r="F266" s="24">
        <v>0</v>
      </c>
      <c r="G266" s="38" t="s">
        <v>243</v>
      </c>
      <c r="H266" s="24"/>
      <c r="I266" s="24" t="b">
        <v>0</v>
      </c>
      <c r="J266" s="24" t="b">
        <v>1</v>
      </c>
      <c r="K266" s="23" t="b">
        <v>0</v>
      </c>
      <c r="L266" s="24" t="s">
        <v>314</v>
      </c>
      <c r="M266" s="24" t="s">
        <v>5468</v>
      </c>
      <c r="N266" s="24" t="str">
        <f>_xlfn.IFNA(VLOOKUP($M266,Buff.CM!$A:$O,13,FALSE),"")</f>
        <v>icon_battle_stun</v>
      </c>
      <c r="O266" s="24" t="str">
        <f>_xlfn.IFNA(VLOOKUP($M266,Buff.CM!$A:$O,14,FALSE),"")</f>
        <v>Buff.Name.Stun</v>
      </c>
      <c r="P266" s="24" t="str">
        <f>_xlfn.IFNA(VLOOKUP($M266,Buff.CM!$A:$O,15,FALSE),"")</f>
        <v>Buff.Desc.Stun</v>
      </c>
      <c r="Q266" s="24" t="b">
        <v>0</v>
      </c>
      <c r="R266" s="24" t="b">
        <v>0</v>
      </c>
    </row>
    <row r="267" spans="1:18" ht="33">
      <c r="A267" s="24" t="s">
        <v>2692</v>
      </c>
      <c r="B267" s="24"/>
      <c r="C267" s="24"/>
      <c r="D267" s="24">
        <v>3000</v>
      </c>
      <c r="E267" s="24">
        <v>0</v>
      </c>
      <c r="F267" s="24">
        <v>0</v>
      </c>
      <c r="G267" s="38" t="s">
        <v>6605</v>
      </c>
      <c r="H267" s="24"/>
      <c r="I267" s="24" t="b">
        <v>0</v>
      </c>
      <c r="J267" s="24" t="b">
        <v>1</v>
      </c>
      <c r="K267" s="23" t="b">
        <v>0</v>
      </c>
      <c r="L267" s="24" t="s">
        <v>466</v>
      </c>
      <c r="M267" s="24" t="s">
        <v>5469</v>
      </c>
      <c r="N267" s="24" t="str">
        <f>_xlfn.IFNA(VLOOKUP($M267,Buff.CM!$A:$O,13,FALSE),"")</f>
        <v>icon_battle_fear</v>
      </c>
      <c r="O267" s="24" t="str">
        <f>_xlfn.IFNA(VLOOKUP($M267,Buff.CM!$A:$O,14,FALSE),"")</f>
        <v>Buff.Name.Fear</v>
      </c>
      <c r="P267" s="24" t="str">
        <f>_xlfn.IFNA(VLOOKUP($M267,Buff.CM!$A:$O,15,FALSE),"")</f>
        <v>Buff.Desc.Fear</v>
      </c>
      <c r="Q267" s="24" t="b">
        <v>0</v>
      </c>
      <c r="R267" s="24" t="b">
        <v>0</v>
      </c>
    </row>
    <row r="268" spans="1:18">
      <c r="A268" s="24" t="s">
        <v>6617</v>
      </c>
      <c r="B268" s="24"/>
      <c r="C268" s="24"/>
      <c r="D268" s="24">
        <v>3000</v>
      </c>
      <c r="E268" s="24">
        <v>0</v>
      </c>
      <c r="F268" s="24">
        <v>0</v>
      </c>
      <c r="G268" s="38" t="s">
        <v>243</v>
      </c>
      <c r="H268" s="24"/>
      <c r="I268" s="24" t="b">
        <v>0</v>
      </c>
      <c r="J268" s="24" t="b">
        <v>1</v>
      </c>
      <c r="K268" s="23" t="b">
        <v>0</v>
      </c>
      <c r="L268" s="24" t="s">
        <v>314</v>
      </c>
      <c r="M268" s="24" t="s">
        <v>5468</v>
      </c>
      <c r="N268" s="24" t="str">
        <f>_xlfn.IFNA(VLOOKUP($M268,Buff.CM!$A:$O,13,FALSE),"")</f>
        <v>icon_battle_stun</v>
      </c>
      <c r="O268" s="24" t="str">
        <f>_xlfn.IFNA(VLOOKUP($M268,Buff.CM!$A:$O,14,FALSE),"")</f>
        <v>Buff.Name.Stun</v>
      </c>
      <c r="P268" s="24" t="str">
        <f>_xlfn.IFNA(VLOOKUP($M268,Buff.CM!$A:$O,15,FALSE),"")</f>
        <v>Buff.Desc.Stun</v>
      </c>
      <c r="Q268" s="24" t="b">
        <v>0</v>
      </c>
      <c r="R268" s="24" t="b">
        <v>0</v>
      </c>
    </row>
    <row r="269" spans="1:18">
      <c r="A269" s="57" t="s">
        <v>6618</v>
      </c>
      <c r="B269" s="34"/>
      <c r="C269" s="34"/>
      <c r="D269" s="34">
        <v>3000</v>
      </c>
      <c r="E269" s="24">
        <v>0</v>
      </c>
      <c r="F269" s="24">
        <v>0</v>
      </c>
      <c r="G269" s="40" t="s">
        <v>1440</v>
      </c>
      <c r="H269" s="34"/>
      <c r="I269" s="34" t="b">
        <v>0</v>
      </c>
      <c r="J269" s="34" t="b">
        <v>0</v>
      </c>
      <c r="K269" s="24" t="b">
        <v>1</v>
      </c>
      <c r="L269" s="65" t="s">
        <v>66</v>
      </c>
      <c r="M269" s="40" t="s">
        <v>1440</v>
      </c>
      <c r="N269" s="34" t="str">
        <f>_xlfn.IFNA(VLOOKUP($M269,Buff.CM!$A:$O,13,FALSE),"")</f>
        <v>icon_battle_evasion</v>
      </c>
      <c r="O269" s="34" t="str">
        <f>_xlfn.IFNA(VLOOKUP($M269,Buff.CM!$A:$O,14,FALSE),"")</f>
        <v>Buff.Name.Evasion.Up.03</v>
      </c>
      <c r="P269" s="34" t="str">
        <f>_xlfn.IFNA(VLOOKUP($M269,Buff.CM!$A:$O,15,FALSE),"")</f>
        <v>Buff.Desc.Evasion.Up.03</v>
      </c>
      <c r="Q269" s="34" t="b">
        <v>0</v>
      </c>
      <c r="R269" s="34" t="b">
        <v>0</v>
      </c>
    </row>
    <row r="270" spans="1:18">
      <c r="A270" s="57" t="s">
        <v>5801</v>
      </c>
      <c r="B270" s="34"/>
      <c r="C270" s="34"/>
      <c r="D270" s="34">
        <v>3000</v>
      </c>
      <c r="E270" s="24">
        <v>0</v>
      </c>
      <c r="F270" s="24">
        <v>0</v>
      </c>
      <c r="G270" s="40" t="s">
        <v>1441</v>
      </c>
      <c r="H270" s="34"/>
      <c r="I270" s="34" t="b">
        <v>0</v>
      </c>
      <c r="J270" s="34" t="b">
        <v>0</v>
      </c>
      <c r="K270" s="24" t="b">
        <v>1</v>
      </c>
      <c r="L270" s="65" t="s">
        <v>66</v>
      </c>
      <c r="M270" s="40" t="s">
        <v>1441</v>
      </c>
      <c r="N270" s="34" t="str">
        <f>_xlfn.IFNA(VLOOKUP($M270,Buff.CM!$A:$O,13,FALSE),"")</f>
        <v>icon_battle_evasion</v>
      </c>
      <c r="O270" s="34" t="str">
        <f>_xlfn.IFNA(VLOOKUP($M270,Buff.CM!$A:$O,14,FALSE),"")</f>
        <v>Buff.Name.Evasion.Up.04</v>
      </c>
      <c r="P270" s="34" t="str">
        <f>_xlfn.IFNA(VLOOKUP($M270,Buff.CM!$A:$O,15,FALSE),"")</f>
        <v>Buff.Desc.Evasion.Up.04</v>
      </c>
      <c r="Q270" s="34" t="b">
        <v>0</v>
      </c>
      <c r="R270" s="34" t="b">
        <v>0</v>
      </c>
    </row>
    <row r="271" spans="1:18">
      <c r="A271" s="57" t="s">
        <v>5802</v>
      </c>
      <c r="B271" s="34"/>
      <c r="C271" s="34"/>
      <c r="D271" s="34">
        <v>3000</v>
      </c>
      <c r="E271" s="24">
        <v>0</v>
      </c>
      <c r="F271" s="24">
        <v>0</v>
      </c>
      <c r="G271" s="40" t="s">
        <v>1442</v>
      </c>
      <c r="H271" s="34"/>
      <c r="I271" s="34" t="b">
        <v>0</v>
      </c>
      <c r="J271" s="34" t="b">
        <v>0</v>
      </c>
      <c r="K271" s="24" t="b">
        <v>1</v>
      </c>
      <c r="L271" s="65" t="s">
        <v>66</v>
      </c>
      <c r="M271" s="40" t="s">
        <v>1442</v>
      </c>
      <c r="N271" s="34" t="str">
        <f>_xlfn.IFNA(VLOOKUP($M271,Buff.CM!$A:$O,13,FALSE),"")</f>
        <v>icon_battle_evasion</v>
      </c>
      <c r="O271" s="34" t="str">
        <f>_xlfn.IFNA(VLOOKUP($M271,Buff.CM!$A:$O,14,FALSE),"")</f>
        <v>Buff.Name.Evasion.Up.05</v>
      </c>
      <c r="P271" s="34" t="str">
        <f>_xlfn.IFNA(VLOOKUP($M271,Buff.CM!$A:$O,15,FALSE),"")</f>
        <v>Buff.Desc.Evasion.Up.05</v>
      </c>
      <c r="Q271" s="34" t="b">
        <v>0</v>
      </c>
      <c r="R271" s="34" t="b">
        <v>0</v>
      </c>
    </row>
    <row r="272" spans="1:18">
      <c r="A272" s="112" t="s">
        <v>5776</v>
      </c>
      <c r="B272" s="23"/>
      <c r="C272" s="23"/>
      <c r="D272" s="23">
        <v>8000</v>
      </c>
      <c r="E272" s="23">
        <v>4</v>
      </c>
      <c r="F272" s="23">
        <v>1</v>
      </c>
      <c r="G272" s="39" t="s">
        <v>5777</v>
      </c>
      <c r="H272" s="23"/>
      <c r="I272" s="23" t="b">
        <v>0</v>
      </c>
      <c r="J272" s="23" t="b">
        <v>0</v>
      </c>
      <c r="K272" s="23" t="b">
        <v>0</v>
      </c>
      <c r="L272" s="23" t="s">
        <v>175</v>
      </c>
      <c r="M272" s="23" t="s">
        <v>5574</v>
      </c>
      <c r="N272" s="23" t="str">
        <f>_xlfn.IFNA(VLOOKUP($M272,Buff.CM!$A:$O,13,FALSE),"")</f>
        <v>icon_battle_defense</v>
      </c>
      <c r="O272" s="23" t="str">
        <f>_xlfn.IFNA(VLOOKUP($M272,Buff.CM!$A:$O,14,FALSE),"")</f>
        <v>Buff.Name.Def.Down.00</v>
      </c>
      <c r="P272" s="23" t="str">
        <f>_xlfn.IFNA(VLOOKUP($M272,Buff.CM!$A:$O,15,FALSE),"")</f>
        <v>Buff.Desc.Def.Down.00</v>
      </c>
      <c r="Q272" s="23" t="b">
        <v>0</v>
      </c>
      <c r="R272" s="23" t="b">
        <v>0</v>
      </c>
    </row>
    <row r="273" spans="1:18">
      <c r="A273" s="112" t="s">
        <v>5771</v>
      </c>
      <c r="B273" s="23"/>
      <c r="C273" s="23"/>
      <c r="D273" s="23">
        <v>8000</v>
      </c>
      <c r="E273" s="23">
        <v>4</v>
      </c>
      <c r="F273" s="23">
        <v>1</v>
      </c>
      <c r="G273" s="39" t="s">
        <v>5778</v>
      </c>
      <c r="H273" s="23"/>
      <c r="I273" s="23" t="b">
        <v>0</v>
      </c>
      <c r="J273" s="23" t="b">
        <v>0</v>
      </c>
      <c r="K273" s="23" t="b">
        <v>0</v>
      </c>
      <c r="L273" s="23" t="s">
        <v>175</v>
      </c>
      <c r="M273" s="23" t="s">
        <v>5574</v>
      </c>
      <c r="N273" s="23" t="str">
        <f>_xlfn.IFNA(VLOOKUP($M273,Buff.CM!$A:$O,13,FALSE),"")</f>
        <v>icon_battle_defense</v>
      </c>
      <c r="O273" s="23" t="str">
        <f>_xlfn.IFNA(VLOOKUP($M273,Buff.CM!$A:$O,14,FALSE),"")</f>
        <v>Buff.Name.Def.Down.00</v>
      </c>
      <c r="P273" s="23" t="str">
        <f>_xlfn.IFNA(VLOOKUP($M273,Buff.CM!$A:$O,15,FALSE),"")</f>
        <v>Buff.Desc.Def.Down.00</v>
      </c>
      <c r="Q273" s="23" t="b">
        <v>0</v>
      </c>
      <c r="R273" s="23" t="b">
        <v>0</v>
      </c>
    </row>
    <row r="274" spans="1:18">
      <c r="A274" s="112" t="s">
        <v>5772</v>
      </c>
      <c r="B274" s="23"/>
      <c r="C274" s="23"/>
      <c r="D274" s="23">
        <v>8000</v>
      </c>
      <c r="E274" s="23">
        <v>4</v>
      </c>
      <c r="F274" s="23">
        <v>1</v>
      </c>
      <c r="G274" s="39" t="s">
        <v>5779</v>
      </c>
      <c r="H274" s="23"/>
      <c r="I274" s="23" t="b">
        <v>0</v>
      </c>
      <c r="J274" s="23" t="b">
        <v>0</v>
      </c>
      <c r="K274" s="23" t="b">
        <v>0</v>
      </c>
      <c r="L274" s="23" t="s">
        <v>175</v>
      </c>
      <c r="M274" s="23" t="s">
        <v>5574</v>
      </c>
      <c r="N274" s="23" t="str">
        <f>_xlfn.IFNA(VLOOKUP($M274,Buff.CM!$A:$O,13,FALSE),"")</f>
        <v>icon_battle_defense</v>
      </c>
      <c r="O274" s="23" t="str">
        <f>_xlfn.IFNA(VLOOKUP($M274,Buff.CM!$A:$O,14,FALSE),"")</f>
        <v>Buff.Name.Def.Down.00</v>
      </c>
      <c r="P274" s="23" t="str">
        <f>_xlfn.IFNA(VLOOKUP($M274,Buff.CM!$A:$O,15,FALSE),"")</f>
        <v>Buff.Desc.Def.Down.00</v>
      </c>
      <c r="Q274" s="23" t="b">
        <v>0</v>
      </c>
      <c r="R274" s="23" t="b">
        <v>0</v>
      </c>
    </row>
    <row r="275" spans="1:18">
      <c r="A275" s="57" t="s">
        <v>5773</v>
      </c>
      <c r="B275" s="34"/>
      <c r="C275" s="34"/>
      <c r="D275" s="34">
        <v>8000</v>
      </c>
      <c r="E275" s="34">
        <v>4</v>
      </c>
      <c r="F275" s="34">
        <v>1</v>
      </c>
      <c r="G275" s="40" t="s">
        <v>5780</v>
      </c>
      <c r="H275" s="34"/>
      <c r="I275" s="34" t="b">
        <v>0</v>
      </c>
      <c r="J275" s="34" t="b">
        <v>0</v>
      </c>
      <c r="K275" s="34" t="b">
        <v>0</v>
      </c>
      <c r="L275" s="34" t="s">
        <v>175</v>
      </c>
      <c r="M275" s="34" t="s">
        <v>5574</v>
      </c>
      <c r="N275" s="34" t="str">
        <f>_xlfn.IFNA(VLOOKUP($M275,Buff.CM!$A:$O,13,FALSE),"")</f>
        <v>icon_battle_defense</v>
      </c>
      <c r="O275" s="34" t="str">
        <f>_xlfn.IFNA(VLOOKUP($M275,Buff.CM!$A:$O,14,FALSE),"")</f>
        <v>Buff.Name.Def.Down.00</v>
      </c>
      <c r="P275" s="34" t="str">
        <f>_xlfn.IFNA(VLOOKUP($M275,Buff.CM!$A:$O,15,FALSE),"")</f>
        <v>Buff.Desc.Def.Down.00</v>
      </c>
      <c r="Q275" s="34" t="b">
        <v>0</v>
      </c>
      <c r="R275" s="34" t="b">
        <v>0</v>
      </c>
    </row>
    <row r="276" spans="1:18">
      <c r="A276" s="57" t="s">
        <v>5774</v>
      </c>
      <c r="B276" s="34"/>
      <c r="C276" s="34"/>
      <c r="D276" s="34">
        <v>8000</v>
      </c>
      <c r="E276" s="34">
        <v>4</v>
      </c>
      <c r="F276" s="34">
        <v>1</v>
      </c>
      <c r="G276" s="40" t="s">
        <v>5781</v>
      </c>
      <c r="H276" s="34"/>
      <c r="I276" s="34" t="b">
        <v>0</v>
      </c>
      <c r="J276" s="34" t="b">
        <v>0</v>
      </c>
      <c r="K276" s="34" t="b">
        <v>0</v>
      </c>
      <c r="L276" s="34" t="s">
        <v>175</v>
      </c>
      <c r="M276" s="34" t="s">
        <v>5574</v>
      </c>
      <c r="N276" s="34" t="str">
        <f>_xlfn.IFNA(VLOOKUP($M276,Buff.CM!$A:$O,13,FALSE),"")</f>
        <v>icon_battle_defense</v>
      </c>
      <c r="O276" s="34" t="str">
        <f>_xlfn.IFNA(VLOOKUP($M276,Buff.CM!$A:$O,14,FALSE),"")</f>
        <v>Buff.Name.Def.Down.00</v>
      </c>
      <c r="P276" s="34" t="str">
        <f>_xlfn.IFNA(VLOOKUP($M276,Buff.CM!$A:$O,15,FALSE),"")</f>
        <v>Buff.Desc.Def.Down.00</v>
      </c>
      <c r="Q276" s="34" t="b">
        <v>0</v>
      </c>
      <c r="R276" s="34" t="b">
        <v>0</v>
      </c>
    </row>
    <row r="277" spans="1:18">
      <c r="A277" s="57" t="s">
        <v>5775</v>
      </c>
      <c r="B277" s="34"/>
      <c r="C277" s="34"/>
      <c r="D277" s="34">
        <v>8000</v>
      </c>
      <c r="E277" s="34">
        <v>4</v>
      </c>
      <c r="F277" s="34">
        <v>1</v>
      </c>
      <c r="G277" s="40" t="s">
        <v>5782</v>
      </c>
      <c r="H277" s="34"/>
      <c r="I277" s="34" t="b">
        <v>0</v>
      </c>
      <c r="J277" s="34" t="b">
        <v>0</v>
      </c>
      <c r="K277" s="34" t="b">
        <v>0</v>
      </c>
      <c r="L277" s="34" t="s">
        <v>175</v>
      </c>
      <c r="M277" s="34" t="s">
        <v>5574</v>
      </c>
      <c r="N277" s="34" t="str">
        <f>_xlfn.IFNA(VLOOKUP($M277,Buff.CM!$A:$O,13,FALSE),"")</f>
        <v>icon_battle_defense</v>
      </c>
      <c r="O277" s="34" t="str">
        <f>_xlfn.IFNA(VLOOKUP($M277,Buff.CM!$A:$O,14,FALSE),"")</f>
        <v>Buff.Name.Def.Down.00</v>
      </c>
      <c r="P277" s="34" t="str">
        <f>_xlfn.IFNA(VLOOKUP($M277,Buff.CM!$A:$O,15,FALSE),"")</f>
        <v>Buff.Desc.Def.Down.00</v>
      </c>
      <c r="Q277" s="34" t="b">
        <v>0</v>
      </c>
      <c r="R277" s="34" t="b">
        <v>0</v>
      </c>
    </row>
    <row r="278" spans="1:18">
      <c r="A278" s="24" t="s">
        <v>6619</v>
      </c>
      <c r="B278" s="24"/>
      <c r="C278" s="24"/>
      <c r="D278" s="24">
        <v>0</v>
      </c>
      <c r="E278" s="24">
        <v>0</v>
      </c>
      <c r="F278" s="24">
        <v>0</v>
      </c>
      <c r="G278" s="38" t="s">
        <v>5818</v>
      </c>
      <c r="H278" s="24"/>
      <c r="I278" s="24" t="b">
        <v>0</v>
      </c>
      <c r="J278" s="23" t="b">
        <v>1</v>
      </c>
      <c r="K278" s="24" t="b">
        <v>1</v>
      </c>
      <c r="L278" s="24"/>
      <c r="M278" s="24"/>
      <c r="N278" s="24" t="str">
        <f>_xlfn.IFNA(VLOOKUP($M278,Buff.CM!$A:$O,13,FALSE),"")</f>
        <v/>
      </c>
      <c r="O278" s="24" t="str">
        <f>_xlfn.IFNA(VLOOKUP($M278,Buff.CM!$A:$O,14,FALSE),"")</f>
        <v/>
      </c>
      <c r="P278" s="24" t="str">
        <f>_xlfn.IFNA(VLOOKUP($M278,Buff.CM!$A:$O,15,FALSE),"")</f>
        <v/>
      </c>
      <c r="Q278" s="24" t="b">
        <v>0</v>
      </c>
      <c r="R278" s="24" t="b">
        <v>0</v>
      </c>
    </row>
    <row r="279" spans="1:18">
      <c r="A279" s="24" t="s">
        <v>5839</v>
      </c>
      <c r="B279" s="24"/>
      <c r="C279" s="24"/>
      <c r="D279" s="24">
        <v>0</v>
      </c>
      <c r="E279" s="24">
        <v>0</v>
      </c>
      <c r="F279" s="24">
        <v>0</v>
      </c>
      <c r="G279" s="38" t="s">
        <v>5819</v>
      </c>
      <c r="H279" s="24"/>
      <c r="I279" s="24" t="b">
        <v>0</v>
      </c>
      <c r="J279" s="23" t="b">
        <v>1</v>
      </c>
      <c r="K279" s="24" t="b">
        <v>1</v>
      </c>
      <c r="L279" s="24"/>
      <c r="M279" s="24"/>
      <c r="N279" s="24" t="str">
        <f>_xlfn.IFNA(VLOOKUP($M279,Buff.CM!$A:$O,13,FALSE),"")</f>
        <v/>
      </c>
      <c r="O279" s="24" t="str">
        <f>_xlfn.IFNA(VLOOKUP($M279,Buff.CM!$A:$O,14,FALSE),"")</f>
        <v/>
      </c>
      <c r="P279" s="24" t="str">
        <f>_xlfn.IFNA(VLOOKUP($M279,Buff.CM!$A:$O,15,FALSE),"")</f>
        <v/>
      </c>
      <c r="Q279" s="24" t="b">
        <v>0</v>
      </c>
      <c r="R279" s="24" t="b">
        <v>0</v>
      </c>
    </row>
    <row r="280" spans="1:18">
      <c r="A280" s="24" t="s">
        <v>5840</v>
      </c>
      <c r="B280" s="24"/>
      <c r="C280" s="24"/>
      <c r="D280" s="24">
        <v>0</v>
      </c>
      <c r="E280" s="24">
        <v>0</v>
      </c>
      <c r="F280" s="24">
        <v>0</v>
      </c>
      <c r="G280" s="38" t="s">
        <v>5820</v>
      </c>
      <c r="H280" s="24"/>
      <c r="I280" s="24" t="b">
        <v>0</v>
      </c>
      <c r="J280" s="23" t="b">
        <v>1</v>
      </c>
      <c r="K280" s="24" t="b">
        <v>1</v>
      </c>
      <c r="L280" s="24"/>
      <c r="M280" s="24"/>
      <c r="N280" s="24" t="str">
        <f>_xlfn.IFNA(VLOOKUP($M280,Buff.CM!$A:$O,13,FALSE),"")</f>
        <v/>
      </c>
      <c r="O280" s="24" t="str">
        <f>_xlfn.IFNA(VLOOKUP($M280,Buff.CM!$A:$O,14,FALSE),"")</f>
        <v/>
      </c>
      <c r="P280" s="24" t="str">
        <f>_xlfn.IFNA(VLOOKUP($M280,Buff.CM!$A:$O,15,FALSE),"")</f>
        <v/>
      </c>
      <c r="Q280" s="24" t="b">
        <v>0</v>
      </c>
      <c r="R280" s="24" t="b">
        <v>0</v>
      </c>
    </row>
    <row r="281" spans="1:18">
      <c r="A281" s="34" t="s">
        <v>5841</v>
      </c>
      <c r="B281" s="34"/>
      <c r="C281" s="34"/>
      <c r="D281" s="34">
        <v>0</v>
      </c>
      <c r="E281" s="34">
        <v>0</v>
      </c>
      <c r="F281" s="34">
        <v>0</v>
      </c>
      <c r="G281" s="40" t="s">
        <v>5821</v>
      </c>
      <c r="H281" s="34"/>
      <c r="I281" s="34" t="b">
        <v>0</v>
      </c>
      <c r="J281" s="23" t="b">
        <v>1</v>
      </c>
      <c r="K281" s="34" t="b">
        <v>1</v>
      </c>
      <c r="L281" s="34"/>
      <c r="M281" s="34"/>
      <c r="N281" s="34" t="str">
        <f>_xlfn.IFNA(VLOOKUP($M281,Buff.CM!$A:$O,13,FALSE),"")</f>
        <v/>
      </c>
      <c r="O281" s="34" t="str">
        <f>_xlfn.IFNA(VLOOKUP($M281,Buff.CM!$A:$O,14,FALSE),"")</f>
        <v/>
      </c>
      <c r="P281" s="34" t="str">
        <f>_xlfn.IFNA(VLOOKUP($M281,Buff.CM!$A:$O,15,FALSE),"")</f>
        <v/>
      </c>
      <c r="Q281" s="34" t="b">
        <v>0</v>
      </c>
      <c r="R281" s="34" t="b">
        <v>0</v>
      </c>
    </row>
    <row r="282" spans="1:18">
      <c r="A282" s="34" t="s">
        <v>5842</v>
      </c>
      <c r="B282" s="34"/>
      <c r="C282" s="34"/>
      <c r="D282" s="34">
        <v>0</v>
      </c>
      <c r="E282" s="34">
        <v>0</v>
      </c>
      <c r="F282" s="34">
        <v>0</v>
      </c>
      <c r="G282" s="40" t="s">
        <v>5822</v>
      </c>
      <c r="H282" s="34"/>
      <c r="I282" s="34" t="b">
        <v>0</v>
      </c>
      <c r="J282" s="23" t="b">
        <v>1</v>
      </c>
      <c r="K282" s="34" t="b">
        <v>1</v>
      </c>
      <c r="L282" s="34"/>
      <c r="M282" s="34"/>
      <c r="N282" s="34" t="str">
        <f>_xlfn.IFNA(VLOOKUP($M282,Buff.CM!$A:$O,13,FALSE),"")</f>
        <v/>
      </c>
      <c r="O282" s="34" t="str">
        <f>_xlfn.IFNA(VLOOKUP($M282,Buff.CM!$A:$O,14,FALSE),"")</f>
        <v/>
      </c>
      <c r="P282" s="34" t="str">
        <f>_xlfn.IFNA(VLOOKUP($M282,Buff.CM!$A:$O,15,FALSE),"")</f>
        <v/>
      </c>
      <c r="Q282" s="34" t="b">
        <v>0</v>
      </c>
      <c r="R282" s="34" t="b">
        <v>0</v>
      </c>
    </row>
    <row r="283" spans="1:18">
      <c r="A283" s="34" t="s">
        <v>5843</v>
      </c>
      <c r="B283" s="34"/>
      <c r="C283" s="34"/>
      <c r="D283" s="34">
        <v>0</v>
      </c>
      <c r="E283" s="34">
        <v>0</v>
      </c>
      <c r="F283" s="34">
        <v>0</v>
      </c>
      <c r="G283" s="40" t="s">
        <v>5823</v>
      </c>
      <c r="H283" s="34"/>
      <c r="I283" s="34" t="b">
        <v>0</v>
      </c>
      <c r="J283" s="23" t="b">
        <v>1</v>
      </c>
      <c r="K283" s="34" t="b">
        <v>1</v>
      </c>
      <c r="L283" s="34"/>
      <c r="M283" s="34"/>
      <c r="N283" s="34" t="str">
        <f>_xlfn.IFNA(VLOOKUP($M283,Buff.CM!$A:$O,13,FALSE),"")</f>
        <v/>
      </c>
      <c r="O283" s="34" t="str">
        <f>_xlfn.IFNA(VLOOKUP($M283,Buff.CM!$A:$O,14,FALSE),"")</f>
        <v/>
      </c>
      <c r="P283" s="34" t="str">
        <f>_xlfn.IFNA(VLOOKUP($M283,Buff.CM!$A:$O,15,FALSE),"")</f>
        <v/>
      </c>
      <c r="Q283" s="34" t="b">
        <v>0</v>
      </c>
      <c r="R283" s="34" t="b">
        <v>0</v>
      </c>
    </row>
    <row r="284" spans="1:18" ht="33">
      <c r="A284" s="24" t="s">
        <v>5844</v>
      </c>
      <c r="B284" s="24" t="s">
        <v>2158</v>
      </c>
      <c r="C284" s="24" t="s">
        <v>889</v>
      </c>
      <c r="D284" s="24">
        <v>0</v>
      </c>
      <c r="E284" s="24">
        <v>0</v>
      </c>
      <c r="F284" s="24">
        <v>0</v>
      </c>
      <c r="G284" s="38" t="s">
        <v>6620</v>
      </c>
      <c r="H284" s="24"/>
      <c r="I284" s="24" t="b">
        <v>0</v>
      </c>
      <c r="J284" s="23" t="b">
        <v>1</v>
      </c>
      <c r="K284" s="24" t="b">
        <v>1</v>
      </c>
      <c r="L284" s="24"/>
      <c r="M284" s="24"/>
      <c r="N284" s="24" t="str">
        <f>_xlfn.IFNA(VLOOKUP($M284,Buff.CM!$A:$O,13,FALSE),"")</f>
        <v/>
      </c>
      <c r="O284" s="24" t="str">
        <f>_xlfn.IFNA(VLOOKUP($M284,Buff.CM!$A:$O,14,FALSE),"")</f>
        <v/>
      </c>
      <c r="P284" s="24" t="str">
        <f>_xlfn.IFNA(VLOOKUP($M284,Buff.CM!$A:$O,15,FALSE),"")</f>
        <v/>
      </c>
      <c r="Q284" s="24" t="b">
        <v>0</v>
      </c>
      <c r="R284" s="24" t="b">
        <v>0</v>
      </c>
    </row>
    <row r="285" spans="1:18" ht="33">
      <c r="A285" s="24" t="s">
        <v>5846</v>
      </c>
      <c r="B285" s="24" t="s">
        <v>2158</v>
      </c>
      <c r="C285" s="24" t="s">
        <v>889</v>
      </c>
      <c r="D285" s="24">
        <v>0</v>
      </c>
      <c r="E285" s="24">
        <v>0</v>
      </c>
      <c r="F285" s="24">
        <v>0</v>
      </c>
      <c r="G285" s="38" t="s">
        <v>6621</v>
      </c>
      <c r="H285" s="24"/>
      <c r="I285" s="24" t="b">
        <v>0</v>
      </c>
      <c r="J285" s="23" t="b">
        <v>1</v>
      </c>
      <c r="K285" s="24" t="b">
        <v>1</v>
      </c>
      <c r="L285" s="24"/>
      <c r="M285" s="24"/>
      <c r="N285" s="24" t="str">
        <f>_xlfn.IFNA(VLOOKUP($M285,Buff.CM!$A:$O,13,FALSE),"")</f>
        <v/>
      </c>
      <c r="O285" s="24" t="str">
        <f>_xlfn.IFNA(VLOOKUP($M285,Buff.CM!$A:$O,14,FALSE),"")</f>
        <v/>
      </c>
      <c r="P285" s="24" t="str">
        <f>_xlfn.IFNA(VLOOKUP($M285,Buff.CM!$A:$O,15,FALSE),"")</f>
        <v/>
      </c>
      <c r="Q285" s="24" t="b">
        <v>0</v>
      </c>
      <c r="R285" s="24" t="b">
        <v>0</v>
      </c>
    </row>
    <row r="286" spans="1:18" ht="33">
      <c r="A286" s="24" t="s">
        <v>5848</v>
      </c>
      <c r="B286" s="24" t="s">
        <v>2158</v>
      </c>
      <c r="C286" s="24" t="s">
        <v>889</v>
      </c>
      <c r="D286" s="24">
        <v>0</v>
      </c>
      <c r="E286" s="24">
        <v>0</v>
      </c>
      <c r="F286" s="24">
        <v>0</v>
      </c>
      <c r="G286" s="38" t="s">
        <v>6622</v>
      </c>
      <c r="H286" s="24"/>
      <c r="I286" s="24" t="b">
        <v>0</v>
      </c>
      <c r="J286" s="23" t="b">
        <v>1</v>
      </c>
      <c r="K286" s="24" t="b">
        <v>1</v>
      </c>
      <c r="L286" s="24"/>
      <c r="M286" s="24"/>
      <c r="N286" s="24" t="str">
        <f>_xlfn.IFNA(VLOOKUP($M286,Buff.CM!$A:$O,13,FALSE),"")</f>
        <v/>
      </c>
      <c r="O286" s="24" t="str">
        <f>_xlfn.IFNA(VLOOKUP($M286,Buff.CM!$A:$O,14,FALSE),"")</f>
        <v/>
      </c>
      <c r="P286" s="24" t="str">
        <f>_xlfn.IFNA(VLOOKUP($M286,Buff.CM!$A:$O,15,FALSE),"")</f>
        <v/>
      </c>
      <c r="Q286" s="24" t="b">
        <v>0</v>
      </c>
      <c r="R286" s="24" t="b">
        <v>0</v>
      </c>
    </row>
    <row r="287" spans="1:18" ht="33">
      <c r="A287" s="34" t="s">
        <v>5850</v>
      </c>
      <c r="B287" s="34" t="s">
        <v>2158</v>
      </c>
      <c r="C287" s="34" t="s">
        <v>889</v>
      </c>
      <c r="D287" s="34">
        <v>0</v>
      </c>
      <c r="E287" s="34">
        <v>0</v>
      </c>
      <c r="F287" s="34">
        <v>0</v>
      </c>
      <c r="G287" s="40" t="s">
        <v>6623</v>
      </c>
      <c r="H287" s="34"/>
      <c r="I287" s="34" t="b">
        <v>0</v>
      </c>
      <c r="J287" s="23" t="b">
        <v>1</v>
      </c>
      <c r="K287" s="34" t="b">
        <v>1</v>
      </c>
      <c r="L287" s="34"/>
      <c r="M287" s="34"/>
      <c r="N287" s="34" t="str">
        <f>_xlfn.IFNA(VLOOKUP($M287,Buff.CM!$A:$O,13,FALSE),"")</f>
        <v/>
      </c>
      <c r="O287" s="34" t="str">
        <f>_xlfn.IFNA(VLOOKUP($M287,Buff.CM!$A:$O,14,FALSE),"")</f>
        <v/>
      </c>
      <c r="P287" s="34" t="str">
        <f>_xlfn.IFNA(VLOOKUP($M287,Buff.CM!$A:$O,15,FALSE),"")</f>
        <v/>
      </c>
      <c r="Q287" s="34" t="b">
        <v>0</v>
      </c>
      <c r="R287" s="34" t="b">
        <v>0</v>
      </c>
    </row>
    <row r="288" spans="1:18" ht="33">
      <c r="A288" s="34" t="s">
        <v>5852</v>
      </c>
      <c r="B288" s="34" t="s">
        <v>2158</v>
      </c>
      <c r="C288" s="34" t="s">
        <v>889</v>
      </c>
      <c r="D288" s="34">
        <v>0</v>
      </c>
      <c r="E288" s="34">
        <v>0</v>
      </c>
      <c r="F288" s="34">
        <v>0</v>
      </c>
      <c r="G288" s="40" t="s">
        <v>6624</v>
      </c>
      <c r="H288" s="34"/>
      <c r="I288" s="34" t="b">
        <v>0</v>
      </c>
      <c r="J288" s="23" t="b">
        <v>1</v>
      </c>
      <c r="K288" s="34" t="b">
        <v>1</v>
      </c>
      <c r="L288" s="34"/>
      <c r="M288" s="34"/>
      <c r="N288" s="34" t="str">
        <f>_xlfn.IFNA(VLOOKUP($M288,Buff.CM!$A:$O,13,FALSE),"")</f>
        <v/>
      </c>
      <c r="O288" s="34" t="str">
        <f>_xlfn.IFNA(VLOOKUP($M288,Buff.CM!$A:$O,14,FALSE),"")</f>
        <v/>
      </c>
      <c r="P288" s="34" t="str">
        <f>_xlfn.IFNA(VLOOKUP($M288,Buff.CM!$A:$O,15,FALSE),"")</f>
        <v/>
      </c>
      <c r="Q288" s="34" t="b">
        <v>0</v>
      </c>
      <c r="R288" s="34" t="b">
        <v>0</v>
      </c>
    </row>
    <row r="289" spans="1:18" ht="33">
      <c r="A289" s="34" t="s">
        <v>5854</v>
      </c>
      <c r="B289" s="34" t="s">
        <v>2158</v>
      </c>
      <c r="C289" s="34" t="s">
        <v>889</v>
      </c>
      <c r="D289" s="34">
        <v>0</v>
      </c>
      <c r="E289" s="34">
        <v>0</v>
      </c>
      <c r="F289" s="34">
        <v>0</v>
      </c>
      <c r="G289" s="40" t="s">
        <v>6625</v>
      </c>
      <c r="H289" s="34"/>
      <c r="I289" s="34" t="b">
        <v>0</v>
      </c>
      <c r="J289" s="23" t="b">
        <v>1</v>
      </c>
      <c r="K289" s="34" t="b">
        <v>1</v>
      </c>
      <c r="L289" s="34"/>
      <c r="M289" s="34"/>
      <c r="N289" s="34" t="str">
        <f>_xlfn.IFNA(VLOOKUP($M289,Buff.CM!$A:$O,13,FALSE),"")</f>
        <v/>
      </c>
      <c r="O289" s="34" t="str">
        <f>_xlfn.IFNA(VLOOKUP($M289,Buff.CM!$A:$O,14,FALSE),"")</f>
        <v/>
      </c>
      <c r="P289" s="34" t="str">
        <f>_xlfn.IFNA(VLOOKUP($M289,Buff.CM!$A:$O,15,FALSE),"")</f>
        <v/>
      </c>
      <c r="Q289" s="34" t="b">
        <v>0</v>
      </c>
      <c r="R289" s="34" t="b">
        <v>0</v>
      </c>
    </row>
    <row r="290" spans="1:18">
      <c r="A290" s="24" t="s">
        <v>6626</v>
      </c>
      <c r="B290" s="24"/>
      <c r="C290" s="24"/>
      <c r="D290" s="24">
        <v>4000</v>
      </c>
      <c r="E290" s="24">
        <v>0</v>
      </c>
      <c r="F290" s="24">
        <v>0</v>
      </c>
      <c r="G290" s="24" t="s">
        <v>6627</v>
      </c>
      <c r="H290" s="24"/>
      <c r="I290" s="24" t="b">
        <v>0</v>
      </c>
      <c r="J290" s="24" t="b">
        <v>0</v>
      </c>
      <c r="K290" s="24" t="b">
        <v>1</v>
      </c>
      <c r="L290" s="24" t="s">
        <v>317</v>
      </c>
      <c r="M290" s="24" t="s">
        <v>5461</v>
      </c>
      <c r="N290" s="24" t="str">
        <f>_xlfn.IFNA(VLOOKUP($M290,Buff.CM!$A:$O,13,FALSE),"")</f>
        <v>icon_battle_shield</v>
      </c>
      <c r="O290" s="24" t="str">
        <f>_xlfn.IFNA(VLOOKUP($M290,Buff.CM!$A:$O,14,FALSE),"")</f>
        <v>Buff.Name.Shield</v>
      </c>
      <c r="P290" s="24" t="str">
        <f>_xlfn.IFNA(VLOOKUP($M290,Buff.CM!$A:$O,15,FALSE),"")</f>
        <v>Buff.Desc.Shield</v>
      </c>
      <c r="Q290" s="24" t="b">
        <v>0</v>
      </c>
      <c r="R290" s="24" t="b">
        <v>0</v>
      </c>
    </row>
    <row r="291" spans="1:18">
      <c r="A291" s="24" t="s">
        <v>5829</v>
      </c>
      <c r="B291" s="24"/>
      <c r="C291" s="24"/>
      <c r="D291" s="24">
        <v>4000</v>
      </c>
      <c r="E291" s="24">
        <v>0</v>
      </c>
      <c r="F291" s="24">
        <v>0</v>
      </c>
      <c r="G291" s="24" t="s">
        <v>5834</v>
      </c>
      <c r="H291" s="24"/>
      <c r="I291" s="24" t="b">
        <v>0</v>
      </c>
      <c r="J291" s="24" t="b">
        <v>0</v>
      </c>
      <c r="K291" s="24" t="b">
        <v>1</v>
      </c>
      <c r="L291" s="24" t="s">
        <v>317</v>
      </c>
      <c r="M291" s="24" t="s">
        <v>5461</v>
      </c>
      <c r="N291" s="24" t="str">
        <f>_xlfn.IFNA(VLOOKUP($M291,Buff.CM!$A:$O,13,FALSE),"")</f>
        <v>icon_battle_shield</v>
      </c>
      <c r="O291" s="24" t="str">
        <f>_xlfn.IFNA(VLOOKUP($M291,Buff.CM!$A:$O,14,FALSE),"")</f>
        <v>Buff.Name.Shield</v>
      </c>
      <c r="P291" s="24" t="str">
        <f>_xlfn.IFNA(VLOOKUP($M291,Buff.CM!$A:$O,15,FALSE),"")</f>
        <v>Buff.Desc.Shield</v>
      </c>
      <c r="Q291" s="24" t="b">
        <v>0</v>
      </c>
      <c r="R291" s="24" t="b">
        <v>0</v>
      </c>
    </row>
    <row r="292" spans="1:18">
      <c r="A292" s="24" t="s">
        <v>5830</v>
      </c>
      <c r="B292" s="24"/>
      <c r="C292" s="24"/>
      <c r="D292" s="24">
        <v>4000</v>
      </c>
      <c r="E292" s="24">
        <v>0</v>
      </c>
      <c r="F292" s="24">
        <v>0</v>
      </c>
      <c r="G292" s="24" t="s">
        <v>5835</v>
      </c>
      <c r="H292" s="24"/>
      <c r="I292" s="24" t="b">
        <v>0</v>
      </c>
      <c r="J292" s="24" t="b">
        <v>0</v>
      </c>
      <c r="K292" s="24" t="b">
        <v>1</v>
      </c>
      <c r="L292" s="24" t="s">
        <v>317</v>
      </c>
      <c r="M292" s="24" t="s">
        <v>5461</v>
      </c>
      <c r="N292" s="24" t="str">
        <f>_xlfn.IFNA(VLOOKUP($M292,Buff.CM!$A:$O,13,FALSE),"")</f>
        <v>icon_battle_shield</v>
      </c>
      <c r="O292" s="24" t="str">
        <f>_xlfn.IFNA(VLOOKUP($M292,Buff.CM!$A:$O,14,FALSE),"")</f>
        <v>Buff.Name.Shield</v>
      </c>
      <c r="P292" s="24" t="str">
        <f>_xlfn.IFNA(VLOOKUP($M292,Buff.CM!$A:$O,15,FALSE),"")</f>
        <v>Buff.Desc.Shield</v>
      </c>
      <c r="Q292" s="24" t="b">
        <v>0</v>
      </c>
      <c r="R292" s="24" t="b">
        <v>0</v>
      </c>
    </row>
    <row r="293" spans="1:18">
      <c r="A293" s="34" t="s">
        <v>5831</v>
      </c>
      <c r="B293" s="34"/>
      <c r="C293" s="34"/>
      <c r="D293" s="34">
        <v>4000</v>
      </c>
      <c r="E293" s="34">
        <v>0</v>
      </c>
      <c r="F293" s="34">
        <v>0</v>
      </c>
      <c r="G293" s="34" t="s">
        <v>5836</v>
      </c>
      <c r="H293" s="34"/>
      <c r="I293" s="34" t="b">
        <v>0</v>
      </c>
      <c r="J293" s="34" t="b">
        <v>0</v>
      </c>
      <c r="K293" s="34" t="b">
        <v>1</v>
      </c>
      <c r="L293" s="34" t="s">
        <v>317</v>
      </c>
      <c r="M293" s="34" t="s">
        <v>5461</v>
      </c>
      <c r="N293" s="34" t="str">
        <f>_xlfn.IFNA(VLOOKUP($M293,Buff.CM!$A:$O,13,FALSE),"")</f>
        <v>icon_battle_shield</v>
      </c>
      <c r="O293" s="34" t="str">
        <f>_xlfn.IFNA(VLOOKUP($M293,Buff.CM!$A:$O,14,FALSE),"")</f>
        <v>Buff.Name.Shield</v>
      </c>
      <c r="P293" s="34" t="str">
        <f>_xlfn.IFNA(VLOOKUP($M293,Buff.CM!$A:$O,15,FALSE),"")</f>
        <v>Buff.Desc.Shield</v>
      </c>
      <c r="Q293" s="34" t="b">
        <v>0</v>
      </c>
      <c r="R293" s="34" t="b">
        <v>0</v>
      </c>
    </row>
    <row r="294" spans="1:18">
      <c r="A294" s="34" t="s">
        <v>5832</v>
      </c>
      <c r="B294" s="34"/>
      <c r="C294" s="34"/>
      <c r="D294" s="34">
        <v>4000</v>
      </c>
      <c r="E294" s="34">
        <v>0</v>
      </c>
      <c r="F294" s="34">
        <v>0</v>
      </c>
      <c r="G294" s="34" t="s">
        <v>5837</v>
      </c>
      <c r="H294" s="34"/>
      <c r="I294" s="34" t="b">
        <v>0</v>
      </c>
      <c r="J294" s="34" t="b">
        <v>0</v>
      </c>
      <c r="K294" s="34" t="b">
        <v>1</v>
      </c>
      <c r="L294" s="34" t="s">
        <v>317</v>
      </c>
      <c r="M294" s="34" t="s">
        <v>5461</v>
      </c>
      <c r="N294" s="34" t="str">
        <f>_xlfn.IFNA(VLOOKUP($M294,Buff.CM!$A:$O,13,FALSE),"")</f>
        <v>icon_battle_shield</v>
      </c>
      <c r="O294" s="34" t="str">
        <f>_xlfn.IFNA(VLOOKUP($M294,Buff.CM!$A:$O,14,FALSE),"")</f>
        <v>Buff.Name.Shield</v>
      </c>
      <c r="P294" s="34" t="str">
        <f>_xlfn.IFNA(VLOOKUP($M294,Buff.CM!$A:$O,15,FALSE),"")</f>
        <v>Buff.Desc.Shield</v>
      </c>
      <c r="Q294" s="34" t="b">
        <v>0</v>
      </c>
      <c r="R294" s="34" t="b">
        <v>0</v>
      </c>
    </row>
    <row r="295" spans="1:18">
      <c r="A295" s="34" t="s">
        <v>5833</v>
      </c>
      <c r="B295" s="34"/>
      <c r="C295" s="34"/>
      <c r="D295" s="34">
        <v>4000</v>
      </c>
      <c r="E295" s="34">
        <v>0</v>
      </c>
      <c r="F295" s="34">
        <v>0</v>
      </c>
      <c r="G295" s="34" t="s">
        <v>5838</v>
      </c>
      <c r="H295" s="34"/>
      <c r="I295" s="34" t="b">
        <v>0</v>
      </c>
      <c r="J295" s="34" t="b">
        <v>0</v>
      </c>
      <c r="K295" s="34" t="b">
        <v>1</v>
      </c>
      <c r="L295" s="34" t="s">
        <v>317</v>
      </c>
      <c r="M295" s="34" t="s">
        <v>5461</v>
      </c>
      <c r="N295" s="34" t="str">
        <f>_xlfn.IFNA(VLOOKUP($M295,Buff.CM!$A:$O,13,FALSE),"")</f>
        <v>icon_battle_shield</v>
      </c>
      <c r="O295" s="34" t="str">
        <f>_xlfn.IFNA(VLOOKUP($M295,Buff.CM!$A:$O,14,FALSE),"")</f>
        <v>Buff.Name.Shield</v>
      </c>
      <c r="P295" s="34" t="str">
        <f>_xlfn.IFNA(VLOOKUP($M295,Buff.CM!$A:$O,15,FALSE),"")</f>
        <v>Buff.Desc.Shield</v>
      </c>
      <c r="Q295" s="34" t="b">
        <v>0</v>
      </c>
      <c r="R295" s="34" t="b">
        <v>0</v>
      </c>
    </row>
    <row r="296" spans="1:18" ht="33">
      <c r="A296" s="24" t="s">
        <v>2905</v>
      </c>
      <c r="B296" s="24"/>
      <c r="C296" s="24"/>
      <c r="D296" s="24">
        <v>0</v>
      </c>
      <c r="E296" s="24">
        <v>0</v>
      </c>
      <c r="F296" s="24">
        <v>0</v>
      </c>
      <c r="G296" s="38" t="s">
        <v>6628</v>
      </c>
      <c r="H296" s="24"/>
      <c r="I296" s="24" t="b">
        <v>0</v>
      </c>
      <c r="J296" s="23" t="b">
        <v>1</v>
      </c>
      <c r="K296" s="24" t="b">
        <v>1</v>
      </c>
      <c r="L296" s="24"/>
      <c r="M296" s="24"/>
      <c r="N296" s="24" t="str">
        <f>_xlfn.IFNA(VLOOKUP($M296,Buff.CM!$A:$O,13,FALSE),"")</f>
        <v/>
      </c>
      <c r="O296" s="24" t="str">
        <f>_xlfn.IFNA(VLOOKUP($M296,Buff.CM!$A:$O,14,FALSE),"")</f>
        <v/>
      </c>
      <c r="P296" s="24" t="str">
        <f>_xlfn.IFNA(VLOOKUP($M296,Buff.CM!$A:$O,15,FALSE),"")</f>
        <v/>
      </c>
      <c r="Q296" s="24" t="b">
        <v>0</v>
      </c>
      <c r="R296" s="24" t="b">
        <v>0</v>
      </c>
    </row>
    <row r="297" spans="1:18" ht="33">
      <c r="A297" s="24" t="s">
        <v>2906</v>
      </c>
      <c r="B297" s="24"/>
      <c r="C297" s="24"/>
      <c r="D297" s="24">
        <v>0</v>
      </c>
      <c r="E297" s="24">
        <v>0</v>
      </c>
      <c r="F297" s="24">
        <v>0</v>
      </c>
      <c r="G297" s="38" t="s">
        <v>6629</v>
      </c>
      <c r="H297" s="24"/>
      <c r="I297" s="24" t="b">
        <v>0</v>
      </c>
      <c r="J297" s="23" t="b">
        <v>1</v>
      </c>
      <c r="K297" s="24" t="b">
        <v>1</v>
      </c>
      <c r="L297" s="24"/>
      <c r="M297" s="24"/>
      <c r="N297" s="24" t="str">
        <f>_xlfn.IFNA(VLOOKUP($M297,Buff.CM!$A:$O,13,FALSE),"")</f>
        <v/>
      </c>
      <c r="O297" s="24" t="str">
        <f>_xlfn.IFNA(VLOOKUP($M297,Buff.CM!$A:$O,14,FALSE),"")</f>
        <v/>
      </c>
      <c r="P297" s="24" t="str">
        <f>_xlfn.IFNA(VLOOKUP($M297,Buff.CM!$A:$O,15,FALSE),"")</f>
        <v/>
      </c>
      <c r="Q297" s="24" t="b">
        <v>0</v>
      </c>
      <c r="R297" s="24" t="b">
        <v>0</v>
      </c>
    </row>
    <row r="298" spans="1:18" ht="33">
      <c r="A298" s="24" t="s">
        <v>2907</v>
      </c>
      <c r="B298" s="24"/>
      <c r="C298" s="24"/>
      <c r="D298" s="24">
        <v>0</v>
      </c>
      <c r="E298" s="24">
        <v>0</v>
      </c>
      <c r="F298" s="24">
        <v>0</v>
      </c>
      <c r="G298" s="38" t="s">
        <v>6630</v>
      </c>
      <c r="H298" s="24"/>
      <c r="I298" s="24" t="b">
        <v>0</v>
      </c>
      <c r="J298" s="23" t="b">
        <v>1</v>
      </c>
      <c r="K298" s="24" t="b">
        <v>1</v>
      </c>
      <c r="L298" s="24"/>
      <c r="M298" s="24"/>
      <c r="N298" s="24" t="str">
        <f>_xlfn.IFNA(VLOOKUP($M298,Buff.CM!$A:$O,13,FALSE),"")</f>
        <v/>
      </c>
      <c r="O298" s="24" t="str">
        <f>_xlfn.IFNA(VLOOKUP($M298,Buff.CM!$A:$O,14,FALSE),"")</f>
        <v/>
      </c>
      <c r="P298" s="24" t="str">
        <f>_xlfn.IFNA(VLOOKUP($M298,Buff.CM!$A:$O,15,FALSE),"")</f>
        <v/>
      </c>
      <c r="Q298" s="24" t="b">
        <v>0</v>
      </c>
      <c r="R298" s="24" t="b">
        <v>0</v>
      </c>
    </row>
    <row r="299" spans="1:18" ht="33">
      <c r="A299" s="34" t="s">
        <v>2908</v>
      </c>
      <c r="B299" s="34"/>
      <c r="C299" s="34"/>
      <c r="D299" s="34">
        <v>0</v>
      </c>
      <c r="E299" s="34">
        <v>0</v>
      </c>
      <c r="F299" s="34">
        <v>0</v>
      </c>
      <c r="G299" s="40" t="s">
        <v>6631</v>
      </c>
      <c r="H299" s="34"/>
      <c r="I299" s="34" t="b">
        <v>0</v>
      </c>
      <c r="J299" s="23" t="b">
        <v>1</v>
      </c>
      <c r="K299" s="34" t="b">
        <v>1</v>
      </c>
      <c r="L299" s="34"/>
      <c r="M299" s="34"/>
      <c r="N299" s="34" t="str">
        <f>_xlfn.IFNA(VLOOKUP($M299,Buff.CM!$A:$O,13,FALSE),"")</f>
        <v/>
      </c>
      <c r="O299" s="34" t="str">
        <f>_xlfn.IFNA(VLOOKUP($M299,Buff.CM!$A:$O,14,FALSE),"")</f>
        <v/>
      </c>
      <c r="P299" s="34" t="str">
        <f>_xlfn.IFNA(VLOOKUP($M299,Buff.CM!$A:$O,15,FALSE),"")</f>
        <v/>
      </c>
      <c r="Q299" s="34" t="b">
        <v>0</v>
      </c>
      <c r="R299" s="34" t="b">
        <v>0</v>
      </c>
    </row>
    <row r="300" spans="1:18" ht="33">
      <c r="A300" s="34" t="s">
        <v>2909</v>
      </c>
      <c r="B300" s="34"/>
      <c r="C300" s="34"/>
      <c r="D300" s="34">
        <v>0</v>
      </c>
      <c r="E300" s="34">
        <v>0</v>
      </c>
      <c r="F300" s="34">
        <v>0</v>
      </c>
      <c r="G300" s="40" t="s">
        <v>6632</v>
      </c>
      <c r="H300" s="34"/>
      <c r="I300" s="34" t="b">
        <v>0</v>
      </c>
      <c r="J300" s="23" t="b">
        <v>1</v>
      </c>
      <c r="K300" s="34" t="b">
        <v>1</v>
      </c>
      <c r="L300" s="34"/>
      <c r="M300" s="34"/>
      <c r="N300" s="34" t="str">
        <f>_xlfn.IFNA(VLOOKUP($M300,Buff.CM!$A:$O,13,FALSE),"")</f>
        <v/>
      </c>
      <c r="O300" s="34" t="str">
        <f>_xlfn.IFNA(VLOOKUP($M300,Buff.CM!$A:$O,14,FALSE),"")</f>
        <v/>
      </c>
      <c r="P300" s="34" t="str">
        <f>_xlfn.IFNA(VLOOKUP($M300,Buff.CM!$A:$O,15,FALSE),"")</f>
        <v/>
      </c>
      <c r="Q300" s="34" t="b">
        <v>0</v>
      </c>
      <c r="R300" s="34" t="b">
        <v>0</v>
      </c>
    </row>
    <row r="301" spans="1:18" ht="33">
      <c r="A301" s="34" t="s">
        <v>2910</v>
      </c>
      <c r="B301" s="34"/>
      <c r="C301" s="34"/>
      <c r="D301" s="34">
        <v>0</v>
      </c>
      <c r="E301" s="34">
        <v>0</v>
      </c>
      <c r="F301" s="34">
        <v>0</v>
      </c>
      <c r="G301" s="40" t="s">
        <v>6633</v>
      </c>
      <c r="H301" s="34"/>
      <c r="I301" s="34" t="b">
        <v>0</v>
      </c>
      <c r="J301" s="23" t="b">
        <v>1</v>
      </c>
      <c r="K301" s="34" t="b">
        <v>1</v>
      </c>
      <c r="L301" s="34"/>
      <c r="M301" s="34"/>
      <c r="N301" s="34" t="str">
        <f>_xlfn.IFNA(VLOOKUP($M301,Buff.CM!$A:$O,13,FALSE),"")</f>
        <v/>
      </c>
      <c r="O301" s="34" t="str">
        <f>_xlfn.IFNA(VLOOKUP($M301,Buff.CM!$A:$O,14,FALSE),"")</f>
        <v/>
      </c>
      <c r="P301" s="34" t="str">
        <f>_xlfn.IFNA(VLOOKUP($M301,Buff.CM!$A:$O,15,FALSE),"")</f>
        <v/>
      </c>
      <c r="Q301" s="34" t="b">
        <v>0</v>
      </c>
      <c r="R301" s="34" t="b">
        <v>0</v>
      </c>
    </row>
    <row r="302" spans="1:18" s="150" customFormat="1">
      <c r="A302" s="24" t="s">
        <v>4541</v>
      </c>
      <c r="B302" s="24"/>
      <c r="C302" s="24"/>
      <c r="D302" s="24">
        <v>0</v>
      </c>
      <c r="E302" s="24">
        <v>0</v>
      </c>
      <c r="F302" s="24">
        <v>0</v>
      </c>
      <c r="G302" s="24" t="s">
        <v>4547</v>
      </c>
      <c r="H302" s="24"/>
      <c r="I302" s="24" t="b">
        <v>0</v>
      </c>
      <c r="J302" s="23" t="b">
        <v>1</v>
      </c>
      <c r="K302" s="24" t="b">
        <v>1</v>
      </c>
      <c r="L302" s="24"/>
      <c r="M302" s="24"/>
      <c r="N302" s="24" t="str">
        <f>_xlfn.IFNA(VLOOKUP($M302,Buff.CM!$A:$O,13,FALSE),"")</f>
        <v/>
      </c>
      <c r="O302" s="24" t="str">
        <f>_xlfn.IFNA(VLOOKUP($M302,Buff.CM!$A:$O,14,FALSE),"")</f>
        <v/>
      </c>
      <c r="P302" s="24" t="str">
        <f>_xlfn.IFNA(VLOOKUP($M302,Buff.CM!$A:$O,15,FALSE),"")</f>
        <v/>
      </c>
      <c r="Q302" s="24" t="b">
        <v>0</v>
      </c>
      <c r="R302" s="24" t="b">
        <v>0</v>
      </c>
    </row>
    <row r="303" spans="1:18" s="150" customFormat="1">
      <c r="A303" s="24" t="s">
        <v>4542</v>
      </c>
      <c r="B303" s="24"/>
      <c r="C303" s="24"/>
      <c r="D303" s="24">
        <v>0</v>
      </c>
      <c r="E303" s="24">
        <v>0</v>
      </c>
      <c r="F303" s="24">
        <v>0</v>
      </c>
      <c r="G303" s="24" t="s">
        <v>4548</v>
      </c>
      <c r="H303" s="24"/>
      <c r="I303" s="24" t="b">
        <v>0</v>
      </c>
      <c r="J303" s="23" t="b">
        <v>1</v>
      </c>
      <c r="K303" s="24" t="b">
        <v>1</v>
      </c>
      <c r="L303" s="24"/>
      <c r="M303" s="24"/>
      <c r="N303" s="24" t="str">
        <f>_xlfn.IFNA(VLOOKUP($M303,Buff.CM!$A:$O,13,FALSE),"")</f>
        <v/>
      </c>
      <c r="O303" s="24" t="str">
        <f>_xlfn.IFNA(VLOOKUP($M303,Buff.CM!$A:$O,14,FALSE),"")</f>
        <v/>
      </c>
      <c r="P303" s="24" t="str">
        <f>_xlfn.IFNA(VLOOKUP($M303,Buff.CM!$A:$O,15,FALSE),"")</f>
        <v/>
      </c>
      <c r="Q303" s="24" t="b">
        <v>0</v>
      </c>
      <c r="R303" s="24" t="b">
        <v>0</v>
      </c>
    </row>
    <row r="304" spans="1:18" s="150" customFormat="1">
      <c r="A304" s="24" t="s">
        <v>4543</v>
      </c>
      <c r="B304" s="24"/>
      <c r="C304" s="24"/>
      <c r="D304" s="24">
        <v>0</v>
      </c>
      <c r="E304" s="24">
        <v>0</v>
      </c>
      <c r="F304" s="24">
        <v>0</v>
      </c>
      <c r="G304" s="24" t="s">
        <v>4549</v>
      </c>
      <c r="H304" s="24"/>
      <c r="I304" s="24" t="b">
        <v>0</v>
      </c>
      <c r="J304" s="23" t="b">
        <v>1</v>
      </c>
      <c r="K304" s="24" t="b">
        <v>1</v>
      </c>
      <c r="L304" s="24"/>
      <c r="M304" s="24"/>
      <c r="N304" s="24" t="str">
        <f>_xlfn.IFNA(VLOOKUP($M304,Buff.CM!$A:$O,13,FALSE),"")</f>
        <v/>
      </c>
      <c r="O304" s="24" t="str">
        <f>_xlfn.IFNA(VLOOKUP($M304,Buff.CM!$A:$O,14,FALSE),"")</f>
        <v/>
      </c>
      <c r="P304" s="24" t="str">
        <f>_xlfn.IFNA(VLOOKUP($M304,Buff.CM!$A:$O,15,FALSE),"")</f>
        <v/>
      </c>
      <c r="Q304" s="24" t="b">
        <v>0</v>
      </c>
      <c r="R304" s="24" t="b">
        <v>0</v>
      </c>
    </row>
    <row r="305" spans="1:18">
      <c r="A305" s="34" t="s">
        <v>4544</v>
      </c>
      <c r="B305" s="34"/>
      <c r="C305" s="34"/>
      <c r="D305" s="34">
        <v>0</v>
      </c>
      <c r="E305" s="34">
        <v>0</v>
      </c>
      <c r="F305" s="34">
        <v>0</v>
      </c>
      <c r="G305" s="34" t="s">
        <v>4550</v>
      </c>
      <c r="H305" s="34"/>
      <c r="I305" s="34" t="b">
        <v>0</v>
      </c>
      <c r="J305" s="23" t="b">
        <v>1</v>
      </c>
      <c r="K305" s="34" t="b">
        <v>1</v>
      </c>
      <c r="L305" s="34"/>
      <c r="M305" s="34"/>
      <c r="N305" s="34" t="str">
        <f>_xlfn.IFNA(VLOOKUP($M305,Buff.CM!$A:$O,13,FALSE),"")</f>
        <v/>
      </c>
      <c r="O305" s="34" t="str">
        <f>_xlfn.IFNA(VLOOKUP($M305,Buff.CM!$A:$O,14,FALSE),"")</f>
        <v/>
      </c>
      <c r="P305" s="34" t="str">
        <f>_xlfn.IFNA(VLOOKUP($M305,Buff.CM!$A:$O,15,FALSE),"")</f>
        <v/>
      </c>
      <c r="Q305" s="34" t="b">
        <v>0</v>
      </c>
      <c r="R305" s="34" t="b">
        <v>0</v>
      </c>
    </row>
    <row r="306" spans="1:18">
      <c r="A306" s="34" t="s">
        <v>4545</v>
      </c>
      <c r="B306" s="34"/>
      <c r="C306" s="34"/>
      <c r="D306" s="34">
        <v>0</v>
      </c>
      <c r="E306" s="34">
        <v>0</v>
      </c>
      <c r="F306" s="34">
        <v>0</v>
      </c>
      <c r="G306" s="34" t="s">
        <v>4551</v>
      </c>
      <c r="H306" s="34"/>
      <c r="I306" s="34" t="b">
        <v>0</v>
      </c>
      <c r="J306" s="23" t="b">
        <v>1</v>
      </c>
      <c r="K306" s="34" t="b">
        <v>1</v>
      </c>
      <c r="L306" s="34"/>
      <c r="M306" s="34"/>
      <c r="N306" s="34" t="str">
        <f>_xlfn.IFNA(VLOOKUP($M306,Buff.CM!$A:$O,13,FALSE),"")</f>
        <v/>
      </c>
      <c r="O306" s="34" t="str">
        <f>_xlfn.IFNA(VLOOKUP($M306,Buff.CM!$A:$O,14,FALSE),"")</f>
        <v/>
      </c>
      <c r="P306" s="34" t="str">
        <f>_xlfn.IFNA(VLOOKUP($M306,Buff.CM!$A:$O,15,FALSE),"")</f>
        <v/>
      </c>
      <c r="Q306" s="34" t="b">
        <v>0</v>
      </c>
      <c r="R306" s="34" t="b">
        <v>0</v>
      </c>
    </row>
    <row r="307" spans="1:18">
      <c r="A307" s="34" t="s">
        <v>4546</v>
      </c>
      <c r="B307" s="34"/>
      <c r="C307" s="34"/>
      <c r="D307" s="34">
        <v>0</v>
      </c>
      <c r="E307" s="34">
        <v>0</v>
      </c>
      <c r="F307" s="34">
        <v>0</v>
      </c>
      <c r="G307" s="34" t="s">
        <v>4552</v>
      </c>
      <c r="H307" s="34"/>
      <c r="I307" s="34" t="b">
        <v>0</v>
      </c>
      <c r="J307" s="23" t="b">
        <v>1</v>
      </c>
      <c r="K307" s="34" t="b">
        <v>1</v>
      </c>
      <c r="L307" s="34"/>
      <c r="M307" s="34"/>
      <c r="N307" s="34" t="str">
        <f>_xlfn.IFNA(VLOOKUP($M307,Buff.CM!$A:$O,13,FALSE),"")</f>
        <v/>
      </c>
      <c r="O307" s="34" t="str">
        <f>_xlfn.IFNA(VLOOKUP($M307,Buff.CM!$A:$O,14,FALSE),"")</f>
        <v/>
      </c>
      <c r="P307" s="34" t="str">
        <f>_xlfn.IFNA(VLOOKUP($M307,Buff.CM!$A:$O,15,FALSE),"")</f>
        <v/>
      </c>
      <c r="Q307" s="34" t="b">
        <v>0</v>
      </c>
      <c r="R307" s="34" t="b">
        <v>0</v>
      </c>
    </row>
    <row r="308" spans="1:18" s="13" customFormat="1">
      <c r="A308" s="26" t="s">
        <v>468</v>
      </c>
      <c r="B308" s="26"/>
      <c r="C308" s="26"/>
      <c r="D308" s="26">
        <v>8000</v>
      </c>
      <c r="E308" s="26">
        <v>0</v>
      </c>
      <c r="F308" s="26">
        <v>0</v>
      </c>
      <c r="G308" s="26" t="s">
        <v>469</v>
      </c>
      <c r="H308" s="26"/>
      <c r="I308" s="26" t="b">
        <v>0</v>
      </c>
      <c r="J308" s="26" t="b">
        <v>0</v>
      </c>
      <c r="K308" s="26" t="b">
        <v>0</v>
      </c>
      <c r="L308" s="26" t="s">
        <v>168</v>
      </c>
      <c r="M308" s="26"/>
      <c r="N308" s="26" t="str">
        <f>_xlfn.IFNA(VLOOKUP($M308,Buff.CM!$A:$O,13,FALSE),"")</f>
        <v/>
      </c>
      <c r="O308" s="26" t="str">
        <f>_xlfn.IFNA(VLOOKUP($M308,Buff.CM!$A:$O,14,FALSE),"")</f>
        <v/>
      </c>
      <c r="P308" s="26" t="str">
        <f>_xlfn.IFNA(VLOOKUP($M308,Buff.CM!$A:$O,15,FALSE),"")</f>
        <v/>
      </c>
      <c r="Q308" s="26" t="b">
        <v>0</v>
      </c>
      <c r="R308" s="26" t="b">
        <v>1</v>
      </c>
    </row>
    <row r="309" spans="1:18" s="13" customFormat="1">
      <c r="A309" s="26" t="s">
        <v>470</v>
      </c>
      <c r="B309" s="26"/>
      <c r="C309" s="26"/>
      <c r="D309" s="26">
        <v>8000</v>
      </c>
      <c r="E309" s="26">
        <v>0</v>
      </c>
      <c r="F309" s="26">
        <v>0</v>
      </c>
      <c r="G309" s="26" t="s">
        <v>471</v>
      </c>
      <c r="H309" s="26"/>
      <c r="I309" s="26" t="b">
        <v>0</v>
      </c>
      <c r="J309" s="26" t="b">
        <v>0</v>
      </c>
      <c r="K309" s="26" t="b">
        <v>0</v>
      </c>
      <c r="L309" s="26" t="s">
        <v>168</v>
      </c>
      <c r="M309" s="26"/>
      <c r="N309" s="26" t="str">
        <f>_xlfn.IFNA(VLOOKUP($M309,Buff.CM!$A:$O,13,FALSE),"")</f>
        <v/>
      </c>
      <c r="O309" s="26" t="str">
        <f>_xlfn.IFNA(VLOOKUP($M309,Buff.CM!$A:$O,14,FALSE),"")</f>
        <v/>
      </c>
      <c r="P309" s="26" t="str">
        <f>_xlfn.IFNA(VLOOKUP($M309,Buff.CM!$A:$O,15,FALSE),"")</f>
        <v/>
      </c>
      <c r="Q309" s="26" t="b">
        <v>0</v>
      </c>
      <c r="R309" s="26" t="b">
        <v>1</v>
      </c>
    </row>
    <row r="310" spans="1:18" s="13" customFormat="1">
      <c r="A310" s="26" t="s">
        <v>472</v>
      </c>
      <c r="B310" s="26"/>
      <c r="C310" s="26"/>
      <c r="D310" s="26">
        <v>10000</v>
      </c>
      <c r="E310" s="26">
        <v>0</v>
      </c>
      <c r="F310" s="26">
        <v>0</v>
      </c>
      <c r="G310" s="26" t="s">
        <v>473</v>
      </c>
      <c r="H310" s="26"/>
      <c r="I310" s="26" t="b">
        <v>0</v>
      </c>
      <c r="J310" s="26" t="b">
        <v>0</v>
      </c>
      <c r="K310" s="26" t="b">
        <v>0</v>
      </c>
      <c r="L310" s="26" t="s">
        <v>168</v>
      </c>
      <c r="M310" s="26"/>
      <c r="N310" s="26" t="str">
        <f>_xlfn.IFNA(VLOOKUP($M310,Buff.CM!$A:$O,13,FALSE),"")</f>
        <v/>
      </c>
      <c r="O310" s="26" t="str">
        <f>_xlfn.IFNA(VLOOKUP($M310,Buff.CM!$A:$O,14,FALSE),"")</f>
        <v/>
      </c>
      <c r="P310" s="26" t="str">
        <f>_xlfn.IFNA(VLOOKUP($M310,Buff.CM!$A:$O,15,FALSE),"")</f>
        <v/>
      </c>
      <c r="Q310" s="26" t="b">
        <v>0</v>
      </c>
      <c r="R310" s="26" t="b">
        <v>1</v>
      </c>
    </row>
    <row r="311" spans="1:18" s="13" customFormat="1">
      <c r="A311" s="26" t="s">
        <v>6634</v>
      </c>
      <c r="B311" s="26"/>
      <c r="C311" s="26"/>
      <c r="D311" s="26">
        <v>10000</v>
      </c>
      <c r="E311" s="26">
        <v>0</v>
      </c>
      <c r="F311" s="26">
        <v>0</v>
      </c>
      <c r="G311" s="26" t="s">
        <v>588</v>
      </c>
      <c r="H311" s="26"/>
      <c r="I311" s="26" t="b">
        <v>0</v>
      </c>
      <c r="J311" s="26" t="b">
        <v>0</v>
      </c>
      <c r="K311" s="26" t="b">
        <v>0</v>
      </c>
      <c r="L311" s="26" t="s">
        <v>168</v>
      </c>
      <c r="M311" s="26"/>
      <c r="N311" s="26" t="str">
        <f>_xlfn.IFNA(VLOOKUP($M311,Buff.CM!$A:$O,13,FALSE),"")</f>
        <v/>
      </c>
      <c r="O311" s="26" t="str">
        <f>_xlfn.IFNA(VLOOKUP($M311,Buff.CM!$A:$O,14,FALSE),"")</f>
        <v/>
      </c>
      <c r="P311" s="26" t="str">
        <f>_xlfn.IFNA(VLOOKUP($M311,Buff.CM!$A:$O,15,FALSE),"")</f>
        <v/>
      </c>
      <c r="Q311" s="26" t="b">
        <v>0</v>
      </c>
      <c r="R311" s="26" t="b">
        <v>1</v>
      </c>
    </row>
    <row r="312" spans="1:18" s="13" customFormat="1">
      <c r="A312" s="44" t="s">
        <v>1010</v>
      </c>
      <c r="B312" s="44"/>
      <c r="C312" s="44"/>
      <c r="D312" s="44">
        <v>0</v>
      </c>
      <c r="E312" s="44">
        <v>0</v>
      </c>
      <c r="F312" s="44">
        <v>0</v>
      </c>
      <c r="G312" s="44" t="str">
        <f t="shared" ref="G312" si="2">A312&amp;".buffeffect"</f>
        <v>rachel.ult.ex.buff.buffeffect</v>
      </c>
      <c r="H312" s="44"/>
      <c r="I312" s="44" t="b">
        <v>0</v>
      </c>
      <c r="J312" s="44" t="b">
        <v>0</v>
      </c>
      <c r="K312" s="44" t="b">
        <v>1</v>
      </c>
      <c r="L312" s="44"/>
      <c r="M312" s="44"/>
      <c r="N312" s="44" t="str">
        <f>_xlfn.IFNA(VLOOKUP($M312,Buff.CM!$A:$O,13,FALSE),"")</f>
        <v/>
      </c>
      <c r="O312" s="44" t="str">
        <f>_xlfn.IFNA(VLOOKUP($M312,Buff.CM!$A:$O,14,FALSE),"")</f>
        <v/>
      </c>
      <c r="P312" s="44" t="str">
        <f>_xlfn.IFNA(VLOOKUP($M312,Buff.CM!$A:$O,15,FALSE),"")</f>
        <v/>
      </c>
      <c r="Q312" s="44" t="b">
        <v>0</v>
      </c>
      <c r="R312" s="44" t="b">
        <v>0</v>
      </c>
    </row>
    <row r="313" spans="1:18" s="13" customFormat="1">
      <c r="A313" s="25" t="s">
        <v>474</v>
      </c>
      <c r="B313" s="25"/>
      <c r="C313" s="25"/>
      <c r="D313" s="25">
        <v>5000</v>
      </c>
      <c r="E313" s="25">
        <v>0</v>
      </c>
      <c r="F313" s="25">
        <v>0</v>
      </c>
      <c r="G313" s="25" t="s">
        <v>243</v>
      </c>
      <c r="H313" s="25"/>
      <c r="I313" s="25" t="b">
        <v>0</v>
      </c>
      <c r="J313" s="25" t="b">
        <v>0</v>
      </c>
      <c r="K313" s="25" t="b">
        <v>0</v>
      </c>
      <c r="L313" s="25" t="s">
        <v>314</v>
      </c>
      <c r="M313" s="25"/>
      <c r="N313" s="25" t="str">
        <f>_xlfn.IFNA(VLOOKUP($M313,Buff.CM!$A:$O,13,FALSE),"")</f>
        <v/>
      </c>
      <c r="O313" s="25" t="str">
        <f>_xlfn.IFNA(VLOOKUP($M313,Buff.CM!$A:$O,14,FALSE),"")</f>
        <v/>
      </c>
      <c r="P313" s="25" t="str">
        <f>_xlfn.IFNA(VLOOKUP($M313,Buff.CM!$A:$O,15,FALSE),"")</f>
        <v/>
      </c>
      <c r="Q313" s="25" t="b">
        <v>0</v>
      </c>
      <c r="R313" s="25" t="b">
        <v>0</v>
      </c>
    </row>
    <row r="314" spans="1:18" s="13" customFormat="1">
      <c r="A314" s="25" t="s">
        <v>475</v>
      </c>
      <c r="B314" s="25"/>
      <c r="C314" s="25"/>
      <c r="D314" s="25">
        <v>5000</v>
      </c>
      <c r="E314" s="25">
        <v>0</v>
      </c>
      <c r="F314" s="25">
        <v>0</v>
      </c>
      <c r="G314" s="25" t="s">
        <v>243</v>
      </c>
      <c r="H314" s="25"/>
      <c r="I314" s="25" t="b">
        <v>0</v>
      </c>
      <c r="J314" s="25" t="b">
        <v>0</v>
      </c>
      <c r="K314" s="25" t="b">
        <v>0</v>
      </c>
      <c r="L314" s="25" t="s">
        <v>314</v>
      </c>
      <c r="M314" s="25"/>
      <c r="N314" s="25" t="str">
        <f>_xlfn.IFNA(VLOOKUP($M314,Buff.CM!$A:$O,13,FALSE),"")</f>
        <v/>
      </c>
      <c r="O314" s="25" t="str">
        <f>_xlfn.IFNA(VLOOKUP($M314,Buff.CM!$A:$O,14,FALSE),"")</f>
        <v/>
      </c>
      <c r="P314" s="25" t="str">
        <f>_xlfn.IFNA(VLOOKUP($M314,Buff.CM!$A:$O,15,FALSE),"")</f>
        <v/>
      </c>
      <c r="Q314" s="25" t="b">
        <v>0</v>
      </c>
      <c r="R314" s="25" t="b">
        <v>0</v>
      </c>
    </row>
    <row r="315" spans="1:18" s="13" customFormat="1">
      <c r="A315" s="25" t="s">
        <v>476</v>
      </c>
      <c r="B315" s="25"/>
      <c r="C315" s="25"/>
      <c r="D315" s="25">
        <v>6000</v>
      </c>
      <c r="E315" s="25">
        <v>0</v>
      </c>
      <c r="F315" s="25">
        <v>0</v>
      </c>
      <c r="G315" s="25" t="s">
        <v>243</v>
      </c>
      <c r="H315" s="25"/>
      <c r="I315" s="25" t="b">
        <v>0</v>
      </c>
      <c r="J315" s="25" t="b">
        <v>0</v>
      </c>
      <c r="K315" s="25" t="b">
        <v>0</v>
      </c>
      <c r="L315" s="25" t="s">
        <v>314</v>
      </c>
      <c r="M315" s="25"/>
      <c r="N315" s="25" t="str">
        <f>_xlfn.IFNA(VLOOKUP($M315,Buff.CM!$A:$O,13,FALSE),"")</f>
        <v/>
      </c>
      <c r="O315" s="25" t="str">
        <f>_xlfn.IFNA(VLOOKUP($M315,Buff.CM!$A:$O,14,FALSE),"")</f>
        <v/>
      </c>
      <c r="P315" s="25" t="str">
        <f>_xlfn.IFNA(VLOOKUP($M315,Buff.CM!$A:$O,15,FALSE),"")</f>
        <v/>
      </c>
      <c r="Q315" s="25" t="b">
        <v>0</v>
      </c>
      <c r="R315" s="25" t="b">
        <v>0</v>
      </c>
    </row>
    <row r="316" spans="1:18" s="13" customFormat="1">
      <c r="A316" s="26" t="s">
        <v>477</v>
      </c>
      <c r="B316" s="26"/>
      <c r="C316" s="26"/>
      <c r="D316" s="26">
        <v>6000</v>
      </c>
      <c r="E316" s="26">
        <v>0</v>
      </c>
      <c r="F316" s="26">
        <v>0</v>
      </c>
      <c r="G316" s="26" t="s">
        <v>478</v>
      </c>
      <c r="H316" s="26"/>
      <c r="I316" s="26" t="b">
        <v>0</v>
      </c>
      <c r="J316" s="26" t="b">
        <v>0</v>
      </c>
      <c r="K316" s="26" t="b">
        <v>0</v>
      </c>
      <c r="L316" s="26" t="s">
        <v>168</v>
      </c>
      <c r="M316" s="26"/>
      <c r="N316" s="26" t="str">
        <f>_xlfn.IFNA(VLOOKUP($M316,Buff.CM!$A:$O,13,FALSE),"")</f>
        <v/>
      </c>
      <c r="O316" s="26" t="str">
        <f>_xlfn.IFNA(VLOOKUP($M316,Buff.CM!$A:$O,14,FALSE),"")</f>
        <v/>
      </c>
      <c r="P316" s="26" t="str">
        <f>_xlfn.IFNA(VLOOKUP($M316,Buff.CM!$A:$O,15,FALSE),"")</f>
        <v/>
      </c>
      <c r="Q316" s="26" t="b">
        <v>0</v>
      </c>
      <c r="R316" s="26" t="b">
        <v>1</v>
      </c>
    </row>
    <row r="317" spans="1:18" s="13" customFormat="1">
      <c r="A317" s="26" t="s">
        <v>479</v>
      </c>
      <c r="B317" s="26"/>
      <c r="C317" s="26"/>
      <c r="D317" s="26">
        <v>6000</v>
      </c>
      <c r="E317" s="26">
        <v>0</v>
      </c>
      <c r="F317" s="26">
        <v>0</v>
      </c>
      <c r="G317" s="26" t="s">
        <v>480</v>
      </c>
      <c r="H317" s="26"/>
      <c r="I317" s="26" t="b">
        <v>0</v>
      </c>
      <c r="J317" s="26" t="b">
        <v>0</v>
      </c>
      <c r="K317" s="26" t="b">
        <v>0</v>
      </c>
      <c r="L317" s="26" t="s">
        <v>168</v>
      </c>
      <c r="M317" s="26"/>
      <c r="N317" s="26" t="str">
        <f>_xlfn.IFNA(VLOOKUP($M317,Buff.CM!$A:$O,13,FALSE),"")</f>
        <v/>
      </c>
      <c r="O317" s="26" t="str">
        <f>_xlfn.IFNA(VLOOKUP($M317,Buff.CM!$A:$O,14,FALSE),"")</f>
        <v/>
      </c>
      <c r="P317" s="26" t="str">
        <f>_xlfn.IFNA(VLOOKUP($M317,Buff.CM!$A:$O,15,FALSE),"")</f>
        <v/>
      </c>
      <c r="Q317" s="26" t="b">
        <v>0</v>
      </c>
      <c r="R317" s="26" t="b">
        <v>1</v>
      </c>
    </row>
    <row r="318" spans="1:18" s="13" customFormat="1">
      <c r="A318" s="26" t="s">
        <v>481</v>
      </c>
      <c r="B318" s="26"/>
      <c r="C318" s="26"/>
      <c r="D318" s="26">
        <v>7000</v>
      </c>
      <c r="E318" s="26">
        <v>0</v>
      </c>
      <c r="F318" s="26">
        <v>0</v>
      </c>
      <c r="G318" s="26" t="s">
        <v>482</v>
      </c>
      <c r="H318" s="26"/>
      <c r="I318" s="26" t="b">
        <v>0</v>
      </c>
      <c r="J318" s="26" t="b">
        <v>0</v>
      </c>
      <c r="K318" s="26" t="b">
        <v>0</v>
      </c>
      <c r="L318" s="26" t="s">
        <v>168</v>
      </c>
      <c r="M318" s="26"/>
      <c r="N318" s="26" t="str">
        <f>_xlfn.IFNA(VLOOKUP($M318,Buff.CM!$A:$O,13,FALSE),"")</f>
        <v/>
      </c>
      <c r="O318" s="26" t="str">
        <f>_xlfn.IFNA(VLOOKUP($M318,Buff.CM!$A:$O,14,FALSE),"")</f>
        <v/>
      </c>
      <c r="P318" s="26" t="str">
        <f>_xlfn.IFNA(VLOOKUP($M318,Buff.CM!$A:$O,15,FALSE),"")</f>
        <v/>
      </c>
      <c r="Q318" s="26" t="b">
        <v>0</v>
      </c>
      <c r="R318" s="26" t="b">
        <v>1</v>
      </c>
    </row>
    <row r="319" spans="1:18" s="13" customFormat="1">
      <c r="A319" s="26" t="s">
        <v>483</v>
      </c>
      <c r="B319" s="26"/>
      <c r="C319" s="26"/>
      <c r="D319" s="26">
        <v>7000</v>
      </c>
      <c r="E319" s="26">
        <v>0</v>
      </c>
      <c r="F319" s="26">
        <v>0</v>
      </c>
      <c r="G319" s="26" t="s">
        <v>484</v>
      </c>
      <c r="H319" s="26"/>
      <c r="I319" s="26" t="b">
        <v>0</v>
      </c>
      <c r="J319" s="26" t="b">
        <v>0</v>
      </c>
      <c r="K319" s="26" t="b">
        <v>0</v>
      </c>
      <c r="L319" s="26" t="s">
        <v>168</v>
      </c>
      <c r="M319" s="26"/>
      <c r="N319" s="26" t="str">
        <f>_xlfn.IFNA(VLOOKUP($M319,Buff.CM!$A:$O,13,FALSE),"")</f>
        <v/>
      </c>
      <c r="O319" s="26" t="str">
        <f>_xlfn.IFNA(VLOOKUP($M319,Buff.CM!$A:$O,14,FALSE),"")</f>
        <v/>
      </c>
      <c r="P319" s="26" t="str">
        <f>_xlfn.IFNA(VLOOKUP($M319,Buff.CM!$A:$O,15,FALSE),"")</f>
        <v/>
      </c>
      <c r="Q319" s="26" t="b">
        <v>0</v>
      </c>
      <c r="R319" s="26" t="b">
        <v>1</v>
      </c>
    </row>
    <row r="320" spans="1:18">
      <c r="A320" s="25" t="s">
        <v>485</v>
      </c>
      <c r="B320" s="25"/>
      <c r="C320" s="25"/>
      <c r="D320" s="25">
        <v>0</v>
      </c>
      <c r="E320" s="25">
        <v>0</v>
      </c>
      <c r="F320" s="25">
        <v>0</v>
      </c>
      <c r="G320" s="25" t="s">
        <v>486</v>
      </c>
      <c r="H320" s="25"/>
      <c r="I320" s="25" t="b">
        <v>0</v>
      </c>
      <c r="J320" s="25" t="b">
        <v>0</v>
      </c>
      <c r="K320" s="25" t="b">
        <v>1</v>
      </c>
      <c r="L320" s="25"/>
      <c r="M320" s="25"/>
      <c r="N320" s="25" t="str">
        <f>_xlfn.IFNA(VLOOKUP($M320,Buff.CM!$A:$O,13,FALSE),"")</f>
        <v/>
      </c>
      <c r="O320" s="25" t="str">
        <f>_xlfn.IFNA(VLOOKUP($M320,Buff.CM!$A:$O,14,FALSE),"")</f>
        <v/>
      </c>
      <c r="P320" s="25" t="str">
        <f>_xlfn.IFNA(VLOOKUP($M320,Buff.CM!$A:$O,15,FALSE),"")</f>
        <v/>
      </c>
      <c r="Q320" s="25" t="b">
        <v>0</v>
      </c>
      <c r="R320" s="25" t="b">
        <v>0</v>
      </c>
    </row>
    <row r="321" spans="1:18">
      <c r="A321" s="25" t="s">
        <v>487</v>
      </c>
      <c r="B321" s="25"/>
      <c r="C321" s="25"/>
      <c r="D321" s="25">
        <v>0</v>
      </c>
      <c r="E321" s="25">
        <v>0</v>
      </c>
      <c r="F321" s="25">
        <v>0</v>
      </c>
      <c r="G321" s="25" t="s">
        <v>488</v>
      </c>
      <c r="H321" s="25"/>
      <c r="I321" s="25" t="b">
        <v>0</v>
      </c>
      <c r="J321" s="25" t="b">
        <v>0</v>
      </c>
      <c r="K321" s="25" t="b">
        <v>1</v>
      </c>
      <c r="L321" s="25"/>
      <c r="M321" s="25"/>
      <c r="N321" s="25" t="str">
        <f>_xlfn.IFNA(VLOOKUP($M321,Buff.CM!$A:$O,13,FALSE),"")</f>
        <v/>
      </c>
      <c r="O321" s="25" t="str">
        <f>_xlfn.IFNA(VLOOKUP($M321,Buff.CM!$A:$O,14,FALSE),"")</f>
        <v/>
      </c>
      <c r="P321" s="25" t="str">
        <f>_xlfn.IFNA(VLOOKUP($M321,Buff.CM!$A:$O,15,FALSE),"")</f>
        <v/>
      </c>
      <c r="Q321" s="25" t="b">
        <v>0</v>
      </c>
      <c r="R321" s="25" t="b">
        <v>0</v>
      </c>
    </row>
    <row r="322" spans="1:18">
      <c r="A322" s="25" t="s">
        <v>489</v>
      </c>
      <c r="B322" s="25"/>
      <c r="C322" s="25"/>
      <c r="D322" s="25">
        <v>0</v>
      </c>
      <c r="E322" s="25">
        <v>0</v>
      </c>
      <c r="F322" s="25">
        <v>0</v>
      </c>
      <c r="G322" s="25" t="s">
        <v>490</v>
      </c>
      <c r="H322" s="25"/>
      <c r="I322" s="25" t="b">
        <v>0</v>
      </c>
      <c r="J322" s="25" t="b">
        <v>0</v>
      </c>
      <c r="K322" s="25" t="b">
        <v>1</v>
      </c>
      <c r="L322" s="25"/>
      <c r="M322" s="25"/>
      <c r="N322" s="25" t="str">
        <f>_xlfn.IFNA(VLOOKUP($M322,Buff.CM!$A:$O,13,FALSE),"")</f>
        <v/>
      </c>
      <c r="O322" s="25" t="str">
        <f>_xlfn.IFNA(VLOOKUP($M322,Buff.CM!$A:$O,14,FALSE),"")</f>
        <v/>
      </c>
      <c r="P322" s="25" t="str">
        <f>_xlfn.IFNA(VLOOKUP($M322,Buff.CM!$A:$O,15,FALSE),"")</f>
        <v/>
      </c>
      <c r="Q322" s="25" t="b">
        <v>0</v>
      </c>
      <c r="R322" s="25" t="b">
        <v>0</v>
      </c>
    </row>
    <row r="323" spans="1:18">
      <c r="A323" s="34" t="s">
        <v>491</v>
      </c>
      <c r="B323" s="34"/>
      <c r="C323" s="34"/>
      <c r="D323" s="34">
        <v>0</v>
      </c>
      <c r="E323" s="34">
        <v>0</v>
      </c>
      <c r="F323" s="34">
        <v>0</v>
      </c>
      <c r="G323" s="34" t="s">
        <v>492</v>
      </c>
      <c r="H323" s="34"/>
      <c r="I323" s="34" t="b">
        <v>0</v>
      </c>
      <c r="J323" s="34" t="b">
        <v>0</v>
      </c>
      <c r="K323" s="34" t="b">
        <v>1</v>
      </c>
      <c r="L323" s="34"/>
      <c r="M323" s="34"/>
      <c r="N323" s="34" t="str">
        <f>_xlfn.IFNA(VLOOKUP($M323,Buff.CM!$A:$O,13,FALSE),"")</f>
        <v/>
      </c>
      <c r="O323" s="34" t="str">
        <f>_xlfn.IFNA(VLOOKUP($M323,Buff.CM!$A:$O,14,FALSE),"")</f>
        <v/>
      </c>
      <c r="P323" s="34" t="str">
        <f>_xlfn.IFNA(VLOOKUP($M323,Buff.CM!$A:$O,15,FALSE),"")</f>
        <v/>
      </c>
      <c r="Q323" s="34" t="b">
        <v>0</v>
      </c>
      <c r="R323" s="34" t="b">
        <v>0</v>
      </c>
    </row>
    <row r="324" spans="1:18">
      <c r="A324" s="34" t="s">
        <v>493</v>
      </c>
      <c r="B324" s="34"/>
      <c r="C324" s="34"/>
      <c r="D324" s="34">
        <v>0</v>
      </c>
      <c r="E324" s="34">
        <v>0</v>
      </c>
      <c r="F324" s="34">
        <v>0</v>
      </c>
      <c r="G324" s="34" t="s">
        <v>494</v>
      </c>
      <c r="H324" s="34"/>
      <c r="I324" s="34" t="b">
        <v>0</v>
      </c>
      <c r="J324" s="34" t="b">
        <v>0</v>
      </c>
      <c r="K324" s="34" t="b">
        <v>1</v>
      </c>
      <c r="L324" s="34"/>
      <c r="M324" s="34"/>
      <c r="N324" s="34" t="str">
        <f>_xlfn.IFNA(VLOOKUP($M324,Buff.CM!$A:$O,13,FALSE),"")</f>
        <v/>
      </c>
      <c r="O324" s="34" t="str">
        <f>_xlfn.IFNA(VLOOKUP($M324,Buff.CM!$A:$O,14,FALSE),"")</f>
        <v/>
      </c>
      <c r="P324" s="34" t="str">
        <f>_xlfn.IFNA(VLOOKUP($M324,Buff.CM!$A:$O,15,FALSE),"")</f>
        <v/>
      </c>
      <c r="Q324" s="34" t="b">
        <v>0</v>
      </c>
      <c r="R324" s="34" t="b">
        <v>0</v>
      </c>
    </row>
    <row r="325" spans="1:18" s="13" customFormat="1">
      <c r="A325" s="34" t="s">
        <v>6635</v>
      </c>
      <c r="B325" s="34"/>
      <c r="C325" s="34"/>
      <c r="D325" s="34">
        <v>0</v>
      </c>
      <c r="E325" s="34">
        <v>0</v>
      </c>
      <c r="F325" s="34">
        <v>0</v>
      </c>
      <c r="G325" s="34" t="s">
        <v>495</v>
      </c>
      <c r="H325" s="34"/>
      <c r="I325" s="34" t="b">
        <v>0</v>
      </c>
      <c r="J325" s="34" t="b">
        <v>0</v>
      </c>
      <c r="K325" s="34" t="b">
        <v>1</v>
      </c>
      <c r="L325" s="34"/>
      <c r="M325" s="34"/>
      <c r="N325" s="34" t="str">
        <f>_xlfn.IFNA(VLOOKUP($M325,Buff.CM!$A:$O,13,FALSE),"")</f>
        <v/>
      </c>
      <c r="O325" s="34" t="str">
        <f>_xlfn.IFNA(VLOOKUP($M325,Buff.CM!$A:$O,14,FALSE),"")</f>
        <v/>
      </c>
      <c r="P325" s="34" t="str">
        <f>_xlfn.IFNA(VLOOKUP($M325,Buff.CM!$A:$O,15,FALSE),"")</f>
        <v/>
      </c>
      <c r="Q325" s="34" t="b">
        <v>0</v>
      </c>
      <c r="R325" s="34" t="b">
        <v>0</v>
      </c>
    </row>
    <row r="326" spans="1:18">
      <c r="A326" s="26" t="s">
        <v>6636</v>
      </c>
      <c r="B326" s="26"/>
      <c r="C326" s="26"/>
      <c r="D326" s="26">
        <v>0</v>
      </c>
      <c r="E326" s="26">
        <v>0</v>
      </c>
      <c r="F326" s="26">
        <v>0</v>
      </c>
      <c r="G326" s="26" t="s">
        <v>6637</v>
      </c>
      <c r="H326" s="26"/>
      <c r="I326" s="26" t="b">
        <v>0</v>
      </c>
      <c r="J326" s="26" t="b">
        <v>0</v>
      </c>
      <c r="K326" s="26" t="b">
        <v>1</v>
      </c>
      <c r="L326" s="26"/>
      <c r="M326" s="26"/>
      <c r="N326" s="26" t="str">
        <f>_xlfn.IFNA(VLOOKUP($M326,Buff.CM!$A:$O,13,FALSE),"")</f>
        <v/>
      </c>
      <c r="O326" s="26" t="str">
        <f>_xlfn.IFNA(VLOOKUP($M326,Buff.CM!$A:$O,14,FALSE),"")</f>
        <v/>
      </c>
      <c r="P326" s="26" t="str">
        <f>_xlfn.IFNA(VLOOKUP($M326,Buff.CM!$A:$O,15,FALSE),"")</f>
        <v/>
      </c>
      <c r="Q326" s="26" t="b">
        <v>0</v>
      </c>
      <c r="R326" s="26" t="b">
        <v>0</v>
      </c>
    </row>
    <row r="327" spans="1:18">
      <c r="A327" s="26" t="s">
        <v>6638</v>
      </c>
      <c r="B327" s="26"/>
      <c r="C327" s="26"/>
      <c r="D327" s="26">
        <v>0</v>
      </c>
      <c r="E327" s="26">
        <v>0</v>
      </c>
      <c r="F327" s="26">
        <v>0</v>
      </c>
      <c r="G327" s="26" t="s">
        <v>1096</v>
      </c>
      <c r="H327" s="26"/>
      <c r="I327" s="26" t="b">
        <v>0</v>
      </c>
      <c r="J327" s="26" t="b">
        <v>0</v>
      </c>
      <c r="K327" s="26" t="b">
        <v>1</v>
      </c>
      <c r="L327" s="26"/>
      <c r="M327" s="26"/>
      <c r="N327" s="26" t="str">
        <f>_xlfn.IFNA(VLOOKUP($M327,Buff.CM!$A:$O,13,FALSE),"")</f>
        <v/>
      </c>
      <c r="O327" s="26" t="str">
        <f>_xlfn.IFNA(VLOOKUP($M327,Buff.CM!$A:$O,14,FALSE),"")</f>
        <v/>
      </c>
      <c r="P327" s="26" t="str">
        <f>_xlfn.IFNA(VLOOKUP($M327,Buff.CM!$A:$O,15,FALSE),"")</f>
        <v/>
      </c>
      <c r="Q327" s="26" t="b">
        <v>0</v>
      </c>
      <c r="R327" s="26" t="b">
        <v>0</v>
      </c>
    </row>
    <row r="328" spans="1:18">
      <c r="A328" s="26" t="s">
        <v>6639</v>
      </c>
      <c r="B328" s="26"/>
      <c r="C328" s="26"/>
      <c r="D328" s="26">
        <v>0</v>
      </c>
      <c r="E328" s="26">
        <v>0</v>
      </c>
      <c r="F328" s="26">
        <v>0</v>
      </c>
      <c r="G328" s="26" t="s">
        <v>1097</v>
      </c>
      <c r="H328" s="26"/>
      <c r="I328" s="26" t="b">
        <v>0</v>
      </c>
      <c r="J328" s="26" t="b">
        <v>0</v>
      </c>
      <c r="K328" s="26" t="b">
        <v>1</v>
      </c>
      <c r="L328" s="26"/>
      <c r="M328" s="26"/>
      <c r="N328" s="26" t="str">
        <f>_xlfn.IFNA(VLOOKUP($M328,Buff.CM!$A:$O,13,FALSE),"")</f>
        <v/>
      </c>
      <c r="O328" s="26" t="str">
        <f>_xlfn.IFNA(VLOOKUP($M328,Buff.CM!$A:$O,14,FALSE),"")</f>
        <v/>
      </c>
      <c r="P328" s="26" t="str">
        <f>_xlfn.IFNA(VLOOKUP($M328,Buff.CM!$A:$O,15,FALSE),"")</f>
        <v/>
      </c>
      <c r="Q328" s="26" t="b">
        <v>0</v>
      </c>
      <c r="R328" s="26" t="b">
        <v>0</v>
      </c>
    </row>
    <row r="329" spans="1:18">
      <c r="A329" s="25" t="s">
        <v>6640</v>
      </c>
      <c r="B329" s="25"/>
      <c r="C329" s="25"/>
      <c r="D329" s="25">
        <v>0</v>
      </c>
      <c r="E329" s="25">
        <v>1</v>
      </c>
      <c r="F329" s="25">
        <v>1</v>
      </c>
      <c r="G329" s="25" t="s">
        <v>1091</v>
      </c>
      <c r="H329" s="25"/>
      <c r="I329" s="25" t="b">
        <v>1</v>
      </c>
      <c r="J329" s="25" t="b">
        <v>0</v>
      </c>
      <c r="K329" s="25" t="b">
        <v>1</v>
      </c>
      <c r="L329" s="25" t="s">
        <v>1094</v>
      </c>
      <c r="M329" s="25"/>
      <c r="N329" s="25" t="str">
        <f>_xlfn.IFNA(VLOOKUP($M329,Buff.CM!$A:$O,13,FALSE),"")</f>
        <v/>
      </c>
      <c r="O329" s="25" t="str">
        <f>_xlfn.IFNA(VLOOKUP($M329,Buff.CM!$A:$O,14,FALSE),"")</f>
        <v/>
      </c>
      <c r="P329" s="25" t="str">
        <f>_xlfn.IFNA(VLOOKUP($M329,Buff.CM!$A:$O,15,FALSE),"")</f>
        <v/>
      </c>
      <c r="Q329" s="25" t="b">
        <v>0</v>
      </c>
      <c r="R329" s="25" t="b">
        <v>0</v>
      </c>
    </row>
    <row r="330" spans="1:18">
      <c r="A330" s="25" t="s">
        <v>6641</v>
      </c>
      <c r="B330" s="25"/>
      <c r="C330" s="25"/>
      <c r="D330" s="25">
        <v>0</v>
      </c>
      <c r="E330" s="25">
        <v>1</v>
      </c>
      <c r="F330" s="25">
        <v>1</v>
      </c>
      <c r="G330" s="25" t="s">
        <v>1092</v>
      </c>
      <c r="H330" s="25"/>
      <c r="I330" s="25" t="b">
        <v>1</v>
      </c>
      <c r="J330" s="25" t="b">
        <v>0</v>
      </c>
      <c r="K330" s="25" t="b">
        <v>1</v>
      </c>
      <c r="L330" s="25" t="s">
        <v>1094</v>
      </c>
      <c r="M330" s="25"/>
      <c r="N330" s="25" t="str">
        <f>_xlfn.IFNA(VLOOKUP($M330,Buff.CM!$A:$O,13,FALSE),"")</f>
        <v/>
      </c>
      <c r="O330" s="25" t="str">
        <f>_xlfn.IFNA(VLOOKUP($M330,Buff.CM!$A:$O,14,FALSE),"")</f>
        <v/>
      </c>
      <c r="P330" s="25" t="str">
        <f>_xlfn.IFNA(VLOOKUP($M330,Buff.CM!$A:$O,15,FALSE),"")</f>
        <v/>
      </c>
      <c r="Q330" s="25" t="b">
        <v>0</v>
      </c>
      <c r="R330" s="25" t="b">
        <v>0</v>
      </c>
    </row>
    <row r="331" spans="1:18">
      <c r="A331" s="25" t="s">
        <v>6642</v>
      </c>
      <c r="B331" s="25"/>
      <c r="C331" s="25"/>
      <c r="D331" s="25">
        <v>0</v>
      </c>
      <c r="E331" s="25">
        <v>1</v>
      </c>
      <c r="F331" s="25">
        <v>1</v>
      </c>
      <c r="G331" s="25" t="s">
        <v>1093</v>
      </c>
      <c r="H331" s="25"/>
      <c r="I331" s="25" t="b">
        <v>1</v>
      </c>
      <c r="J331" s="25" t="b">
        <v>0</v>
      </c>
      <c r="K331" s="25" t="b">
        <v>1</v>
      </c>
      <c r="L331" s="25" t="s">
        <v>1094</v>
      </c>
      <c r="M331" s="25"/>
      <c r="N331" s="25" t="str">
        <f>_xlfn.IFNA(VLOOKUP($M331,Buff.CM!$A:$O,13,FALSE),"")</f>
        <v/>
      </c>
      <c r="O331" s="25" t="str">
        <f>_xlfn.IFNA(VLOOKUP($M331,Buff.CM!$A:$O,14,FALSE),"")</f>
        <v/>
      </c>
      <c r="P331" s="25" t="str">
        <f>_xlfn.IFNA(VLOOKUP($M331,Buff.CM!$A:$O,15,FALSE),"")</f>
        <v/>
      </c>
      <c r="Q331" s="25" t="b">
        <v>0</v>
      </c>
      <c r="R331" s="25" t="b">
        <v>0</v>
      </c>
    </row>
    <row r="332" spans="1:18">
      <c r="A332" s="24" t="s">
        <v>8185</v>
      </c>
      <c r="B332" s="24"/>
      <c r="C332" s="24"/>
      <c r="D332" s="24">
        <v>0</v>
      </c>
      <c r="E332" s="24">
        <v>0</v>
      </c>
      <c r="F332" s="24">
        <v>0</v>
      </c>
      <c r="G332" s="24" t="s">
        <v>8187</v>
      </c>
      <c r="H332" s="24"/>
      <c r="I332" s="24" t="b">
        <v>0</v>
      </c>
      <c r="J332" s="24" t="b">
        <v>0</v>
      </c>
      <c r="K332" s="24" t="b">
        <v>1</v>
      </c>
      <c r="L332" s="24"/>
      <c r="M332" s="24"/>
      <c r="N332" s="24" t="str">
        <f>_xlfn.IFNA(VLOOKUP($M332,Buff.CM!$A:$O,13,FALSE),"")</f>
        <v/>
      </c>
      <c r="O332" s="24" t="str">
        <f>_xlfn.IFNA(VLOOKUP($M332,Buff.CM!$A:$O,14,FALSE),"")</f>
        <v/>
      </c>
      <c r="P332" s="24" t="str">
        <f>_xlfn.IFNA(VLOOKUP($M332,Buff.CM!$A:$O,15,FALSE),"")</f>
        <v/>
      </c>
      <c r="Q332" s="24" t="b">
        <v>0</v>
      </c>
      <c r="R332" s="24" t="b">
        <v>0</v>
      </c>
    </row>
    <row r="333" spans="1:18">
      <c r="A333" s="23" t="s">
        <v>7955</v>
      </c>
      <c r="B333" s="23"/>
      <c r="C333" s="23"/>
      <c r="D333" s="23">
        <v>0</v>
      </c>
      <c r="E333" s="23">
        <v>0</v>
      </c>
      <c r="F333" s="23">
        <v>0</v>
      </c>
      <c r="G333" s="23" t="s">
        <v>7956</v>
      </c>
      <c r="H333" s="23"/>
      <c r="I333" s="23" t="b">
        <v>0</v>
      </c>
      <c r="J333" s="23" t="b">
        <v>0</v>
      </c>
      <c r="K333" s="23" t="b">
        <v>1</v>
      </c>
      <c r="L333" s="23"/>
      <c r="M333" s="23"/>
      <c r="N333" s="23" t="str">
        <f>_xlfn.IFNA(VLOOKUP($M333,Buff.CM!$A:$O,13,FALSE),"")</f>
        <v/>
      </c>
      <c r="O333" s="23" t="str">
        <f>_xlfn.IFNA(VLOOKUP($M333,Buff.CM!$A:$O,14,FALSE),"")</f>
        <v/>
      </c>
      <c r="P333" s="23" t="str">
        <f>_xlfn.IFNA(VLOOKUP($M333,Buff.CM!$A:$O,15,FALSE),"")</f>
        <v/>
      </c>
      <c r="Q333" s="23" t="b">
        <v>0</v>
      </c>
      <c r="R333" s="23" t="b">
        <v>0</v>
      </c>
    </row>
    <row r="334" spans="1:18">
      <c r="A334" s="24" t="s">
        <v>7957</v>
      </c>
      <c r="B334" s="24"/>
      <c r="C334" s="24"/>
      <c r="D334" s="24">
        <v>2000</v>
      </c>
      <c r="E334" s="24">
        <v>0</v>
      </c>
      <c r="F334" s="24">
        <v>0</v>
      </c>
      <c r="G334" s="24" t="s">
        <v>122</v>
      </c>
      <c r="H334" s="24"/>
      <c r="I334" s="24" t="b">
        <v>1</v>
      </c>
      <c r="J334" s="24" t="b">
        <v>0</v>
      </c>
      <c r="K334" s="24" t="b">
        <v>1</v>
      </c>
      <c r="L334" s="24"/>
      <c r="M334" s="24"/>
      <c r="N334" s="24" t="str">
        <f>_xlfn.IFNA(VLOOKUP($M334,Buff.CM!$A:$O,13,FALSE),"")</f>
        <v/>
      </c>
      <c r="O334" s="24" t="str">
        <f>_xlfn.IFNA(VLOOKUP($M334,Buff.CM!$A:$O,14,FALSE),"")</f>
        <v/>
      </c>
      <c r="P334" s="24" t="str">
        <f>_xlfn.IFNA(VLOOKUP($M334,Buff.CM!$A:$O,15,FALSE),"")</f>
        <v/>
      </c>
      <c r="Q334" s="24" t="b">
        <v>0</v>
      </c>
      <c r="R334" s="24" t="b">
        <v>0</v>
      </c>
    </row>
    <row r="335" spans="1:18">
      <c r="A335" s="23" t="s">
        <v>7958</v>
      </c>
      <c r="B335" s="23"/>
      <c r="C335" s="23"/>
      <c r="D335" s="23">
        <v>10000</v>
      </c>
      <c r="E335" s="23">
        <v>0</v>
      </c>
      <c r="F335" s="23">
        <v>0</v>
      </c>
      <c r="G335" s="23" t="s">
        <v>7959</v>
      </c>
      <c r="H335" s="23"/>
      <c r="I335" s="23" t="b">
        <v>0</v>
      </c>
      <c r="J335" s="23" t="b">
        <v>0</v>
      </c>
      <c r="K335" s="23" t="b">
        <v>1</v>
      </c>
      <c r="L335" s="23"/>
      <c r="M335" s="23"/>
      <c r="N335" s="23" t="str">
        <f>_xlfn.IFNA(VLOOKUP($M335,Buff.CM!$A:$O,13,FALSE),"")</f>
        <v/>
      </c>
      <c r="O335" s="23" t="str">
        <f>_xlfn.IFNA(VLOOKUP($M335,Buff.CM!$A:$O,14,FALSE),"")</f>
        <v/>
      </c>
      <c r="P335" s="23" t="str">
        <f>_xlfn.IFNA(VLOOKUP($M335,Buff.CM!$A:$O,15,FALSE),"")</f>
        <v/>
      </c>
      <c r="Q335" s="23" t="b">
        <v>0</v>
      </c>
      <c r="R335" s="23" t="b">
        <v>0</v>
      </c>
    </row>
    <row r="336" spans="1:18">
      <c r="A336" s="24" t="s">
        <v>7960</v>
      </c>
      <c r="B336" s="24"/>
      <c r="C336" s="24"/>
      <c r="D336" s="24">
        <v>1000</v>
      </c>
      <c r="E336" s="24">
        <v>0</v>
      </c>
      <c r="F336" s="24">
        <v>0</v>
      </c>
      <c r="G336" s="24" t="s">
        <v>122</v>
      </c>
      <c r="H336" s="24"/>
      <c r="I336" s="24" t="b">
        <v>1</v>
      </c>
      <c r="J336" s="24" t="b">
        <v>0</v>
      </c>
      <c r="K336" s="24" t="b">
        <v>1</v>
      </c>
      <c r="L336" s="24"/>
      <c r="M336" s="24"/>
      <c r="N336" s="24" t="str">
        <f>_xlfn.IFNA(VLOOKUP($M336,Buff.CM!$A:$O,13,FALSE),"")</f>
        <v/>
      </c>
      <c r="O336" s="24" t="str">
        <f>_xlfn.IFNA(VLOOKUP($M336,Buff.CM!$A:$O,14,FALSE),"")</f>
        <v/>
      </c>
      <c r="P336" s="24" t="str">
        <f>_xlfn.IFNA(VLOOKUP($M336,Buff.CM!$A:$O,15,FALSE),"")</f>
        <v/>
      </c>
      <c r="Q336" s="24" t="b">
        <v>0</v>
      </c>
      <c r="R336" s="24" t="b">
        <v>0</v>
      </c>
    </row>
    <row r="337" spans="1:18" s="13" customFormat="1">
      <c r="A337" s="23" t="s">
        <v>7961</v>
      </c>
      <c r="B337" s="23"/>
      <c r="C337" s="23"/>
      <c r="D337" s="23">
        <v>8000</v>
      </c>
      <c r="E337" s="23">
        <v>0</v>
      </c>
      <c r="F337" s="23">
        <v>0</v>
      </c>
      <c r="G337" s="23" t="s">
        <v>7962</v>
      </c>
      <c r="H337" s="23"/>
      <c r="I337" s="23" t="b">
        <v>0</v>
      </c>
      <c r="J337" s="23" t="b">
        <v>0</v>
      </c>
      <c r="K337" s="23" t="b">
        <v>1</v>
      </c>
      <c r="L337" s="23" t="s">
        <v>66</v>
      </c>
      <c r="M337" s="23" t="s">
        <v>5545</v>
      </c>
      <c r="N337" s="23" t="str">
        <f>_xlfn.IFNA(VLOOKUP($M337,Buff.CM!$A:$O,13,FALSE),"")</f>
        <v>icon_battle_critical</v>
      </c>
      <c r="O337" s="23" t="str">
        <f>_xlfn.IFNA(VLOOKUP($M337,Buff.CM!$A:$O,14,FALSE),"")</f>
        <v>Buff.Name.Critical.Up.00</v>
      </c>
      <c r="P337" s="23" t="str">
        <f>_xlfn.IFNA(VLOOKUP($M337,Buff.CM!$A:$O,15,FALSE),"")</f>
        <v>Buff.Desc.Critical.Up.00</v>
      </c>
      <c r="Q337" s="23" t="b">
        <v>0</v>
      </c>
      <c r="R337" s="23" t="b">
        <v>0</v>
      </c>
    </row>
    <row r="338" spans="1:18" s="13" customFormat="1">
      <c r="A338" s="23" t="s">
        <v>7963</v>
      </c>
      <c r="B338" s="23"/>
      <c r="C338" s="23"/>
      <c r="D338" s="23">
        <v>8000</v>
      </c>
      <c r="E338" s="23">
        <v>0</v>
      </c>
      <c r="F338" s="23">
        <v>0</v>
      </c>
      <c r="G338" s="23" t="s">
        <v>7964</v>
      </c>
      <c r="H338" s="23"/>
      <c r="I338" s="23" t="b">
        <v>0</v>
      </c>
      <c r="J338" s="23" t="b">
        <v>0</v>
      </c>
      <c r="K338" s="23" t="b">
        <v>1</v>
      </c>
      <c r="L338" s="23" t="s">
        <v>66</v>
      </c>
      <c r="M338" s="23" t="s">
        <v>5545</v>
      </c>
      <c r="N338" s="23" t="str">
        <f>_xlfn.IFNA(VLOOKUP($M338,Buff.CM!$A:$O,13,FALSE),"")</f>
        <v>icon_battle_critical</v>
      </c>
      <c r="O338" s="23" t="str">
        <f>_xlfn.IFNA(VLOOKUP($M338,Buff.CM!$A:$O,14,FALSE),"")</f>
        <v>Buff.Name.Critical.Up.00</v>
      </c>
      <c r="P338" s="23" t="str">
        <f>_xlfn.IFNA(VLOOKUP($M338,Buff.CM!$A:$O,15,FALSE),"")</f>
        <v>Buff.Desc.Critical.Up.00</v>
      </c>
      <c r="Q338" s="23" t="b">
        <v>0</v>
      </c>
      <c r="R338" s="23" t="b">
        <v>0</v>
      </c>
    </row>
    <row r="339" spans="1:18" s="13" customFormat="1">
      <c r="A339" s="23" t="s">
        <v>7965</v>
      </c>
      <c r="B339" s="23"/>
      <c r="C339" s="23"/>
      <c r="D339" s="23">
        <v>8000</v>
      </c>
      <c r="E339" s="23">
        <v>0</v>
      </c>
      <c r="F339" s="23">
        <v>0</v>
      </c>
      <c r="G339" s="23" t="s">
        <v>7966</v>
      </c>
      <c r="H339" s="23"/>
      <c r="I339" s="23" t="b">
        <v>0</v>
      </c>
      <c r="J339" s="23" t="b">
        <v>0</v>
      </c>
      <c r="K339" s="23" t="b">
        <v>1</v>
      </c>
      <c r="L339" s="23" t="s">
        <v>66</v>
      </c>
      <c r="M339" s="23" t="s">
        <v>5545</v>
      </c>
      <c r="N339" s="23" t="str">
        <f>_xlfn.IFNA(VLOOKUP($M339,Buff.CM!$A:$O,13,FALSE),"")</f>
        <v>icon_battle_critical</v>
      </c>
      <c r="O339" s="23" t="str">
        <f>_xlfn.IFNA(VLOOKUP($M339,Buff.CM!$A:$O,14,FALSE),"")</f>
        <v>Buff.Name.Critical.Up.00</v>
      </c>
      <c r="P339" s="23" t="str">
        <f>_xlfn.IFNA(VLOOKUP($M339,Buff.CM!$A:$O,15,FALSE),"")</f>
        <v>Buff.Desc.Critical.Up.00</v>
      </c>
      <c r="Q339" s="23" t="b">
        <v>0</v>
      </c>
      <c r="R339" s="23" t="b">
        <v>0</v>
      </c>
    </row>
    <row r="340" spans="1:18" s="13" customFormat="1">
      <c r="A340" s="34" t="s">
        <v>7967</v>
      </c>
      <c r="B340" s="34"/>
      <c r="C340" s="34"/>
      <c r="D340" s="34">
        <v>8000</v>
      </c>
      <c r="E340" s="34">
        <v>0</v>
      </c>
      <c r="F340" s="34">
        <v>0</v>
      </c>
      <c r="G340" s="34" t="s">
        <v>7968</v>
      </c>
      <c r="H340" s="34"/>
      <c r="I340" s="34" t="b">
        <v>0</v>
      </c>
      <c r="J340" s="34" t="b">
        <v>0</v>
      </c>
      <c r="K340" s="34" t="b">
        <v>1</v>
      </c>
      <c r="L340" s="34" t="s">
        <v>66</v>
      </c>
      <c r="M340" s="34" t="s">
        <v>5545</v>
      </c>
      <c r="N340" s="34" t="str">
        <f>_xlfn.IFNA(VLOOKUP($M340,Buff.CM!$A:$O,13,FALSE),"")</f>
        <v>icon_battle_critical</v>
      </c>
      <c r="O340" s="34" t="str">
        <f>_xlfn.IFNA(VLOOKUP($M340,Buff.CM!$A:$O,14,FALSE),"")</f>
        <v>Buff.Name.Critical.Up.00</v>
      </c>
      <c r="P340" s="34" t="str">
        <f>_xlfn.IFNA(VLOOKUP($M340,Buff.CM!$A:$O,15,FALSE),"")</f>
        <v>Buff.Desc.Critical.Up.00</v>
      </c>
      <c r="Q340" s="34" t="b">
        <v>0</v>
      </c>
      <c r="R340" s="34" t="b">
        <v>0</v>
      </c>
    </row>
    <row r="341" spans="1:18" s="13" customFormat="1">
      <c r="A341" s="34" t="s">
        <v>7969</v>
      </c>
      <c r="B341" s="34"/>
      <c r="C341" s="34"/>
      <c r="D341" s="34">
        <v>8000</v>
      </c>
      <c r="E341" s="34">
        <v>0</v>
      </c>
      <c r="F341" s="34">
        <v>0</v>
      </c>
      <c r="G341" s="34" t="s">
        <v>7970</v>
      </c>
      <c r="H341" s="34"/>
      <c r="I341" s="34" t="b">
        <v>0</v>
      </c>
      <c r="J341" s="34" t="b">
        <v>0</v>
      </c>
      <c r="K341" s="34" t="b">
        <v>1</v>
      </c>
      <c r="L341" s="34" t="s">
        <v>66</v>
      </c>
      <c r="M341" s="34" t="s">
        <v>5545</v>
      </c>
      <c r="N341" s="34" t="str">
        <f>_xlfn.IFNA(VLOOKUP($M341,Buff.CM!$A:$O,13,FALSE),"")</f>
        <v>icon_battle_critical</v>
      </c>
      <c r="O341" s="34" t="str">
        <f>_xlfn.IFNA(VLOOKUP($M341,Buff.CM!$A:$O,14,FALSE),"")</f>
        <v>Buff.Name.Critical.Up.00</v>
      </c>
      <c r="P341" s="34" t="str">
        <f>_xlfn.IFNA(VLOOKUP($M341,Buff.CM!$A:$O,15,FALSE),"")</f>
        <v>Buff.Desc.Critical.Up.00</v>
      </c>
      <c r="Q341" s="34" t="b">
        <v>0</v>
      </c>
      <c r="R341" s="34" t="b">
        <v>0</v>
      </c>
    </row>
    <row r="342" spans="1:18" s="13" customFormat="1">
      <c r="A342" s="34" t="s">
        <v>7971</v>
      </c>
      <c r="B342" s="34"/>
      <c r="C342" s="34"/>
      <c r="D342" s="34">
        <v>8000</v>
      </c>
      <c r="E342" s="34">
        <v>0</v>
      </c>
      <c r="F342" s="34">
        <v>0</v>
      </c>
      <c r="G342" s="34" t="s">
        <v>7972</v>
      </c>
      <c r="H342" s="34"/>
      <c r="I342" s="34" t="b">
        <v>0</v>
      </c>
      <c r="J342" s="34" t="b">
        <v>0</v>
      </c>
      <c r="K342" s="34" t="b">
        <v>1</v>
      </c>
      <c r="L342" s="34" t="s">
        <v>66</v>
      </c>
      <c r="M342" s="34" t="s">
        <v>5545</v>
      </c>
      <c r="N342" s="34" t="str">
        <f>_xlfn.IFNA(VLOOKUP($M342,Buff.CM!$A:$O,13,FALSE),"")</f>
        <v>icon_battle_critical</v>
      </c>
      <c r="O342" s="34" t="str">
        <f>_xlfn.IFNA(VLOOKUP($M342,Buff.CM!$A:$O,14,FALSE),"")</f>
        <v>Buff.Name.Critical.Up.00</v>
      </c>
      <c r="P342" s="34" t="str">
        <f>_xlfn.IFNA(VLOOKUP($M342,Buff.CM!$A:$O,15,FALSE),"")</f>
        <v>Buff.Desc.Critical.Up.00</v>
      </c>
      <c r="Q342" s="34" t="b">
        <v>0</v>
      </c>
      <c r="R342" s="34" t="b">
        <v>0</v>
      </c>
    </row>
    <row r="343" spans="1:18" s="13" customFormat="1">
      <c r="A343" s="24" t="s">
        <v>7973</v>
      </c>
      <c r="B343" s="24"/>
      <c r="C343" s="24"/>
      <c r="D343" s="24">
        <v>4000</v>
      </c>
      <c r="E343" s="24">
        <v>3</v>
      </c>
      <c r="F343" s="24">
        <v>1</v>
      </c>
      <c r="G343" s="24" t="s">
        <v>7974</v>
      </c>
      <c r="H343" s="24"/>
      <c r="I343" s="24" t="b">
        <v>0</v>
      </c>
      <c r="J343" s="24" t="b">
        <v>0</v>
      </c>
      <c r="K343" s="24" t="b">
        <v>0</v>
      </c>
      <c r="L343" s="24" t="s">
        <v>175</v>
      </c>
      <c r="M343" s="24" t="s">
        <v>5574</v>
      </c>
      <c r="N343" s="24" t="str">
        <f>_xlfn.IFNA(VLOOKUP($M343,Buff.CM!$A:$O,13,FALSE),"")</f>
        <v>icon_battle_defense</v>
      </c>
      <c r="O343" s="24" t="str">
        <f>_xlfn.IFNA(VLOOKUP($M343,Buff.CM!$A:$O,14,FALSE),"")</f>
        <v>Buff.Name.Def.Down.00</v>
      </c>
      <c r="P343" s="24" t="str">
        <f>_xlfn.IFNA(VLOOKUP($M343,Buff.CM!$A:$O,15,FALSE),"")</f>
        <v>Buff.Desc.Def.Down.00</v>
      </c>
      <c r="Q343" s="24" t="b">
        <v>0</v>
      </c>
      <c r="R343" s="24" t="b">
        <v>0</v>
      </c>
    </row>
    <row r="344" spans="1:18" s="13" customFormat="1">
      <c r="A344" s="24" t="s">
        <v>7975</v>
      </c>
      <c r="B344" s="24"/>
      <c r="C344" s="24"/>
      <c r="D344" s="24">
        <v>4000</v>
      </c>
      <c r="E344" s="24">
        <v>3</v>
      </c>
      <c r="F344" s="24">
        <v>1</v>
      </c>
      <c r="G344" s="24" t="s">
        <v>7976</v>
      </c>
      <c r="H344" s="24"/>
      <c r="I344" s="24" t="b">
        <v>0</v>
      </c>
      <c r="J344" s="24" t="b">
        <v>0</v>
      </c>
      <c r="K344" s="24" t="b">
        <v>0</v>
      </c>
      <c r="L344" s="24" t="s">
        <v>175</v>
      </c>
      <c r="M344" s="24" t="s">
        <v>5574</v>
      </c>
      <c r="N344" s="24" t="str">
        <f>_xlfn.IFNA(VLOOKUP($M344,Buff.CM!$A:$O,13,FALSE),"")</f>
        <v>icon_battle_defense</v>
      </c>
      <c r="O344" s="24" t="str">
        <f>_xlfn.IFNA(VLOOKUP($M344,Buff.CM!$A:$O,14,FALSE),"")</f>
        <v>Buff.Name.Def.Down.00</v>
      </c>
      <c r="P344" s="24" t="str">
        <f>_xlfn.IFNA(VLOOKUP($M344,Buff.CM!$A:$O,15,FALSE),"")</f>
        <v>Buff.Desc.Def.Down.00</v>
      </c>
      <c r="Q344" s="24" t="b">
        <v>0</v>
      </c>
      <c r="R344" s="24" t="b">
        <v>0</v>
      </c>
    </row>
    <row r="345" spans="1:18" s="13" customFormat="1">
      <c r="A345" s="24" t="s">
        <v>7977</v>
      </c>
      <c r="B345" s="24"/>
      <c r="C345" s="24"/>
      <c r="D345" s="24">
        <v>4000</v>
      </c>
      <c r="E345" s="24">
        <v>3</v>
      </c>
      <c r="F345" s="24">
        <v>1</v>
      </c>
      <c r="G345" s="24" t="s">
        <v>7978</v>
      </c>
      <c r="H345" s="24"/>
      <c r="I345" s="24" t="b">
        <v>0</v>
      </c>
      <c r="J345" s="24" t="b">
        <v>0</v>
      </c>
      <c r="K345" s="24" t="b">
        <v>0</v>
      </c>
      <c r="L345" s="24" t="s">
        <v>175</v>
      </c>
      <c r="M345" s="24" t="s">
        <v>5574</v>
      </c>
      <c r="N345" s="24" t="str">
        <f>_xlfn.IFNA(VLOOKUP($M345,Buff.CM!$A:$O,13,FALSE),"")</f>
        <v>icon_battle_defense</v>
      </c>
      <c r="O345" s="24" t="str">
        <f>_xlfn.IFNA(VLOOKUP($M345,Buff.CM!$A:$O,14,FALSE),"")</f>
        <v>Buff.Name.Def.Down.00</v>
      </c>
      <c r="P345" s="24" t="str">
        <f>_xlfn.IFNA(VLOOKUP($M345,Buff.CM!$A:$O,15,FALSE),"")</f>
        <v>Buff.Desc.Def.Down.00</v>
      </c>
      <c r="Q345" s="24" t="b">
        <v>0</v>
      </c>
      <c r="R345" s="24" t="b">
        <v>0</v>
      </c>
    </row>
    <row r="346" spans="1:18" s="13" customFormat="1">
      <c r="A346" s="34" t="s">
        <v>7979</v>
      </c>
      <c r="B346" s="34"/>
      <c r="C346" s="34"/>
      <c r="D346" s="34">
        <v>4000</v>
      </c>
      <c r="E346" s="34">
        <v>3</v>
      </c>
      <c r="F346" s="34">
        <v>1</v>
      </c>
      <c r="G346" s="34" t="s">
        <v>7980</v>
      </c>
      <c r="H346" s="34"/>
      <c r="I346" s="34" t="b">
        <v>0</v>
      </c>
      <c r="J346" s="34" t="b">
        <v>0</v>
      </c>
      <c r="K346" s="34" t="b">
        <v>0</v>
      </c>
      <c r="L346" s="24" t="s">
        <v>175</v>
      </c>
      <c r="M346" s="34" t="s">
        <v>5574</v>
      </c>
      <c r="N346" s="34" t="str">
        <f>_xlfn.IFNA(VLOOKUP($M346,Buff.CM!$A:$O,13,FALSE),"")</f>
        <v>icon_battle_defense</v>
      </c>
      <c r="O346" s="34" t="str">
        <f>_xlfn.IFNA(VLOOKUP($M346,Buff.CM!$A:$O,14,FALSE),"")</f>
        <v>Buff.Name.Def.Down.00</v>
      </c>
      <c r="P346" s="34" t="str">
        <f>_xlfn.IFNA(VLOOKUP($M346,Buff.CM!$A:$O,15,FALSE),"")</f>
        <v>Buff.Desc.Def.Down.00</v>
      </c>
      <c r="Q346" s="34" t="b">
        <v>0</v>
      </c>
      <c r="R346" s="34" t="b">
        <v>0</v>
      </c>
    </row>
    <row r="347" spans="1:18" s="13" customFormat="1">
      <c r="A347" s="34" t="s">
        <v>7981</v>
      </c>
      <c r="B347" s="34"/>
      <c r="C347" s="34"/>
      <c r="D347" s="34">
        <v>4000</v>
      </c>
      <c r="E347" s="34">
        <v>3</v>
      </c>
      <c r="F347" s="34">
        <v>1</v>
      </c>
      <c r="G347" s="34" t="s">
        <v>7982</v>
      </c>
      <c r="H347" s="34"/>
      <c r="I347" s="34" t="b">
        <v>0</v>
      </c>
      <c r="J347" s="34" t="b">
        <v>0</v>
      </c>
      <c r="K347" s="34" t="b">
        <v>0</v>
      </c>
      <c r="L347" s="24" t="s">
        <v>175</v>
      </c>
      <c r="M347" s="34" t="s">
        <v>5574</v>
      </c>
      <c r="N347" s="34" t="str">
        <f>_xlfn.IFNA(VLOOKUP($M347,Buff.CM!$A:$O,13,FALSE),"")</f>
        <v>icon_battle_defense</v>
      </c>
      <c r="O347" s="34" t="str">
        <f>_xlfn.IFNA(VLOOKUP($M347,Buff.CM!$A:$O,14,FALSE),"")</f>
        <v>Buff.Name.Def.Down.00</v>
      </c>
      <c r="P347" s="34" t="str">
        <f>_xlfn.IFNA(VLOOKUP($M347,Buff.CM!$A:$O,15,FALSE),"")</f>
        <v>Buff.Desc.Def.Down.00</v>
      </c>
      <c r="Q347" s="34" t="b">
        <v>0</v>
      </c>
      <c r="R347" s="34" t="b">
        <v>0</v>
      </c>
    </row>
    <row r="348" spans="1:18" s="13" customFormat="1">
      <c r="A348" s="34" t="s">
        <v>7983</v>
      </c>
      <c r="B348" s="34"/>
      <c r="C348" s="34"/>
      <c r="D348" s="34">
        <v>4000</v>
      </c>
      <c r="E348" s="34">
        <v>3</v>
      </c>
      <c r="F348" s="34">
        <v>1</v>
      </c>
      <c r="G348" s="34" t="s">
        <v>7984</v>
      </c>
      <c r="H348" s="34"/>
      <c r="I348" s="34" t="b">
        <v>0</v>
      </c>
      <c r="J348" s="34" t="b">
        <v>0</v>
      </c>
      <c r="K348" s="34" t="b">
        <v>0</v>
      </c>
      <c r="L348" s="24" t="s">
        <v>175</v>
      </c>
      <c r="M348" s="34" t="s">
        <v>5574</v>
      </c>
      <c r="N348" s="34" t="str">
        <f>_xlfn.IFNA(VLOOKUP($M348,Buff.CM!$A:$O,13,FALSE),"")</f>
        <v>icon_battle_defense</v>
      </c>
      <c r="O348" s="34" t="str">
        <f>_xlfn.IFNA(VLOOKUP($M348,Buff.CM!$A:$O,14,FALSE),"")</f>
        <v>Buff.Name.Def.Down.00</v>
      </c>
      <c r="P348" s="34" t="str">
        <f>_xlfn.IFNA(VLOOKUP($M348,Buff.CM!$A:$O,15,FALSE),"")</f>
        <v>Buff.Desc.Def.Down.00</v>
      </c>
      <c r="Q348" s="34" t="b">
        <v>0</v>
      </c>
      <c r="R348" s="34" t="b">
        <v>0</v>
      </c>
    </row>
    <row r="349" spans="1:18" s="13" customFormat="1">
      <c r="A349" s="65" t="s">
        <v>8112</v>
      </c>
      <c r="B349" s="65"/>
      <c r="C349" s="65"/>
      <c r="D349" s="65">
        <v>0</v>
      </c>
      <c r="E349" s="65">
        <v>0</v>
      </c>
      <c r="F349" s="65">
        <v>0</v>
      </c>
      <c r="G349" s="65" t="s">
        <v>8114</v>
      </c>
      <c r="H349" s="65"/>
      <c r="I349" s="65" t="b">
        <v>0</v>
      </c>
      <c r="J349" s="65" t="b">
        <v>1</v>
      </c>
      <c r="K349" s="65" t="b">
        <v>1</v>
      </c>
      <c r="L349" s="65"/>
      <c r="M349" s="65"/>
      <c r="N349" s="65" t="str">
        <f>_xlfn.IFNA(VLOOKUP($M349,Buff.CM!$A:$O,13,FALSE),"")</f>
        <v/>
      </c>
      <c r="O349" s="65" t="str">
        <f>_xlfn.IFNA(VLOOKUP($M349,Buff.CM!$A:$O,14,FALSE),"")</f>
        <v/>
      </c>
      <c r="P349" s="65" t="str">
        <f>_xlfn.IFNA(VLOOKUP($M349,Buff.CM!$A:$O,15,FALSE),"")</f>
        <v/>
      </c>
      <c r="Q349" s="65" t="b">
        <v>0</v>
      </c>
      <c r="R349" s="65" t="b">
        <v>0</v>
      </c>
    </row>
    <row r="350" spans="1:18" ht="49.5">
      <c r="A350" s="23" t="s">
        <v>7985</v>
      </c>
      <c r="B350" s="23"/>
      <c r="C350" s="23"/>
      <c r="D350" s="23">
        <v>0</v>
      </c>
      <c r="E350" s="23">
        <v>0</v>
      </c>
      <c r="F350" s="23">
        <v>0</v>
      </c>
      <c r="G350" s="39" t="s">
        <v>8101</v>
      </c>
      <c r="H350" s="23"/>
      <c r="I350" s="23" t="b">
        <v>0</v>
      </c>
      <c r="J350" s="23" t="b">
        <v>1</v>
      </c>
      <c r="K350" s="23" t="b">
        <v>1</v>
      </c>
      <c r="L350" s="23"/>
      <c r="M350" s="34"/>
      <c r="N350" s="23" t="str">
        <f>_xlfn.IFNA(VLOOKUP($M350,Buff.CM!$A:$O,13,FALSE),"")</f>
        <v/>
      </c>
      <c r="O350" s="23" t="str">
        <f>_xlfn.IFNA(VLOOKUP($M350,Buff.CM!$A:$O,14,FALSE),"")</f>
        <v/>
      </c>
      <c r="P350" s="23" t="str">
        <f>_xlfn.IFNA(VLOOKUP($M350,Buff.CM!$A:$O,15,FALSE),"")</f>
        <v/>
      </c>
      <c r="Q350" s="23" t="b">
        <v>0</v>
      </c>
      <c r="R350" s="23" t="b">
        <v>0</v>
      </c>
    </row>
    <row r="351" spans="1:18" ht="49.5">
      <c r="A351" s="23" t="s">
        <v>7986</v>
      </c>
      <c r="B351" s="23"/>
      <c r="C351" s="23"/>
      <c r="D351" s="23">
        <v>0</v>
      </c>
      <c r="E351" s="23">
        <v>0</v>
      </c>
      <c r="F351" s="23">
        <v>0</v>
      </c>
      <c r="G351" s="39" t="s">
        <v>8102</v>
      </c>
      <c r="H351" s="23"/>
      <c r="I351" s="23" t="b">
        <v>0</v>
      </c>
      <c r="J351" s="23" t="b">
        <v>1</v>
      </c>
      <c r="K351" s="23" t="b">
        <v>1</v>
      </c>
      <c r="L351" s="23"/>
      <c r="M351" s="23"/>
      <c r="N351" s="23" t="str">
        <f>_xlfn.IFNA(VLOOKUP($M351,Buff.CM!$A:$O,13,FALSE),"")</f>
        <v/>
      </c>
      <c r="O351" s="23" t="str">
        <f>_xlfn.IFNA(VLOOKUP($M351,Buff.CM!$A:$O,14,FALSE),"")</f>
        <v/>
      </c>
      <c r="P351" s="23" t="str">
        <f>_xlfn.IFNA(VLOOKUP($M351,Buff.CM!$A:$O,15,FALSE),"")</f>
        <v/>
      </c>
      <c r="Q351" s="23" t="b">
        <v>0</v>
      </c>
      <c r="R351" s="23" t="b">
        <v>0</v>
      </c>
    </row>
    <row r="352" spans="1:18" ht="49.5">
      <c r="A352" s="23" t="s">
        <v>7987</v>
      </c>
      <c r="B352" s="23"/>
      <c r="C352" s="23"/>
      <c r="D352" s="23">
        <v>0</v>
      </c>
      <c r="E352" s="23">
        <v>0</v>
      </c>
      <c r="F352" s="23">
        <v>0</v>
      </c>
      <c r="G352" s="39" t="s">
        <v>8103</v>
      </c>
      <c r="H352" s="23"/>
      <c r="I352" s="23" t="b">
        <v>0</v>
      </c>
      <c r="J352" s="23" t="b">
        <v>1</v>
      </c>
      <c r="K352" s="23" t="b">
        <v>1</v>
      </c>
      <c r="L352" s="23"/>
      <c r="M352" s="23"/>
      <c r="N352" s="23" t="str">
        <f>_xlfn.IFNA(VLOOKUP($M352,Buff.CM!$A:$O,13,FALSE),"")</f>
        <v/>
      </c>
      <c r="O352" s="23" t="str">
        <f>_xlfn.IFNA(VLOOKUP($M352,Buff.CM!$A:$O,14,FALSE),"")</f>
        <v/>
      </c>
      <c r="P352" s="23" t="str">
        <f>_xlfn.IFNA(VLOOKUP($M352,Buff.CM!$A:$O,15,FALSE),"")</f>
        <v/>
      </c>
      <c r="Q352" s="23" t="b">
        <v>0</v>
      </c>
      <c r="R352" s="23" t="b">
        <v>0</v>
      </c>
    </row>
    <row r="353" spans="1:18" ht="49.5">
      <c r="A353" s="34" t="s">
        <v>7988</v>
      </c>
      <c r="B353" s="34"/>
      <c r="C353" s="34"/>
      <c r="D353" s="34">
        <v>0</v>
      </c>
      <c r="E353" s="34">
        <v>0</v>
      </c>
      <c r="F353" s="34">
        <v>0</v>
      </c>
      <c r="G353" s="40" t="s">
        <v>8104</v>
      </c>
      <c r="H353" s="34"/>
      <c r="I353" s="34" t="b">
        <v>0</v>
      </c>
      <c r="J353" s="23" t="b">
        <v>1</v>
      </c>
      <c r="K353" s="34" t="b">
        <v>1</v>
      </c>
      <c r="L353" s="34"/>
      <c r="M353" s="34"/>
      <c r="N353" s="34" t="str">
        <f>_xlfn.IFNA(VLOOKUP($M353,Buff.CM!$A:$O,13,FALSE),"")</f>
        <v/>
      </c>
      <c r="O353" s="34" t="str">
        <f>_xlfn.IFNA(VLOOKUP($M353,Buff.CM!$A:$O,14,FALSE),"")</f>
        <v/>
      </c>
      <c r="P353" s="34" t="str">
        <f>_xlfn.IFNA(VLOOKUP($M353,Buff.CM!$A:$O,15,FALSE),"")</f>
        <v/>
      </c>
      <c r="Q353" s="34" t="b">
        <v>0</v>
      </c>
      <c r="R353" s="34" t="b">
        <v>0</v>
      </c>
    </row>
    <row r="354" spans="1:18" ht="49.5">
      <c r="A354" s="34" t="s">
        <v>7989</v>
      </c>
      <c r="B354" s="34"/>
      <c r="C354" s="34"/>
      <c r="D354" s="34">
        <v>0</v>
      </c>
      <c r="E354" s="34">
        <v>0</v>
      </c>
      <c r="F354" s="34">
        <v>0</v>
      </c>
      <c r="G354" s="40" t="s">
        <v>8105</v>
      </c>
      <c r="H354" s="34"/>
      <c r="I354" s="34" t="b">
        <v>0</v>
      </c>
      <c r="J354" s="23" t="b">
        <v>1</v>
      </c>
      <c r="K354" s="34" t="b">
        <v>1</v>
      </c>
      <c r="L354" s="34"/>
      <c r="M354" s="34"/>
      <c r="N354" s="34" t="str">
        <f>_xlfn.IFNA(VLOOKUP($M354,Buff.CM!$A:$O,13,FALSE),"")</f>
        <v/>
      </c>
      <c r="O354" s="34" t="str">
        <f>_xlfn.IFNA(VLOOKUP($M354,Buff.CM!$A:$O,14,FALSE),"")</f>
        <v/>
      </c>
      <c r="P354" s="34" t="str">
        <f>_xlfn.IFNA(VLOOKUP($M354,Buff.CM!$A:$O,15,FALSE),"")</f>
        <v/>
      </c>
      <c r="Q354" s="34" t="b">
        <v>0</v>
      </c>
      <c r="R354" s="34" t="b">
        <v>0</v>
      </c>
    </row>
    <row r="355" spans="1:18" s="13" customFormat="1" ht="49.5">
      <c r="A355" s="34" t="s">
        <v>7990</v>
      </c>
      <c r="B355" s="34"/>
      <c r="C355" s="34"/>
      <c r="D355" s="34">
        <v>0</v>
      </c>
      <c r="E355" s="34">
        <v>0</v>
      </c>
      <c r="F355" s="34">
        <v>0</v>
      </c>
      <c r="G355" s="40" t="s">
        <v>8106</v>
      </c>
      <c r="H355" s="34"/>
      <c r="I355" s="34" t="b">
        <v>0</v>
      </c>
      <c r="J355" s="23" t="b">
        <v>1</v>
      </c>
      <c r="K355" s="34" t="b">
        <v>1</v>
      </c>
      <c r="L355" s="34"/>
      <c r="M355" s="34"/>
      <c r="N355" s="34" t="str">
        <f>_xlfn.IFNA(VLOOKUP($M355,Buff.CM!$A:$O,13,FALSE),"")</f>
        <v/>
      </c>
      <c r="O355" s="34" t="str">
        <f>_xlfn.IFNA(VLOOKUP($M355,Buff.CM!$A:$O,14,FALSE),"")</f>
        <v/>
      </c>
      <c r="P355" s="34" t="str">
        <f>_xlfn.IFNA(VLOOKUP($M355,Buff.CM!$A:$O,15,FALSE),"")</f>
        <v/>
      </c>
      <c r="Q355" s="34" t="b">
        <v>0</v>
      </c>
      <c r="R355" s="34" t="b">
        <v>0</v>
      </c>
    </row>
    <row r="356" spans="1:18" s="13" customFormat="1">
      <c r="A356" s="24" t="s">
        <v>7991</v>
      </c>
      <c r="B356" s="24"/>
      <c r="C356" s="24"/>
      <c r="D356" s="24">
        <v>5000</v>
      </c>
      <c r="E356" s="24">
        <v>3</v>
      </c>
      <c r="F356" s="24">
        <v>1</v>
      </c>
      <c r="G356" s="38" t="s">
        <v>7992</v>
      </c>
      <c r="H356" s="24"/>
      <c r="I356" s="24" t="b">
        <v>0</v>
      </c>
      <c r="J356" s="24" t="b">
        <v>0</v>
      </c>
      <c r="K356" s="24" t="b">
        <v>1</v>
      </c>
      <c r="L356" s="24" t="s">
        <v>66</v>
      </c>
      <c r="M356" s="24" t="s">
        <v>5543</v>
      </c>
      <c r="N356" s="24" t="str">
        <f>_xlfn.IFNA(VLOOKUP($M356,Buff.CM!$A:$O,13,FALSE),"")</f>
        <v>icon_battle_attack</v>
      </c>
      <c r="O356" s="24" t="str">
        <f>_xlfn.IFNA(VLOOKUP($M356,Buff.CM!$A:$O,14,FALSE),"")</f>
        <v>Buff.Name.Atk.Up.00</v>
      </c>
      <c r="P356" s="24" t="str">
        <f>_xlfn.IFNA(VLOOKUP($M356,Buff.CM!$A:$O,15,FALSE),"")</f>
        <v>Buff.Desc.Atk.Up.00</v>
      </c>
      <c r="Q356" s="24" t="b">
        <v>0</v>
      </c>
      <c r="R356" s="24" t="b">
        <v>0</v>
      </c>
    </row>
    <row r="357" spans="1:18" s="13" customFormat="1">
      <c r="A357" s="24" t="s">
        <v>7993</v>
      </c>
      <c r="B357" s="24"/>
      <c r="C357" s="24"/>
      <c r="D357" s="24">
        <v>5000</v>
      </c>
      <c r="E357" s="24">
        <v>3</v>
      </c>
      <c r="F357" s="24">
        <v>1</v>
      </c>
      <c r="G357" s="38" t="s">
        <v>7994</v>
      </c>
      <c r="H357" s="24"/>
      <c r="I357" s="24" t="b">
        <v>0</v>
      </c>
      <c r="J357" s="24" t="b">
        <v>0</v>
      </c>
      <c r="K357" s="24" t="b">
        <v>1</v>
      </c>
      <c r="L357" s="24" t="s">
        <v>66</v>
      </c>
      <c r="M357" s="24" t="s">
        <v>5543</v>
      </c>
      <c r="N357" s="24" t="str">
        <f>_xlfn.IFNA(VLOOKUP($M357,Buff.CM!$A:$O,13,FALSE),"")</f>
        <v>icon_battle_attack</v>
      </c>
      <c r="O357" s="24" t="str">
        <f>_xlfn.IFNA(VLOOKUP($M357,Buff.CM!$A:$O,14,FALSE),"")</f>
        <v>Buff.Name.Atk.Up.00</v>
      </c>
      <c r="P357" s="24" t="str">
        <f>_xlfn.IFNA(VLOOKUP($M357,Buff.CM!$A:$O,15,FALSE),"")</f>
        <v>Buff.Desc.Atk.Up.00</v>
      </c>
      <c r="Q357" s="24" t="b">
        <v>0</v>
      </c>
      <c r="R357" s="24" t="b">
        <v>0</v>
      </c>
    </row>
    <row r="358" spans="1:18" s="13" customFormat="1">
      <c r="A358" s="24" t="s">
        <v>7995</v>
      </c>
      <c r="B358" s="24"/>
      <c r="C358" s="24"/>
      <c r="D358" s="24">
        <v>5000</v>
      </c>
      <c r="E358" s="24">
        <v>3</v>
      </c>
      <c r="F358" s="24">
        <v>1</v>
      </c>
      <c r="G358" s="38" t="s">
        <v>7996</v>
      </c>
      <c r="H358" s="24"/>
      <c r="I358" s="24" t="b">
        <v>0</v>
      </c>
      <c r="J358" s="24" t="b">
        <v>0</v>
      </c>
      <c r="K358" s="24" t="b">
        <v>1</v>
      </c>
      <c r="L358" s="24" t="s">
        <v>66</v>
      </c>
      <c r="M358" s="24" t="s">
        <v>5543</v>
      </c>
      <c r="N358" s="24" t="str">
        <f>_xlfn.IFNA(VLOOKUP($M358,Buff.CM!$A:$O,13,FALSE),"")</f>
        <v>icon_battle_attack</v>
      </c>
      <c r="O358" s="24" t="str">
        <f>_xlfn.IFNA(VLOOKUP($M358,Buff.CM!$A:$O,14,FALSE),"")</f>
        <v>Buff.Name.Atk.Up.00</v>
      </c>
      <c r="P358" s="24" t="str">
        <f>_xlfn.IFNA(VLOOKUP($M358,Buff.CM!$A:$O,15,FALSE),"")</f>
        <v>Buff.Desc.Atk.Up.00</v>
      </c>
      <c r="Q358" s="24" t="b">
        <v>0</v>
      </c>
      <c r="R358" s="24" t="b">
        <v>0</v>
      </c>
    </row>
    <row r="359" spans="1:18" s="13" customFormat="1">
      <c r="A359" s="34" t="s">
        <v>7997</v>
      </c>
      <c r="B359" s="34"/>
      <c r="C359" s="34"/>
      <c r="D359" s="34">
        <v>5000</v>
      </c>
      <c r="E359" s="34">
        <v>3</v>
      </c>
      <c r="F359" s="34">
        <v>1</v>
      </c>
      <c r="G359" s="40" t="s">
        <v>7998</v>
      </c>
      <c r="H359" s="34"/>
      <c r="I359" s="34" t="b">
        <v>0</v>
      </c>
      <c r="J359" s="34" t="b">
        <v>0</v>
      </c>
      <c r="K359" s="34" t="b">
        <v>1</v>
      </c>
      <c r="L359" s="34" t="s">
        <v>66</v>
      </c>
      <c r="M359" s="34" t="s">
        <v>5543</v>
      </c>
      <c r="N359" s="34" t="str">
        <f>_xlfn.IFNA(VLOOKUP($M359,Buff.CM!$A:$O,13,FALSE),"")</f>
        <v>icon_battle_attack</v>
      </c>
      <c r="O359" s="34" t="str">
        <f>_xlfn.IFNA(VLOOKUP($M359,Buff.CM!$A:$O,14,FALSE),"")</f>
        <v>Buff.Name.Atk.Up.00</v>
      </c>
      <c r="P359" s="34" t="str">
        <f>_xlfn.IFNA(VLOOKUP($M359,Buff.CM!$A:$O,15,FALSE),"")</f>
        <v>Buff.Desc.Atk.Up.00</v>
      </c>
      <c r="Q359" s="34" t="b">
        <v>0</v>
      </c>
      <c r="R359" s="34" t="b">
        <v>0</v>
      </c>
    </row>
    <row r="360" spans="1:18" s="13" customFormat="1">
      <c r="A360" s="34" t="s">
        <v>7999</v>
      </c>
      <c r="B360" s="34"/>
      <c r="C360" s="34"/>
      <c r="D360" s="34">
        <v>5000</v>
      </c>
      <c r="E360" s="34">
        <v>3</v>
      </c>
      <c r="F360" s="34">
        <v>1</v>
      </c>
      <c r="G360" s="40" t="s">
        <v>8000</v>
      </c>
      <c r="H360" s="34"/>
      <c r="I360" s="34" t="b">
        <v>0</v>
      </c>
      <c r="J360" s="34" t="b">
        <v>0</v>
      </c>
      <c r="K360" s="34" t="b">
        <v>1</v>
      </c>
      <c r="L360" s="34" t="s">
        <v>66</v>
      </c>
      <c r="M360" s="34" t="s">
        <v>5543</v>
      </c>
      <c r="N360" s="34" t="str">
        <f>_xlfn.IFNA(VLOOKUP($M360,Buff.CM!$A:$O,13,FALSE),"")</f>
        <v>icon_battle_attack</v>
      </c>
      <c r="O360" s="34" t="str">
        <f>_xlfn.IFNA(VLOOKUP($M360,Buff.CM!$A:$O,14,FALSE),"")</f>
        <v>Buff.Name.Atk.Up.00</v>
      </c>
      <c r="P360" s="34" t="str">
        <f>_xlfn.IFNA(VLOOKUP($M360,Buff.CM!$A:$O,15,FALSE),"")</f>
        <v>Buff.Desc.Atk.Up.00</v>
      </c>
      <c r="Q360" s="34" t="b">
        <v>0</v>
      </c>
      <c r="R360" s="34" t="b">
        <v>0</v>
      </c>
    </row>
    <row r="361" spans="1:18" s="13" customFormat="1">
      <c r="A361" s="34" t="s">
        <v>8001</v>
      </c>
      <c r="B361" s="34"/>
      <c r="C361" s="34"/>
      <c r="D361" s="34">
        <v>6000</v>
      </c>
      <c r="E361" s="34">
        <v>3</v>
      </c>
      <c r="F361" s="34">
        <v>1</v>
      </c>
      <c r="G361" s="40" t="s">
        <v>8002</v>
      </c>
      <c r="H361" s="34"/>
      <c r="I361" s="34" t="b">
        <v>0</v>
      </c>
      <c r="J361" s="34" t="b">
        <v>0</v>
      </c>
      <c r="K361" s="34" t="b">
        <v>1</v>
      </c>
      <c r="L361" s="34" t="s">
        <v>66</v>
      </c>
      <c r="M361" s="34" t="s">
        <v>5543</v>
      </c>
      <c r="N361" s="34" t="str">
        <f>_xlfn.IFNA(VLOOKUP($M361,Buff.CM!$A:$O,13,FALSE),"")</f>
        <v>icon_battle_attack</v>
      </c>
      <c r="O361" s="34" t="str">
        <f>_xlfn.IFNA(VLOOKUP($M361,Buff.CM!$A:$O,14,FALSE),"")</f>
        <v>Buff.Name.Atk.Up.00</v>
      </c>
      <c r="P361" s="34" t="str">
        <f>_xlfn.IFNA(VLOOKUP($M361,Buff.CM!$A:$O,15,FALSE),"")</f>
        <v>Buff.Desc.Atk.Up.00</v>
      </c>
      <c r="Q361" s="34" t="b">
        <v>0</v>
      </c>
      <c r="R361" s="34" t="b">
        <v>0</v>
      </c>
    </row>
    <row r="362" spans="1:18" s="13" customFormat="1" ht="33">
      <c r="A362" s="65" t="s">
        <v>8107</v>
      </c>
      <c r="B362" s="65"/>
      <c r="C362" s="65"/>
      <c r="D362" s="65">
        <v>0</v>
      </c>
      <c r="E362" s="65">
        <v>0</v>
      </c>
      <c r="F362" s="65">
        <v>0</v>
      </c>
      <c r="G362" s="67" t="s">
        <v>8192</v>
      </c>
      <c r="H362" s="65"/>
      <c r="I362" s="65" t="b">
        <v>0</v>
      </c>
      <c r="J362" s="65" t="b">
        <v>1</v>
      </c>
      <c r="K362" s="65" t="b">
        <v>1</v>
      </c>
      <c r="L362" s="65"/>
      <c r="M362" s="65"/>
      <c r="N362" s="65" t="str">
        <f>_xlfn.IFNA(VLOOKUP($M362,Buff.CM!$A:$O,13,FALSE),"")</f>
        <v/>
      </c>
      <c r="O362" s="65" t="str">
        <f>_xlfn.IFNA(VLOOKUP($M362,Buff.CM!$A:$O,14,FALSE),"")</f>
        <v/>
      </c>
      <c r="P362" s="65" t="str">
        <f>_xlfn.IFNA(VLOOKUP($M362,Buff.CM!$A:$O,15,FALSE),"")</f>
        <v/>
      </c>
      <c r="Q362" s="65" t="b">
        <v>0</v>
      </c>
      <c r="R362" s="65" t="b">
        <v>0</v>
      </c>
    </row>
    <row r="363" spans="1:18" ht="33">
      <c r="A363" s="23" t="s">
        <v>8004</v>
      </c>
      <c r="B363" s="23"/>
      <c r="C363" s="23"/>
      <c r="D363" s="23">
        <v>0</v>
      </c>
      <c r="E363" s="23">
        <v>0</v>
      </c>
      <c r="F363" s="23">
        <v>0</v>
      </c>
      <c r="G363" s="39" t="s">
        <v>8005</v>
      </c>
      <c r="H363" s="23"/>
      <c r="I363" s="23" t="b">
        <v>0</v>
      </c>
      <c r="J363" s="23" t="b">
        <v>1</v>
      </c>
      <c r="K363" s="23" t="b">
        <v>1</v>
      </c>
      <c r="L363" s="23"/>
      <c r="M363" s="23"/>
      <c r="N363" s="23" t="str">
        <f>_xlfn.IFNA(VLOOKUP($M363,Buff.CM!$A:$O,13,FALSE),"")</f>
        <v/>
      </c>
      <c r="O363" s="23" t="str">
        <f>_xlfn.IFNA(VLOOKUP($M363,Buff.CM!$A:$O,14,FALSE),"")</f>
        <v/>
      </c>
      <c r="P363" s="23" t="str">
        <f>_xlfn.IFNA(VLOOKUP($M363,Buff.CM!$A:$O,15,FALSE),"")</f>
        <v/>
      </c>
      <c r="Q363" s="23" t="b">
        <v>0</v>
      </c>
      <c r="R363" s="23" t="b">
        <v>0</v>
      </c>
    </row>
    <row r="364" spans="1:18" ht="33">
      <c r="A364" s="23" t="s">
        <v>8006</v>
      </c>
      <c r="B364" s="23"/>
      <c r="C364" s="23"/>
      <c r="D364" s="23">
        <v>0</v>
      </c>
      <c r="E364" s="23">
        <v>0</v>
      </c>
      <c r="F364" s="23">
        <v>0</v>
      </c>
      <c r="G364" s="39" t="s">
        <v>8007</v>
      </c>
      <c r="H364" s="23"/>
      <c r="I364" s="23" t="b">
        <v>0</v>
      </c>
      <c r="J364" s="23" t="b">
        <v>1</v>
      </c>
      <c r="K364" s="23" t="b">
        <v>1</v>
      </c>
      <c r="L364" s="23"/>
      <c r="M364" s="23"/>
      <c r="N364" s="23" t="str">
        <f>_xlfn.IFNA(VLOOKUP($M364,Buff.CM!$A:$O,13,FALSE),"")</f>
        <v/>
      </c>
      <c r="O364" s="23" t="str">
        <f>_xlfn.IFNA(VLOOKUP($M364,Buff.CM!$A:$O,14,FALSE),"")</f>
        <v/>
      </c>
      <c r="P364" s="23" t="str">
        <f>_xlfn.IFNA(VLOOKUP($M364,Buff.CM!$A:$O,15,FALSE),"")</f>
        <v/>
      </c>
      <c r="Q364" s="23" t="b">
        <v>0</v>
      </c>
      <c r="R364" s="23" t="b">
        <v>0</v>
      </c>
    </row>
    <row r="365" spans="1:18" ht="33">
      <c r="A365" s="23" t="s">
        <v>8008</v>
      </c>
      <c r="B365" s="23"/>
      <c r="C365" s="23"/>
      <c r="D365" s="23">
        <v>0</v>
      </c>
      <c r="E365" s="23">
        <v>0</v>
      </c>
      <c r="F365" s="23">
        <v>0</v>
      </c>
      <c r="G365" s="39" t="s">
        <v>8009</v>
      </c>
      <c r="H365" s="23"/>
      <c r="I365" s="23" t="b">
        <v>0</v>
      </c>
      <c r="J365" s="23" t="b">
        <v>1</v>
      </c>
      <c r="K365" s="23" t="b">
        <v>1</v>
      </c>
      <c r="L365" s="23"/>
      <c r="M365" s="23"/>
      <c r="N365" s="23" t="str">
        <f>_xlfn.IFNA(VLOOKUP($M365,Buff.CM!$A:$O,13,FALSE),"")</f>
        <v/>
      </c>
      <c r="O365" s="23" t="str">
        <f>_xlfn.IFNA(VLOOKUP($M365,Buff.CM!$A:$O,14,FALSE),"")</f>
        <v/>
      </c>
      <c r="P365" s="23" t="str">
        <f>_xlfn.IFNA(VLOOKUP($M365,Buff.CM!$A:$O,15,FALSE),"")</f>
        <v/>
      </c>
      <c r="Q365" s="23" t="b">
        <v>0</v>
      </c>
      <c r="R365" s="23" t="b">
        <v>0</v>
      </c>
    </row>
    <row r="366" spans="1:18" ht="33">
      <c r="A366" s="34" t="s">
        <v>8010</v>
      </c>
      <c r="B366" s="34"/>
      <c r="C366" s="34"/>
      <c r="D366" s="34">
        <v>0</v>
      </c>
      <c r="E366" s="34">
        <v>0</v>
      </c>
      <c r="F366" s="34">
        <v>0</v>
      </c>
      <c r="G366" s="40" t="s">
        <v>8011</v>
      </c>
      <c r="H366" s="34"/>
      <c r="I366" s="34" t="b">
        <v>0</v>
      </c>
      <c r="J366" s="23" t="b">
        <v>1</v>
      </c>
      <c r="K366" s="34" t="b">
        <v>1</v>
      </c>
      <c r="L366" s="34"/>
      <c r="M366" s="34"/>
      <c r="N366" s="34" t="str">
        <f>_xlfn.IFNA(VLOOKUP($M366,Buff.CM!$A:$O,13,FALSE),"")</f>
        <v/>
      </c>
      <c r="O366" s="34" t="str">
        <f>_xlfn.IFNA(VLOOKUP($M366,Buff.CM!$A:$O,14,FALSE),"")</f>
        <v/>
      </c>
      <c r="P366" s="34" t="str">
        <f>_xlfn.IFNA(VLOOKUP($M366,Buff.CM!$A:$O,15,FALSE),"")</f>
        <v/>
      </c>
      <c r="Q366" s="34" t="b">
        <v>0</v>
      </c>
      <c r="R366" s="34" t="b">
        <v>0</v>
      </c>
    </row>
    <row r="367" spans="1:18" ht="33">
      <c r="A367" s="34" t="s">
        <v>8012</v>
      </c>
      <c r="B367" s="34"/>
      <c r="C367" s="34"/>
      <c r="D367" s="34">
        <v>0</v>
      </c>
      <c r="E367" s="34">
        <v>0</v>
      </c>
      <c r="F367" s="34">
        <v>0</v>
      </c>
      <c r="G367" s="40" t="s">
        <v>8013</v>
      </c>
      <c r="H367" s="34"/>
      <c r="I367" s="34" t="b">
        <v>0</v>
      </c>
      <c r="J367" s="23" t="b">
        <v>1</v>
      </c>
      <c r="K367" s="34" t="b">
        <v>1</v>
      </c>
      <c r="L367" s="34"/>
      <c r="M367" s="34"/>
      <c r="N367" s="34" t="str">
        <f>_xlfn.IFNA(VLOOKUP($M367,Buff.CM!$A:$O,13,FALSE),"")</f>
        <v/>
      </c>
      <c r="O367" s="34" t="str">
        <f>_xlfn.IFNA(VLOOKUP($M367,Buff.CM!$A:$O,14,FALSE),"")</f>
        <v/>
      </c>
      <c r="P367" s="34" t="str">
        <f>_xlfn.IFNA(VLOOKUP($M367,Buff.CM!$A:$O,15,FALSE),"")</f>
        <v/>
      </c>
      <c r="Q367" s="34" t="b">
        <v>0</v>
      </c>
      <c r="R367" s="34" t="b">
        <v>0</v>
      </c>
    </row>
    <row r="368" spans="1:18" s="13" customFormat="1" ht="33">
      <c r="A368" s="34" t="s">
        <v>8014</v>
      </c>
      <c r="B368" s="34"/>
      <c r="C368" s="34"/>
      <c r="D368" s="34">
        <v>0</v>
      </c>
      <c r="E368" s="34">
        <v>0</v>
      </c>
      <c r="F368" s="34">
        <v>0</v>
      </c>
      <c r="G368" s="40" t="s">
        <v>8015</v>
      </c>
      <c r="H368" s="34"/>
      <c r="I368" s="34" t="b">
        <v>0</v>
      </c>
      <c r="J368" s="23" t="b">
        <v>1</v>
      </c>
      <c r="K368" s="34" t="b">
        <v>1</v>
      </c>
      <c r="L368" s="34"/>
      <c r="M368" s="34"/>
      <c r="N368" s="34" t="str">
        <f>_xlfn.IFNA(VLOOKUP($M368,Buff.CM!$A:$O,13,FALSE),"")</f>
        <v/>
      </c>
      <c r="O368" s="34" t="str">
        <f>_xlfn.IFNA(VLOOKUP($M368,Buff.CM!$A:$O,14,FALSE),"")</f>
        <v/>
      </c>
      <c r="P368" s="34" t="str">
        <f>_xlfn.IFNA(VLOOKUP($M368,Buff.CM!$A:$O,15,FALSE),"")</f>
        <v/>
      </c>
      <c r="Q368" s="34" t="b">
        <v>0</v>
      </c>
      <c r="R368" s="34" t="b">
        <v>0</v>
      </c>
    </row>
    <row r="369" spans="1:18">
      <c r="A369" s="39" t="s">
        <v>8016</v>
      </c>
      <c r="B369" s="23"/>
      <c r="C369" s="23"/>
      <c r="D369" s="23">
        <v>0</v>
      </c>
      <c r="E369" s="23">
        <v>0</v>
      </c>
      <c r="F369" s="23">
        <v>0</v>
      </c>
      <c r="G369" s="39" t="s">
        <v>8109</v>
      </c>
      <c r="H369" s="23"/>
      <c r="I369" s="23" t="b">
        <v>0</v>
      </c>
      <c r="J369" s="23" t="b">
        <v>1</v>
      </c>
      <c r="K369" s="23" t="b">
        <v>1</v>
      </c>
      <c r="L369" s="23"/>
      <c r="M369" s="23"/>
      <c r="N369" s="23" t="str">
        <f>_xlfn.IFNA(VLOOKUP($M369,Buff.CM!$A:$O,13,FALSE),"")</f>
        <v/>
      </c>
      <c r="O369" s="23" t="str">
        <f>_xlfn.IFNA(VLOOKUP($M369,Buff.CM!$A:$O,14,FALSE),"")</f>
        <v/>
      </c>
      <c r="P369" s="23" t="str">
        <f>_xlfn.IFNA(VLOOKUP($M369,Buff.CM!$A:$O,15,FALSE),"")</f>
        <v/>
      </c>
      <c r="Q369" s="23" t="b">
        <v>0</v>
      </c>
      <c r="R369" s="23" t="b">
        <v>0</v>
      </c>
    </row>
    <row r="370" spans="1:18" s="13" customFormat="1">
      <c r="A370" s="23" t="s">
        <v>8017</v>
      </c>
      <c r="B370" s="23"/>
      <c r="C370" s="23"/>
      <c r="D370" s="23">
        <v>8000</v>
      </c>
      <c r="E370" s="23">
        <v>0</v>
      </c>
      <c r="F370" s="23">
        <v>0</v>
      </c>
      <c r="G370" s="23" t="s">
        <v>8018</v>
      </c>
      <c r="H370" s="23"/>
      <c r="I370" s="23" t="b">
        <v>0</v>
      </c>
      <c r="J370" s="23" t="b">
        <v>0</v>
      </c>
      <c r="K370" s="23" t="b">
        <v>1</v>
      </c>
      <c r="L370" s="23" t="s">
        <v>66</v>
      </c>
      <c r="M370" s="23" t="s">
        <v>5545</v>
      </c>
      <c r="N370" s="23" t="str">
        <f>_xlfn.IFNA(VLOOKUP($M370,Buff.CM!$A:$O,13,FALSE),"")</f>
        <v>icon_battle_critical</v>
      </c>
      <c r="O370" s="23" t="str">
        <f>_xlfn.IFNA(VLOOKUP($M370,Buff.CM!$A:$O,14,FALSE),"")</f>
        <v>Buff.Name.Critical.Up.00</v>
      </c>
      <c r="P370" s="23" t="str">
        <f>_xlfn.IFNA(VLOOKUP($M370,Buff.CM!$A:$O,15,FALSE),"")</f>
        <v>Buff.Desc.Critical.Up.00</v>
      </c>
      <c r="Q370" s="23" t="b">
        <v>0</v>
      </c>
      <c r="R370" s="23" t="b">
        <v>0</v>
      </c>
    </row>
    <row r="371" spans="1:18" s="13" customFormat="1">
      <c r="A371" s="23" t="s">
        <v>8019</v>
      </c>
      <c r="B371" s="23"/>
      <c r="C371" s="23"/>
      <c r="D371" s="23">
        <v>8000</v>
      </c>
      <c r="E371" s="23">
        <v>0</v>
      </c>
      <c r="F371" s="23">
        <v>0</v>
      </c>
      <c r="G371" s="23" t="s">
        <v>8020</v>
      </c>
      <c r="H371" s="23"/>
      <c r="I371" s="23" t="b">
        <v>0</v>
      </c>
      <c r="J371" s="23" t="b">
        <v>0</v>
      </c>
      <c r="K371" s="23" t="b">
        <v>1</v>
      </c>
      <c r="L371" s="23" t="s">
        <v>66</v>
      </c>
      <c r="M371" s="23" t="s">
        <v>5545</v>
      </c>
      <c r="N371" s="23" t="str">
        <f>_xlfn.IFNA(VLOOKUP($M371,Buff.CM!$A:$O,13,FALSE),"")</f>
        <v>icon_battle_critical</v>
      </c>
      <c r="O371" s="23" t="str">
        <f>_xlfn.IFNA(VLOOKUP($M371,Buff.CM!$A:$O,14,FALSE),"")</f>
        <v>Buff.Name.Critical.Up.00</v>
      </c>
      <c r="P371" s="23" t="str">
        <f>_xlfn.IFNA(VLOOKUP($M371,Buff.CM!$A:$O,15,FALSE),"")</f>
        <v>Buff.Desc.Critical.Up.00</v>
      </c>
      <c r="Q371" s="23" t="b">
        <v>0</v>
      </c>
      <c r="R371" s="23" t="b">
        <v>0</v>
      </c>
    </row>
    <row r="372" spans="1:18" s="13" customFormat="1">
      <c r="A372" s="23" t="s">
        <v>8021</v>
      </c>
      <c r="B372" s="23"/>
      <c r="C372" s="23"/>
      <c r="D372" s="23">
        <v>8000</v>
      </c>
      <c r="E372" s="23">
        <v>0</v>
      </c>
      <c r="F372" s="23">
        <v>0</v>
      </c>
      <c r="G372" s="23" t="s">
        <v>8022</v>
      </c>
      <c r="H372" s="23"/>
      <c r="I372" s="23" t="b">
        <v>0</v>
      </c>
      <c r="J372" s="23" t="b">
        <v>0</v>
      </c>
      <c r="K372" s="23" t="b">
        <v>1</v>
      </c>
      <c r="L372" s="23" t="s">
        <v>66</v>
      </c>
      <c r="M372" s="23" t="s">
        <v>5545</v>
      </c>
      <c r="N372" s="23" t="str">
        <f>_xlfn.IFNA(VLOOKUP($M372,Buff.CM!$A:$O,13,FALSE),"")</f>
        <v>icon_battle_critical</v>
      </c>
      <c r="O372" s="23" t="str">
        <f>_xlfn.IFNA(VLOOKUP($M372,Buff.CM!$A:$O,14,FALSE),"")</f>
        <v>Buff.Name.Critical.Up.00</v>
      </c>
      <c r="P372" s="23" t="str">
        <f>_xlfn.IFNA(VLOOKUP($M372,Buff.CM!$A:$O,15,FALSE),"")</f>
        <v>Buff.Desc.Critical.Up.00</v>
      </c>
      <c r="Q372" s="23" t="b">
        <v>0</v>
      </c>
      <c r="R372" s="23" t="b">
        <v>0</v>
      </c>
    </row>
    <row r="373" spans="1:18" s="13" customFormat="1">
      <c r="A373" s="34" t="s">
        <v>8023</v>
      </c>
      <c r="B373" s="34"/>
      <c r="C373" s="34"/>
      <c r="D373" s="34">
        <v>8000</v>
      </c>
      <c r="E373" s="34">
        <v>0</v>
      </c>
      <c r="F373" s="34">
        <v>0</v>
      </c>
      <c r="G373" s="34" t="s">
        <v>8024</v>
      </c>
      <c r="H373" s="34"/>
      <c r="I373" s="34" t="b">
        <v>0</v>
      </c>
      <c r="J373" s="34" t="b">
        <v>0</v>
      </c>
      <c r="K373" s="34" t="b">
        <v>1</v>
      </c>
      <c r="L373" s="34" t="s">
        <v>66</v>
      </c>
      <c r="M373" s="34" t="s">
        <v>5545</v>
      </c>
      <c r="N373" s="34" t="str">
        <f>_xlfn.IFNA(VLOOKUP($M373,Buff.CM!$A:$O,13,FALSE),"")</f>
        <v>icon_battle_critical</v>
      </c>
      <c r="O373" s="34" t="str">
        <f>_xlfn.IFNA(VLOOKUP($M373,Buff.CM!$A:$O,14,FALSE),"")</f>
        <v>Buff.Name.Critical.Up.00</v>
      </c>
      <c r="P373" s="34" t="str">
        <f>_xlfn.IFNA(VLOOKUP($M373,Buff.CM!$A:$O,15,FALSE),"")</f>
        <v>Buff.Desc.Critical.Up.00</v>
      </c>
      <c r="Q373" s="34" t="b">
        <v>0</v>
      </c>
      <c r="R373" s="34" t="b">
        <v>0</v>
      </c>
    </row>
    <row r="374" spans="1:18" s="13" customFormat="1">
      <c r="A374" s="34" t="s">
        <v>8025</v>
      </c>
      <c r="B374" s="34"/>
      <c r="C374" s="34"/>
      <c r="D374" s="34">
        <v>8000</v>
      </c>
      <c r="E374" s="34">
        <v>0</v>
      </c>
      <c r="F374" s="34">
        <v>0</v>
      </c>
      <c r="G374" s="34" t="s">
        <v>8026</v>
      </c>
      <c r="H374" s="34"/>
      <c r="I374" s="34" t="b">
        <v>0</v>
      </c>
      <c r="J374" s="34" t="b">
        <v>0</v>
      </c>
      <c r="K374" s="34" t="b">
        <v>1</v>
      </c>
      <c r="L374" s="34" t="s">
        <v>66</v>
      </c>
      <c r="M374" s="34" t="s">
        <v>5545</v>
      </c>
      <c r="N374" s="34" t="str">
        <f>_xlfn.IFNA(VLOOKUP($M374,Buff.CM!$A:$O,13,FALSE),"")</f>
        <v>icon_battle_critical</v>
      </c>
      <c r="O374" s="34" t="str">
        <f>_xlfn.IFNA(VLOOKUP($M374,Buff.CM!$A:$O,14,FALSE),"")</f>
        <v>Buff.Name.Critical.Up.00</v>
      </c>
      <c r="P374" s="34" t="str">
        <f>_xlfn.IFNA(VLOOKUP($M374,Buff.CM!$A:$O,15,FALSE),"")</f>
        <v>Buff.Desc.Critical.Up.00</v>
      </c>
      <c r="Q374" s="34" t="b">
        <v>0</v>
      </c>
      <c r="R374" s="34" t="b">
        <v>0</v>
      </c>
    </row>
    <row r="375" spans="1:18" s="13" customFormat="1">
      <c r="A375" s="34" t="s">
        <v>8027</v>
      </c>
      <c r="B375" s="34"/>
      <c r="C375" s="34"/>
      <c r="D375" s="34">
        <v>8000</v>
      </c>
      <c r="E375" s="34">
        <v>0</v>
      </c>
      <c r="F375" s="34">
        <v>0</v>
      </c>
      <c r="G375" s="34" t="s">
        <v>8028</v>
      </c>
      <c r="H375" s="34"/>
      <c r="I375" s="34" t="b">
        <v>0</v>
      </c>
      <c r="J375" s="34" t="b">
        <v>0</v>
      </c>
      <c r="K375" s="34" t="b">
        <v>1</v>
      </c>
      <c r="L375" s="34" t="s">
        <v>66</v>
      </c>
      <c r="M375" s="34" t="s">
        <v>5545</v>
      </c>
      <c r="N375" s="34" t="str">
        <f>_xlfn.IFNA(VLOOKUP($M375,Buff.CM!$A:$O,13,FALSE),"")</f>
        <v>icon_battle_critical</v>
      </c>
      <c r="O375" s="34" t="str">
        <f>_xlfn.IFNA(VLOOKUP($M375,Buff.CM!$A:$O,14,FALSE),"")</f>
        <v>Buff.Name.Critical.Up.00</v>
      </c>
      <c r="P375" s="34" t="str">
        <f>_xlfn.IFNA(VLOOKUP($M375,Buff.CM!$A:$O,15,FALSE),"")</f>
        <v>Buff.Desc.Critical.Up.00</v>
      </c>
      <c r="Q375" s="34" t="b">
        <v>0</v>
      </c>
      <c r="R375" s="34" t="b">
        <v>0</v>
      </c>
    </row>
    <row r="376" spans="1:18" s="13" customFormat="1">
      <c r="A376" s="24" t="s">
        <v>8029</v>
      </c>
      <c r="B376" s="24"/>
      <c r="C376" s="24"/>
      <c r="D376" s="24">
        <v>4000</v>
      </c>
      <c r="E376" s="24">
        <v>3</v>
      </c>
      <c r="F376" s="24">
        <v>1</v>
      </c>
      <c r="G376" s="24" t="s">
        <v>8030</v>
      </c>
      <c r="H376" s="24"/>
      <c r="I376" s="24" t="b">
        <v>0</v>
      </c>
      <c r="J376" s="24" t="b">
        <v>0</v>
      </c>
      <c r="K376" s="24" t="b">
        <v>0</v>
      </c>
      <c r="L376" s="24" t="s">
        <v>175</v>
      </c>
      <c r="M376" s="24" t="s">
        <v>5574</v>
      </c>
      <c r="N376" s="24" t="str">
        <f>_xlfn.IFNA(VLOOKUP($M376,Buff.CM!$A:$O,13,FALSE),"")</f>
        <v>icon_battle_defense</v>
      </c>
      <c r="O376" s="24" t="str">
        <f>_xlfn.IFNA(VLOOKUP($M376,Buff.CM!$A:$O,14,FALSE),"")</f>
        <v>Buff.Name.Def.Down.00</v>
      </c>
      <c r="P376" s="24" t="str">
        <f>_xlfn.IFNA(VLOOKUP($M376,Buff.CM!$A:$O,15,FALSE),"")</f>
        <v>Buff.Desc.Def.Down.00</v>
      </c>
      <c r="Q376" s="24" t="b">
        <v>0</v>
      </c>
      <c r="R376" s="24" t="b">
        <v>0</v>
      </c>
    </row>
    <row r="377" spans="1:18" s="13" customFormat="1">
      <c r="A377" s="24" t="s">
        <v>8031</v>
      </c>
      <c r="B377" s="24"/>
      <c r="C377" s="24"/>
      <c r="D377" s="24">
        <v>4000</v>
      </c>
      <c r="E377" s="24">
        <v>3</v>
      </c>
      <c r="F377" s="24">
        <v>1</v>
      </c>
      <c r="G377" s="24" t="s">
        <v>8032</v>
      </c>
      <c r="H377" s="24"/>
      <c r="I377" s="24" t="b">
        <v>0</v>
      </c>
      <c r="J377" s="24" t="b">
        <v>0</v>
      </c>
      <c r="K377" s="24" t="b">
        <v>0</v>
      </c>
      <c r="L377" s="24" t="s">
        <v>175</v>
      </c>
      <c r="M377" s="24" t="s">
        <v>5574</v>
      </c>
      <c r="N377" s="24" t="str">
        <f>_xlfn.IFNA(VLOOKUP($M377,Buff.CM!$A:$O,13,FALSE),"")</f>
        <v>icon_battle_defense</v>
      </c>
      <c r="O377" s="24" t="str">
        <f>_xlfn.IFNA(VLOOKUP($M377,Buff.CM!$A:$O,14,FALSE),"")</f>
        <v>Buff.Name.Def.Down.00</v>
      </c>
      <c r="P377" s="24" t="str">
        <f>_xlfn.IFNA(VLOOKUP($M377,Buff.CM!$A:$O,15,FALSE),"")</f>
        <v>Buff.Desc.Def.Down.00</v>
      </c>
      <c r="Q377" s="24" t="b">
        <v>0</v>
      </c>
      <c r="R377" s="24" t="b">
        <v>0</v>
      </c>
    </row>
    <row r="378" spans="1:18" s="13" customFormat="1">
      <c r="A378" s="24" t="s">
        <v>8033</v>
      </c>
      <c r="B378" s="24"/>
      <c r="C378" s="24"/>
      <c r="D378" s="24">
        <v>4000</v>
      </c>
      <c r="E378" s="24">
        <v>3</v>
      </c>
      <c r="F378" s="24">
        <v>1</v>
      </c>
      <c r="G378" s="24" t="s">
        <v>8034</v>
      </c>
      <c r="H378" s="24"/>
      <c r="I378" s="24" t="b">
        <v>0</v>
      </c>
      <c r="J378" s="24" t="b">
        <v>0</v>
      </c>
      <c r="K378" s="24" t="b">
        <v>0</v>
      </c>
      <c r="L378" s="24" t="s">
        <v>175</v>
      </c>
      <c r="M378" s="24" t="s">
        <v>5574</v>
      </c>
      <c r="N378" s="24" t="str">
        <f>_xlfn.IFNA(VLOOKUP($M378,Buff.CM!$A:$O,13,FALSE),"")</f>
        <v>icon_battle_defense</v>
      </c>
      <c r="O378" s="24" t="str">
        <f>_xlfn.IFNA(VLOOKUP($M378,Buff.CM!$A:$O,14,FALSE),"")</f>
        <v>Buff.Name.Def.Down.00</v>
      </c>
      <c r="P378" s="24" t="str">
        <f>_xlfn.IFNA(VLOOKUP($M378,Buff.CM!$A:$O,15,FALSE),"")</f>
        <v>Buff.Desc.Def.Down.00</v>
      </c>
      <c r="Q378" s="24" t="b">
        <v>0</v>
      </c>
      <c r="R378" s="24" t="b">
        <v>0</v>
      </c>
    </row>
    <row r="379" spans="1:18" s="13" customFormat="1">
      <c r="A379" s="34" t="s">
        <v>8035</v>
      </c>
      <c r="B379" s="34"/>
      <c r="C379" s="34"/>
      <c r="D379" s="34">
        <v>4000</v>
      </c>
      <c r="E379" s="34">
        <v>3</v>
      </c>
      <c r="F379" s="34">
        <v>1</v>
      </c>
      <c r="G379" s="34" t="s">
        <v>8036</v>
      </c>
      <c r="H379" s="34"/>
      <c r="I379" s="34" t="b">
        <v>0</v>
      </c>
      <c r="J379" s="34" t="b">
        <v>0</v>
      </c>
      <c r="K379" s="34" t="b">
        <v>0</v>
      </c>
      <c r="L379" s="24" t="s">
        <v>175</v>
      </c>
      <c r="M379" s="34" t="s">
        <v>5574</v>
      </c>
      <c r="N379" s="34" t="str">
        <f>_xlfn.IFNA(VLOOKUP($M379,Buff.CM!$A:$O,13,FALSE),"")</f>
        <v>icon_battle_defense</v>
      </c>
      <c r="O379" s="34" t="str">
        <f>_xlfn.IFNA(VLOOKUP($M379,Buff.CM!$A:$O,14,FALSE),"")</f>
        <v>Buff.Name.Def.Down.00</v>
      </c>
      <c r="P379" s="34" t="str">
        <f>_xlfn.IFNA(VLOOKUP($M379,Buff.CM!$A:$O,15,FALSE),"")</f>
        <v>Buff.Desc.Def.Down.00</v>
      </c>
      <c r="Q379" s="34" t="b">
        <v>0</v>
      </c>
      <c r="R379" s="34" t="b">
        <v>0</v>
      </c>
    </row>
    <row r="380" spans="1:18" s="13" customFormat="1">
      <c r="A380" s="34" t="s">
        <v>8037</v>
      </c>
      <c r="B380" s="34"/>
      <c r="C380" s="34"/>
      <c r="D380" s="34">
        <v>4000</v>
      </c>
      <c r="E380" s="34">
        <v>3</v>
      </c>
      <c r="F380" s="34">
        <v>1</v>
      </c>
      <c r="G380" s="34" t="s">
        <v>8038</v>
      </c>
      <c r="H380" s="34"/>
      <c r="I380" s="34" t="b">
        <v>0</v>
      </c>
      <c r="J380" s="34" t="b">
        <v>0</v>
      </c>
      <c r="K380" s="34" t="b">
        <v>0</v>
      </c>
      <c r="L380" s="24" t="s">
        <v>175</v>
      </c>
      <c r="M380" s="34" t="s">
        <v>5574</v>
      </c>
      <c r="N380" s="34" t="str">
        <f>_xlfn.IFNA(VLOOKUP($M380,Buff.CM!$A:$O,13,FALSE),"")</f>
        <v>icon_battle_defense</v>
      </c>
      <c r="O380" s="34" t="str">
        <f>_xlfn.IFNA(VLOOKUP($M380,Buff.CM!$A:$O,14,FALSE),"")</f>
        <v>Buff.Name.Def.Down.00</v>
      </c>
      <c r="P380" s="34" t="str">
        <f>_xlfn.IFNA(VLOOKUP($M380,Buff.CM!$A:$O,15,FALSE),"")</f>
        <v>Buff.Desc.Def.Down.00</v>
      </c>
      <c r="Q380" s="34" t="b">
        <v>0</v>
      </c>
      <c r="R380" s="34" t="b">
        <v>0</v>
      </c>
    </row>
    <row r="381" spans="1:18" s="13" customFormat="1">
      <c r="A381" s="34" t="s">
        <v>8039</v>
      </c>
      <c r="B381" s="34"/>
      <c r="C381" s="34"/>
      <c r="D381" s="34">
        <v>4000</v>
      </c>
      <c r="E381" s="34">
        <v>3</v>
      </c>
      <c r="F381" s="34">
        <v>1</v>
      </c>
      <c r="G381" s="34" t="s">
        <v>8040</v>
      </c>
      <c r="H381" s="34"/>
      <c r="I381" s="34" t="b">
        <v>0</v>
      </c>
      <c r="J381" s="34" t="b">
        <v>0</v>
      </c>
      <c r="K381" s="34" t="b">
        <v>0</v>
      </c>
      <c r="L381" s="24" t="s">
        <v>175</v>
      </c>
      <c r="M381" s="34" t="s">
        <v>5574</v>
      </c>
      <c r="N381" s="34" t="str">
        <f>_xlfn.IFNA(VLOOKUP($M381,Buff.CM!$A:$O,13,FALSE),"")</f>
        <v>icon_battle_defense</v>
      </c>
      <c r="O381" s="34" t="str">
        <f>_xlfn.IFNA(VLOOKUP($M381,Buff.CM!$A:$O,14,FALSE),"")</f>
        <v>Buff.Name.Def.Down.00</v>
      </c>
      <c r="P381" s="34" t="str">
        <f>_xlfn.IFNA(VLOOKUP($M381,Buff.CM!$A:$O,15,FALSE),"")</f>
        <v>Buff.Desc.Def.Down.00</v>
      </c>
      <c r="Q381" s="34" t="b">
        <v>0</v>
      </c>
      <c r="R381" s="34" t="b">
        <v>0</v>
      </c>
    </row>
    <row r="382" spans="1:18">
      <c r="A382" s="44" t="s">
        <v>8041</v>
      </c>
      <c r="B382" s="44"/>
      <c r="C382" s="44"/>
      <c r="D382" s="44">
        <v>0</v>
      </c>
      <c r="E382" s="23">
        <v>0</v>
      </c>
      <c r="F382" s="23">
        <v>0</v>
      </c>
      <c r="G382" s="44" t="s">
        <v>122</v>
      </c>
      <c r="H382" s="44"/>
      <c r="I382" s="23" t="b">
        <v>1</v>
      </c>
      <c r="J382" s="23" t="b">
        <v>1</v>
      </c>
      <c r="K382" s="44" t="b">
        <v>1</v>
      </c>
      <c r="L382" s="44"/>
      <c r="M382" s="44" t="s">
        <v>5648</v>
      </c>
      <c r="N382" s="34" t="str">
        <f>_xlfn.IFNA(VLOOKUP($M382,Buff.CM!$A:$O,13,FALSE),"")</f>
        <v>icon_battle_isabella_quick</v>
      </c>
      <c r="O382" s="34" t="str">
        <f>_xlfn.IFNA(VLOOKUP($M382,Buff.CM!$A:$O,14,FALSE),"")</f>
        <v>info.isabella.buff.quick</v>
      </c>
      <c r="P382" s="34" t="str">
        <f>_xlfn.IFNA(VLOOKUP($M382,Buff.CM!$A:$O,15,FALSE),"")</f>
        <v>Desc.info.isabella.buff.quick</v>
      </c>
      <c r="Q382" s="44" t="b">
        <v>0</v>
      </c>
      <c r="R382" s="44" t="b">
        <v>0</v>
      </c>
    </row>
    <row r="383" spans="1:18" ht="66">
      <c r="A383" s="23" t="s">
        <v>8042</v>
      </c>
      <c r="B383" s="23"/>
      <c r="C383" s="23"/>
      <c r="D383" s="23">
        <v>0</v>
      </c>
      <c r="E383" s="23">
        <v>0</v>
      </c>
      <c r="F383" s="23">
        <v>0</v>
      </c>
      <c r="G383" s="39" t="s">
        <v>8043</v>
      </c>
      <c r="H383" s="23"/>
      <c r="I383" s="23" t="b">
        <v>1</v>
      </c>
      <c r="J383" s="23" t="b">
        <v>1</v>
      </c>
      <c r="K383" s="23" t="b">
        <v>1</v>
      </c>
      <c r="L383" s="23"/>
      <c r="M383" s="23"/>
      <c r="N383" s="23" t="str">
        <f>_xlfn.IFNA(VLOOKUP($M383,Buff.CM!$A:$O,13,FALSE),"")</f>
        <v/>
      </c>
      <c r="O383" s="23" t="str">
        <f>_xlfn.IFNA(VLOOKUP($M383,Buff.CM!$A:$O,14,FALSE),"")</f>
        <v/>
      </c>
      <c r="P383" s="23" t="str">
        <f>_xlfn.IFNA(VLOOKUP($M383,Buff.CM!$A:$O,15,FALSE),"")</f>
        <v/>
      </c>
      <c r="Q383" s="23" t="b">
        <v>0</v>
      </c>
      <c r="R383" s="23" t="b">
        <v>0</v>
      </c>
    </row>
    <row r="384" spans="1:18" ht="66">
      <c r="A384" s="23" t="s">
        <v>8044</v>
      </c>
      <c r="B384" s="23"/>
      <c r="C384" s="23"/>
      <c r="D384" s="23">
        <v>0</v>
      </c>
      <c r="E384" s="23">
        <v>0</v>
      </c>
      <c r="F384" s="23">
        <v>0</v>
      </c>
      <c r="G384" s="39" t="s">
        <v>8045</v>
      </c>
      <c r="H384" s="23"/>
      <c r="I384" s="23" t="b">
        <v>1</v>
      </c>
      <c r="J384" s="23" t="b">
        <v>1</v>
      </c>
      <c r="K384" s="23" t="b">
        <v>1</v>
      </c>
      <c r="L384" s="23"/>
      <c r="M384" s="23"/>
      <c r="N384" s="23" t="str">
        <f>_xlfn.IFNA(VLOOKUP($M384,Buff.CM!$A:$O,13,FALSE),"")</f>
        <v/>
      </c>
      <c r="O384" s="23" t="str">
        <f>_xlfn.IFNA(VLOOKUP($M384,Buff.CM!$A:$O,14,FALSE),"")</f>
        <v/>
      </c>
      <c r="P384" s="23" t="str">
        <f>_xlfn.IFNA(VLOOKUP($M384,Buff.CM!$A:$O,15,FALSE),"")</f>
        <v/>
      </c>
      <c r="Q384" s="23" t="b">
        <v>0</v>
      </c>
      <c r="R384" s="23" t="b">
        <v>0</v>
      </c>
    </row>
    <row r="385" spans="1:18" ht="66">
      <c r="A385" s="23" t="s">
        <v>8046</v>
      </c>
      <c r="B385" s="23"/>
      <c r="C385" s="23"/>
      <c r="D385" s="23">
        <v>0</v>
      </c>
      <c r="E385" s="23">
        <v>0</v>
      </c>
      <c r="F385" s="23">
        <v>0</v>
      </c>
      <c r="G385" s="39" t="s">
        <v>8047</v>
      </c>
      <c r="H385" s="23"/>
      <c r="I385" s="23" t="b">
        <v>1</v>
      </c>
      <c r="J385" s="23" t="b">
        <v>1</v>
      </c>
      <c r="K385" s="23" t="b">
        <v>1</v>
      </c>
      <c r="L385" s="23"/>
      <c r="M385" s="23"/>
      <c r="N385" s="23" t="str">
        <f>_xlfn.IFNA(VLOOKUP($M385,Buff.CM!$A:$O,13,FALSE),"")</f>
        <v/>
      </c>
      <c r="O385" s="23" t="str">
        <f>_xlfn.IFNA(VLOOKUP($M385,Buff.CM!$A:$O,14,FALSE),"")</f>
        <v/>
      </c>
      <c r="P385" s="23" t="str">
        <f>_xlfn.IFNA(VLOOKUP($M385,Buff.CM!$A:$O,15,FALSE),"")</f>
        <v/>
      </c>
      <c r="Q385" s="23" t="b">
        <v>0</v>
      </c>
      <c r="R385" s="23" t="b">
        <v>0</v>
      </c>
    </row>
    <row r="386" spans="1:18" ht="66">
      <c r="A386" s="34" t="s">
        <v>8048</v>
      </c>
      <c r="B386" s="34"/>
      <c r="C386" s="34"/>
      <c r="D386" s="34">
        <v>0</v>
      </c>
      <c r="E386" s="34">
        <v>0</v>
      </c>
      <c r="F386" s="34">
        <v>0</v>
      </c>
      <c r="G386" s="40" t="s">
        <v>8049</v>
      </c>
      <c r="H386" s="34"/>
      <c r="I386" s="34" t="b">
        <v>1</v>
      </c>
      <c r="J386" s="23" t="b">
        <v>1</v>
      </c>
      <c r="K386" s="34" t="b">
        <v>1</v>
      </c>
      <c r="L386" s="34"/>
      <c r="M386" s="34"/>
      <c r="N386" s="34" t="str">
        <f>_xlfn.IFNA(VLOOKUP($M386,Buff.CM!$A:$O,13,FALSE),"")</f>
        <v/>
      </c>
      <c r="O386" s="34" t="str">
        <f>_xlfn.IFNA(VLOOKUP($M386,Buff.CM!$A:$O,14,FALSE),"")</f>
        <v/>
      </c>
      <c r="P386" s="34" t="str">
        <f>_xlfn.IFNA(VLOOKUP($M386,Buff.CM!$A:$O,15,FALSE),"")</f>
        <v/>
      </c>
      <c r="Q386" s="34" t="b">
        <v>0</v>
      </c>
      <c r="R386" s="34" t="b">
        <v>0</v>
      </c>
    </row>
    <row r="387" spans="1:18" ht="66">
      <c r="A387" s="34" t="s">
        <v>8050</v>
      </c>
      <c r="B387" s="34"/>
      <c r="C387" s="34"/>
      <c r="D387" s="34">
        <v>0</v>
      </c>
      <c r="E387" s="34">
        <v>0</v>
      </c>
      <c r="F387" s="34">
        <v>0</v>
      </c>
      <c r="G387" s="40" t="s">
        <v>8051</v>
      </c>
      <c r="H387" s="34"/>
      <c r="I387" s="34" t="b">
        <v>1</v>
      </c>
      <c r="J387" s="23" t="b">
        <v>1</v>
      </c>
      <c r="K387" s="34" t="b">
        <v>1</v>
      </c>
      <c r="L387" s="34"/>
      <c r="M387" s="34"/>
      <c r="N387" s="34" t="str">
        <f>_xlfn.IFNA(VLOOKUP($M387,Buff.CM!$A:$O,13,FALSE),"")</f>
        <v/>
      </c>
      <c r="O387" s="34" t="str">
        <f>_xlfn.IFNA(VLOOKUP($M387,Buff.CM!$A:$O,14,FALSE),"")</f>
        <v/>
      </c>
      <c r="P387" s="34" t="str">
        <f>_xlfn.IFNA(VLOOKUP($M387,Buff.CM!$A:$O,15,FALSE),"")</f>
        <v/>
      </c>
      <c r="Q387" s="34" t="b">
        <v>0</v>
      </c>
      <c r="R387" s="34" t="b">
        <v>0</v>
      </c>
    </row>
    <row r="388" spans="1:18" s="13" customFormat="1" ht="66">
      <c r="A388" s="34" t="s">
        <v>8052</v>
      </c>
      <c r="B388" s="34"/>
      <c r="C388" s="34"/>
      <c r="D388" s="34">
        <v>0</v>
      </c>
      <c r="E388" s="34">
        <v>0</v>
      </c>
      <c r="F388" s="34">
        <v>0</v>
      </c>
      <c r="G388" s="40" t="s">
        <v>8053</v>
      </c>
      <c r="H388" s="34"/>
      <c r="I388" s="34" t="b">
        <v>1</v>
      </c>
      <c r="J388" s="23" t="b">
        <v>1</v>
      </c>
      <c r="K388" s="34" t="b">
        <v>1</v>
      </c>
      <c r="L388" s="34"/>
      <c r="M388" s="34"/>
      <c r="N388" s="34" t="str">
        <f>_xlfn.IFNA(VLOOKUP($M388,Buff.CM!$A:$O,13,FALSE),"")</f>
        <v/>
      </c>
      <c r="O388" s="34" t="str">
        <f>_xlfn.IFNA(VLOOKUP($M388,Buff.CM!$A:$O,14,FALSE),"")</f>
        <v/>
      </c>
      <c r="P388" s="34" t="str">
        <f>_xlfn.IFNA(VLOOKUP($M388,Buff.CM!$A:$O,15,FALSE),"")</f>
        <v/>
      </c>
      <c r="Q388" s="34" t="b">
        <v>0</v>
      </c>
      <c r="R388" s="34" t="b">
        <v>0</v>
      </c>
    </row>
    <row r="389" spans="1:18">
      <c r="A389" s="25" t="s">
        <v>8116</v>
      </c>
      <c r="B389" s="25" t="s">
        <v>5470</v>
      </c>
      <c r="C389" s="25" t="s">
        <v>5471</v>
      </c>
      <c r="D389" s="25">
        <v>5000</v>
      </c>
      <c r="E389" s="25">
        <v>0</v>
      </c>
      <c r="F389" s="25">
        <v>0</v>
      </c>
      <c r="G389" s="43" t="s">
        <v>6643</v>
      </c>
      <c r="H389" s="25"/>
      <c r="I389" s="25" t="b">
        <v>0</v>
      </c>
      <c r="J389" s="25" t="b">
        <v>0</v>
      </c>
      <c r="K389" s="25" t="b">
        <v>1</v>
      </c>
      <c r="L389" s="25" t="s">
        <v>66</v>
      </c>
      <c r="M389" s="25" t="s">
        <v>5568</v>
      </c>
      <c r="N389" s="25" t="str">
        <f>_xlfn.IFNA(VLOOKUP($M389,Buff.CM!$A:$O,13,FALSE),"")</f>
        <v>icon_battle_cooldown</v>
      </c>
      <c r="O389" s="25" t="str">
        <f>_xlfn.IFNA(VLOOKUP($M389,Buff.CM!$A:$O,14,FALSE),"")</f>
        <v>Buff.Name.AccelerationSkillTime.Up.00</v>
      </c>
      <c r="P389" s="25" t="str">
        <f>_xlfn.IFNA(VLOOKUP($M389,Buff.CM!$A:$O,15,FALSE),"")</f>
        <v>Buff.Desc.AccelerationSkillTime.Up.00</v>
      </c>
      <c r="Q389" s="25" t="b">
        <v>0</v>
      </c>
      <c r="R389" s="25" t="b">
        <v>0</v>
      </c>
    </row>
    <row r="390" spans="1:18">
      <c r="A390" s="25" t="s">
        <v>8117</v>
      </c>
      <c r="B390" s="25" t="s">
        <v>5470</v>
      </c>
      <c r="C390" s="25" t="s">
        <v>5471</v>
      </c>
      <c r="D390" s="25">
        <v>6000</v>
      </c>
      <c r="E390" s="25">
        <v>0</v>
      </c>
      <c r="F390" s="25">
        <v>0</v>
      </c>
      <c r="G390" s="43" t="s">
        <v>4617</v>
      </c>
      <c r="H390" s="25"/>
      <c r="I390" s="25" t="b">
        <v>0</v>
      </c>
      <c r="J390" s="25" t="b">
        <v>0</v>
      </c>
      <c r="K390" s="25" t="b">
        <v>1</v>
      </c>
      <c r="L390" s="25" t="s">
        <v>66</v>
      </c>
      <c r="M390" s="25" t="s">
        <v>5568</v>
      </c>
      <c r="N390" s="25" t="str">
        <f>_xlfn.IFNA(VLOOKUP($M390,Buff.CM!$A:$O,13,FALSE),"")</f>
        <v>icon_battle_cooldown</v>
      </c>
      <c r="O390" s="25" t="str">
        <f>_xlfn.IFNA(VLOOKUP($M390,Buff.CM!$A:$O,14,FALSE),"")</f>
        <v>Buff.Name.AccelerationSkillTime.Up.00</v>
      </c>
      <c r="P390" s="25" t="str">
        <f>_xlfn.IFNA(VLOOKUP($M390,Buff.CM!$A:$O,15,FALSE),"")</f>
        <v>Buff.Desc.AccelerationSkillTime.Up.00</v>
      </c>
      <c r="Q390" s="25" t="b">
        <v>0</v>
      </c>
      <c r="R390" s="25" t="b">
        <v>0</v>
      </c>
    </row>
    <row r="391" spans="1:18">
      <c r="A391" s="25" t="s">
        <v>8118</v>
      </c>
      <c r="B391" s="25" t="s">
        <v>5470</v>
      </c>
      <c r="C391" s="25" t="s">
        <v>5471</v>
      </c>
      <c r="D391" s="25">
        <v>6000</v>
      </c>
      <c r="E391" s="25">
        <v>0</v>
      </c>
      <c r="F391" s="25">
        <v>0</v>
      </c>
      <c r="G391" s="43" t="s">
        <v>4618</v>
      </c>
      <c r="H391" s="25"/>
      <c r="I391" s="25" t="b">
        <v>0</v>
      </c>
      <c r="J391" s="25" t="b">
        <v>0</v>
      </c>
      <c r="K391" s="25" t="b">
        <v>1</v>
      </c>
      <c r="L391" s="25" t="s">
        <v>66</v>
      </c>
      <c r="M391" s="25" t="s">
        <v>5568</v>
      </c>
      <c r="N391" s="25" t="str">
        <f>_xlfn.IFNA(VLOOKUP($M391,Buff.CM!$A:$O,13,FALSE),"")</f>
        <v>icon_battle_cooldown</v>
      </c>
      <c r="O391" s="25" t="str">
        <f>_xlfn.IFNA(VLOOKUP($M391,Buff.CM!$A:$O,14,FALSE),"")</f>
        <v>Buff.Name.AccelerationSkillTime.Up.00</v>
      </c>
      <c r="P391" s="25" t="str">
        <f>_xlfn.IFNA(VLOOKUP($M391,Buff.CM!$A:$O,15,FALSE),"")</f>
        <v>Buff.Desc.AccelerationSkillTime.Up.00</v>
      </c>
      <c r="Q391" s="25" t="b">
        <v>0</v>
      </c>
      <c r="R391" s="25" t="b">
        <v>0</v>
      </c>
    </row>
    <row r="392" spans="1:18">
      <c r="A392" s="25" t="s">
        <v>8119</v>
      </c>
      <c r="B392" s="25" t="s">
        <v>5470</v>
      </c>
      <c r="C392" s="25" t="s">
        <v>5471</v>
      </c>
      <c r="D392" s="25">
        <v>7000</v>
      </c>
      <c r="E392" s="25">
        <v>0</v>
      </c>
      <c r="F392" s="25">
        <v>0</v>
      </c>
      <c r="G392" s="43" t="s">
        <v>4619</v>
      </c>
      <c r="H392" s="25"/>
      <c r="I392" s="25" t="b">
        <v>0</v>
      </c>
      <c r="J392" s="25" t="b">
        <v>0</v>
      </c>
      <c r="K392" s="25" t="b">
        <v>1</v>
      </c>
      <c r="L392" s="25" t="s">
        <v>66</v>
      </c>
      <c r="M392" s="25" t="s">
        <v>5568</v>
      </c>
      <c r="N392" s="25" t="str">
        <f>_xlfn.IFNA(VLOOKUP($M392,Buff.CM!$A:$O,13,FALSE),"")</f>
        <v>icon_battle_cooldown</v>
      </c>
      <c r="O392" s="25" t="str">
        <f>_xlfn.IFNA(VLOOKUP($M392,Buff.CM!$A:$O,14,FALSE),"")</f>
        <v>Buff.Name.AccelerationSkillTime.Up.00</v>
      </c>
      <c r="P392" s="25" t="str">
        <f>_xlfn.IFNA(VLOOKUP($M392,Buff.CM!$A:$O,15,FALSE),"")</f>
        <v>Buff.Desc.AccelerationSkillTime.Up.00</v>
      </c>
      <c r="Q392" s="25" t="b">
        <v>0</v>
      </c>
      <c r="R392" s="25" t="b">
        <v>0</v>
      </c>
    </row>
    <row r="393" spans="1:18">
      <c r="A393" s="25" t="s">
        <v>8120</v>
      </c>
      <c r="B393" s="25" t="s">
        <v>5470</v>
      </c>
      <c r="C393" s="25" t="s">
        <v>5471</v>
      </c>
      <c r="D393" s="25">
        <v>8000</v>
      </c>
      <c r="E393" s="25">
        <v>0</v>
      </c>
      <c r="F393" s="25">
        <v>0</v>
      </c>
      <c r="G393" s="43" t="s">
        <v>4620</v>
      </c>
      <c r="H393" s="25"/>
      <c r="I393" s="25" t="b">
        <v>0</v>
      </c>
      <c r="J393" s="25" t="b">
        <v>0</v>
      </c>
      <c r="K393" s="25" t="b">
        <v>1</v>
      </c>
      <c r="L393" s="25" t="s">
        <v>66</v>
      </c>
      <c r="M393" s="25" t="s">
        <v>5568</v>
      </c>
      <c r="N393" s="25" t="str">
        <f>_xlfn.IFNA(VLOOKUP($M393,Buff.CM!$A:$O,13,FALSE),"")</f>
        <v>icon_battle_cooldown</v>
      </c>
      <c r="O393" s="25" t="str">
        <f>_xlfn.IFNA(VLOOKUP($M393,Buff.CM!$A:$O,14,FALSE),"")</f>
        <v>Buff.Name.AccelerationSkillTime.Up.00</v>
      </c>
      <c r="P393" s="25" t="str">
        <f>_xlfn.IFNA(VLOOKUP($M393,Buff.CM!$A:$O,15,FALSE),"")</f>
        <v>Buff.Desc.AccelerationSkillTime.Up.00</v>
      </c>
      <c r="Q393" s="25" t="b">
        <v>0</v>
      </c>
      <c r="R393" s="25" t="b">
        <v>0</v>
      </c>
    </row>
    <row r="394" spans="1:18">
      <c r="A394" s="34" t="s">
        <v>8121</v>
      </c>
      <c r="B394" s="34" t="s">
        <v>5470</v>
      </c>
      <c r="C394" s="34" t="s">
        <v>5471</v>
      </c>
      <c r="D394" s="34">
        <v>8000</v>
      </c>
      <c r="E394" s="34">
        <v>0</v>
      </c>
      <c r="F394" s="34">
        <v>0</v>
      </c>
      <c r="G394" s="40" t="s">
        <v>4621</v>
      </c>
      <c r="H394" s="34"/>
      <c r="I394" s="34" t="b">
        <v>0</v>
      </c>
      <c r="J394" s="34" t="b">
        <v>0</v>
      </c>
      <c r="K394" s="34" t="b">
        <v>1</v>
      </c>
      <c r="L394" s="34" t="s">
        <v>66</v>
      </c>
      <c r="M394" s="34" t="s">
        <v>5568</v>
      </c>
      <c r="N394" s="34" t="str">
        <f>_xlfn.IFNA(VLOOKUP($M394,Buff.CM!$A:$O,13,FALSE),"")</f>
        <v>icon_battle_cooldown</v>
      </c>
      <c r="O394" s="34" t="str">
        <f>_xlfn.IFNA(VLOOKUP($M394,Buff.CM!$A:$O,14,FALSE),"")</f>
        <v>Buff.Name.AccelerationSkillTime.Up.00</v>
      </c>
      <c r="P394" s="34" t="str">
        <f>_xlfn.IFNA(VLOOKUP($M394,Buff.CM!$A:$O,15,FALSE),"")</f>
        <v>Buff.Desc.AccelerationSkillTime.Up.00</v>
      </c>
      <c r="Q394" s="34" t="b">
        <v>0</v>
      </c>
      <c r="R394" s="34" t="b">
        <v>0</v>
      </c>
    </row>
    <row r="395" spans="1:18">
      <c r="A395" s="34" t="s">
        <v>8122</v>
      </c>
      <c r="B395" s="34" t="s">
        <v>5470</v>
      </c>
      <c r="C395" s="34" t="s">
        <v>5471</v>
      </c>
      <c r="D395" s="34">
        <v>8000</v>
      </c>
      <c r="E395" s="34">
        <v>0</v>
      </c>
      <c r="F395" s="34">
        <v>0</v>
      </c>
      <c r="G395" s="40" t="s">
        <v>4622</v>
      </c>
      <c r="H395" s="34"/>
      <c r="I395" s="34" t="b">
        <v>0</v>
      </c>
      <c r="J395" s="34" t="b">
        <v>0</v>
      </c>
      <c r="K395" s="34" t="b">
        <v>1</v>
      </c>
      <c r="L395" s="34" t="s">
        <v>66</v>
      </c>
      <c r="M395" s="34" t="s">
        <v>5568</v>
      </c>
      <c r="N395" s="34" t="str">
        <f>_xlfn.IFNA(VLOOKUP($M395,Buff.CM!$A:$O,13,FALSE),"")</f>
        <v>icon_battle_cooldown</v>
      </c>
      <c r="O395" s="34" t="str">
        <f>_xlfn.IFNA(VLOOKUP($M395,Buff.CM!$A:$O,14,FALSE),"")</f>
        <v>Buff.Name.AccelerationSkillTime.Up.00</v>
      </c>
      <c r="P395" s="34" t="str">
        <f>_xlfn.IFNA(VLOOKUP($M395,Buff.CM!$A:$O,15,FALSE),"")</f>
        <v>Buff.Desc.AccelerationSkillTime.Up.00</v>
      </c>
      <c r="Q395" s="34" t="b">
        <v>0</v>
      </c>
      <c r="R395" s="34" t="b">
        <v>0</v>
      </c>
    </row>
    <row r="396" spans="1:18">
      <c r="A396" s="25" t="s">
        <v>8123</v>
      </c>
      <c r="B396" s="25" t="s">
        <v>5470</v>
      </c>
      <c r="C396" s="25" t="s">
        <v>7232</v>
      </c>
      <c r="D396" s="25">
        <v>5000</v>
      </c>
      <c r="E396" s="25">
        <v>0</v>
      </c>
      <c r="F396" s="25">
        <v>0</v>
      </c>
      <c r="G396" s="43" t="s">
        <v>6643</v>
      </c>
      <c r="H396" s="25"/>
      <c r="I396" s="25" t="b">
        <v>0</v>
      </c>
      <c r="J396" s="25" t="b">
        <v>0</v>
      </c>
      <c r="K396" s="25" t="b">
        <v>1</v>
      </c>
      <c r="L396" s="25" t="s">
        <v>66</v>
      </c>
      <c r="M396" s="25" t="s">
        <v>5568</v>
      </c>
      <c r="N396" s="25" t="str">
        <f>_xlfn.IFNA(VLOOKUP($M396,Buff.CM!$A:$O,13,FALSE),"")</f>
        <v>icon_battle_cooldown</v>
      </c>
      <c r="O396" s="25" t="str">
        <f>_xlfn.IFNA(VLOOKUP($M396,Buff.CM!$A:$O,14,FALSE),"")</f>
        <v>Buff.Name.AccelerationSkillTime.Up.00</v>
      </c>
      <c r="P396" s="25" t="str">
        <f>_xlfn.IFNA(VLOOKUP($M396,Buff.CM!$A:$O,15,FALSE),"")</f>
        <v>Buff.Desc.AccelerationSkillTime.Up.00</v>
      </c>
      <c r="Q396" s="25" t="b">
        <v>0</v>
      </c>
      <c r="R396" s="25" t="b">
        <v>0</v>
      </c>
    </row>
    <row r="397" spans="1:18">
      <c r="A397" s="25" t="s">
        <v>8124</v>
      </c>
      <c r="B397" s="25" t="s">
        <v>5470</v>
      </c>
      <c r="C397" s="25" t="s">
        <v>7232</v>
      </c>
      <c r="D397" s="25">
        <v>6000</v>
      </c>
      <c r="E397" s="25">
        <v>0</v>
      </c>
      <c r="F397" s="25">
        <v>0</v>
      </c>
      <c r="G397" s="43" t="s">
        <v>4617</v>
      </c>
      <c r="H397" s="25"/>
      <c r="I397" s="25" t="b">
        <v>0</v>
      </c>
      <c r="J397" s="25" t="b">
        <v>0</v>
      </c>
      <c r="K397" s="25" t="b">
        <v>1</v>
      </c>
      <c r="L397" s="25" t="s">
        <v>66</v>
      </c>
      <c r="M397" s="25" t="s">
        <v>5568</v>
      </c>
      <c r="N397" s="25" t="str">
        <f>_xlfn.IFNA(VLOOKUP($M397,Buff.CM!$A:$O,13,FALSE),"")</f>
        <v>icon_battle_cooldown</v>
      </c>
      <c r="O397" s="25" t="str">
        <f>_xlfn.IFNA(VLOOKUP($M397,Buff.CM!$A:$O,14,FALSE),"")</f>
        <v>Buff.Name.AccelerationSkillTime.Up.00</v>
      </c>
      <c r="P397" s="25" t="str">
        <f>_xlfn.IFNA(VLOOKUP($M397,Buff.CM!$A:$O,15,FALSE),"")</f>
        <v>Buff.Desc.AccelerationSkillTime.Up.00</v>
      </c>
      <c r="Q397" s="25" t="b">
        <v>0</v>
      </c>
      <c r="R397" s="25" t="b">
        <v>0</v>
      </c>
    </row>
    <row r="398" spans="1:18">
      <c r="A398" s="25" t="s">
        <v>8125</v>
      </c>
      <c r="B398" s="25" t="s">
        <v>5470</v>
      </c>
      <c r="C398" s="25" t="s">
        <v>7232</v>
      </c>
      <c r="D398" s="25">
        <v>6000</v>
      </c>
      <c r="E398" s="25">
        <v>0</v>
      </c>
      <c r="F398" s="25">
        <v>0</v>
      </c>
      <c r="G398" s="43" t="s">
        <v>4618</v>
      </c>
      <c r="H398" s="25"/>
      <c r="I398" s="25" t="b">
        <v>0</v>
      </c>
      <c r="J398" s="25" t="b">
        <v>0</v>
      </c>
      <c r="K398" s="25" t="b">
        <v>1</v>
      </c>
      <c r="L398" s="25" t="s">
        <v>66</v>
      </c>
      <c r="M398" s="25" t="s">
        <v>5568</v>
      </c>
      <c r="N398" s="25" t="str">
        <f>_xlfn.IFNA(VLOOKUP($M398,Buff.CM!$A:$O,13,FALSE),"")</f>
        <v>icon_battle_cooldown</v>
      </c>
      <c r="O398" s="25" t="str">
        <f>_xlfn.IFNA(VLOOKUP($M398,Buff.CM!$A:$O,14,FALSE),"")</f>
        <v>Buff.Name.AccelerationSkillTime.Up.00</v>
      </c>
      <c r="P398" s="25" t="str">
        <f>_xlfn.IFNA(VLOOKUP($M398,Buff.CM!$A:$O,15,FALSE),"")</f>
        <v>Buff.Desc.AccelerationSkillTime.Up.00</v>
      </c>
      <c r="Q398" s="25" t="b">
        <v>0</v>
      </c>
      <c r="R398" s="25" t="b">
        <v>0</v>
      </c>
    </row>
    <row r="399" spans="1:18">
      <c r="A399" s="25" t="s">
        <v>8126</v>
      </c>
      <c r="B399" s="25" t="s">
        <v>5470</v>
      </c>
      <c r="C399" s="25" t="s">
        <v>7232</v>
      </c>
      <c r="D399" s="25">
        <v>7000</v>
      </c>
      <c r="E399" s="25">
        <v>0</v>
      </c>
      <c r="F399" s="25">
        <v>0</v>
      </c>
      <c r="G399" s="43" t="s">
        <v>4619</v>
      </c>
      <c r="H399" s="25"/>
      <c r="I399" s="25" t="b">
        <v>0</v>
      </c>
      <c r="J399" s="25" t="b">
        <v>0</v>
      </c>
      <c r="K399" s="25" t="b">
        <v>1</v>
      </c>
      <c r="L399" s="25" t="s">
        <v>66</v>
      </c>
      <c r="M399" s="25" t="s">
        <v>5568</v>
      </c>
      <c r="N399" s="25" t="str">
        <f>_xlfn.IFNA(VLOOKUP($M399,Buff.CM!$A:$O,13,FALSE),"")</f>
        <v>icon_battle_cooldown</v>
      </c>
      <c r="O399" s="25" t="str">
        <f>_xlfn.IFNA(VLOOKUP($M399,Buff.CM!$A:$O,14,FALSE),"")</f>
        <v>Buff.Name.AccelerationSkillTime.Up.00</v>
      </c>
      <c r="P399" s="25" t="str">
        <f>_xlfn.IFNA(VLOOKUP($M399,Buff.CM!$A:$O,15,FALSE),"")</f>
        <v>Buff.Desc.AccelerationSkillTime.Up.00</v>
      </c>
      <c r="Q399" s="25" t="b">
        <v>0</v>
      </c>
      <c r="R399" s="25" t="b">
        <v>0</v>
      </c>
    </row>
    <row r="400" spans="1:18">
      <c r="A400" s="25" t="s">
        <v>8127</v>
      </c>
      <c r="B400" s="25" t="s">
        <v>5470</v>
      </c>
      <c r="C400" s="25" t="s">
        <v>7232</v>
      </c>
      <c r="D400" s="25">
        <v>8000</v>
      </c>
      <c r="E400" s="25">
        <v>0</v>
      </c>
      <c r="F400" s="25">
        <v>0</v>
      </c>
      <c r="G400" s="43" t="s">
        <v>4620</v>
      </c>
      <c r="H400" s="25"/>
      <c r="I400" s="25" t="b">
        <v>0</v>
      </c>
      <c r="J400" s="25" t="b">
        <v>0</v>
      </c>
      <c r="K400" s="25" t="b">
        <v>1</v>
      </c>
      <c r="L400" s="25" t="s">
        <v>66</v>
      </c>
      <c r="M400" s="25" t="s">
        <v>5568</v>
      </c>
      <c r="N400" s="25" t="str">
        <f>_xlfn.IFNA(VLOOKUP($M400,Buff.CM!$A:$O,13,FALSE),"")</f>
        <v>icon_battle_cooldown</v>
      </c>
      <c r="O400" s="25" t="str">
        <f>_xlfn.IFNA(VLOOKUP($M400,Buff.CM!$A:$O,14,FALSE),"")</f>
        <v>Buff.Name.AccelerationSkillTime.Up.00</v>
      </c>
      <c r="P400" s="25" t="str">
        <f>_xlfn.IFNA(VLOOKUP($M400,Buff.CM!$A:$O,15,FALSE),"")</f>
        <v>Buff.Desc.AccelerationSkillTime.Up.00</v>
      </c>
      <c r="Q400" s="25" t="b">
        <v>0</v>
      </c>
      <c r="R400" s="25" t="b">
        <v>0</v>
      </c>
    </row>
    <row r="401" spans="1:18">
      <c r="A401" s="34" t="s">
        <v>8128</v>
      </c>
      <c r="B401" s="34" t="s">
        <v>5470</v>
      </c>
      <c r="C401" s="34" t="s">
        <v>7232</v>
      </c>
      <c r="D401" s="34">
        <v>8000</v>
      </c>
      <c r="E401" s="34">
        <v>0</v>
      </c>
      <c r="F401" s="34">
        <v>0</v>
      </c>
      <c r="G401" s="40" t="s">
        <v>4621</v>
      </c>
      <c r="H401" s="34"/>
      <c r="I401" s="34" t="b">
        <v>0</v>
      </c>
      <c r="J401" s="34" t="b">
        <v>0</v>
      </c>
      <c r="K401" s="34" t="b">
        <v>1</v>
      </c>
      <c r="L401" s="34" t="s">
        <v>66</v>
      </c>
      <c r="M401" s="34" t="s">
        <v>5568</v>
      </c>
      <c r="N401" s="34" t="str">
        <f>_xlfn.IFNA(VLOOKUP($M401,Buff.CM!$A:$O,13,FALSE),"")</f>
        <v>icon_battle_cooldown</v>
      </c>
      <c r="O401" s="34" t="str">
        <f>_xlfn.IFNA(VLOOKUP($M401,Buff.CM!$A:$O,14,FALSE),"")</f>
        <v>Buff.Name.AccelerationSkillTime.Up.00</v>
      </c>
      <c r="P401" s="34" t="str">
        <f>_xlfn.IFNA(VLOOKUP($M401,Buff.CM!$A:$O,15,FALSE),"")</f>
        <v>Buff.Desc.AccelerationSkillTime.Up.00</v>
      </c>
      <c r="Q401" s="34" t="b">
        <v>0</v>
      </c>
      <c r="R401" s="34" t="b">
        <v>0</v>
      </c>
    </row>
    <row r="402" spans="1:18">
      <c r="A402" s="34" t="s">
        <v>8129</v>
      </c>
      <c r="B402" s="34" t="s">
        <v>5470</v>
      </c>
      <c r="C402" s="34" t="s">
        <v>7232</v>
      </c>
      <c r="D402" s="34">
        <v>8000</v>
      </c>
      <c r="E402" s="34">
        <v>0</v>
      </c>
      <c r="F402" s="34">
        <v>0</v>
      </c>
      <c r="G402" s="40" t="s">
        <v>4622</v>
      </c>
      <c r="H402" s="34"/>
      <c r="I402" s="34" t="b">
        <v>0</v>
      </c>
      <c r="J402" s="34" t="b">
        <v>0</v>
      </c>
      <c r="K402" s="34" t="b">
        <v>1</v>
      </c>
      <c r="L402" s="34" t="s">
        <v>66</v>
      </c>
      <c r="M402" s="34" t="s">
        <v>5568</v>
      </c>
      <c r="N402" s="34" t="str">
        <f>_xlfn.IFNA(VLOOKUP($M402,Buff.CM!$A:$O,13,FALSE),"")</f>
        <v>icon_battle_cooldown</v>
      </c>
      <c r="O402" s="34" t="str">
        <f>_xlfn.IFNA(VLOOKUP($M402,Buff.CM!$A:$O,14,FALSE),"")</f>
        <v>Buff.Name.AccelerationSkillTime.Up.00</v>
      </c>
      <c r="P402" s="34" t="str">
        <f>_xlfn.IFNA(VLOOKUP($M402,Buff.CM!$A:$O,15,FALSE),"")</f>
        <v>Buff.Desc.AccelerationSkillTime.Up.00</v>
      </c>
      <c r="Q402" s="34" t="b">
        <v>0</v>
      </c>
      <c r="R402" s="34" t="b">
        <v>0</v>
      </c>
    </row>
    <row r="403" spans="1:18">
      <c r="A403" s="25" t="s">
        <v>3243</v>
      </c>
      <c r="B403" s="25"/>
      <c r="C403" s="25"/>
      <c r="D403" s="25">
        <v>30000</v>
      </c>
      <c r="E403" s="25">
        <v>0</v>
      </c>
      <c r="F403" s="25">
        <v>0</v>
      </c>
      <c r="G403" s="25" t="s">
        <v>3244</v>
      </c>
      <c r="H403" s="25"/>
      <c r="I403" s="25" t="b">
        <v>0</v>
      </c>
      <c r="J403" s="25" t="b">
        <v>0</v>
      </c>
      <c r="K403" s="25" t="b">
        <v>1</v>
      </c>
      <c r="L403" s="25" t="s">
        <v>66</v>
      </c>
      <c r="M403" s="25"/>
      <c r="N403" s="25" t="str">
        <f>_xlfn.IFNA(VLOOKUP($M403,Buff.CM!$A:$O,13,FALSE),"")</f>
        <v/>
      </c>
      <c r="O403" s="25" t="str">
        <f>_xlfn.IFNA(VLOOKUP($M403,Buff.CM!$A:$O,14,FALSE),"")</f>
        <v/>
      </c>
      <c r="P403" s="25" t="str">
        <f>_xlfn.IFNA(VLOOKUP($M403,Buff.CM!$A:$O,15,FALSE),"")</f>
        <v/>
      </c>
      <c r="Q403" s="25" t="b">
        <v>0</v>
      </c>
      <c r="R403" s="25" t="b">
        <v>0</v>
      </c>
    </row>
    <row r="404" spans="1:18">
      <c r="A404" s="25" t="s">
        <v>3237</v>
      </c>
      <c r="B404" s="25"/>
      <c r="C404" s="25"/>
      <c r="D404" s="25">
        <v>30000</v>
      </c>
      <c r="E404" s="25">
        <v>0</v>
      </c>
      <c r="F404" s="25">
        <v>0</v>
      </c>
      <c r="G404" s="25" t="s">
        <v>3245</v>
      </c>
      <c r="H404" s="25"/>
      <c r="I404" s="25" t="b">
        <v>0</v>
      </c>
      <c r="J404" s="25" t="b">
        <v>0</v>
      </c>
      <c r="K404" s="25" t="b">
        <v>1</v>
      </c>
      <c r="L404" s="25" t="s">
        <v>66</v>
      </c>
      <c r="M404" s="25"/>
      <c r="N404" s="25" t="str">
        <f>_xlfn.IFNA(VLOOKUP($M404,Buff.CM!$A:$O,13,FALSE),"")</f>
        <v/>
      </c>
      <c r="O404" s="25" t="str">
        <f>_xlfn.IFNA(VLOOKUP($M404,Buff.CM!$A:$O,14,FALSE),"")</f>
        <v/>
      </c>
      <c r="P404" s="25" t="str">
        <f>_xlfn.IFNA(VLOOKUP($M404,Buff.CM!$A:$O,15,FALSE),"")</f>
        <v/>
      </c>
      <c r="Q404" s="25" t="b">
        <v>0</v>
      </c>
      <c r="R404" s="25" t="b">
        <v>0</v>
      </c>
    </row>
    <row r="405" spans="1:18">
      <c r="A405" s="25" t="s">
        <v>3238</v>
      </c>
      <c r="B405" s="25"/>
      <c r="C405" s="25"/>
      <c r="D405" s="25">
        <v>30000</v>
      </c>
      <c r="E405" s="25">
        <v>0</v>
      </c>
      <c r="F405" s="25">
        <v>0</v>
      </c>
      <c r="G405" s="25" t="s">
        <v>3246</v>
      </c>
      <c r="H405" s="25"/>
      <c r="I405" s="25" t="b">
        <v>0</v>
      </c>
      <c r="J405" s="25" t="b">
        <v>0</v>
      </c>
      <c r="K405" s="25" t="b">
        <v>1</v>
      </c>
      <c r="L405" s="25" t="s">
        <v>66</v>
      </c>
      <c r="M405" s="25"/>
      <c r="N405" s="25" t="str">
        <f>_xlfn.IFNA(VLOOKUP($M405,Buff.CM!$A:$O,13,FALSE),"")</f>
        <v/>
      </c>
      <c r="O405" s="25" t="str">
        <f>_xlfn.IFNA(VLOOKUP($M405,Buff.CM!$A:$O,14,FALSE),"")</f>
        <v/>
      </c>
      <c r="P405" s="25" t="str">
        <f>_xlfn.IFNA(VLOOKUP($M405,Buff.CM!$A:$O,15,FALSE),"")</f>
        <v/>
      </c>
      <c r="Q405" s="25" t="b">
        <v>0</v>
      </c>
      <c r="R405" s="25" t="b">
        <v>0</v>
      </c>
    </row>
    <row r="406" spans="1:18">
      <c r="A406" s="25" t="s">
        <v>3239</v>
      </c>
      <c r="B406" s="25"/>
      <c r="C406" s="25"/>
      <c r="D406" s="25">
        <v>30000</v>
      </c>
      <c r="E406" s="25">
        <v>0</v>
      </c>
      <c r="F406" s="25">
        <v>0</v>
      </c>
      <c r="G406" s="25" t="s">
        <v>3247</v>
      </c>
      <c r="H406" s="25"/>
      <c r="I406" s="25" t="b">
        <v>0</v>
      </c>
      <c r="J406" s="25" t="b">
        <v>0</v>
      </c>
      <c r="K406" s="25" t="b">
        <v>1</v>
      </c>
      <c r="L406" s="25" t="s">
        <v>66</v>
      </c>
      <c r="M406" s="25"/>
      <c r="N406" s="25" t="str">
        <f>_xlfn.IFNA(VLOOKUP($M406,Buff.CM!$A:$O,13,FALSE),"")</f>
        <v/>
      </c>
      <c r="O406" s="25" t="str">
        <f>_xlfn.IFNA(VLOOKUP($M406,Buff.CM!$A:$O,14,FALSE),"")</f>
        <v/>
      </c>
      <c r="P406" s="25" t="str">
        <f>_xlfn.IFNA(VLOOKUP($M406,Buff.CM!$A:$O,15,FALSE),"")</f>
        <v/>
      </c>
      <c r="Q406" s="25" t="b">
        <v>0</v>
      </c>
      <c r="R406" s="25" t="b">
        <v>0</v>
      </c>
    </row>
    <row r="407" spans="1:18">
      <c r="A407" s="25" t="s">
        <v>3240</v>
      </c>
      <c r="B407" s="25"/>
      <c r="C407" s="25"/>
      <c r="D407" s="25">
        <v>30000</v>
      </c>
      <c r="E407" s="25">
        <v>0</v>
      </c>
      <c r="F407" s="25">
        <v>0</v>
      </c>
      <c r="G407" s="25" t="s">
        <v>3248</v>
      </c>
      <c r="H407" s="25"/>
      <c r="I407" s="25" t="b">
        <v>0</v>
      </c>
      <c r="J407" s="25" t="b">
        <v>0</v>
      </c>
      <c r="K407" s="25" t="b">
        <v>1</v>
      </c>
      <c r="L407" s="25" t="s">
        <v>66</v>
      </c>
      <c r="M407" s="25"/>
      <c r="N407" s="25" t="str">
        <f>_xlfn.IFNA(VLOOKUP($M407,Buff.CM!$A:$O,13,FALSE),"")</f>
        <v/>
      </c>
      <c r="O407" s="25" t="str">
        <f>_xlfn.IFNA(VLOOKUP($M407,Buff.CM!$A:$O,14,FALSE),"")</f>
        <v/>
      </c>
      <c r="P407" s="25" t="str">
        <f>_xlfn.IFNA(VLOOKUP($M407,Buff.CM!$A:$O,15,FALSE),"")</f>
        <v/>
      </c>
      <c r="Q407" s="25" t="b">
        <v>0</v>
      </c>
      <c r="R407" s="25" t="b">
        <v>0</v>
      </c>
    </row>
    <row r="408" spans="1:18">
      <c r="A408" s="34" t="s">
        <v>3241</v>
      </c>
      <c r="B408" s="34"/>
      <c r="C408" s="34"/>
      <c r="D408" s="34">
        <v>30000</v>
      </c>
      <c r="E408" s="34">
        <v>0</v>
      </c>
      <c r="F408" s="34">
        <v>0</v>
      </c>
      <c r="G408" s="34" t="s">
        <v>3249</v>
      </c>
      <c r="H408" s="34"/>
      <c r="I408" s="34" t="b">
        <v>0</v>
      </c>
      <c r="J408" s="34" t="b">
        <v>0</v>
      </c>
      <c r="K408" s="34" t="b">
        <v>1</v>
      </c>
      <c r="L408" s="34" t="s">
        <v>66</v>
      </c>
      <c r="M408" s="34"/>
      <c r="N408" s="34" t="str">
        <f>_xlfn.IFNA(VLOOKUP($M408,Buff.CM!$A:$O,13,FALSE),"")</f>
        <v/>
      </c>
      <c r="O408" s="34" t="str">
        <f>_xlfn.IFNA(VLOOKUP($M408,Buff.CM!$A:$O,14,FALSE),"")</f>
        <v/>
      </c>
      <c r="P408" s="34" t="str">
        <f>_xlfn.IFNA(VLOOKUP($M408,Buff.CM!$A:$O,15,FALSE),"")</f>
        <v/>
      </c>
      <c r="Q408" s="34" t="b">
        <v>0</v>
      </c>
      <c r="R408" s="34" t="b">
        <v>0</v>
      </c>
    </row>
    <row r="409" spans="1:18">
      <c r="A409" s="34" t="s">
        <v>3242</v>
      </c>
      <c r="B409" s="34"/>
      <c r="C409" s="34"/>
      <c r="D409" s="34">
        <v>30000</v>
      </c>
      <c r="E409" s="34">
        <v>0</v>
      </c>
      <c r="F409" s="34">
        <v>0</v>
      </c>
      <c r="G409" s="34" t="s">
        <v>3250</v>
      </c>
      <c r="H409" s="34"/>
      <c r="I409" s="34" t="b">
        <v>0</v>
      </c>
      <c r="J409" s="34" t="b">
        <v>0</v>
      </c>
      <c r="K409" s="34" t="b">
        <v>1</v>
      </c>
      <c r="L409" s="34" t="s">
        <v>66</v>
      </c>
      <c r="M409" s="34"/>
      <c r="N409" s="34" t="str">
        <f>_xlfn.IFNA(VLOOKUP($M409,Buff.CM!$A:$O,13,FALSE),"")</f>
        <v/>
      </c>
      <c r="O409" s="34" t="str">
        <f>_xlfn.IFNA(VLOOKUP($M409,Buff.CM!$A:$O,14,FALSE),"")</f>
        <v/>
      </c>
      <c r="P409" s="34" t="str">
        <f>_xlfn.IFNA(VLOOKUP($M409,Buff.CM!$A:$O,15,FALSE),"")</f>
        <v/>
      </c>
      <c r="Q409" s="34" t="b">
        <v>0</v>
      </c>
      <c r="R409" s="34" t="b">
        <v>0</v>
      </c>
    </row>
    <row r="410" spans="1:18">
      <c r="A410" s="44" t="s">
        <v>6644</v>
      </c>
      <c r="B410" s="44"/>
      <c r="C410" s="44"/>
      <c r="D410" s="44">
        <v>0</v>
      </c>
      <c r="E410" s="44">
        <v>15</v>
      </c>
      <c r="F410" s="44">
        <v>1</v>
      </c>
      <c r="G410" s="44" t="s">
        <v>6645</v>
      </c>
      <c r="H410" s="44"/>
      <c r="I410" s="44" t="b">
        <v>1</v>
      </c>
      <c r="J410" s="44" t="b">
        <v>0</v>
      </c>
      <c r="K410" s="44" t="b">
        <v>1</v>
      </c>
      <c r="L410" s="44" t="s">
        <v>66</v>
      </c>
      <c r="M410" s="44" t="s">
        <v>5618</v>
      </c>
      <c r="N410" s="34" t="str">
        <f>_xlfn.IFNA(VLOOKUP($M410,Buff.CM!$A:$O,13,FALSE),"")</f>
        <v>icon_battle_balencia_ironfist</v>
      </c>
      <c r="O410" s="34" t="str">
        <f>_xlfn.IFNA(VLOOKUP($M410,Buff.CM!$A:$O,14,FALSE),"")</f>
        <v>info.balencia.buff.ironfist</v>
      </c>
      <c r="P410" s="34" t="str">
        <f>_xlfn.IFNA(VLOOKUP($M410,Buff.CM!$A:$O,15,FALSE),"")</f>
        <v>Desc.info.balencia.buff.ironfist</v>
      </c>
      <c r="Q410" s="44" t="b">
        <v>0</v>
      </c>
      <c r="R410" s="44" t="b">
        <v>0</v>
      </c>
    </row>
    <row r="411" spans="1:18" s="143" customFormat="1">
      <c r="A411" s="25" t="s">
        <v>6646</v>
      </c>
      <c r="B411" s="25"/>
      <c r="C411" s="25"/>
      <c r="D411" s="25">
        <v>1000</v>
      </c>
      <c r="E411" s="25">
        <v>0</v>
      </c>
      <c r="F411" s="25">
        <v>0</v>
      </c>
      <c r="G411" s="25" t="s">
        <v>243</v>
      </c>
      <c r="H411" s="25"/>
      <c r="I411" s="25" t="b">
        <v>0</v>
      </c>
      <c r="J411" s="25" t="b">
        <v>0</v>
      </c>
      <c r="K411" s="25" t="b">
        <v>0</v>
      </c>
      <c r="L411" s="25" t="s">
        <v>314</v>
      </c>
      <c r="M411" s="25" t="s">
        <v>5468</v>
      </c>
      <c r="N411" s="25" t="str">
        <f>_xlfn.IFNA(VLOOKUP($M411,Buff.CM!$A:$O,13,FALSE),"")</f>
        <v>icon_battle_stun</v>
      </c>
      <c r="O411" s="25" t="str">
        <f>_xlfn.IFNA(VLOOKUP($M411,Buff.CM!$A:$O,14,FALSE),"")</f>
        <v>Buff.Name.Stun</v>
      </c>
      <c r="P411" s="25" t="str">
        <f>_xlfn.IFNA(VLOOKUP($M411,Buff.CM!$A:$O,15,FALSE),"")</f>
        <v>Buff.Desc.Stun</v>
      </c>
      <c r="Q411" s="25" t="b">
        <v>0</v>
      </c>
      <c r="R411" s="25" t="b">
        <v>0</v>
      </c>
    </row>
    <row r="412" spans="1:18">
      <c r="A412" s="44" t="s">
        <v>6647</v>
      </c>
      <c r="B412" s="44"/>
      <c r="C412" s="44"/>
      <c r="D412" s="44">
        <v>0</v>
      </c>
      <c r="E412" s="44">
        <v>0</v>
      </c>
      <c r="F412" s="44">
        <v>0</v>
      </c>
      <c r="G412" s="44" t="s">
        <v>6648</v>
      </c>
      <c r="H412" s="44"/>
      <c r="I412" s="44" t="b">
        <v>0</v>
      </c>
      <c r="J412" s="44" t="b">
        <v>0</v>
      </c>
      <c r="K412" s="44" t="b">
        <v>1</v>
      </c>
      <c r="L412" s="44" t="s">
        <v>66</v>
      </c>
      <c r="M412" s="44"/>
      <c r="N412" s="44" t="str">
        <f>_xlfn.IFNA(VLOOKUP($M412,Buff.CM!$A:$O,13,FALSE),"")</f>
        <v/>
      </c>
      <c r="O412" s="44" t="str">
        <f>_xlfn.IFNA(VLOOKUP($M412,Buff.CM!$A:$O,14,FALSE),"")</f>
        <v/>
      </c>
      <c r="P412" s="44" t="str">
        <f>_xlfn.IFNA(VLOOKUP($M412,Buff.CM!$A:$O,15,FALSE),"")</f>
        <v/>
      </c>
      <c r="Q412" s="44" t="b">
        <v>0</v>
      </c>
      <c r="R412" s="44" t="b">
        <v>0</v>
      </c>
    </row>
    <row r="413" spans="1:18">
      <c r="A413" s="25" t="s">
        <v>8130</v>
      </c>
      <c r="B413" s="25" t="s">
        <v>5470</v>
      </c>
      <c r="C413" s="25" t="s">
        <v>5471</v>
      </c>
      <c r="D413" s="25">
        <v>4500</v>
      </c>
      <c r="E413" s="25">
        <v>0</v>
      </c>
      <c r="F413" s="25">
        <v>0</v>
      </c>
      <c r="G413" s="25" t="s">
        <v>8183</v>
      </c>
      <c r="H413" s="25"/>
      <c r="I413" s="25" t="b">
        <v>0</v>
      </c>
      <c r="J413" s="25" t="b">
        <v>0</v>
      </c>
      <c r="K413" s="25" t="b">
        <v>1</v>
      </c>
      <c r="L413" s="25" t="s">
        <v>5473</v>
      </c>
      <c r="M413" s="25" t="s">
        <v>8183</v>
      </c>
      <c r="N413" s="25" t="str">
        <f>_xlfn.IFNA(VLOOKUP($M413,Buff.CM!$A:$O,13,FALSE),"")</f>
        <v>icon_battle_criticaldamage</v>
      </c>
      <c r="O413" s="25" t="str">
        <f>_xlfn.IFNA(VLOOKUP($M413,Buff.CM!$A:$O,14,FALSE),"")</f>
        <v>Buff.Name.CriticalDamage.Up.02</v>
      </c>
      <c r="P413" s="25" t="str">
        <f>_xlfn.IFNA(VLOOKUP($M413,Buff.CM!$A:$O,15,FALSE),"")</f>
        <v>Buff.Desc.CriticalDamage.Up.02</v>
      </c>
      <c r="Q413" s="25" t="b">
        <v>0</v>
      </c>
      <c r="R413" s="25" t="b">
        <v>0</v>
      </c>
    </row>
    <row r="414" spans="1:18">
      <c r="A414" s="25" t="s">
        <v>8131</v>
      </c>
      <c r="B414" s="25" t="s">
        <v>5470</v>
      </c>
      <c r="C414" s="25" t="s">
        <v>5471</v>
      </c>
      <c r="D414" s="25">
        <v>5000</v>
      </c>
      <c r="E414" s="25">
        <v>0</v>
      </c>
      <c r="F414" s="25">
        <v>0</v>
      </c>
      <c r="G414" s="25" t="s">
        <v>8183</v>
      </c>
      <c r="H414" s="25"/>
      <c r="I414" s="25" t="b">
        <v>0</v>
      </c>
      <c r="J414" s="25" t="b">
        <v>0</v>
      </c>
      <c r="K414" s="25" t="b">
        <v>1</v>
      </c>
      <c r="L414" s="25" t="s">
        <v>5473</v>
      </c>
      <c r="M414" s="25" t="s">
        <v>8183</v>
      </c>
      <c r="N414" s="25" t="str">
        <f>_xlfn.IFNA(VLOOKUP($M414,Buff.CM!$A:$O,13,FALSE),"")</f>
        <v>icon_battle_criticaldamage</v>
      </c>
      <c r="O414" s="25" t="str">
        <f>_xlfn.IFNA(VLOOKUP($M414,Buff.CM!$A:$O,14,FALSE),"")</f>
        <v>Buff.Name.CriticalDamage.Up.02</v>
      </c>
      <c r="P414" s="25" t="str">
        <f>_xlfn.IFNA(VLOOKUP($M414,Buff.CM!$A:$O,15,FALSE),"")</f>
        <v>Buff.Desc.CriticalDamage.Up.02</v>
      </c>
      <c r="Q414" s="25" t="b">
        <v>0</v>
      </c>
      <c r="R414" s="25" t="b">
        <v>0</v>
      </c>
    </row>
    <row r="415" spans="1:18">
      <c r="A415" s="25" t="s">
        <v>8132</v>
      </c>
      <c r="B415" s="25" t="s">
        <v>5470</v>
      </c>
      <c r="C415" s="25" t="s">
        <v>5471</v>
      </c>
      <c r="D415" s="25">
        <v>5500</v>
      </c>
      <c r="E415" s="25">
        <v>0</v>
      </c>
      <c r="F415" s="25">
        <v>0</v>
      </c>
      <c r="G415" s="25" t="s">
        <v>8184</v>
      </c>
      <c r="H415" s="25"/>
      <c r="I415" s="25" t="b">
        <v>0</v>
      </c>
      <c r="J415" s="25" t="b">
        <v>0</v>
      </c>
      <c r="K415" s="25" t="b">
        <v>1</v>
      </c>
      <c r="L415" s="25" t="s">
        <v>5473</v>
      </c>
      <c r="M415" s="25" t="s">
        <v>8184</v>
      </c>
      <c r="N415" s="25" t="str">
        <f>_xlfn.IFNA(VLOOKUP($M415,Buff.CM!$A:$O,13,FALSE),"")</f>
        <v>icon_battle_criticaldamage</v>
      </c>
      <c r="O415" s="25" t="str">
        <f>_xlfn.IFNA(VLOOKUP($M415,Buff.CM!$A:$O,14,FALSE),"")</f>
        <v>Buff.Name.CriticalDamage.Up.03</v>
      </c>
      <c r="P415" s="25" t="str">
        <f>_xlfn.IFNA(VLOOKUP($M415,Buff.CM!$A:$O,15,FALSE),"")</f>
        <v>Buff.Desc.CriticalDamage.Up.03</v>
      </c>
      <c r="Q415" s="25" t="b">
        <v>0</v>
      </c>
      <c r="R415" s="25" t="b">
        <v>0</v>
      </c>
    </row>
    <row r="416" spans="1:18">
      <c r="A416" s="34" t="s">
        <v>8133</v>
      </c>
      <c r="B416" s="34" t="s">
        <v>5470</v>
      </c>
      <c r="C416" s="34" t="s">
        <v>5471</v>
      </c>
      <c r="D416" s="34">
        <v>6000</v>
      </c>
      <c r="E416" s="34">
        <v>0</v>
      </c>
      <c r="F416" s="34">
        <v>0</v>
      </c>
      <c r="G416" s="34" t="s">
        <v>8184</v>
      </c>
      <c r="H416" s="34"/>
      <c r="I416" s="34" t="b">
        <v>0</v>
      </c>
      <c r="J416" s="34" t="b">
        <v>0</v>
      </c>
      <c r="K416" s="34" t="b">
        <v>1</v>
      </c>
      <c r="L416" s="34" t="s">
        <v>5473</v>
      </c>
      <c r="M416" s="34" t="s">
        <v>8184</v>
      </c>
      <c r="N416" s="34" t="str">
        <f>_xlfn.IFNA(VLOOKUP($M416,Buff.CM!$A:$O,13,FALSE),"")</f>
        <v>icon_battle_criticaldamage</v>
      </c>
      <c r="O416" s="34" t="str">
        <f>_xlfn.IFNA(VLOOKUP($M416,Buff.CM!$A:$O,14,FALSE),"")</f>
        <v>Buff.Name.CriticalDamage.Up.03</v>
      </c>
      <c r="P416" s="34" t="str">
        <f>_xlfn.IFNA(VLOOKUP($M416,Buff.CM!$A:$O,15,FALSE),"")</f>
        <v>Buff.Desc.CriticalDamage.Up.03</v>
      </c>
      <c r="Q416" s="34" t="b">
        <v>0</v>
      </c>
      <c r="R416" s="34" t="b">
        <v>0</v>
      </c>
    </row>
    <row r="417" spans="1:18">
      <c r="A417" s="34" t="s">
        <v>8134</v>
      </c>
      <c r="B417" s="34" t="s">
        <v>5470</v>
      </c>
      <c r="C417" s="34" t="s">
        <v>5471</v>
      </c>
      <c r="D417" s="34">
        <v>7000</v>
      </c>
      <c r="E417" s="34">
        <v>0</v>
      </c>
      <c r="F417" s="34">
        <v>0</v>
      </c>
      <c r="G417" s="34" t="s">
        <v>6677</v>
      </c>
      <c r="H417" s="34"/>
      <c r="I417" s="34" t="b">
        <v>0</v>
      </c>
      <c r="J417" s="34" t="b">
        <v>0</v>
      </c>
      <c r="K417" s="34" t="b">
        <v>1</v>
      </c>
      <c r="L417" s="34" t="s">
        <v>5473</v>
      </c>
      <c r="M417" s="34" t="s">
        <v>6677</v>
      </c>
      <c r="N417" s="34" t="str">
        <f>_xlfn.IFNA(VLOOKUP($M417,Buff.CM!$A:$O,13,FALSE),"")</f>
        <v>icon_battle_criticaldamage</v>
      </c>
      <c r="O417" s="34" t="str">
        <f>_xlfn.IFNA(VLOOKUP($M417,Buff.CM!$A:$O,14,FALSE),"")</f>
        <v>Buff.Name.CriticalDamage.Up.03</v>
      </c>
      <c r="P417" s="34" t="str">
        <f>_xlfn.IFNA(VLOOKUP($M417,Buff.CM!$A:$O,15,FALSE),"")</f>
        <v>Buff.Desc.CriticalDamage.Up.03</v>
      </c>
      <c r="Q417" s="34" t="b">
        <v>0</v>
      </c>
      <c r="R417" s="34" t="b">
        <v>0</v>
      </c>
    </row>
    <row r="418" spans="1:18">
      <c r="A418" s="34" t="s">
        <v>8135</v>
      </c>
      <c r="B418" s="34" t="s">
        <v>5470</v>
      </c>
      <c r="C418" s="34" t="s">
        <v>5471</v>
      </c>
      <c r="D418" s="34">
        <v>7000</v>
      </c>
      <c r="E418" s="34">
        <v>0</v>
      </c>
      <c r="F418" s="34">
        <v>0</v>
      </c>
      <c r="G418" s="34" t="s">
        <v>6677</v>
      </c>
      <c r="H418" s="34"/>
      <c r="I418" s="34" t="b">
        <v>0</v>
      </c>
      <c r="J418" s="34" t="b">
        <v>0</v>
      </c>
      <c r="K418" s="34" t="b">
        <v>1</v>
      </c>
      <c r="L418" s="34" t="s">
        <v>5473</v>
      </c>
      <c r="M418" s="34" t="s">
        <v>6677</v>
      </c>
      <c r="N418" s="34" t="str">
        <f>_xlfn.IFNA(VLOOKUP($M418,Buff.CM!$A:$O,13,FALSE),"")</f>
        <v>icon_battle_criticaldamage</v>
      </c>
      <c r="O418" s="34" t="str">
        <f>_xlfn.IFNA(VLOOKUP($M418,Buff.CM!$A:$O,14,FALSE),"")</f>
        <v>Buff.Name.CriticalDamage.Up.03</v>
      </c>
      <c r="P418" s="34" t="str">
        <f>_xlfn.IFNA(VLOOKUP($M418,Buff.CM!$A:$O,15,FALSE),"")</f>
        <v>Buff.Desc.CriticalDamage.Up.03</v>
      </c>
      <c r="Q418" s="34" t="b">
        <v>0</v>
      </c>
      <c r="R418" s="34" t="b">
        <v>0</v>
      </c>
    </row>
    <row r="419" spans="1:18">
      <c r="A419" s="25" t="s">
        <v>8136</v>
      </c>
      <c r="B419" s="25" t="s">
        <v>5470</v>
      </c>
      <c r="C419" s="25" t="s">
        <v>7232</v>
      </c>
      <c r="D419" s="25">
        <v>4500</v>
      </c>
      <c r="E419" s="25">
        <v>0</v>
      </c>
      <c r="F419" s="25">
        <v>0</v>
      </c>
      <c r="G419" s="25" t="s">
        <v>1428</v>
      </c>
      <c r="H419" s="25"/>
      <c r="I419" s="25" t="b">
        <v>0</v>
      </c>
      <c r="J419" s="25" t="b">
        <v>0</v>
      </c>
      <c r="K419" s="25" t="b">
        <v>1</v>
      </c>
      <c r="L419" s="25" t="s">
        <v>5473</v>
      </c>
      <c r="M419" s="25" t="s">
        <v>1428</v>
      </c>
      <c r="N419" s="25" t="str">
        <f>_xlfn.IFNA(VLOOKUP($M419,Buff.CM!$A:$O,13,FALSE),"")</f>
        <v>icon_battle_criticaldamage</v>
      </c>
      <c r="O419" s="25" t="str">
        <f>_xlfn.IFNA(VLOOKUP($M419,Buff.CM!$A:$O,14,FALSE),"")</f>
        <v>Buff.Name.CriticalDamage.Up.02</v>
      </c>
      <c r="P419" s="25" t="str">
        <f>_xlfn.IFNA(VLOOKUP($M419,Buff.CM!$A:$O,15,FALSE),"")</f>
        <v>Buff.Desc.CriticalDamage.Up.02</v>
      </c>
      <c r="Q419" s="25" t="b">
        <v>0</v>
      </c>
      <c r="R419" s="25" t="b">
        <v>0</v>
      </c>
    </row>
    <row r="420" spans="1:18">
      <c r="A420" s="25" t="s">
        <v>8137</v>
      </c>
      <c r="B420" s="25" t="s">
        <v>5470</v>
      </c>
      <c r="C420" s="25" t="s">
        <v>7232</v>
      </c>
      <c r="D420" s="25">
        <v>5000</v>
      </c>
      <c r="E420" s="25">
        <v>0</v>
      </c>
      <c r="F420" s="25">
        <v>0</v>
      </c>
      <c r="G420" s="25" t="s">
        <v>1428</v>
      </c>
      <c r="H420" s="25"/>
      <c r="I420" s="25" t="b">
        <v>0</v>
      </c>
      <c r="J420" s="25" t="b">
        <v>0</v>
      </c>
      <c r="K420" s="25" t="b">
        <v>1</v>
      </c>
      <c r="L420" s="25" t="s">
        <v>5473</v>
      </c>
      <c r="M420" s="25" t="s">
        <v>1428</v>
      </c>
      <c r="N420" s="25" t="str">
        <f>_xlfn.IFNA(VLOOKUP($M420,Buff.CM!$A:$O,13,FALSE),"")</f>
        <v>icon_battle_criticaldamage</v>
      </c>
      <c r="O420" s="25" t="str">
        <f>_xlfn.IFNA(VLOOKUP($M420,Buff.CM!$A:$O,14,FALSE),"")</f>
        <v>Buff.Name.CriticalDamage.Up.02</v>
      </c>
      <c r="P420" s="25" t="str">
        <f>_xlfn.IFNA(VLOOKUP($M420,Buff.CM!$A:$O,15,FALSE),"")</f>
        <v>Buff.Desc.CriticalDamage.Up.02</v>
      </c>
      <c r="Q420" s="25" t="b">
        <v>0</v>
      </c>
      <c r="R420" s="25" t="b">
        <v>0</v>
      </c>
    </row>
    <row r="421" spans="1:18">
      <c r="A421" s="25" t="s">
        <v>8138</v>
      </c>
      <c r="B421" s="25" t="s">
        <v>5470</v>
      </c>
      <c r="C421" s="25" t="s">
        <v>7232</v>
      </c>
      <c r="D421" s="25">
        <v>5500</v>
      </c>
      <c r="E421" s="25">
        <v>0</v>
      </c>
      <c r="F421" s="25">
        <v>0</v>
      </c>
      <c r="G421" s="25" t="s">
        <v>6677</v>
      </c>
      <c r="H421" s="25"/>
      <c r="I421" s="25" t="b">
        <v>0</v>
      </c>
      <c r="J421" s="25" t="b">
        <v>0</v>
      </c>
      <c r="K421" s="25" t="b">
        <v>1</v>
      </c>
      <c r="L421" s="25" t="s">
        <v>5473</v>
      </c>
      <c r="M421" s="25" t="s">
        <v>6677</v>
      </c>
      <c r="N421" s="25" t="str">
        <f>_xlfn.IFNA(VLOOKUP($M421,Buff.CM!$A:$O,13,FALSE),"")</f>
        <v>icon_battle_criticaldamage</v>
      </c>
      <c r="O421" s="25" t="str">
        <f>_xlfn.IFNA(VLOOKUP($M421,Buff.CM!$A:$O,14,FALSE),"")</f>
        <v>Buff.Name.CriticalDamage.Up.03</v>
      </c>
      <c r="P421" s="25" t="str">
        <f>_xlfn.IFNA(VLOOKUP($M421,Buff.CM!$A:$O,15,FALSE),"")</f>
        <v>Buff.Desc.CriticalDamage.Up.03</v>
      </c>
      <c r="Q421" s="25" t="b">
        <v>0</v>
      </c>
      <c r="R421" s="25" t="b">
        <v>0</v>
      </c>
    </row>
    <row r="422" spans="1:18">
      <c r="A422" s="34" t="s">
        <v>8139</v>
      </c>
      <c r="B422" s="34" t="s">
        <v>5470</v>
      </c>
      <c r="C422" s="34" t="s">
        <v>7232</v>
      </c>
      <c r="D422" s="34">
        <v>6000</v>
      </c>
      <c r="E422" s="34">
        <v>0</v>
      </c>
      <c r="F422" s="34">
        <v>0</v>
      </c>
      <c r="G422" s="34" t="s">
        <v>6677</v>
      </c>
      <c r="H422" s="34"/>
      <c r="I422" s="34" t="b">
        <v>0</v>
      </c>
      <c r="J422" s="34" t="b">
        <v>0</v>
      </c>
      <c r="K422" s="34" t="b">
        <v>1</v>
      </c>
      <c r="L422" s="34" t="s">
        <v>5473</v>
      </c>
      <c r="M422" s="34" t="s">
        <v>6677</v>
      </c>
      <c r="N422" s="34" t="str">
        <f>_xlfn.IFNA(VLOOKUP($M422,Buff.CM!$A:$O,13,FALSE),"")</f>
        <v>icon_battle_criticaldamage</v>
      </c>
      <c r="O422" s="34" t="str">
        <f>_xlfn.IFNA(VLOOKUP($M422,Buff.CM!$A:$O,14,FALSE),"")</f>
        <v>Buff.Name.CriticalDamage.Up.03</v>
      </c>
      <c r="P422" s="34" t="str">
        <f>_xlfn.IFNA(VLOOKUP($M422,Buff.CM!$A:$O,15,FALSE),"")</f>
        <v>Buff.Desc.CriticalDamage.Up.03</v>
      </c>
      <c r="Q422" s="34" t="b">
        <v>0</v>
      </c>
      <c r="R422" s="34" t="b">
        <v>0</v>
      </c>
    </row>
    <row r="423" spans="1:18">
      <c r="A423" s="34" t="s">
        <v>8140</v>
      </c>
      <c r="B423" s="34" t="s">
        <v>5470</v>
      </c>
      <c r="C423" s="34" t="s">
        <v>7232</v>
      </c>
      <c r="D423" s="34">
        <v>7000</v>
      </c>
      <c r="E423" s="34">
        <v>0</v>
      </c>
      <c r="F423" s="34">
        <v>0</v>
      </c>
      <c r="G423" s="34" t="s">
        <v>6677</v>
      </c>
      <c r="H423" s="34"/>
      <c r="I423" s="34" t="b">
        <v>0</v>
      </c>
      <c r="J423" s="34" t="b">
        <v>0</v>
      </c>
      <c r="K423" s="34" t="b">
        <v>1</v>
      </c>
      <c r="L423" s="34" t="s">
        <v>5473</v>
      </c>
      <c r="M423" s="34" t="s">
        <v>6677</v>
      </c>
      <c r="N423" s="34" t="str">
        <f>_xlfn.IFNA(VLOOKUP($M423,Buff.CM!$A:$O,13,FALSE),"")</f>
        <v>icon_battle_criticaldamage</v>
      </c>
      <c r="O423" s="34" t="str">
        <f>_xlfn.IFNA(VLOOKUP($M423,Buff.CM!$A:$O,14,FALSE),"")</f>
        <v>Buff.Name.CriticalDamage.Up.03</v>
      </c>
      <c r="P423" s="34" t="str">
        <f>_xlfn.IFNA(VLOOKUP($M423,Buff.CM!$A:$O,15,FALSE),"")</f>
        <v>Buff.Desc.CriticalDamage.Up.03</v>
      </c>
      <c r="Q423" s="34" t="b">
        <v>0</v>
      </c>
      <c r="R423" s="34" t="b">
        <v>0</v>
      </c>
    </row>
    <row r="424" spans="1:18">
      <c r="A424" s="34" t="s">
        <v>8141</v>
      </c>
      <c r="B424" s="34" t="s">
        <v>5470</v>
      </c>
      <c r="C424" s="34" t="s">
        <v>7232</v>
      </c>
      <c r="D424" s="34">
        <v>7000</v>
      </c>
      <c r="E424" s="34">
        <v>0</v>
      </c>
      <c r="F424" s="34">
        <v>0</v>
      </c>
      <c r="G424" s="34" t="s">
        <v>6677</v>
      </c>
      <c r="H424" s="34"/>
      <c r="I424" s="34" t="b">
        <v>0</v>
      </c>
      <c r="J424" s="34" t="b">
        <v>0</v>
      </c>
      <c r="K424" s="34" t="b">
        <v>1</v>
      </c>
      <c r="L424" s="34" t="s">
        <v>5473</v>
      </c>
      <c r="M424" s="34" t="s">
        <v>6677</v>
      </c>
      <c r="N424" s="34" t="str">
        <f>_xlfn.IFNA(VLOOKUP($M424,Buff.CM!$A:$O,13,FALSE),"")</f>
        <v>icon_battle_criticaldamage</v>
      </c>
      <c r="O424" s="34" t="str">
        <f>_xlfn.IFNA(VLOOKUP($M424,Buff.CM!$A:$O,14,FALSE),"")</f>
        <v>Buff.Name.CriticalDamage.Up.03</v>
      </c>
      <c r="P424" s="34" t="str">
        <f>_xlfn.IFNA(VLOOKUP($M424,Buff.CM!$A:$O,15,FALSE),"")</f>
        <v>Buff.Desc.CriticalDamage.Up.03</v>
      </c>
      <c r="Q424" s="34" t="b">
        <v>0</v>
      </c>
      <c r="R424" s="34" t="b">
        <v>0</v>
      </c>
    </row>
    <row r="425" spans="1:18">
      <c r="A425" s="26" t="s">
        <v>1914</v>
      </c>
      <c r="B425" s="26"/>
      <c r="C425" s="26"/>
      <c r="D425" s="26">
        <v>6000</v>
      </c>
      <c r="E425" s="26">
        <v>0</v>
      </c>
      <c r="F425" s="26">
        <v>0</v>
      </c>
      <c r="G425" s="26" t="s">
        <v>1920</v>
      </c>
      <c r="H425" s="26"/>
      <c r="I425" s="26" t="b">
        <v>0</v>
      </c>
      <c r="J425" s="26" t="b">
        <v>0</v>
      </c>
      <c r="K425" s="26" t="b">
        <v>1</v>
      </c>
      <c r="L425" s="26" t="s">
        <v>317</v>
      </c>
      <c r="M425" s="26" t="s">
        <v>5461</v>
      </c>
      <c r="N425" s="26" t="str">
        <f>_xlfn.IFNA(VLOOKUP($M425,Buff.CM!$A:$O,13,FALSE),"")</f>
        <v>icon_battle_shield</v>
      </c>
      <c r="O425" s="26" t="str">
        <f>_xlfn.IFNA(VLOOKUP($M425,Buff.CM!$A:$O,14,FALSE),"")</f>
        <v>Buff.Name.Shield</v>
      </c>
      <c r="P425" s="26" t="str">
        <f>_xlfn.IFNA(VLOOKUP($M425,Buff.CM!$A:$O,15,FALSE),"")</f>
        <v>Buff.Desc.Shield</v>
      </c>
      <c r="Q425" s="26" t="b">
        <v>0</v>
      </c>
      <c r="R425" s="26" t="b">
        <v>0</v>
      </c>
    </row>
    <row r="426" spans="1:18">
      <c r="A426" s="26" t="s">
        <v>1915</v>
      </c>
      <c r="B426" s="26"/>
      <c r="C426" s="26"/>
      <c r="D426" s="26">
        <v>6000</v>
      </c>
      <c r="E426" s="26">
        <v>0</v>
      </c>
      <c r="F426" s="26">
        <v>0</v>
      </c>
      <c r="G426" s="26" t="s">
        <v>1921</v>
      </c>
      <c r="H426" s="26"/>
      <c r="I426" s="26" t="b">
        <v>0</v>
      </c>
      <c r="J426" s="26" t="b">
        <v>0</v>
      </c>
      <c r="K426" s="26" t="b">
        <v>1</v>
      </c>
      <c r="L426" s="26" t="s">
        <v>317</v>
      </c>
      <c r="M426" s="26" t="s">
        <v>5461</v>
      </c>
      <c r="N426" s="26" t="str">
        <f>_xlfn.IFNA(VLOOKUP($M426,Buff.CM!$A:$O,13,FALSE),"")</f>
        <v>icon_battle_shield</v>
      </c>
      <c r="O426" s="26" t="str">
        <f>_xlfn.IFNA(VLOOKUP($M426,Buff.CM!$A:$O,14,FALSE),"")</f>
        <v>Buff.Name.Shield</v>
      </c>
      <c r="P426" s="26" t="str">
        <f>_xlfn.IFNA(VLOOKUP($M426,Buff.CM!$A:$O,15,FALSE),"")</f>
        <v>Buff.Desc.Shield</v>
      </c>
      <c r="Q426" s="26" t="b">
        <v>0</v>
      </c>
      <c r="R426" s="26" t="b">
        <v>0</v>
      </c>
    </row>
    <row r="427" spans="1:18">
      <c r="A427" s="26" t="s">
        <v>1916</v>
      </c>
      <c r="B427" s="26"/>
      <c r="C427" s="26"/>
      <c r="D427" s="26">
        <v>6000</v>
      </c>
      <c r="E427" s="26">
        <v>0</v>
      </c>
      <c r="F427" s="26">
        <v>0</v>
      </c>
      <c r="G427" s="26" t="s">
        <v>1922</v>
      </c>
      <c r="H427" s="26"/>
      <c r="I427" s="26" t="b">
        <v>0</v>
      </c>
      <c r="J427" s="26" t="b">
        <v>0</v>
      </c>
      <c r="K427" s="26" t="b">
        <v>1</v>
      </c>
      <c r="L427" s="26" t="s">
        <v>317</v>
      </c>
      <c r="M427" s="26" t="s">
        <v>5461</v>
      </c>
      <c r="N427" s="26" t="str">
        <f>_xlfn.IFNA(VLOOKUP($M427,Buff.CM!$A:$O,13,FALSE),"")</f>
        <v>icon_battle_shield</v>
      </c>
      <c r="O427" s="26" t="str">
        <f>_xlfn.IFNA(VLOOKUP($M427,Buff.CM!$A:$O,14,FALSE),"")</f>
        <v>Buff.Name.Shield</v>
      </c>
      <c r="P427" s="26" t="str">
        <f>_xlfn.IFNA(VLOOKUP($M427,Buff.CM!$A:$O,15,FALSE),"")</f>
        <v>Buff.Desc.Shield</v>
      </c>
      <c r="Q427" s="26" t="b">
        <v>0</v>
      </c>
      <c r="R427" s="26" t="b">
        <v>0</v>
      </c>
    </row>
    <row r="428" spans="1:18">
      <c r="A428" s="34" t="s">
        <v>1917</v>
      </c>
      <c r="B428" s="34"/>
      <c r="C428" s="34"/>
      <c r="D428" s="34">
        <v>6000</v>
      </c>
      <c r="E428" s="34">
        <v>0</v>
      </c>
      <c r="F428" s="34">
        <v>0</v>
      </c>
      <c r="G428" s="34" t="s">
        <v>1923</v>
      </c>
      <c r="H428" s="34"/>
      <c r="I428" s="34" t="b">
        <v>0</v>
      </c>
      <c r="J428" s="34" t="b">
        <v>0</v>
      </c>
      <c r="K428" s="34" t="b">
        <v>1</v>
      </c>
      <c r="L428" s="34" t="s">
        <v>317</v>
      </c>
      <c r="M428" s="34" t="s">
        <v>5461</v>
      </c>
      <c r="N428" s="34" t="str">
        <f>_xlfn.IFNA(VLOOKUP($M428,Buff.CM!$A:$O,13,FALSE),"")</f>
        <v>icon_battle_shield</v>
      </c>
      <c r="O428" s="34" t="str">
        <f>_xlfn.IFNA(VLOOKUP($M428,Buff.CM!$A:$O,14,FALSE),"")</f>
        <v>Buff.Name.Shield</v>
      </c>
      <c r="P428" s="34" t="str">
        <f>_xlfn.IFNA(VLOOKUP($M428,Buff.CM!$A:$O,15,FALSE),"")</f>
        <v>Buff.Desc.Shield</v>
      </c>
      <c r="Q428" s="34" t="b">
        <v>0</v>
      </c>
      <c r="R428" s="34" t="b">
        <v>0</v>
      </c>
    </row>
    <row r="429" spans="1:18">
      <c r="A429" s="34" t="s">
        <v>1918</v>
      </c>
      <c r="B429" s="34"/>
      <c r="C429" s="34"/>
      <c r="D429" s="34">
        <v>6000</v>
      </c>
      <c r="E429" s="34">
        <v>0</v>
      </c>
      <c r="F429" s="34">
        <v>0</v>
      </c>
      <c r="G429" s="34" t="s">
        <v>1924</v>
      </c>
      <c r="H429" s="34"/>
      <c r="I429" s="34" t="b">
        <v>0</v>
      </c>
      <c r="J429" s="34" t="b">
        <v>0</v>
      </c>
      <c r="K429" s="34" t="b">
        <v>1</v>
      </c>
      <c r="L429" s="34" t="s">
        <v>317</v>
      </c>
      <c r="M429" s="34" t="s">
        <v>5461</v>
      </c>
      <c r="N429" s="34" t="str">
        <f>_xlfn.IFNA(VLOOKUP($M429,Buff.CM!$A:$O,13,FALSE),"")</f>
        <v>icon_battle_shield</v>
      </c>
      <c r="O429" s="34" t="str">
        <f>_xlfn.IFNA(VLOOKUP($M429,Buff.CM!$A:$O,14,FALSE),"")</f>
        <v>Buff.Name.Shield</v>
      </c>
      <c r="P429" s="34" t="str">
        <f>_xlfn.IFNA(VLOOKUP($M429,Buff.CM!$A:$O,15,FALSE),"")</f>
        <v>Buff.Desc.Shield</v>
      </c>
      <c r="Q429" s="34" t="b">
        <v>0</v>
      </c>
      <c r="R429" s="34" t="b">
        <v>0</v>
      </c>
    </row>
    <row r="430" spans="1:18">
      <c r="A430" s="34" t="s">
        <v>1919</v>
      </c>
      <c r="B430" s="34"/>
      <c r="C430" s="34"/>
      <c r="D430" s="34">
        <v>6000</v>
      </c>
      <c r="E430" s="34">
        <v>0</v>
      </c>
      <c r="F430" s="34">
        <v>0</v>
      </c>
      <c r="G430" s="34" t="s">
        <v>1925</v>
      </c>
      <c r="H430" s="34"/>
      <c r="I430" s="34" t="b">
        <v>0</v>
      </c>
      <c r="J430" s="34" t="b">
        <v>0</v>
      </c>
      <c r="K430" s="34" t="b">
        <v>1</v>
      </c>
      <c r="L430" s="34" t="s">
        <v>317</v>
      </c>
      <c r="M430" s="34" t="s">
        <v>5461</v>
      </c>
      <c r="N430" s="34" t="str">
        <f>_xlfn.IFNA(VLOOKUP($M430,Buff.CM!$A:$O,13,FALSE),"")</f>
        <v>icon_battle_shield</v>
      </c>
      <c r="O430" s="34" t="str">
        <f>_xlfn.IFNA(VLOOKUP($M430,Buff.CM!$A:$O,14,FALSE),"")</f>
        <v>Buff.Name.Shield</v>
      </c>
      <c r="P430" s="34" t="str">
        <f>_xlfn.IFNA(VLOOKUP($M430,Buff.CM!$A:$O,15,FALSE),"")</f>
        <v>Buff.Desc.Shield</v>
      </c>
      <c r="Q430" s="34" t="b">
        <v>0</v>
      </c>
      <c r="R430" s="34" t="b">
        <v>0</v>
      </c>
    </row>
    <row r="431" spans="1:18" ht="33">
      <c r="A431" s="25" t="s">
        <v>498</v>
      </c>
      <c r="B431" s="25"/>
      <c r="C431" s="25"/>
      <c r="D431" s="25">
        <v>0</v>
      </c>
      <c r="E431" s="25">
        <v>0</v>
      </c>
      <c r="F431" s="25">
        <v>0</v>
      </c>
      <c r="G431" s="43" t="s">
        <v>8143</v>
      </c>
      <c r="H431" s="25"/>
      <c r="I431" s="25" t="b">
        <v>0</v>
      </c>
      <c r="J431" s="23" t="b">
        <v>1</v>
      </c>
      <c r="K431" s="25" t="b">
        <v>1</v>
      </c>
      <c r="L431" s="25"/>
      <c r="M431" s="25"/>
      <c r="N431" s="25" t="str">
        <f>_xlfn.IFNA(VLOOKUP($M431,Buff.CM!$A:$O,13,FALSE),"")</f>
        <v/>
      </c>
      <c r="O431" s="25" t="str">
        <f>_xlfn.IFNA(VLOOKUP($M431,Buff.CM!$A:$O,14,FALSE),"")</f>
        <v/>
      </c>
      <c r="P431" s="25" t="str">
        <f>_xlfn.IFNA(VLOOKUP($M431,Buff.CM!$A:$O,15,FALSE),"")</f>
        <v/>
      </c>
      <c r="Q431" s="25" t="b">
        <v>0</v>
      </c>
      <c r="R431" s="25" t="b">
        <v>0</v>
      </c>
    </row>
    <row r="432" spans="1:18" ht="33">
      <c r="A432" s="25" t="s">
        <v>499</v>
      </c>
      <c r="B432" s="25"/>
      <c r="C432" s="25"/>
      <c r="D432" s="25">
        <v>0</v>
      </c>
      <c r="E432" s="25">
        <v>0</v>
      </c>
      <c r="F432" s="25">
        <v>0</v>
      </c>
      <c r="G432" s="43" t="s">
        <v>8145</v>
      </c>
      <c r="H432" s="25"/>
      <c r="I432" s="25" t="b">
        <v>0</v>
      </c>
      <c r="J432" s="23" t="b">
        <v>1</v>
      </c>
      <c r="K432" s="25" t="b">
        <v>1</v>
      </c>
      <c r="L432" s="25"/>
      <c r="M432" s="25"/>
      <c r="N432" s="25" t="str">
        <f>_xlfn.IFNA(VLOOKUP($M432,Buff.CM!$A:$O,13,FALSE),"")</f>
        <v/>
      </c>
      <c r="O432" s="25" t="str">
        <f>_xlfn.IFNA(VLOOKUP($M432,Buff.CM!$A:$O,14,FALSE),"")</f>
        <v/>
      </c>
      <c r="P432" s="25" t="str">
        <f>_xlfn.IFNA(VLOOKUP($M432,Buff.CM!$A:$O,15,FALSE),"")</f>
        <v/>
      </c>
      <c r="Q432" s="25" t="b">
        <v>0</v>
      </c>
      <c r="R432" s="25" t="b">
        <v>0</v>
      </c>
    </row>
    <row r="433" spans="1:18" ht="33">
      <c r="A433" s="25" t="s">
        <v>500</v>
      </c>
      <c r="B433" s="25"/>
      <c r="C433" s="25"/>
      <c r="D433" s="25">
        <v>0</v>
      </c>
      <c r="E433" s="25">
        <v>0</v>
      </c>
      <c r="F433" s="25">
        <v>0</v>
      </c>
      <c r="G433" s="43" t="s">
        <v>8146</v>
      </c>
      <c r="H433" s="25"/>
      <c r="I433" s="25" t="b">
        <v>0</v>
      </c>
      <c r="J433" s="23" t="b">
        <v>1</v>
      </c>
      <c r="K433" s="25" t="b">
        <v>1</v>
      </c>
      <c r="L433" s="25"/>
      <c r="M433" s="25"/>
      <c r="N433" s="25" t="str">
        <f>_xlfn.IFNA(VLOOKUP($M433,Buff.CM!$A:$O,13,FALSE),"")</f>
        <v/>
      </c>
      <c r="O433" s="25" t="str">
        <f>_xlfn.IFNA(VLOOKUP($M433,Buff.CM!$A:$O,14,FALSE),"")</f>
        <v/>
      </c>
      <c r="P433" s="25" t="str">
        <f>_xlfn.IFNA(VLOOKUP($M433,Buff.CM!$A:$O,15,FALSE),"")</f>
        <v/>
      </c>
      <c r="Q433" s="25" t="b">
        <v>0</v>
      </c>
      <c r="R433" s="25" t="b">
        <v>0</v>
      </c>
    </row>
    <row r="434" spans="1:18" ht="33">
      <c r="A434" s="34" t="s">
        <v>501</v>
      </c>
      <c r="B434" s="34"/>
      <c r="C434" s="34"/>
      <c r="D434" s="34">
        <v>0</v>
      </c>
      <c r="E434" s="34">
        <v>0</v>
      </c>
      <c r="F434" s="34">
        <v>0</v>
      </c>
      <c r="G434" s="40" t="s">
        <v>8147</v>
      </c>
      <c r="H434" s="34"/>
      <c r="I434" s="34" t="b">
        <v>0</v>
      </c>
      <c r="J434" s="34" t="b">
        <v>1</v>
      </c>
      <c r="K434" s="34" t="b">
        <v>1</v>
      </c>
      <c r="L434" s="34"/>
      <c r="M434" s="34"/>
      <c r="N434" s="34" t="str">
        <f>_xlfn.IFNA(VLOOKUP($M434,Buff.CM!$A:$O,13,FALSE),"")</f>
        <v/>
      </c>
      <c r="O434" s="34" t="str">
        <f>_xlfn.IFNA(VLOOKUP($M434,Buff.CM!$A:$O,14,FALSE),"")</f>
        <v/>
      </c>
      <c r="P434" s="34" t="str">
        <f>_xlfn.IFNA(VLOOKUP($M434,Buff.CM!$A:$O,15,FALSE),"")</f>
        <v/>
      </c>
      <c r="Q434" s="34" t="b">
        <v>0</v>
      </c>
      <c r="R434" s="34" t="b">
        <v>0</v>
      </c>
    </row>
    <row r="435" spans="1:18" ht="33">
      <c r="A435" s="34" t="s">
        <v>3263</v>
      </c>
      <c r="B435" s="34"/>
      <c r="C435" s="34"/>
      <c r="D435" s="34">
        <v>0</v>
      </c>
      <c r="E435" s="34">
        <v>0</v>
      </c>
      <c r="F435" s="34">
        <v>0</v>
      </c>
      <c r="G435" s="40" t="s">
        <v>8148</v>
      </c>
      <c r="H435" s="34"/>
      <c r="I435" s="34" t="b">
        <v>0</v>
      </c>
      <c r="J435" s="34" t="b">
        <v>1</v>
      </c>
      <c r="K435" s="34" t="b">
        <v>1</v>
      </c>
      <c r="L435" s="34"/>
      <c r="M435" s="34"/>
      <c r="N435" s="34" t="str">
        <f>_xlfn.IFNA(VLOOKUP($M435,Buff.CM!$A:$O,13,FALSE),"")</f>
        <v/>
      </c>
      <c r="O435" s="34" t="str">
        <f>_xlfn.IFNA(VLOOKUP($M435,Buff.CM!$A:$O,14,FALSE),"")</f>
        <v/>
      </c>
      <c r="P435" s="34" t="str">
        <f>_xlfn.IFNA(VLOOKUP($M435,Buff.CM!$A:$O,15,FALSE),"")</f>
        <v/>
      </c>
      <c r="Q435" s="34" t="b">
        <v>0</v>
      </c>
      <c r="R435" s="34" t="b">
        <v>0</v>
      </c>
    </row>
    <row r="436" spans="1:18" ht="33">
      <c r="A436" s="34" t="s">
        <v>8158</v>
      </c>
      <c r="B436" s="34"/>
      <c r="C436" s="34"/>
      <c r="D436" s="34">
        <v>0</v>
      </c>
      <c r="E436" s="34">
        <v>0</v>
      </c>
      <c r="F436" s="34">
        <v>0</v>
      </c>
      <c r="G436" s="40" t="s">
        <v>8159</v>
      </c>
      <c r="H436" s="34"/>
      <c r="I436" s="34" t="b">
        <v>0</v>
      </c>
      <c r="J436" s="34" t="b">
        <v>1</v>
      </c>
      <c r="K436" s="34" t="b">
        <v>1</v>
      </c>
      <c r="L436" s="34"/>
      <c r="M436" s="34"/>
      <c r="N436" s="34" t="str">
        <f>_xlfn.IFNA(VLOOKUP($M436,Buff.CM!$A:$O,13,FALSE),"")</f>
        <v/>
      </c>
      <c r="O436" s="34" t="str">
        <f>_xlfn.IFNA(VLOOKUP($M436,Buff.CM!$A:$O,14,FALSE),"")</f>
        <v/>
      </c>
      <c r="P436" s="34" t="str">
        <f>_xlfn.IFNA(VLOOKUP($M436,Buff.CM!$A:$O,15,FALSE),"")</f>
        <v/>
      </c>
      <c r="Q436" s="34" t="b">
        <v>0</v>
      </c>
      <c r="R436" s="34" t="b">
        <v>0</v>
      </c>
    </row>
    <row r="437" spans="1:18" s="153" customFormat="1">
      <c r="A437" s="26" t="s">
        <v>3089</v>
      </c>
      <c r="B437" s="26"/>
      <c r="C437" s="26"/>
      <c r="D437" s="26">
        <v>0</v>
      </c>
      <c r="E437" s="26">
        <v>0</v>
      </c>
      <c r="F437" s="26">
        <v>0</v>
      </c>
      <c r="G437" s="26" t="s">
        <v>8144</v>
      </c>
      <c r="H437" s="26"/>
      <c r="I437" s="26" t="b">
        <v>0</v>
      </c>
      <c r="J437" s="23" t="b">
        <v>1</v>
      </c>
      <c r="K437" s="26" t="b">
        <v>1</v>
      </c>
      <c r="L437" s="26"/>
      <c r="M437" s="26"/>
      <c r="N437" s="26" t="str">
        <f>_xlfn.IFNA(VLOOKUP($M437,Buff.CM!$A:$O,13,FALSE),"")</f>
        <v/>
      </c>
      <c r="O437" s="26" t="str">
        <f>_xlfn.IFNA(VLOOKUP($M437,Buff.CM!$A:$O,14,FALSE),"")</f>
        <v/>
      </c>
      <c r="P437" s="26" t="str">
        <f>_xlfn.IFNA(VLOOKUP($M437,Buff.CM!$A:$O,15,FALSE),"")</f>
        <v/>
      </c>
      <c r="Q437" s="26" t="b">
        <v>0</v>
      </c>
      <c r="R437" s="26" t="b">
        <v>0</v>
      </c>
    </row>
    <row r="438" spans="1:18" s="153" customFormat="1">
      <c r="A438" s="26" t="s">
        <v>3084</v>
      </c>
      <c r="B438" s="26"/>
      <c r="C438" s="26"/>
      <c r="D438" s="26">
        <v>0</v>
      </c>
      <c r="E438" s="26">
        <v>0</v>
      </c>
      <c r="F438" s="26">
        <v>0</v>
      </c>
      <c r="G438" s="26" t="s">
        <v>3091</v>
      </c>
      <c r="H438" s="26"/>
      <c r="I438" s="26" t="b">
        <v>0</v>
      </c>
      <c r="J438" s="23" t="b">
        <v>1</v>
      </c>
      <c r="K438" s="26" t="b">
        <v>1</v>
      </c>
      <c r="L438" s="26"/>
      <c r="M438" s="26"/>
      <c r="N438" s="26" t="str">
        <f>_xlfn.IFNA(VLOOKUP($M438,Buff.CM!$A:$O,13,FALSE),"")</f>
        <v/>
      </c>
      <c r="O438" s="26" t="str">
        <f>_xlfn.IFNA(VLOOKUP($M438,Buff.CM!$A:$O,14,FALSE),"")</f>
        <v/>
      </c>
      <c r="P438" s="26" t="str">
        <f>_xlfn.IFNA(VLOOKUP($M438,Buff.CM!$A:$O,15,FALSE),"")</f>
        <v/>
      </c>
      <c r="Q438" s="26" t="b">
        <v>0</v>
      </c>
      <c r="R438" s="26" t="b">
        <v>0</v>
      </c>
    </row>
    <row r="439" spans="1:18" s="153" customFormat="1">
      <c r="A439" s="26" t="s">
        <v>3085</v>
      </c>
      <c r="B439" s="26"/>
      <c r="C439" s="26"/>
      <c r="D439" s="26">
        <v>0</v>
      </c>
      <c r="E439" s="26">
        <v>0</v>
      </c>
      <c r="F439" s="26">
        <v>0</v>
      </c>
      <c r="G439" s="26" t="s">
        <v>3092</v>
      </c>
      <c r="H439" s="26"/>
      <c r="I439" s="26" t="b">
        <v>0</v>
      </c>
      <c r="J439" s="23" t="b">
        <v>1</v>
      </c>
      <c r="K439" s="26" t="b">
        <v>1</v>
      </c>
      <c r="L439" s="26"/>
      <c r="M439" s="26"/>
      <c r="N439" s="26" t="str">
        <f>_xlfn.IFNA(VLOOKUP($M439,Buff.CM!$A:$O,13,FALSE),"")</f>
        <v/>
      </c>
      <c r="O439" s="26" t="str">
        <f>_xlfn.IFNA(VLOOKUP($M439,Buff.CM!$A:$O,14,FALSE),"")</f>
        <v/>
      </c>
      <c r="P439" s="26" t="str">
        <f>_xlfn.IFNA(VLOOKUP($M439,Buff.CM!$A:$O,15,FALSE),"")</f>
        <v/>
      </c>
      <c r="Q439" s="26" t="b">
        <v>0</v>
      </c>
      <c r="R439" s="26" t="b">
        <v>0</v>
      </c>
    </row>
    <row r="440" spans="1:18" s="153" customFormat="1">
      <c r="A440" s="34" t="s">
        <v>3086</v>
      </c>
      <c r="B440" s="34"/>
      <c r="C440" s="34"/>
      <c r="D440" s="34">
        <v>0</v>
      </c>
      <c r="E440" s="34">
        <v>0</v>
      </c>
      <c r="F440" s="34">
        <v>0</v>
      </c>
      <c r="G440" s="34" t="s">
        <v>3093</v>
      </c>
      <c r="H440" s="34"/>
      <c r="I440" s="34" t="b">
        <v>0</v>
      </c>
      <c r="J440" s="34" t="b">
        <v>1</v>
      </c>
      <c r="K440" s="34" t="b">
        <v>1</v>
      </c>
      <c r="L440" s="34"/>
      <c r="M440" s="34"/>
      <c r="N440" s="34" t="str">
        <f>_xlfn.IFNA(VLOOKUP($M440,Buff.CM!$A:$O,13,FALSE),"")</f>
        <v/>
      </c>
      <c r="O440" s="34" t="str">
        <f>_xlfn.IFNA(VLOOKUP($M440,Buff.CM!$A:$O,14,FALSE),"")</f>
        <v/>
      </c>
      <c r="P440" s="34" t="str">
        <f>_xlfn.IFNA(VLOOKUP($M440,Buff.CM!$A:$O,15,FALSE),"")</f>
        <v/>
      </c>
      <c r="Q440" s="34" t="b">
        <v>0</v>
      </c>
      <c r="R440" s="34" t="b">
        <v>0</v>
      </c>
    </row>
    <row r="441" spans="1:18" s="153" customFormat="1">
      <c r="A441" s="34" t="s">
        <v>3087</v>
      </c>
      <c r="B441" s="34"/>
      <c r="C441" s="34"/>
      <c r="D441" s="34">
        <v>0</v>
      </c>
      <c r="E441" s="34">
        <v>0</v>
      </c>
      <c r="F441" s="34">
        <v>0</v>
      </c>
      <c r="G441" s="34" t="s">
        <v>3094</v>
      </c>
      <c r="H441" s="34"/>
      <c r="I441" s="34" t="b">
        <v>0</v>
      </c>
      <c r="J441" s="34" t="b">
        <v>1</v>
      </c>
      <c r="K441" s="34" t="b">
        <v>1</v>
      </c>
      <c r="L441" s="34"/>
      <c r="M441" s="34"/>
      <c r="N441" s="34" t="str">
        <f>_xlfn.IFNA(VLOOKUP($M441,Buff.CM!$A:$O,13,FALSE),"")</f>
        <v/>
      </c>
      <c r="O441" s="34" t="str">
        <f>_xlfn.IFNA(VLOOKUP($M441,Buff.CM!$A:$O,14,FALSE),"")</f>
        <v/>
      </c>
      <c r="P441" s="34" t="str">
        <f>_xlfn.IFNA(VLOOKUP($M441,Buff.CM!$A:$O,15,FALSE),"")</f>
        <v/>
      </c>
      <c r="Q441" s="34" t="b">
        <v>0</v>
      </c>
      <c r="R441" s="34" t="b">
        <v>0</v>
      </c>
    </row>
    <row r="442" spans="1:18" s="153" customFormat="1">
      <c r="A442" s="34" t="s">
        <v>3088</v>
      </c>
      <c r="B442" s="34"/>
      <c r="C442" s="34"/>
      <c r="D442" s="34">
        <v>0</v>
      </c>
      <c r="E442" s="34">
        <v>0</v>
      </c>
      <c r="F442" s="34">
        <v>0</v>
      </c>
      <c r="G442" s="34" t="s">
        <v>3095</v>
      </c>
      <c r="H442" s="34"/>
      <c r="I442" s="34" t="b">
        <v>0</v>
      </c>
      <c r="J442" s="34" t="b">
        <v>1</v>
      </c>
      <c r="K442" s="34" t="b">
        <v>1</v>
      </c>
      <c r="L442" s="34"/>
      <c r="M442" s="34"/>
      <c r="N442" s="34" t="str">
        <f>_xlfn.IFNA(VLOOKUP($M442,Buff.CM!$A:$O,13,FALSE),"")</f>
        <v/>
      </c>
      <c r="O442" s="34" t="str">
        <f>_xlfn.IFNA(VLOOKUP($M442,Buff.CM!$A:$O,14,FALSE),"")</f>
        <v/>
      </c>
      <c r="P442" s="34" t="str">
        <f>_xlfn.IFNA(VLOOKUP($M442,Buff.CM!$A:$O,15,FALSE),"")</f>
        <v/>
      </c>
      <c r="Q442" s="34" t="b">
        <v>0</v>
      </c>
      <c r="R442" s="34" t="b">
        <v>0</v>
      </c>
    </row>
    <row r="443" spans="1:18" s="162" customFormat="1">
      <c r="A443" s="107" t="s">
        <v>8193</v>
      </c>
      <c r="B443" s="25"/>
      <c r="C443" s="25"/>
      <c r="D443" s="25">
        <v>0</v>
      </c>
      <c r="E443" s="25">
        <v>10</v>
      </c>
      <c r="F443" s="25">
        <v>1</v>
      </c>
      <c r="G443" s="43" t="s">
        <v>8206</v>
      </c>
      <c r="H443" s="25"/>
      <c r="I443" s="25" t="b">
        <v>0</v>
      </c>
      <c r="J443" s="25" t="b">
        <v>1</v>
      </c>
      <c r="K443" s="25" t="b">
        <v>1</v>
      </c>
      <c r="L443" s="25" t="s">
        <v>66</v>
      </c>
      <c r="M443" s="25" t="s">
        <v>8229</v>
      </c>
      <c r="N443" s="25" t="str">
        <f>_xlfn.IFNA(VLOOKUP($M443,Buff.CM!$A:$O,13,FALSE),"")</f>
        <v>icon_battle_effect_res</v>
      </c>
      <c r="O443" s="25" t="str">
        <f>_xlfn.IFNA(VLOOKUP($M443,Buff.CM!$A:$O,14,FALSE),"")</f>
        <v>Buff.Name.Reduce.Damage.Up.00</v>
      </c>
      <c r="P443" s="25" t="str">
        <f>_xlfn.IFNA(VLOOKUP($M443,Buff.CM!$A:$O,15,FALSE),"")</f>
        <v>Buff.Desc.Reduce.Damage.Up.00</v>
      </c>
      <c r="Q443" s="25" t="b">
        <v>0</v>
      </c>
      <c r="R443" s="25" t="b">
        <v>0</v>
      </c>
    </row>
    <row r="444" spans="1:18" s="162" customFormat="1">
      <c r="A444" s="107" t="s">
        <v>8194</v>
      </c>
      <c r="B444" s="25"/>
      <c r="C444" s="25"/>
      <c r="D444" s="25">
        <v>0</v>
      </c>
      <c r="E444" s="25">
        <v>10</v>
      </c>
      <c r="F444" s="25">
        <v>1</v>
      </c>
      <c r="G444" s="43" t="s">
        <v>8208</v>
      </c>
      <c r="H444" s="25"/>
      <c r="I444" s="25" t="b">
        <v>0</v>
      </c>
      <c r="J444" s="25" t="b">
        <v>1</v>
      </c>
      <c r="K444" s="25" t="b">
        <v>1</v>
      </c>
      <c r="L444" s="25" t="s">
        <v>66</v>
      </c>
      <c r="M444" s="25" t="s">
        <v>5556</v>
      </c>
      <c r="N444" s="25" t="str">
        <f>_xlfn.IFNA(VLOOKUP($M444,Buff.CM!$A:$O,13,FALSE),"")</f>
        <v>icon_battle_effect_res</v>
      </c>
      <c r="O444" s="25" t="str">
        <f>_xlfn.IFNA(VLOOKUP($M444,Buff.CM!$A:$O,14,FALSE),"")</f>
        <v>Buff.Name.Reduce.Damage.Up.00</v>
      </c>
      <c r="P444" s="25" t="str">
        <f>_xlfn.IFNA(VLOOKUP($M444,Buff.CM!$A:$O,15,FALSE),"")</f>
        <v>Buff.Desc.Reduce.Damage.Up.00</v>
      </c>
      <c r="Q444" s="25" t="b">
        <v>0</v>
      </c>
      <c r="R444" s="25" t="b">
        <v>0</v>
      </c>
    </row>
    <row r="445" spans="1:18" s="162" customFormat="1">
      <c r="A445" s="107" t="s">
        <v>8195</v>
      </c>
      <c r="B445" s="25"/>
      <c r="C445" s="25"/>
      <c r="D445" s="25">
        <v>0</v>
      </c>
      <c r="E445" s="25">
        <v>10</v>
      </c>
      <c r="F445" s="25">
        <v>1</v>
      </c>
      <c r="G445" s="43" t="s">
        <v>8210</v>
      </c>
      <c r="H445" s="25"/>
      <c r="I445" s="25" t="b">
        <v>0</v>
      </c>
      <c r="J445" s="25" t="b">
        <v>1</v>
      </c>
      <c r="K445" s="25" t="b">
        <v>1</v>
      </c>
      <c r="L445" s="25" t="s">
        <v>66</v>
      </c>
      <c r="M445" s="25" t="s">
        <v>5556</v>
      </c>
      <c r="N445" s="25" t="str">
        <f>_xlfn.IFNA(VLOOKUP($M445,Buff.CM!$A:$O,13,FALSE),"")</f>
        <v>icon_battle_effect_res</v>
      </c>
      <c r="O445" s="25" t="str">
        <f>_xlfn.IFNA(VLOOKUP($M445,Buff.CM!$A:$O,14,FALSE),"")</f>
        <v>Buff.Name.Reduce.Damage.Up.00</v>
      </c>
      <c r="P445" s="25" t="str">
        <f>_xlfn.IFNA(VLOOKUP($M445,Buff.CM!$A:$O,15,FALSE),"")</f>
        <v>Buff.Desc.Reduce.Damage.Up.00</v>
      </c>
      <c r="Q445" s="25" t="b">
        <v>0</v>
      </c>
      <c r="R445" s="25" t="b">
        <v>0</v>
      </c>
    </row>
    <row r="446" spans="1:18" s="162" customFormat="1">
      <c r="A446" s="37" t="s">
        <v>8196</v>
      </c>
      <c r="B446" s="34"/>
      <c r="C446" s="34"/>
      <c r="D446" s="34">
        <v>0</v>
      </c>
      <c r="E446" s="34">
        <v>10</v>
      </c>
      <c r="F446" s="34">
        <v>1</v>
      </c>
      <c r="G446" s="40" t="s">
        <v>8212</v>
      </c>
      <c r="H446" s="34"/>
      <c r="I446" s="34" t="b">
        <v>0</v>
      </c>
      <c r="J446" s="34" t="b">
        <v>1</v>
      </c>
      <c r="K446" s="34" t="b">
        <v>1</v>
      </c>
      <c r="L446" s="34" t="s">
        <v>66</v>
      </c>
      <c r="M446" s="34" t="s">
        <v>5556</v>
      </c>
      <c r="N446" s="34" t="str">
        <f>_xlfn.IFNA(VLOOKUP($M446,Buff.CM!$A:$O,13,FALSE),"")</f>
        <v>icon_battle_effect_res</v>
      </c>
      <c r="O446" s="34" t="str">
        <f>_xlfn.IFNA(VLOOKUP($M446,Buff.CM!$A:$O,14,FALSE),"")</f>
        <v>Buff.Name.Reduce.Damage.Up.00</v>
      </c>
      <c r="P446" s="34" t="str">
        <f>_xlfn.IFNA(VLOOKUP($M446,Buff.CM!$A:$O,15,FALSE),"")</f>
        <v>Buff.Desc.Reduce.Damage.Up.00</v>
      </c>
      <c r="Q446" s="34" t="b">
        <v>0</v>
      </c>
      <c r="R446" s="34" t="b">
        <v>0</v>
      </c>
    </row>
    <row r="447" spans="1:18" s="162" customFormat="1">
      <c r="A447" s="37" t="s">
        <v>8197</v>
      </c>
      <c r="B447" s="34"/>
      <c r="C447" s="34"/>
      <c r="D447" s="34">
        <v>0</v>
      </c>
      <c r="E447" s="34">
        <v>10</v>
      </c>
      <c r="F447" s="34">
        <v>1</v>
      </c>
      <c r="G447" s="40" t="s">
        <v>8214</v>
      </c>
      <c r="H447" s="34"/>
      <c r="I447" s="34" t="b">
        <v>0</v>
      </c>
      <c r="J447" s="34" t="b">
        <v>1</v>
      </c>
      <c r="K447" s="34" t="b">
        <v>1</v>
      </c>
      <c r="L447" s="34" t="s">
        <v>66</v>
      </c>
      <c r="M447" s="34" t="s">
        <v>5556</v>
      </c>
      <c r="N447" s="34" t="str">
        <f>_xlfn.IFNA(VLOOKUP($M447,Buff.CM!$A:$O,13,FALSE),"")</f>
        <v>icon_battle_effect_res</v>
      </c>
      <c r="O447" s="34" t="str">
        <f>_xlfn.IFNA(VLOOKUP($M447,Buff.CM!$A:$O,14,FALSE),"")</f>
        <v>Buff.Name.Reduce.Damage.Up.00</v>
      </c>
      <c r="P447" s="34" t="str">
        <f>_xlfn.IFNA(VLOOKUP($M447,Buff.CM!$A:$O,15,FALSE),"")</f>
        <v>Buff.Desc.Reduce.Damage.Up.00</v>
      </c>
      <c r="Q447" s="34" t="b">
        <v>0</v>
      </c>
      <c r="R447" s="34" t="b">
        <v>0</v>
      </c>
    </row>
    <row r="448" spans="1:18" s="162" customFormat="1">
      <c r="A448" s="37" t="s">
        <v>8198</v>
      </c>
      <c r="B448" s="34"/>
      <c r="C448" s="34"/>
      <c r="D448" s="34">
        <v>0</v>
      </c>
      <c r="E448" s="34">
        <v>10</v>
      </c>
      <c r="F448" s="34">
        <v>1</v>
      </c>
      <c r="G448" s="40" t="s">
        <v>8216</v>
      </c>
      <c r="H448" s="34"/>
      <c r="I448" s="34" t="b">
        <v>0</v>
      </c>
      <c r="J448" s="34" t="b">
        <v>1</v>
      </c>
      <c r="K448" s="34" t="b">
        <v>1</v>
      </c>
      <c r="L448" s="34" t="s">
        <v>66</v>
      </c>
      <c r="M448" s="34" t="s">
        <v>5556</v>
      </c>
      <c r="N448" s="34" t="str">
        <f>_xlfn.IFNA(VLOOKUP($M448,Buff.CM!$A:$O,13,FALSE),"")</f>
        <v>icon_battle_effect_res</v>
      </c>
      <c r="O448" s="34" t="str">
        <f>_xlfn.IFNA(VLOOKUP($M448,Buff.CM!$A:$O,14,FALSE),"")</f>
        <v>Buff.Name.Reduce.Damage.Up.00</v>
      </c>
      <c r="P448" s="34" t="str">
        <f>_xlfn.IFNA(VLOOKUP($M448,Buff.CM!$A:$O,15,FALSE),"")</f>
        <v>Buff.Desc.Reduce.Damage.Up.00</v>
      </c>
      <c r="Q448" s="34" t="b">
        <v>0</v>
      </c>
      <c r="R448" s="34" t="b">
        <v>0</v>
      </c>
    </row>
    <row r="449" spans="1:18" s="162" customFormat="1">
      <c r="A449" s="107" t="s">
        <v>8199</v>
      </c>
      <c r="B449" s="25"/>
      <c r="C449" s="25"/>
      <c r="D449" s="25">
        <v>0</v>
      </c>
      <c r="E449" s="25">
        <v>10</v>
      </c>
      <c r="F449" s="25">
        <v>1</v>
      </c>
      <c r="G449" s="43" t="s">
        <v>8218</v>
      </c>
      <c r="H449" s="25"/>
      <c r="I449" s="25" t="b">
        <v>0</v>
      </c>
      <c r="J449" s="25" t="b">
        <v>1</v>
      </c>
      <c r="K449" s="25" t="b">
        <v>1</v>
      </c>
      <c r="L449" s="25"/>
      <c r="M449" s="25" t="s">
        <v>5547</v>
      </c>
      <c r="N449" s="25" t="str">
        <f>_xlfn.IFNA(VLOOKUP($M449,Buff.CM!$A:$O,13,FALSE),"")</f>
        <v>icon_battle_attackspeed</v>
      </c>
      <c r="O449" s="25" t="str">
        <f>_xlfn.IFNA(VLOOKUP($M449,Buff.CM!$A:$O,14,FALSE),"")</f>
        <v>Buff.Name.AtkSpeed.Up.00</v>
      </c>
      <c r="P449" s="25" t="str">
        <f>_xlfn.IFNA(VLOOKUP($M449,Buff.CM!$A:$O,15,FALSE),"")</f>
        <v>Buff.Desc.AtkSpeed.Up.00</v>
      </c>
      <c r="Q449" s="25" t="b">
        <v>0</v>
      </c>
      <c r="R449" s="25" t="b">
        <v>0</v>
      </c>
    </row>
    <row r="450" spans="1:18" s="162" customFormat="1">
      <c r="A450" s="107" t="s">
        <v>8200</v>
      </c>
      <c r="B450" s="25"/>
      <c r="C450" s="25"/>
      <c r="D450" s="25">
        <v>0</v>
      </c>
      <c r="E450" s="25">
        <v>10</v>
      </c>
      <c r="F450" s="25">
        <v>1</v>
      </c>
      <c r="G450" s="43" t="s">
        <v>8220</v>
      </c>
      <c r="H450" s="25"/>
      <c r="I450" s="25" t="b">
        <v>0</v>
      </c>
      <c r="J450" s="25" t="b">
        <v>1</v>
      </c>
      <c r="K450" s="25" t="b">
        <v>1</v>
      </c>
      <c r="L450" s="25"/>
      <c r="M450" s="25" t="s">
        <v>5547</v>
      </c>
      <c r="N450" s="25" t="str">
        <f>_xlfn.IFNA(VLOOKUP($M450,Buff.CM!$A:$O,13,FALSE),"")</f>
        <v>icon_battle_attackspeed</v>
      </c>
      <c r="O450" s="25" t="str">
        <f>_xlfn.IFNA(VLOOKUP($M450,Buff.CM!$A:$O,14,FALSE),"")</f>
        <v>Buff.Name.AtkSpeed.Up.00</v>
      </c>
      <c r="P450" s="25" t="str">
        <f>_xlfn.IFNA(VLOOKUP($M450,Buff.CM!$A:$O,15,FALSE),"")</f>
        <v>Buff.Desc.AtkSpeed.Up.00</v>
      </c>
      <c r="Q450" s="25" t="b">
        <v>0</v>
      </c>
      <c r="R450" s="25" t="b">
        <v>0</v>
      </c>
    </row>
    <row r="451" spans="1:18" s="162" customFormat="1">
      <c r="A451" s="107" t="s">
        <v>8201</v>
      </c>
      <c r="B451" s="25"/>
      <c r="C451" s="25"/>
      <c r="D451" s="25">
        <v>0</v>
      </c>
      <c r="E451" s="25">
        <v>10</v>
      </c>
      <c r="F451" s="25">
        <v>1</v>
      </c>
      <c r="G451" s="43" t="s">
        <v>8222</v>
      </c>
      <c r="H451" s="25"/>
      <c r="I451" s="25" t="b">
        <v>0</v>
      </c>
      <c r="J451" s="25" t="b">
        <v>1</v>
      </c>
      <c r="K451" s="25" t="b">
        <v>1</v>
      </c>
      <c r="L451" s="25"/>
      <c r="M451" s="25" t="s">
        <v>5547</v>
      </c>
      <c r="N451" s="25" t="str">
        <f>_xlfn.IFNA(VLOOKUP($M451,Buff.CM!$A:$O,13,FALSE),"")</f>
        <v>icon_battle_attackspeed</v>
      </c>
      <c r="O451" s="25" t="str">
        <f>_xlfn.IFNA(VLOOKUP($M451,Buff.CM!$A:$O,14,FALSE),"")</f>
        <v>Buff.Name.AtkSpeed.Up.00</v>
      </c>
      <c r="P451" s="25" t="str">
        <f>_xlfn.IFNA(VLOOKUP($M451,Buff.CM!$A:$O,15,FALSE),"")</f>
        <v>Buff.Desc.AtkSpeed.Up.00</v>
      </c>
      <c r="Q451" s="25" t="b">
        <v>0</v>
      </c>
      <c r="R451" s="25" t="b">
        <v>0</v>
      </c>
    </row>
    <row r="452" spans="1:18" s="162" customFormat="1">
      <c r="A452" s="37" t="s">
        <v>8202</v>
      </c>
      <c r="B452" s="34"/>
      <c r="C452" s="34"/>
      <c r="D452" s="34">
        <v>0</v>
      </c>
      <c r="E452" s="34">
        <v>10</v>
      </c>
      <c r="F452" s="34">
        <v>1</v>
      </c>
      <c r="G452" s="40" t="s">
        <v>8224</v>
      </c>
      <c r="H452" s="34"/>
      <c r="I452" s="34" t="b">
        <v>0</v>
      </c>
      <c r="J452" s="34" t="b">
        <v>1</v>
      </c>
      <c r="K452" s="34" t="b">
        <v>1</v>
      </c>
      <c r="L452" s="34"/>
      <c r="M452" s="34" t="s">
        <v>5547</v>
      </c>
      <c r="N452" s="34" t="str">
        <f>_xlfn.IFNA(VLOOKUP($M452,Buff.CM!$A:$O,13,FALSE),"")</f>
        <v>icon_battle_attackspeed</v>
      </c>
      <c r="O452" s="34" t="str">
        <f>_xlfn.IFNA(VLOOKUP($M452,Buff.CM!$A:$O,14,FALSE),"")</f>
        <v>Buff.Name.AtkSpeed.Up.00</v>
      </c>
      <c r="P452" s="34" t="str">
        <f>_xlfn.IFNA(VLOOKUP($M452,Buff.CM!$A:$O,15,FALSE),"")</f>
        <v>Buff.Desc.AtkSpeed.Up.00</v>
      </c>
      <c r="Q452" s="34" t="b">
        <v>0</v>
      </c>
      <c r="R452" s="34" t="b">
        <v>0</v>
      </c>
    </row>
    <row r="453" spans="1:18" s="162" customFormat="1">
      <c r="A453" s="37" t="s">
        <v>8203</v>
      </c>
      <c r="B453" s="34"/>
      <c r="C453" s="34"/>
      <c r="D453" s="34">
        <v>0</v>
      </c>
      <c r="E453" s="34">
        <v>10</v>
      </c>
      <c r="F453" s="34">
        <v>1</v>
      </c>
      <c r="G453" s="40" t="s">
        <v>8226</v>
      </c>
      <c r="H453" s="34"/>
      <c r="I453" s="34" t="b">
        <v>0</v>
      </c>
      <c r="J453" s="34" t="b">
        <v>1</v>
      </c>
      <c r="K453" s="34" t="b">
        <v>1</v>
      </c>
      <c r="L453" s="34"/>
      <c r="M453" s="34" t="s">
        <v>5547</v>
      </c>
      <c r="N453" s="34" t="str">
        <f>_xlfn.IFNA(VLOOKUP($M453,Buff.CM!$A:$O,13,FALSE),"")</f>
        <v>icon_battle_attackspeed</v>
      </c>
      <c r="O453" s="34" t="str">
        <f>_xlfn.IFNA(VLOOKUP($M453,Buff.CM!$A:$O,14,FALSE),"")</f>
        <v>Buff.Name.AtkSpeed.Up.00</v>
      </c>
      <c r="P453" s="34" t="str">
        <f>_xlfn.IFNA(VLOOKUP($M453,Buff.CM!$A:$O,15,FALSE),"")</f>
        <v>Buff.Desc.AtkSpeed.Up.00</v>
      </c>
      <c r="Q453" s="34" t="b">
        <v>0</v>
      </c>
      <c r="R453" s="34" t="b">
        <v>0</v>
      </c>
    </row>
    <row r="454" spans="1:18" s="162" customFormat="1">
      <c r="A454" s="37" t="s">
        <v>8204</v>
      </c>
      <c r="B454" s="34"/>
      <c r="C454" s="34"/>
      <c r="D454" s="34">
        <v>0</v>
      </c>
      <c r="E454" s="34">
        <v>10</v>
      </c>
      <c r="F454" s="34">
        <v>1</v>
      </c>
      <c r="G454" s="40" t="s">
        <v>8228</v>
      </c>
      <c r="H454" s="34"/>
      <c r="I454" s="34" t="b">
        <v>0</v>
      </c>
      <c r="J454" s="34" t="b">
        <v>1</v>
      </c>
      <c r="K454" s="34" t="b">
        <v>1</v>
      </c>
      <c r="L454" s="34"/>
      <c r="M454" s="34" t="s">
        <v>5547</v>
      </c>
      <c r="N454" s="34" t="str">
        <f>_xlfn.IFNA(VLOOKUP($M454,Buff.CM!$A:$O,13,FALSE),"")</f>
        <v>icon_battle_attackspeed</v>
      </c>
      <c r="O454" s="34" t="str">
        <f>_xlfn.IFNA(VLOOKUP($M454,Buff.CM!$A:$O,14,FALSE),"")</f>
        <v>Buff.Name.AtkSpeed.Up.00</v>
      </c>
      <c r="P454" s="34" t="str">
        <f>_xlfn.IFNA(VLOOKUP($M454,Buff.CM!$A:$O,15,FALSE),"")</f>
        <v>Buff.Desc.AtkSpeed.Up.00</v>
      </c>
      <c r="Q454" s="34" t="b">
        <v>0</v>
      </c>
      <c r="R454" s="34" t="b">
        <v>0</v>
      </c>
    </row>
    <row r="455" spans="1:18" s="162" customFormat="1">
      <c r="A455" s="68" t="s">
        <v>8190</v>
      </c>
      <c r="B455" s="44"/>
      <c r="C455" s="44"/>
      <c r="D455" s="44">
        <v>0</v>
      </c>
      <c r="E455" s="44">
        <v>0</v>
      </c>
      <c r="F455" s="44">
        <v>0</v>
      </c>
      <c r="G455" s="66" t="s">
        <v>8191</v>
      </c>
      <c r="H455" s="44"/>
      <c r="I455" s="44" t="b">
        <v>0</v>
      </c>
      <c r="J455" s="44" t="b">
        <v>1</v>
      </c>
      <c r="K455" s="44" t="b">
        <v>1</v>
      </c>
      <c r="L455" s="44"/>
      <c r="M455" s="44"/>
      <c r="N455" s="44" t="str">
        <f>_xlfn.IFNA(VLOOKUP($M455,Buff.CM!$A:$O,13,FALSE),"")</f>
        <v/>
      </c>
      <c r="O455" s="44" t="str">
        <f>_xlfn.IFNA(VLOOKUP($M455,Buff.CM!$A:$O,14,FALSE),"")</f>
        <v/>
      </c>
      <c r="P455" s="44" t="str">
        <f>_xlfn.IFNA(VLOOKUP($M455,Buff.CM!$A:$O,15,FALSE),"")</f>
        <v/>
      </c>
      <c r="Q455" s="44" t="b">
        <v>0</v>
      </c>
      <c r="R455" s="44" t="b">
        <v>0</v>
      </c>
    </row>
    <row r="456" spans="1:18" s="162" customFormat="1">
      <c r="A456" s="68" t="s">
        <v>8174</v>
      </c>
      <c r="B456" s="44"/>
      <c r="C456" s="44"/>
      <c r="D456" s="44">
        <v>0</v>
      </c>
      <c r="E456" s="44">
        <v>0</v>
      </c>
      <c r="F456" s="44">
        <v>0</v>
      </c>
      <c r="G456" s="66" t="s">
        <v>8177</v>
      </c>
      <c r="H456" s="44"/>
      <c r="I456" s="44" t="b">
        <v>0</v>
      </c>
      <c r="J456" s="44" t="b">
        <v>1</v>
      </c>
      <c r="K456" s="44" t="b">
        <v>1</v>
      </c>
      <c r="L456" s="44"/>
      <c r="M456" s="44"/>
      <c r="N456" s="44" t="str">
        <f>_xlfn.IFNA(VLOOKUP($M456,Buff.CM!$A:$O,13,FALSE),"")</f>
        <v/>
      </c>
      <c r="O456" s="44" t="str">
        <f>_xlfn.IFNA(VLOOKUP($M456,Buff.CM!$A:$O,14,FALSE),"")</f>
        <v/>
      </c>
      <c r="P456" s="44" t="str">
        <f>_xlfn.IFNA(VLOOKUP($M456,Buff.CM!$A:$O,15,FALSE),"")</f>
        <v/>
      </c>
      <c r="Q456" s="44" t="b">
        <v>0</v>
      </c>
      <c r="R456" s="44" t="b">
        <v>0</v>
      </c>
    </row>
    <row r="457" spans="1:18" s="162" customFormat="1">
      <c r="A457" s="68" t="s">
        <v>8175</v>
      </c>
      <c r="B457" s="44"/>
      <c r="C457" s="44"/>
      <c r="D457" s="44">
        <v>10000</v>
      </c>
      <c r="E457" s="44">
        <v>0</v>
      </c>
      <c r="F457" s="44">
        <v>0</v>
      </c>
      <c r="G457" s="66" t="s">
        <v>8179</v>
      </c>
      <c r="H457" s="44"/>
      <c r="I457" s="44" t="b">
        <v>0</v>
      </c>
      <c r="J457" s="44" t="b">
        <v>1</v>
      </c>
      <c r="K457" s="44" t="b">
        <v>1</v>
      </c>
      <c r="L457" s="44" t="s">
        <v>66</v>
      </c>
      <c r="M457" s="44" t="s">
        <v>5556</v>
      </c>
      <c r="N457" s="44" t="str">
        <f>_xlfn.IFNA(VLOOKUP($M457,Buff.CM!$A:$O,13,FALSE),"")</f>
        <v>icon_battle_effect_res</v>
      </c>
      <c r="O457" s="44" t="str">
        <f>_xlfn.IFNA(VLOOKUP($M457,Buff.CM!$A:$O,14,FALSE),"")</f>
        <v>Buff.Name.Reduce.Damage.Up.00</v>
      </c>
      <c r="P457" s="44" t="str">
        <f>_xlfn.IFNA(VLOOKUP($M457,Buff.CM!$A:$O,15,FALSE),"")</f>
        <v>Buff.Desc.Reduce.Damage.Up.00</v>
      </c>
      <c r="Q457" s="44" t="b">
        <v>0</v>
      </c>
      <c r="R457" s="44" t="b">
        <v>0</v>
      </c>
    </row>
    <row r="458" spans="1:18" ht="49.5">
      <c r="A458" s="24" t="s">
        <v>1973</v>
      </c>
      <c r="B458" s="24"/>
      <c r="C458" s="24"/>
      <c r="D458" s="24">
        <v>0</v>
      </c>
      <c r="E458" s="24">
        <v>0</v>
      </c>
      <c r="F458" s="24">
        <v>0</v>
      </c>
      <c r="G458" s="38" t="s">
        <v>6649</v>
      </c>
      <c r="H458" s="24"/>
      <c r="I458" s="24" t="b">
        <v>0</v>
      </c>
      <c r="J458" s="24" t="b">
        <v>0</v>
      </c>
      <c r="K458" s="24" t="b">
        <v>1</v>
      </c>
      <c r="L458" s="24"/>
      <c r="M458" s="24"/>
      <c r="N458" s="24" t="str">
        <f>_xlfn.IFNA(VLOOKUP($M458,Buff.CM!$A:$O,13,FALSE),"")</f>
        <v/>
      </c>
      <c r="O458" s="24" t="str">
        <f>_xlfn.IFNA(VLOOKUP($M458,Buff.CM!$A:$O,14,FALSE),"")</f>
        <v/>
      </c>
      <c r="P458" s="24" t="str">
        <f>_xlfn.IFNA(VLOOKUP($M458,Buff.CM!$A:$O,15,FALSE),"")</f>
        <v/>
      </c>
      <c r="Q458" s="24" t="b">
        <v>0</v>
      </c>
      <c r="R458" s="24" t="b">
        <v>0</v>
      </c>
    </row>
    <row r="459" spans="1:18" ht="49.5">
      <c r="A459" s="24" t="s">
        <v>1974</v>
      </c>
      <c r="B459" s="24"/>
      <c r="C459" s="24"/>
      <c r="D459" s="24">
        <v>0</v>
      </c>
      <c r="E459" s="24">
        <v>0</v>
      </c>
      <c r="F459" s="24">
        <v>0</v>
      </c>
      <c r="G459" s="38" t="s">
        <v>6650</v>
      </c>
      <c r="H459" s="24"/>
      <c r="I459" s="24" t="b">
        <v>0</v>
      </c>
      <c r="J459" s="24" t="b">
        <v>0</v>
      </c>
      <c r="K459" s="24" t="b">
        <v>1</v>
      </c>
      <c r="L459" s="24"/>
      <c r="M459" s="24"/>
      <c r="N459" s="24" t="str">
        <f>_xlfn.IFNA(VLOOKUP($M459,Buff.CM!$A:$O,13,FALSE),"")</f>
        <v/>
      </c>
      <c r="O459" s="24" t="str">
        <f>_xlfn.IFNA(VLOOKUP($M459,Buff.CM!$A:$O,14,FALSE),"")</f>
        <v/>
      </c>
      <c r="P459" s="24" t="str">
        <f>_xlfn.IFNA(VLOOKUP($M459,Buff.CM!$A:$O,15,FALSE),"")</f>
        <v/>
      </c>
      <c r="Q459" s="24" t="b">
        <v>0</v>
      </c>
      <c r="R459" s="24" t="b">
        <v>0</v>
      </c>
    </row>
    <row r="460" spans="1:18" ht="49.5">
      <c r="A460" s="24" t="s">
        <v>1975</v>
      </c>
      <c r="B460" s="24"/>
      <c r="C460" s="24"/>
      <c r="D460" s="24">
        <v>0</v>
      </c>
      <c r="E460" s="24">
        <v>0</v>
      </c>
      <c r="F460" s="24">
        <v>0</v>
      </c>
      <c r="G460" s="38" t="s">
        <v>6651</v>
      </c>
      <c r="H460" s="24"/>
      <c r="I460" s="24" t="b">
        <v>0</v>
      </c>
      <c r="J460" s="24" t="b">
        <v>0</v>
      </c>
      <c r="K460" s="24" t="b">
        <v>1</v>
      </c>
      <c r="L460" s="24"/>
      <c r="M460" s="24"/>
      <c r="N460" s="24" t="str">
        <f>_xlfn.IFNA(VLOOKUP($M460,Buff.CM!$A:$O,13,FALSE),"")</f>
        <v/>
      </c>
      <c r="O460" s="24" t="str">
        <f>_xlfn.IFNA(VLOOKUP($M460,Buff.CM!$A:$O,14,FALSE),"")</f>
        <v/>
      </c>
      <c r="P460" s="24" t="str">
        <f>_xlfn.IFNA(VLOOKUP($M460,Buff.CM!$A:$O,15,FALSE),"")</f>
        <v/>
      </c>
      <c r="Q460" s="24" t="b">
        <v>0</v>
      </c>
      <c r="R460" s="24" t="b">
        <v>0</v>
      </c>
    </row>
    <row r="461" spans="1:18" ht="49.5">
      <c r="A461" s="24" t="s">
        <v>2633</v>
      </c>
      <c r="B461" s="24"/>
      <c r="C461" s="24"/>
      <c r="D461" s="24">
        <v>0</v>
      </c>
      <c r="E461" s="24">
        <v>0</v>
      </c>
      <c r="F461" s="24">
        <v>0</v>
      </c>
      <c r="G461" s="38" t="s">
        <v>6652</v>
      </c>
      <c r="H461" s="24"/>
      <c r="I461" s="24" t="b">
        <v>0</v>
      </c>
      <c r="J461" s="24" t="b">
        <v>0</v>
      </c>
      <c r="K461" s="24" t="b">
        <v>1</v>
      </c>
      <c r="L461" s="24"/>
      <c r="M461" s="24"/>
      <c r="N461" s="24" t="str">
        <f>_xlfn.IFNA(VLOOKUP($M461,Buff.CM!$A:$O,13,FALSE),"")</f>
        <v/>
      </c>
      <c r="O461" s="24" t="str">
        <f>_xlfn.IFNA(VLOOKUP($M461,Buff.CM!$A:$O,14,FALSE),"")</f>
        <v/>
      </c>
      <c r="P461" s="24" t="str">
        <f>_xlfn.IFNA(VLOOKUP($M461,Buff.CM!$A:$O,15,FALSE),"")</f>
        <v/>
      </c>
      <c r="Q461" s="24" t="b">
        <v>0</v>
      </c>
      <c r="R461" s="24" t="b">
        <v>0</v>
      </c>
    </row>
    <row r="462" spans="1:18" ht="49.5">
      <c r="A462" s="24" t="s">
        <v>2634</v>
      </c>
      <c r="B462" s="24"/>
      <c r="C462" s="24"/>
      <c r="D462" s="24">
        <v>0</v>
      </c>
      <c r="E462" s="24">
        <v>0</v>
      </c>
      <c r="F462" s="24">
        <v>0</v>
      </c>
      <c r="G462" s="38" t="s">
        <v>6653</v>
      </c>
      <c r="H462" s="24"/>
      <c r="I462" s="24" t="b">
        <v>0</v>
      </c>
      <c r="J462" s="24" t="b">
        <v>0</v>
      </c>
      <c r="K462" s="24" t="b">
        <v>1</v>
      </c>
      <c r="L462" s="24"/>
      <c r="M462" s="24"/>
      <c r="N462" s="24" t="str">
        <f>_xlfn.IFNA(VLOOKUP($M462,Buff.CM!$A:$O,13,FALSE),"")</f>
        <v/>
      </c>
      <c r="O462" s="24" t="str">
        <f>_xlfn.IFNA(VLOOKUP($M462,Buff.CM!$A:$O,14,FALSE),"")</f>
        <v/>
      </c>
      <c r="P462" s="24" t="str">
        <f>_xlfn.IFNA(VLOOKUP($M462,Buff.CM!$A:$O,15,FALSE),"")</f>
        <v/>
      </c>
      <c r="Q462" s="24" t="b">
        <v>0</v>
      </c>
      <c r="R462" s="24" t="b">
        <v>0</v>
      </c>
    </row>
    <row r="463" spans="1:18" ht="49.5">
      <c r="A463" s="34" t="s">
        <v>2635</v>
      </c>
      <c r="B463" s="34"/>
      <c r="C463" s="34"/>
      <c r="D463" s="34">
        <v>0</v>
      </c>
      <c r="E463" s="34">
        <v>0</v>
      </c>
      <c r="F463" s="34">
        <v>0</v>
      </c>
      <c r="G463" s="40" t="s">
        <v>6654</v>
      </c>
      <c r="H463" s="34"/>
      <c r="I463" s="34" t="b">
        <v>0</v>
      </c>
      <c r="J463" s="34" t="b">
        <v>0</v>
      </c>
      <c r="K463" s="34" t="b">
        <v>1</v>
      </c>
      <c r="L463" s="34"/>
      <c r="M463" s="34"/>
      <c r="N463" s="34" t="str">
        <f>_xlfn.IFNA(VLOOKUP($M463,Buff.CM!$A:$O,13,FALSE),"")</f>
        <v/>
      </c>
      <c r="O463" s="34" t="str">
        <f>_xlfn.IFNA(VLOOKUP($M463,Buff.CM!$A:$O,14,FALSE),"")</f>
        <v/>
      </c>
      <c r="P463" s="34" t="str">
        <f>_xlfn.IFNA(VLOOKUP($M463,Buff.CM!$A:$O,15,FALSE),"")</f>
        <v/>
      </c>
      <c r="Q463" s="34" t="b">
        <v>0</v>
      </c>
      <c r="R463" s="34" t="b">
        <v>0</v>
      </c>
    </row>
    <row r="464" spans="1:18" ht="49.5">
      <c r="A464" s="34" t="s">
        <v>2636</v>
      </c>
      <c r="B464" s="34"/>
      <c r="C464" s="34"/>
      <c r="D464" s="34">
        <v>0</v>
      </c>
      <c r="E464" s="34">
        <v>0</v>
      </c>
      <c r="F464" s="34">
        <v>0</v>
      </c>
      <c r="G464" s="40" t="s">
        <v>6655</v>
      </c>
      <c r="H464" s="34"/>
      <c r="I464" s="34" t="b">
        <v>0</v>
      </c>
      <c r="J464" s="34" t="b">
        <v>0</v>
      </c>
      <c r="K464" s="34" t="b">
        <v>1</v>
      </c>
      <c r="L464" s="34"/>
      <c r="M464" s="34"/>
      <c r="N464" s="34" t="str">
        <f>_xlfn.IFNA(VLOOKUP($M464,Buff.CM!$A:$O,13,FALSE),"")</f>
        <v/>
      </c>
      <c r="O464" s="34" t="str">
        <f>_xlfn.IFNA(VLOOKUP($M464,Buff.CM!$A:$O,14,FALSE),"")</f>
        <v/>
      </c>
      <c r="P464" s="34" t="str">
        <f>_xlfn.IFNA(VLOOKUP($M464,Buff.CM!$A:$O,15,FALSE),"")</f>
        <v/>
      </c>
      <c r="Q464" s="34" t="b">
        <v>0</v>
      </c>
      <c r="R464" s="34" t="b">
        <v>0</v>
      </c>
    </row>
    <row r="465" spans="1:18" s="150" customFormat="1">
      <c r="A465" s="24" t="s">
        <v>3630</v>
      </c>
      <c r="B465" s="24"/>
      <c r="C465" s="24"/>
      <c r="D465" s="24">
        <v>2000</v>
      </c>
      <c r="E465" s="24">
        <v>0</v>
      </c>
      <c r="F465" s="24">
        <v>0</v>
      </c>
      <c r="G465" s="38" t="s">
        <v>243</v>
      </c>
      <c r="H465" s="24"/>
      <c r="I465" s="24" t="b">
        <v>0</v>
      </c>
      <c r="J465" s="24" t="b">
        <v>0</v>
      </c>
      <c r="K465" s="24" t="b">
        <v>0</v>
      </c>
      <c r="L465" s="24" t="s">
        <v>314</v>
      </c>
      <c r="M465" s="24" t="s">
        <v>5468</v>
      </c>
      <c r="N465" s="24" t="str">
        <f>_xlfn.IFNA(VLOOKUP($M465,Buff.CM!$A:$O,13,FALSE),"")</f>
        <v>icon_battle_stun</v>
      </c>
      <c r="O465" s="24" t="str">
        <f>_xlfn.IFNA(VLOOKUP($M465,Buff.CM!$A:$O,14,FALSE),"")</f>
        <v>Buff.Name.Stun</v>
      </c>
      <c r="P465" s="24" t="str">
        <f>_xlfn.IFNA(VLOOKUP($M465,Buff.CM!$A:$O,15,FALSE),"")</f>
        <v>Buff.Desc.Stun</v>
      </c>
      <c r="Q465" s="24" t="b">
        <v>0</v>
      </c>
      <c r="R465" s="24" t="b">
        <v>1</v>
      </c>
    </row>
    <row r="466" spans="1:18">
      <c r="A466" s="34" t="s">
        <v>6656</v>
      </c>
      <c r="B466" s="34"/>
      <c r="C466" s="34"/>
      <c r="D466" s="34">
        <v>6000</v>
      </c>
      <c r="E466" s="34">
        <v>0</v>
      </c>
      <c r="F466" s="34">
        <v>0</v>
      </c>
      <c r="G466" s="40" t="s">
        <v>1522</v>
      </c>
      <c r="H466" s="34"/>
      <c r="I466" s="34" t="b">
        <v>0</v>
      </c>
      <c r="J466" s="34" t="b">
        <v>0</v>
      </c>
      <c r="K466" s="34" t="b">
        <v>0</v>
      </c>
      <c r="L466" s="53" t="s">
        <v>5476</v>
      </c>
      <c r="M466" s="34" t="s">
        <v>1522</v>
      </c>
      <c r="N466" s="34" t="str">
        <f>_xlfn.IFNA(VLOOKUP($M466,Buff.CM!$A:$O,13,FALSE),"")</f>
        <v>icon_battle_defense</v>
      </c>
      <c r="O466" s="34" t="str">
        <f>_xlfn.IFNA(VLOOKUP($M466,Buff.CM!$A:$O,14,FALSE),"")</f>
        <v>Buff.Name.Def.Down.05</v>
      </c>
      <c r="P466" s="34" t="str">
        <f>_xlfn.IFNA(VLOOKUP($M466,Buff.CM!$A:$O,15,FALSE),"")</f>
        <v>Buff.Desc.Def.Down.05</v>
      </c>
      <c r="Q466" s="34" t="b">
        <v>0</v>
      </c>
      <c r="R466" s="34" t="b">
        <v>1</v>
      </c>
    </row>
    <row r="467" spans="1:18">
      <c r="A467" s="108" t="s">
        <v>6657</v>
      </c>
      <c r="B467" s="24"/>
      <c r="C467" s="24"/>
      <c r="D467" s="24">
        <v>0</v>
      </c>
      <c r="E467" s="24">
        <v>0</v>
      </c>
      <c r="F467" s="24">
        <v>0</v>
      </c>
      <c r="G467" s="108" t="s">
        <v>122</v>
      </c>
      <c r="H467" s="24"/>
      <c r="I467" s="24" t="b">
        <v>0</v>
      </c>
      <c r="J467" s="24" t="b">
        <v>0</v>
      </c>
      <c r="K467" s="24" t="b">
        <v>1</v>
      </c>
      <c r="L467" s="24"/>
      <c r="M467" s="135"/>
      <c r="N467" s="135" t="str">
        <f>_xlfn.IFNA(VLOOKUP($M467,Buff.CM!$A:$O,13,FALSE),"")</f>
        <v/>
      </c>
      <c r="O467" s="135" t="str">
        <f>_xlfn.IFNA(VLOOKUP($M467,Buff.CM!$A:$O,14,FALSE),"")</f>
        <v/>
      </c>
      <c r="P467" s="24" t="str">
        <f>_xlfn.IFNA(VLOOKUP($M467,Buff.CM!$A:$O,15,FALSE),"")</f>
        <v/>
      </c>
      <c r="Q467" s="24" t="b">
        <v>0</v>
      </c>
      <c r="R467" s="24" t="b">
        <v>0</v>
      </c>
    </row>
    <row r="468" spans="1:18">
      <c r="A468" s="24" t="s">
        <v>3629</v>
      </c>
      <c r="B468" s="24" t="s">
        <v>1367</v>
      </c>
      <c r="C468" s="24" t="s">
        <v>6658</v>
      </c>
      <c r="D468" s="24">
        <v>2000</v>
      </c>
      <c r="E468" s="24">
        <v>0</v>
      </c>
      <c r="F468" s="24">
        <v>0</v>
      </c>
      <c r="G468" s="38" t="s">
        <v>3427</v>
      </c>
      <c r="H468" s="24"/>
      <c r="I468" s="24" t="b">
        <v>0</v>
      </c>
      <c r="J468" s="24" t="b">
        <v>0</v>
      </c>
      <c r="K468" s="24" t="b">
        <v>0</v>
      </c>
      <c r="L468" s="24" t="s">
        <v>6659</v>
      </c>
      <c r="M468" s="24" t="s">
        <v>6554</v>
      </c>
      <c r="N468" s="24" t="str">
        <f>_xlfn.IFNA(VLOOKUP($M468,Buff.CM!$A:$O,13,FALSE),"")</f>
        <v>icon_battle_silence</v>
      </c>
      <c r="O468" s="24" t="str">
        <f>_xlfn.IFNA(VLOOKUP($M468,Buff.CM!$A:$O,14,FALSE),"")</f>
        <v>Buff.Name.Silence</v>
      </c>
      <c r="P468" s="24" t="str">
        <f>_xlfn.IFNA(VLOOKUP($M468,Buff.CM!$A:$O,15,FALSE),"")</f>
        <v>Buff.Desc.Silence</v>
      </c>
      <c r="Q468" s="24" t="b">
        <v>0</v>
      </c>
      <c r="R468" s="24" t="b">
        <v>1</v>
      </c>
    </row>
    <row r="469" spans="1:18">
      <c r="A469" s="24" t="s">
        <v>3624</v>
      </c>
      <c r="B469" s="24"/>
      <c r="C469" s="24"/>
      <c r="D469" s="24">
        <v>2000</v>
      </c>
      <c r="E469" s="24">
        <v>0</v>
      </c>
      <c r="F469" s="24">
        <v>0</v>
      </c>
      <c r="G469" s="38" t="s">
        <v>3427</v>
      </c>
      <c r="H469" s="24"/>
      <c r="I469" s="24" t="b">
        <v>0</v>
      </c>
      <c r="J469" s="24" t="b">
        <v>0</v>
      </c>
      <c r="K469" s="24" t="b">
        <v>0</v>
      </c>
      <c r="L469" s="24" t="s">
        <v>6659</v>
      </c>
      <c r="M469" s="24" t="s">
        <v>6554</v>
      </c>
      <c r="N469" s="24" t="str">
        <f>_xlfn.IFNA(VLOOKUP($M469,Buff.CM!$A:$O,13,FALSE),"")</f>
        <v>icon_battle_silence</v>
      </c>
      <c r="O469" s="24" t="str">
        <f>_xlfn.IFNA(VLOOKUP($M469,Buff.CM!$A:$O,14,FALSE),"")</f>
        <v>Buff.Name.Silence</v>
      </c>
      <c r="P469" s="24" t="str">
        <f>_xlfn.IFNA(VLOOKUP($M469,Buff.CM!$A:$O,15,FALSE),"")</f>
        <v>Buff.Desc.Silence</v>
      </c>
      <c r="Q469" s="24" t="b">
        <v>0</v>
      </c>
      <c r="R469" s="24" t="b">
        <v>1</v>
      </c>
    </row>
    <row r="470" spans="1:18">
      <c r="A470" s="24" t="s">
        <v>3625</v>
      </c>
      <c r="B470" s="24"/>
      <c r="C470" s="24"/>
      <c r="D470" s="24">
        <v>2000</v>
      </c>
      <c r="E470" s="24">
        <v>0</v>
      </c>
      <c r="F470" s="24">
        <v>0</v>
      </c>
      <c r="G470" s="38" t="s">
        <v>3427</v>
      </c>
      <c r="H470" s="24"/>
      <c r="I470" s="24" t="b">
        <v>0</v>
      </c>
      <c r="J470" s="24" t="b">
        <v>0</v>
      </c>
      <c r="K470" s="24" t="b">
        <v>0</v>
      </c>
      <c r="L470" s="24" t="s">
        <v>6659</v>
      </c>
      <c r="M470" s="24" t="s">
        <v>6554</v>
      </c>
      <c r="N470" s="24" t="str">
        <f>_xlfn.IFNA(VLOOKUP($M470,Buff.CM!$A:$O,13,FALSE),"")</f>
        <v>icon_battle_silence</v>
      </c>
      <c r="O470" s="24" t="str">
        <f>_xlfn.IFNA(VLOOKUP($M470,Buff.CM!$A:$O,14,FALSE),"")</f>
        <v>Buff.Name.Silence</v>
      </c>
      <c r="P470" s="24" t="str">
        <f>_xlfn.IFNA(VLOOKUP($M470,Buff.CM!$A:$O,15,FALSE),"")</f>
        <v>Buff.Desc.Silence</v>
      </c>
      <c r="Q470" s="24" t="b">
        <v>0</v>
      </c>
      <c r="R470" s="24" t="b">
        <v>1</v>
      </c>
    </row>
    <row r="471" spans="1:18">
      <c r="A471" s="24" t="s">
        <v>3626</v>
      </c>
      <c r="B471" s="24"/>
      <c r="C471" s="24"/>
      <c r="D471" s="24">
        <v>2000</v>
      </c>
      <c r="E471" s="24">
        <v>0</v>
      </c>
      <c r="F471" s="24">
        <v>0</v>
      </c>
      <c r="G471" s="38" t="s">
        <v>3427</v>
      </c>
      <c r="H471" s="24"/>
      <c r="I471" s="24" t="b">
        <v>0</v>
      </c>
      <c r="J471" s="24" t="b">
        <v>0</v>
      </c>
      <c r="K471" s="24" t="b">
        <v>0</v>
      </c>
      <c r="L471" s="24" t="s">
        <v>6659</v>
      </c>
      <c r="M471" s="24" t="s">
        <v>6554</v>
      </c>
      <c r="N471" s="24" t="str">
        <f>_xlfn.IFNA(VLOOKUP($M471,Buff.CM!$A:$O,13,FALSE),"")</f>
        <v>icon_battle_silence</v>
      </c>
      <c r="O471" s="24" t="str">
        <f>_xlfn.IFNA(VLOOKUP($M471,Buff.CM!$A:$O,14,FALSE),"")</f>
        <v>Buff.Name.Silence</v>
      </c>
      <c r="P471" s="24" t="str">
        <f>_xlfn.IFNA(VLOOKUP($M471,Buff.CM!$A:$O,15,FALSE),"")</f>
        <v>Buff.Desc.Silence</v>
      </c>
      <c r="Q471" s="24" t="b">
        <v>0</v>
      </c>
      <c r="R471" s="24" t="b">
        <v>1</v>
      </c>
    </row>
    <row r="472" spans="1:18">
      <c r="A472" s="24" t="s">
        <v>3627</v>
      </c>
      <c r="B472" s="24"/>
      <c r="C472" s="24"/>
      <c r="D472" s="24">
        <v>2000</v>
      </c>
      <c r="E472" s="24">
        <v>0</v>
      </c>
      <c r="F472" s="24">
        <v>0</v>
      </c>
      <c r="G472" s="38" t="s">
        <v>3427</v>
      </c>
      <c r="H472" s="24"/>
      <c r="I472" s="24" t="b">
        <v>0</v>
      </c>
      <c r="J472" s="24" t="b">
        <v>0</v>
      </c>
      <c r="K472" s="24" t="b">
        <v>0</v>
      </c>
      <c r="L472" s="24" t="s">
        <v>6659</v>
      </c>
      <c r="M472" s="24" t="s">
        <v>6554</v>
      </c>
      <c r="N472" s="24" t="str">
        <f>_xlfn.IFNA(VLOOKUP($M472,Buff.CM!$A:$O,13,FALSE),"")</f>
        <v>icon_battle_silence</v>
      </c>
      <c r="O472" s="24" t="str">
        <f>_xlfn.IFNA(VLOOKUP($M472,Buff.CM!$A:$O,14,FALSE),"")</f>
        <v>Buff.Name.Silence</v>
      </c>
      <c r="P472" s="24" t="str">
        <f>_xlfn.IFNA(VLOOKUP($M472,Buff.CM!$A:$O,15,FALSE),"")</f>
        <v>Buff.Desc.Silence</v>
      </c>
      <c r="Q472" s="24" t="b">
        <v>0</v>
      </c>
      <c r="R472" s="24" t="b">
        <v>1</v>
      </c>
    </row>
    <row r="473" spans="1:18">
      <c r="A473" s="34" t="s">
        <v>3628</v>
      </c>
      <c r="B473" s="34"/>
      <c r="C473" s="34"/>
      <c r="D473" s="34">
        <v>2000</v>
      </c>
      <c r="E473" s="34">
        <v>0</v>
      </c>
      <c r="F473" s="34">
        <v>0</v>
      </c>
      <c r="G473" s="40" t="s">
        <v>3427</v>
      </c>
      <c r="H473" s="34"/>
      <c r="I473" s="34" t="b">
        <v>0</v>
      </c>
      <c r="J473" s="34" t="b">
        <v>0</v>
      </c>
      <c r="K473" s="34" t="b">
        <v>0</v>
      </c>
      <c r="L473" s="24" t="s">
        <v>6659</v>
      </c>
      <c r="M473" s="34" t="s">
        <v>6554</v>
      </c>
      <c r="N473" s="34" t="str">
        <f>_xlfn.IFNA(VLOOKUP($M473,Buff.CM!$A:$O,13,FALSE),"")</f>
        <v>icon_battle_silence</v>
      </c>
      <c r="O473" s="34" t="str">
        <f>_xlfn.IFNA(VLOOKUP($M473,Buff.CM!$A:$O,14,FALSE),"")</f>
        <v>Buff.Name.Silence</v>
      </c>
      <c r="P473" s="34" t="str">
        <f>_xlfn.IFNA(VLOOKUP($M473,Buff.CM!$A:$O,15,FALSE),"")</f>
        <v>Buff.Desc.Silence</v>
      </c>
      <c r="Q473" s="34" t="b">
        <v>0</v>
      </c>
      <c r="R473" s="34" t="b">
        <v>1</v>
      </c>
    </row>
    <row r="474" spans="1:18" ht="33">
      <c r="A474" s="23" t="s">
        <v>1946</v>
      </c>
      <c r="B474" s="23"/>
      <c r="C474" s="23"/>
      <c r="D474" s="23">
        <v>0</v>
      </c>
      <c r="E474" s="23">
        <v>0</v>
      </c>
      <c r="F474" s="23">
        <v>0</v>
      </c>
      <c r="G474" s="39" t="s">
        <v>6660</v>
      </c>
      <c r="H474" s="23"/>
      <c r="I474" s="23" t="b">
        <v>1</v>
      </c>
      <c r="J474" s="23" t="b">
        <v>1</v>
      </c>
      <c r="K474" s="23" t="b">
        <v>1</v>
      </c>
      <c r="L474" s="23"/>
      <c r="M474" s="23"/>
      <c r="N474" s="23" t="str">
        <f>_xlfn.IFNA(VLOOKUP($M474,Buff.CM!$A:$O,13,FALSE),"")</f>
        <v/>
      </c>
      <c r="O474" s="23" t="str">
        <f>_xlfn.IFNA(VLOOKUP($M474,Buff.CM!$A:$O,14,FALSE),"")</f>
        <v/>
      </c>
      <c r="P474" s="23" t="str">
        <f>_xlfn.IFNA(VLOOKUP($M474,Buff.CM!$A:$O,15,FALSE),"")</f>
        <v/>
      </c>
      <c r="Q474" s="23" t="b">
        <v>0</v>
      </c>
      <c r="R474" s="23" t="b">
        <v>0</v>
      </c>
    </row>
    <row r="475" spans="1:18" ht="33">
      <c r="A475" s="23" t="s">
        <v>1947</v>
      </c>
      <c r="B475" s="23"/>
      <c r="C475" s="23"/>
      <c r="D475" s="23">
        <v>0</v>
      </c>
      <c r="E475" s="23">
        <v>0</v>
      </c>
      <c r="F475" s="23">
        <v>0</v>
      </c>
      <c r="G475" s="39" t="s">
        <v>6661</v>
      </c>
      <c r="H475" s="23"/>
      <c r="I475" s="23" t="b">
        <v>1</v>
      </c>
      <c r="J475" s="23" t="b">
        <v>1</v>
      </c>
      <c r="K475" s="23" t="b">
        <v>1</v>
      </c>
      <c r="L475" s="23"/>
      <c r="M475" s="23"/>
      <c r="N475" s="23" t="str">
        <f>_xlfn.IFNA(VLOOKUP($M475,Buff.CM!$A:$O,13,FALSE),"")</f>
        <v/>
      </c>
      <c r="O475" s="23" t="str">
        <f>_xlfn.IFNA(VLOOKUP($M475,Buff.CM!$A:$O,14,FALSE),"")</f>
        <v/>
      </c>
      <c r="P475" s="23" t="str">
        <f>_xlfn.IFNA(VLOOKUP($M475,Buff.CM!$A:$O,15,FALSE),"")</f>
        <v/>
      </c>
      <c r="Q475" s="23" t="b">
        <v>0</v>
      </c>
      <c r="R475" s="23" t="b">
        <v>0</v>
      </c>
    </row>
    <row r="476" spans="1:18" ht="33">
      <c r="A476" s="23" t="s">
        <v>1948</v>
      </c>
      <c r="B476" s="23"/>
      <c r="C476" s="23"/>
      <c r="D476" s="23">
        <v>0</v>
      </c>
      <c r="E476" s="23">
        <v>0</v>
      </c>
      <c r="F476" s="23">
        <v>0</v>
      </c>
      <c r="G476" s="39" t="s">
        <v>6662</v>
      </c>
      <c r="H476" s="23"/>
      <c r="I476" s="23" t="b">
        <v>1</v>
      </c>
      <c r="J476" s="23" t="b">
        <v>1</v>
      </c>
      <c r="K476" s="23" t="b">
        <v>1</v>
      </c>
      <c r="L476" s="23"/>
      <c r="M476" s="23"/>
      <c r="N476" s="23" t="str">
        <f>_xlfn.IFNA(VLOOKUP($M476,Buff.CM!$A:$O,13,FALSE),"")</f>
        <v/>
      </c>
      <c r="O476" s="23" t="str">
        <f>_xlfn.IFNA(VLOOKUP($M476,Buff.CM!$A:$O,14,FALSE),"")</f>
        <v/>
      </c>
      <c r="P476" s="23" t="str">
        <f>_xlfn.IFNA(VLOOKUP($M476,Buff.CM!$A:$O,15,FALSE),"")</f>
        <v/>
      </c>
      <c r="Q476" s="23" t="b">
        <v>0</v>
      </c>
      <c r="R476" s="23" t="b">
        <v>0</v>
      </c>
    </row>
    <row r="477" spans="1:18" ht="33">
      <c r="A477" s="34" t="s">
        <v>1949</v>
      </c>
      <c r="B477" s="34"/>
      <c r="C477" s="34"/>
      <c r="D477" s="34">
        <v>0</v>
      </c>
      <c r="E477" s="34">
        <v>0</v>
      </c>
      <c r="F477" s="34">
        <v>0</v>
      </c>
      <c r="G477" s="40" t="s">
        <v>6663</v>
      </c>
      <c r="H477" s="34"/>
      <c r="I477" s="34" t="b">
        <v>1</v>
      </c>
      <c r="J477" s="23" t="b">
        <v>1</v>
      </c>
      <c r="K477" s="34" t="b">
        <v>1</v>
      </c>
      <c r="L477" s="34"/>
      <c r="M477" s="34"/>
      <c r="N477" s="34" t="str">
        <f>_xlfn.IFNA(VLOOKUP($M477,Buff.CM!$A:$O,13,FALSE),"")</f>
        <v/>
      </c>
      <c r="O477" s="34" t="str">
        <f>_xlfn.IFNA(VLOOKUP($M477,Buff.CM!$A:$O,14,FALSE),"")</f>
        <v/>
      </c>
      <c r="P477" s="34" t="str">
        <f>_xlfn.IFNA(VLOOKUP($M477,Buff.CM!$A:$O,15,FALSE),"")</f>
        <v/>
      </c>
      <c r="Q477" s="34" t="b">
        <v>0</v>
      </c>
      <c r="R477" s="34" t="b">
        <v>0</v>
      </c>
    </row>
    <row r="478" spans="1:18" ht="33">
      <c r="A478" s="34" t="s">
        <v>1950</v>
      </c>
      <c r="B478" s="34"/>
      <c r="C478" s="34"/>
      <c r="D478" s="34">
        <v>0</v>
      </c>
      <c r="E478" s="34">
        <v>0</v>
      </c>
      <c r="F478" s="34">
        <v>0</v>
      </c>
      <c r="G478" s="40" t="s">
        <v>6664</v>
      </c>
      <c r="H478" s="34"/>
      <c r="I478" s="34" t="b">
        <v>1</v>
      </c>
      <c r="J478" s="23" t="b">
        <v>1</v>
      </c>
      <c r="K478" s="34" t="b">
        <v>1</v>
      </c>
      <c r="L478" s="34"/>
      <c r="M478" s="34"/>
      <c r="N478" s="34" t="str">
        <f>_xlfn.IFNA(VLOOKUP($M478,Buff.CM!$A:$O,13,FALSE),"")</f>
        <v/>
      </c>
      <c r="O478" s="34" t="str">
        <f>_xlfn.IFNA(VLOOKUP($M478,Buff.CM!$A:$O,14,FALSE),"")</f>
        <v/>
      </c>
      <c r="P478" s="34" t="str">
        <f>_xlfn.IFNA(VLOOKUP($M478,Buff.CM!$A:$O,15,FALSE),"")</f>
        <v/>
      </c>
      <c r="Q478" s="34" t="b">
        <v>0</v>
      </c>
      <c r="R478" s="34" t="b">
        <v>0</v>
      </c>
    </row>
    <row r="479" spans="1:18" ht="33">
      <c r="A479" s="34" t="s">
        <v>1951</v>
      </c>
      <c r="B479" s="34"/>
      <c r="C479" s="34"/>
      <c r="D479" s="34">
        <v>0</v>
      </c>
      <c r="E479" s="34">
        <v>0</v>
      </c>
      <c r="F479" s="34">
        <v>0</v>
      </c>
      <c r="G479" s="40" t="s">
        <v>6665</v>
      </c>
      <c r="H479" s="34"/>
      <c r="I479" s="34" t="b">
        <v>1</v>
      </c>
      <c r="J479" s="23" t="b">
        <v>1</v>
      </c>
      <c r="K479" s="34" t="b">
        <v>1</v>
      </c>
      <c r="L479" s="34"/>
      <c r="M479" s="34"/>
      <c r="N479" s="34" t="str">
        <f>_xlfn.IFNA(VLOOKUP($M479,Buff.CM!$A:$O,13,FALSE),"")</f>
        <v/>
      </c>
      <c r="O479" s="34" t="str">
        <f>_xlfn.IFNA(VLOOKUP($M479,Buff.CM!$A:$O,14,FALSE),"")</f>
        <v/>
      </c>
      <c r="P479" s="34" t="str">
        <f>_xlfn.IFNA(VLOOKUP($M479,Buff.CM!$A:$O,15,FALSE),"")</f>
        <v/>
      </c>
      <c r="Q479" s="34" t="b">
        <v>0</v>
      </c>
      <c r="R479" s="34" t="b">
        <v>0</v>
      </c>
    </row>
    <row r="480" spans="1:18" ht="33">
      <c r="A480" s="23" t="s">
        <v>6666</v>
      </c>
      <c r="B480" s="23"/>
      <c r="C480" s="23"/>
      <c r="D480" s="23">
        <v>0</v>
      </c>
      <c r="E480" s="23">
        <v>30</v>
      </c>
      <c r="F480" s="23">
        <v>1</v>
      </c>
      <c r="G480" s="39" t="s">
        <v>1984</v>
      </c>
      <c r="H480" s="23"/>
      <c r="I480" s="23" t="b">
        <v>1</v>
      </c>
      <c r="J480" s="23" t="b">
        <v>1</v>
      </c>
      <c r="K480" s="23" t="b">
        <v>1</v>
      </c>
      <c r="L480" s="23"/>
      <c r="M480" s="23" t="s">
        <v>5627</v>
      </c>
      <c r="N480" s="23" t="str">
        <f>_xlfn.IFNA(VLOOKUP($M480,Buff.CM!$A:$O,13,FALSE),"")</f>
        <v>icon_battle_belita_buff_01</v>
      </c>
      <c r="O480" s="23" t="str">
        <f>_xlfn.IFNA(VLOOKUP($M480,Buff.CM!$A:$O,14,FALSE),"")</f>
        <v>info.belita.buff.poem</v>
      </c>
      <c r="P480" s="23" t="str">
        <f>_xlfn.IFNA(VLOOKUP($M480,Buff.CM!$A:$O,15,FALSE),"")</f>
        <v>Desc.info.belita.buff.poem</v>
      </c>
      <c r="Q480" s="23" t="b">
        <v>0</v>
      </c>
      <c r="R480" s="23" t="b">
        <v>0</v>
      </c>
    </row>
    <row r="481" spans="1:18" ht="33">
      <c r="A481" s="23" t="s">
        <v>1952</v>
      </c>
      <c r="B481" s="23"/>
      <c r="C481" s="23"/>
      <c r="D481" s="23">
        <v>0</v>
      </c>
      <c r="E481" s="23">
        <v>30</v>
      </c>
      <c r="F481" s="23">
        <v>1</v>
      </c>
      <c r="G481" s="39" t="s">
        <v>1985</v>
      </c>
      <c r="H481" s="23"/>
      <c r="I481" s="23" t="b">
        <v>1</v>
      </c>
      <c r="J481" s="23" t="b">
        <v>1</v>
      </c>
      <c r="K481" s="23" t="b">
        <v>1</v>
      </c>
      <c r="L481" s="23"/>
      <c r="M481" s="23" t="s">
        <v>5627</v>
      </c>
      <c r="N481" s="23" t="str">
        <f>_xlfn.IFNA(VLOOKUP($M481,Buff.CM!$A:$O,13,FALSE),"")</f>
        <v>icon_battle_belita_buff_01</v>
      </c>
      <c r="O481" s="23" t="str">
        <f>_xlfn.IFNA(VLOOKUP($M481,Buff.CM!$A:$O,14,FALSE),"")</f>
        <v>info.belita.buff.poem</v>
      </c>
      <c r="P481" s="23" t="str">
        <f>_xlfn.IFNA(VLOOKUP($M481,Buff.CM!$A:$O,15,FALSE),"")</f>
        <v>Desc.info.belita.buff.poem</v>
      </c>
      <c r="Q481" s="23" t="b">
        <v>0</v>
      </c>
      <c r="R481" s="23" t="b">
        <v>0</v>
      </c>
    </row>
    <row r="482" spans="1:18" ht="33">
      <c r="A482" s="23" t="s">
        <v>1953</v>
      </c>
      <c r="B482" s="23"/>
      <c r="C482" s="23"/>
      <c r="D482" s="23">
        <v>0</v>
      </c>
      <c r="E482" s="23">
        <v>30</v>
      </c>
      <c r="F482" s="23">
        <v>1</v>
      </c>
      <c r="G482" s="39" t="s">
        <v>1986</v>
      </c>
      <c r="H482" s="23"/>
      <c r="I482" s="23" t="b">
        <v>1</v>
      </c>
      <c r="J482" s="23" t="b">
        <v>1</v>
      </c>
      <c r="K482" s="23" t="b">
        <v>1</v>
      </c>
      <c r="L482" s="23"/>
      <c r="M482" s="23" t="s">
        <v>5627</v>
      </c>
      <c r="N482" s="23" t="str">
        <f>_xlfn.IFNA(VLOOKUP($M482,Buff.CM!$A:$O,13,FALSE),"")</f>
        <v>icon_battle_belita_buff_01</v>
      </c>
      <c r="O482" s="23" t="str">
        <f>_xlfn.IFNA(VLOOKUP($M482,Buff.CM!$A:$O,14,FALSE),"")</f>
        <v>info.belita.buff.poem</v>
      </c>
      <c r="P482" s="23" t="str">
        <f>_xlfn.IFNA(VLOOKUP($M482,Buff.CM!$A:$O,15,FALSE),"")</f>
        <v>Desc.info.belita.buff.poem</v>
      </c>
      <c r="Q482" s="23" t="b">
        <v>0</v>
      </c>
      <c r="R482" s="23" t="b">
        <v>0</v>
      </c>
    </row>
    <row r="483" spans="1:18" ht="33">
      <c r="A483" s="34" t="s">
        <v>1954</v>
      </c>
      <c r="B483" s="34"/>
      <c r="C483" s="34"/>
      <c r="D483" s="34">
        <v>0</v>
      </c>
      <c r="E483" s="34">
        <v>30</v>
      </c>
      <c r="F483" s="34">
        <v>1</v>
      </c>
      <c r="G483" s="40" t="s">
        <v>1987</v>
      </c>
      <c r="H483" s="34"/>
      <c r="I483" s="34" t="b">
        <v>1</v>
      </c>
      <c r="J483" s="23" t="b">
        <v>1</v>
      </c>
      <c r="K483" s="34" t="b">
        <v>1</v>
      </c>
      <c r="L483" s="34"/>
      <c r="M483" s="34" t="s">
        <v>5627</v>
      </c>
      <c r="N483" s="34" t="str">
        <f>_xlfn.IFNA(VLOOKUP($M483,Buff.CM!$A:$O,13,FALSE),"")</f>
        <v>icon_battle_belita_buff_01</v>
      </c>
      <c r="O483" s="34" t="str">
        <f>_xlfn.IFNA(VLOOKUP($M483,Buff.CM!$A:$O,14,FALSE),"")</f>
        <v>info.belita.buff.poem</v>
      </c>
      <c r="P483" s="34" t="str">
        <f>_xlfn.IFNA(VLOOKUP($M483,Buff.CM!$A:$O,15,FALSE),"")</f>
        <v>Desc.info.belita.buff.poem</v>
      </c>
      <c r="Q483" s="34" t="b">
        <v>0</v>
      </c>
      <c r="R483" s="34" t="b">
        <v>0</v>
      </c>
    </row>
    <row r="484" spans="1:18" ht="33">
      <c r="A484" s="34" t="s">
        <v>1955</v>
      </c>
      <c r="B484" s="34"/>
      <c r="C484" s="34"/>
      <c r="D484" s="34">
        <v>0</v>
      </c>
      <c r="E484" s="34">
        <v>30</v>
      </c>
      <c r="F484" s="34">
        <v>1</v>
      </c>
      <c r="G484" s="40" t="s">
        <v>1988</v>
      </c>
      <c r="H484" s="34"/>
      <c r="I484" s="34" t="b">
        <v>1</v>
      </c>
      <c r="J484" s="23" t="b">
        <v>1</v>
      </c>
      <c r="K484" s="34" t="b">
        <v>1</v>
      </c>
      <c r="L484" s="34"/>
      <c r="M484" s="34" t="s">
        <v>5627</v>
      </c>
      <c r="N484" s="34" t="str">
        <f>_xlfn.IFNA(VLOOKUP($M484,Buff.CM!$A:$O,13,FALSE),"")</f>
        <v>icon_battle_belita_buff_01</v>
      </c>
      <c r="O484" s="34" t="str">
        <f>_xlfn.IFNA(VLOOKUP($M484,Buff.CM!$A:$O,14,FALSE),"")</f>
        <v>info.belita.buff.poem</v>
      </c>
      <c r="P484" s="34" t="str">
        <f>_xlfn.IFNA(VLOOKUP($M484,Buff.CM!$A:$O,15,FALSE),"")</f>
        <v>Desc.info.belita.buff.poem</v>
      </c>
      <c r="Q484" s="34" t="b">
        <v>0</v>
      </c>
      <c r="R484" s="34" t="b">
        <v>0</v>
      </c>
    </row>
    <row r="485" spans="1:18" ht="33">
      <c r="A485" s="34" t="s">
        <v>1956</v>
      </c>
      <c r="B485" s="34"/>
      <c r="C485" s="34"/>
      <c r="D485" s="34">
        <v>0</v>
      </c>
      <c r="E485" s="34">
        <v>30</v>
      </c>
      <c r="F485" s="34">
        <v>1</v>
      </c>
      <c r="G485" s="40" t="s">
        <v>6667</v>
      </c>
      <c r="H485" s="34"/>
      <c r="I485" s="34" t="b">
        <v>1</v>
      </c>
      <c r="J485" s="23" t="b">
        <v>1</v>
      </c>
      <c r="K485" s="34" t="b">
        <v>1</v>
      </c>
      <c r="L485" s="34"/>
      <c r="M485" s="34" t="s">
        <v>5627</v>
      </c>
      <c r="N485" s="34" t="str">
        <f>_xlfn.IFNA(VLOOKUP($M485,Buff.CM!$A:$O,13,FALSE),"")</f>
        <v>icon_battle_belita_buff_01</v>
      </c>
      <c r="O485" s="34" t="str">
        <f>_xlfn.IFNA(VLOOKUP($M485,Buff.CM!$A:$O,14,FALSE),"")</f>
        <v>info.belita.buff.poem</v>
      </c>
      <c r="P485" s="34" t="str">
        <f>_xlfn.IFNA(VLOOKUP($M485,Buff.CM!$A:$O,15,FALSE),"")</f>
        <v>Desc.info.belita.buff.poem</v>
      </c>
      <c r="Q485" s="34" t="b">
        <v>0</v>
      </c>
      <c r="R485" s="34" t="b">
        <v>0</v>
      </c>
    </row>
    <row r="486" spans="1:18" ht="33">
      <c r="A486" s="156" t="s">
        <v>6668</v>
      </c>
      <c r="B486" s="23"/>
      <c r="C486" s="23"/>
      <c r="D486" s="23">
        <v>0</v>
      </c>
      <c r="E486" s="23">
        <v>0</v>
      </c>
      <c r="F486" s="23">
        <v>0</v>
      </c>
      <c r="G486" s="39" t="s">
        <v>6669</v>
      </c>
      <c r="H486" s="23"/>
      <c r="I486" s="23" t="b">
        <v>1</v>
      </c>
      <c r="J486" s="23" t="b">
        <v>1</v>
      </c>
      <c r="K486" s="23" t="b">
        <v>1</v>
      </c>
      <c r="L486" s="23"/>
      <c r="M486" s="23"/>
      <c r="N486" s="23" t="str">
        <f>_xlfn.IFNA(VLOOKUP($M486,Buff.CM!$A:$O,13,FALSE),"")</f>
        <v/>
      </c>
      <c r="O486" s="23" t="str">
        <f>_xlfn.IFNA(VLOOKUP($M486,Buff.CM!$A:$O,14,FALSE),"")</f>
        <v/>
      </c>
      <c r="P486" s="23" t="str">
        <f>_xlfn.IFNA(VLOOKUP($M486,Buff.CM!$A:$O,15,FALSE),"")</f>
        <v/>
      </c>
      <c r="Q486" s="23" t="b">
        <v>0</v>
      </c>
      <c r="R486" s="23" t="b">
        <v>0</v>
      </c>
    </row>
    <row r="487" spans="1:18" ht="33">
      <c r="A487" s="156" t="s">
        <v>6151</v>
      </c>
      <c r="B487" s="23"/>
      <c r="C487" s="23"/>
      <c r="D487" s="23">
        <v>0</v>
      </c>
      <c r="E487" s="23">
        <v>0</v>
      </c>
      <c r="F487" s="23">
        <v>0</v>
      </c>
      <c r="G487" s="39" t="s">
        <v>6670</v>
      </c>
      <c r="H487" s="23"/>
      <c r="I487" s="23" t="b">
        <v>1</v>
      </c>
      <c r="J487" s="23" t="b">
        <v>1</v>
      </c>
      <c r="K487" s="23" t="b">
        <v>1</v>
      </c>
      <c r="L487" s="23"/>
      <c r="M487" s="23"/>
      <c r="N487" s="23" t="str">
        <f>_xlfn.IFNA(VLOOKUP($M487,Buff.CM!$A:$O,13,FALSE),"")</f>
        <v/>
      </c>
      <c r="O487" s="23" t="str">
        <f>_xlfn.IFNA(VLOOKUP($M487,Buff.CM!$A:$O,14,FALSE),"")</f>
        <v/>
      </c>
      <c r="P487" s="23" t="str">
        <f>_xlfn.IFNA(VLOOKUP($M487,Buff.CM!$A:$O,15,FALSE),"")</f>
        <v/>
      </c>
      <c r="Q487" s="23" t="b">
        <v>0</v>
      </c>
      <c r="R487" s="23" t="b">
        <v>0</v>
      </c>
    </row>
    <row r="488" spans="1:18" ht="33">
      <c r="A488" s="156" t="s">
        <v>6152</v>
      </c>
      <c r="B488" s="23"/>
      <c r="C488" s="23"/>
      <c r="D488" s="23">
        <v>0</v>
      </c>
      <c r="E488" s="23">
        <v>0</v>
      </c>
      <c r="F488" s="23">
        <v>0</v>
      </c>
      <c r="G488" s="39" t="s">
        <v>6671</v>
      </c>
      <c r="H488" s="23"/>
      <c r="I488" s="23" t="b">
        <v>1</v>
      </c>
      <c r="J488" s="23" t="b">
        <v>1</v>
      </c>
      <c r="K488" s="23" t="b">
        <v>1</v>
      </c>
      <c r="L488" s="23"/>
      <c r="M488" s="23"/>
      <c r="N488" s="23" t="str">
        <f>_xlfn.IFNA(VLOOKUP($M488,Buff.CM!$A:$O,13,FALSE),"")</f>
        <v/>
      </c>
      <c r="O488" s="23" t="str">
        <f>_xlfn.IFNA(VLOOKUP($M488,Buff.CM!$A:$O,14,FALSE),"")</f>
        <v/>
      </c>
      <c r="P488" s="23" t="str">
        <f>_xlfn.IFNA(VLOOKUP($M488,Buff.CM!$A:$O,15,FALSE),"")</f>
        <v/>
      </c>
      <c r="Q488" s="23" t="b">
        <v>0</v>
      </c>
      <c r="R488" s="23" t="b">
        <v>0</v>
      </c>
    </row>
    <row r="489" spans="1:18" ht="33">
      <c r="A489" s="57" t="s">
        <v>6153</v>
      </c>
      <c r="B489" s="34"/>
      <c r="C489" s="34"/>
      <c r="D489" s="34">
        <v>0</v>
      </c>
      <c r="E489" s="34">
        <v>0</v>
      </c>
      <c r="F489" s="34">
        <v>0</v>
      </c>
      <c r="G489" s="40" t="s">
        <v>6672</v>
      </c>
      <c r="H489" s="34"/>
      <c r="I489" s="34" t="b">
        <v>1</v>
      </c>
      <c r="J489" s="23" t="b">
        <v>1</v>
      </c>
      <c r="K489" s="34" t="b">
        <v>1</v>
      </c>
      <c r="L489" s="34"/>
      <c r="M489" s="34"/>
      <c r="N489" s="34" t="str">
        <f>_xlfn.IFNA(VLOOKUP($M489,Buff.CM!$A:$O,13,FALSE),"")</f>
        <v/>
      </c>
      <c r="O489" s="34" t="str">
        <f>_xlfn.IFNA(VLOOKUP($M489,Buff.CM!$A:$O,14,FALSE),"")</f>
        <v/>
      </c>
      <c r="P489" s="34" t="str">
        <f>_xlfn.IFNA(VLOOKUP($M489,Buff.CM!$A:$O,15,FALSE),"")</f>
        <v/>
      </c>
      <c r="Q489" s="34" t="b">
        <v>0</v>
      </c>
      <c r="R489" s="34" t="b">
        <v>0</v>
      </c>
    </row>
    <row r="490" spans="1:18" ht="33">
      <c r="A490" s="57" t="s">
        <v>6154</v>
      </c>
      <c r="B490" s="34"/>
      <c r="C490" s="34"/>
      <c r="D490" s="34">
        <v>0</v>
      </c>
      <c r="E490" s="34">
        <v>0</v>
      </c>
      <c r="F490" s="34">
        <v>0</v>
      </c>
      <c r="G490" s="40" t="s">
        <v>6673</v>
      </c>
      <c r="H490" s="34"/>
      <c r="I490" s="34" t="b">
        <v>1</v>
      </c>
      <c r="J490" s="23" t="b">
        <v>1</v>
      </c>
      <c r="K490" s="34" t="b">
        <v>1</v>
      </c>
      <c r="L490" s="34"/>
      <c r="M490" s="34"/>
      <c r="N490" s="34" t="str">
        <f>_xlfn.IFNA(VLOOKUP($M490,Buff.CM!$A:$O,13,FALSE),"")</f>
        <v/>
      </c>
      <c r="O490" s="34" t="str">
        <f>_xlfn.IFNA(VLOOKUP($M490,Buff.CM!$A:$O,14,FALSE),"")</f>
        <v/>
      </c>
      <c r="P490" s="34" t="str">
        <f>_xlfn.IFNA(VLOOKUP($M490,Buff.CM!$A:$O,15,FALSE),"")</f>
        <v/>
      </c>
      <c r="Q490" s="34" t="b">
        <v>0</v>
      </c>
      <c r="R490" s="34" t="b">
        <v>0</v>
      </c>
    </row>
    <row r="491" spans="1:18" ht="33">
      <c r="A491" s="57" t="s">
        <v>6155</v>
      </c>
      <c r="B491" s="34"/>
      <c r="C491" s="34"/>
      <c r="D491" s="34">
        <v>0</v>
      </c>
      <c r="E491" s="34">
        <v>0</v>
      </c>
      <c r="F491" s="34">
        <v>0</v>
      </c>
      <c r="G491" s="40" t="s">
        <v>6674</v>
      </c>
      <c r="H491" s="34"/>
      <c r="I491" s="34" t="b">
        <v>1</v>
      </c>
      <c r="J491" s="23" t="b">
        <v>1</v>
      </c>
      <c r="K491" s="34" t="b">
        <v>1</v>
      </c>
      <c r="L491" s="34"/>
      <c r="M491" s="34"/>
      <c r="N491" s="34" t="str">
        <f>_xlfn.IFNA(VLOOKUP($M491,Buff.CM!$A:$O,13,FALSE),"")</f>
        <v/>
      </c>
      <c r="O491" s="34" t="str">
        <f>_xlfn.IFNA(VLOOKUP($M491,Buff.CM!$A:$O,14,FALSE),"")</f>
        <v/>
      </c>
      <c r="P491" s="34" t="str">
        <f>_xlfn.IFNA(VLOOKUP($M491,Buff.CM!$A:$O,15,FALSE),"")</f>
        <v/>
      </c>
      <c r="Q491" s="34" t="b">
        <v>0</v>
      </c>
      <c r="R491" s="34" t="b">
        <v>0</v>
      </c>
    </row>
    <row r="492" spans="1:18">
      <c r="A492" s="156" t="s">
        <v>6675</v>
      </c>
      <c r="B492" s="156" t="s">
        <v>1414</v>
      </c>
      <c r="C492" s="156" t="s">
        <v>4623</v>
      </c>
      <c r="D492" s="23">
        <v>0</v>
      </c>
      <c r="E492" s="23">
        <v>0</v>
      </c>
      <c r="F492" s="23">
        <v>0</v>
      </c>
      <c r="G492" s="39" t="s">
        <v>6676</v>
      </c>
      <c r="H492" s="23"/>
      <c r="I492" s="23" t="b">
        <v>1</v>
      </c>
      <c r="J492" s="23" t="b">
        <v>1</v>
      </c>
      <c r="K492" s="23" t="b">
        <v>1</v>
      </c>
      <c r="L492" s="23"/>
      <c r="M492" s="23"/>
      <c r="N492" s="23" t="str">
        <f>_xlfn.IFNA(VLOOKUP($M492,Buff.CM!$A:$O,13,FALSE),"")</f>
        <v/>
      </c>
      <c r="O492" s="23" t="str">
        <f>_xlfn.IFNA(VLOOKUP($M492,Buff.CM!$A:$O,14,FALSE),"")</f>
        <v/>
      </c>
      <c r="P492" s="23" t="str">
        <f>_xlfn.IFNA(VLOOKUP($M492,Buff.CM!$A:$O,15,FALSE),"")</f>
        <v/>
      </c>
      <c r="Q492" s="23" t="b">
        <v>0</v>
      </c>
      <c r="R492" s="23" t="b">
        <v>0</v>
      </c>
    </row>
    <row r="493" spans="1:18">
      <c r="A493" s="156" t="s">
        <v>6658</v>
      </c>
      <c r="B493" s="156"/>
      <c r="C493" s="156"/>
      <c r="D493" s="23">
        <v>0</v>
      </c>
      <c r="E493" s="23">
        <v>0</v>
      </c>
      <c r="F493" s="23">
        <v>0</v>
      </c>
      <c r="G493" s="39" t="s">
        <v>122</v>
      </c>
      <c r="H493" s="23"/>
      <c r="I493" s="23" t="b">
        <v>1</v>
      </c>
      <c r="J493" s="23" t="b">
        <v>1</v>
      </c>
      <c r="K493" s="23" t="b">
        <v>1</v>
      </c>
      <c r="L493" s="23"/>
      <c r="M493" s="23"/>
      <c r="N493" s="23" t="str">
        <f>_xlfn.IFNA(VLOOKUP($M493,Buff.CM!$A:$O,13,FALSE),"")</f>
        <v/>
      </c>
      <c r="O493" s="23" t="str">
        <f>_xlfn.IFNA(VLOOKUP($M493,Buff.CM!$A:$O,14,FALSE),"")</f>
        <v/>
      </c>
      <c r="P493" s="23" t="str">
        <f>_xlfn.IFNA(VLOOKUP($M493,Buff.CM!$A:$O,15,FALSE),"")</f>
        <v/>
      </c>
      <c r="Q493" s="23" t="b">
        <v>0</v>
      </c>
      <c r="R493" s="23" t="b">
        <v>0</v>
      </c>
    </row>
    <row r="494" spans="1:18">
      <c r="A494" s="26" t="s">
        <v>1717</v>
      </c>
      <c r="B494" s="26"/>
      <c r="C494" s="26"/>
      <c r="D494" s="26">
        <v>9000</v>
      </c>
      <c r="E494" s="26">
        <v>0</v>
      </c>
      <c r="F494" s="26">
        <v>0</v>
      </c>
      <c r="G494" s="26" t="s">
        <v>6677</v>
      </c>
      <c r="H494" s="26"/>
      <c r="I494" s="26" t="b">
        <v>0</v>
      </c>
      <c r="J494" s="26" t="b">
        <v>0</v>
      </c>
      <c r="K494" s="26" t="b">
        <v>1</v>
      </c>
      <c r="L494" s="24" t="s">
        <v>5473</v>
      </c>
      <c r="M494" s="24" t="s">
        <v>6677</v>
      </c>
      <c r="N494" s="26" t="str">
        <f>_xlfn.IFNA(VLOOKUP($M494,Buff.CM!$A:$O,13,FALSE),"")</f>
        <v>icon_battle_criticaldamage</v>
      </c>
      <c r="O494" s="26" t="str">
        <f>_xlfn.IFNA(VLOOKUP($M494,Buff.CM!$A:$O,14,FALSE),"")</f>
        <v>Buff.Name.CriticalDamage.Up.03</v>
      </c>
      <c r="P494" s="26" t="str">
        <f>_xlfn.IFNA(VLOOKUP($M494,Buff.CM!$A:$O,15,FALSE),"")</f>
        <v>Buff.Desc.CriticalDamage.Up.03</v>
      </c>
      <c r="Q494" s="24" t="b">
        <v>0</v>
      </c>
      <c r="R494" s="26" t="b">
        <v>0</v>
      </c>
    </row>
    <row r="495" spans="1:18">
      <c r="A495" s="26" t="s">
        <v>1718</v>
      </c>
      <c r="B495" s="26"/>
      <c r="C495" s="26"/>
      <c r="D495" s="26">
        <v>9000</v>
      </c>
      <c r="E495" s="26">
        <v>0</v>
      </c>
      <c r="F495" s="26">
        <v>0</v>
      </c>
      <c r="G495" s="26" t="s">
        <v>6677</v>
      </c>
      <c r="H495" s="26"/>
      <c r="I495" s="26" t="b">
        <v>0</v>
      </c>
      <c r="J495" s="26" t="b">
        <v>0</v>
      </c>
      <c r="K495" s="26" t="b">
        <v>1</v>
      </c>
      <c r="L495" s="24" t="s">
        <v>5473</v>
      </c>
      <c r="M495" s="24" t="s">
        <v>6677</v>
      </c>
      <c r="N495" s="26" t="str">
        <f>_xlfn.IFNA(VLOOKUP($M495,Buff.CM!$A:$O,13,FALSE),"")</f>
        <v>icon_battle_criticaldamage</v>
      </c>
      <c r="O495" s="26" t="str">
        <f>_xlfn.IFNA(VLOOKUP($M495,Buff.CM!$A:$O,14,FALSE),"")</f>
        <v>Buff.Name.CriticalDamage.Up.03</v>
      </c>
      <c r="P495" s="26" t="str">
        <f>_xlfn.IFNA(VLOOKUP($M495,Buff.CM!$A:$O,15,FALSE),"")</f>
        <v>Buff.Desc.CriticalDamage.Up.03</v>
      </c>
      <c r="Q495" s="24" t="b">
        <v>0</v>
      </c>
      <c r="R495" s="26" t="b">
        <v>0</v>
      </c>
    </row>
    <row r="496" spans="1:18">
      <c r="A496" s="26" t="s">
        <v>1719</v>
      </c>
      <c r="B496" s="26"/>
      <c r="C496" s="26"/>
      <c r="D496" s="26">
        <v>9000</v>
      </c>
      <c r="E496" s="26">
        <v>0</v>
      </c>
      <c r="F496" s="26">
        <v>0</v>
      </c>
      <c r="G496" s="26" t="s">
        <v>6677</v>
      </c>
      <c r="H496" s="26"/>
      <c r="I496" s="26" t="b">
        <v>0</v>
      </c>
      <c r="J496" s="26" t="b">
        <v>0</v>
      </c>
      <c r="K496" s="26" t="b">
        <v>1</v>
      </c>
      <c r="L496" s="24" t="s">
        <v>5473</v>
      </c>
      <c r="M496" s="24" t="s">
        <v>6677</v>
      </c>
      <c r="N496" s="26" t="str">
        <f>_xlfn.IFNA(VLOOKUP($M496,Buff.CM!$A:$O,13,FALSE),"")</f>
        <v>icon_battle_criticaldamage</v>
      </c>
      <c r="O496" s="26" t="str">
        <f>_xlfn.IFNA(VLOOKUP($M496,Buff.CM!$A:$O,14,FALSE),"")</f>
        <v>Buff.Name.CriticalDamage.Up.03</v>
      </c>
      <c r="P496" s="26" t="str">
        <f>_xlfn.IFNA(VLOOKUP($M496,Buff.CM!$A:$O,15,FALSE),"")</f>
        <v>Buff.Desc.CriticalDamage.Up.03</v>
      </c>
      <c r="Q496" s="24" t="b">
        <v>0</v>
      </c>
      <c r="R496" s="26" t="b">
        <v>0</v>
      </c>
    </row>
    <row r="497" spans="1:18">
      <c r="A497" s="26" t="s">
        <v>1720</v>
      </c>
      <c r="B497" s="26"/>
      <c r="C497" s="26"/>
      <c r="D497" s="26">
        <v>9000</v>
      </c>
      <c r="E497" s="26">
        <v>0</v>
      </c>
      <c r="F497" s="26">
        <v>0</v>
      </c>
      <c r="G497" s="26" t="s">
        <v>1429</v>
      </c>
      <c r="H497" s="26"/>
      <c r="I497" s="26" t="b">
        <v>0</v>
      </c>
      <c r="J497" s="26" t="b">
        <v>0</v>
      </c>
      <c r="K497" s="26" t="b">
        <v>1</v>
      </c>
      <c r="L497" s="24" t="s">
        <v>5473</v>
      </c>
      <c r="M497" s="24" t="s">
        <v>1429</v>
      </c>
      <c r="N497" s="26" t="str">
        <f>_xlfn.IFNA(VLOOKUP($M497,Buff.CM!$A:$O,13,FALSE),"")</f>
        <v>icon_battle_criticaldamage</v>
      </c>
      <c r="O497" s="26" t="str">
        <f>_xlfn.IFNA(VLOOKUP($M497,Buff.CM!$A:$O,14,FALSE),"")</f>
        <v>Buff.Name.CriticalDamage.Up.04</v>
      </c>
      <c r="P497" s="26" t="str">
        <f>_xlfn.IFNA(VLOOKUP($M497,Buff.CM!$A:$O,15,FALSE),"")</f>
        <v>Buff.Desc.CriticalDamage.Up.04</v>
      </c>
      <c r="Q497" s="24" t="b">
        <v>0</v>
      </c>
      <c r="R497" s="26" t="b">
        <v>0</v>
      </c>
    </row>
    <row r="498" spans="1:18">
      <c r="A498" s="26" t="s">
        <v>1721</v>
      </c>
      <c r="B498" s="26"/>
      <c r="C498" s="26"/>
      <c r="D498" s="26">
        <v>9000</v>
      </c>
      <c r="E498" s="26">
        <v>0</v>
      </c>
      <c r="F498" s="26">
        <v>0</v>
      </c>
      <c r="G498" s="26" t="s">
        <v>1430</v>
      </c>
      <c r="H498" s="26"/>
      <c r="I498" s="26" t="b">
        <v>0</v>
      </c>
      <c r="J498" s="26" t="b">
        <v>0</v>
      </c>
      <c r="K498" s="26" t="b">
        <v>1</v>
      </c>
      <c r="L498" s="24" t="s">
        <v>5473</v>
      </c>
      <c r="M498" s="24" t="s">
        <v>1430</v>
      </c>
      <c r="N498" s="26" t="str">
        <f>_xlfn.IFNA(VLOOKUP($M498,Buff.CM!$A:$O,13,FALSE),"")</f>
        <v>icon_battle_criticaldamage</v>
      </c>
      <c r="O498" s="26" t="str">
        <f>_xlfn.IFNA(VLOOKUP($M498,Buff.CM!$A:$O,14,FALSE),"")</f>
        <v>Buff.Name.CriticalDamage.Up.05</v>
      </c>
      <c r="P498" s="26" t="str">
        <f>_xlfn.IFNA(VLOOKUP($M498,Buff.CM!$A:$O,15,FALSE),"")</f>
        <v>Buff.Desc.CriticalDamage.Up.05</v>
      </c>
      <c r="Q498" s="24" t="b">
        <v>0</v>
      </c>
      <c r="R498" s="26" t="b">
        <v>0</v>
      </c>
    </row>
    <row r="499" spans="1:18">
      <c r="A499" s="34" t="s">
        <v>2545</v>
      </c>
      <c r="B499" s="34"/>
      <c r="C499" s="34"/>
      <c r="D499" s="34">
        <v>18000</v>
      </c>
      <c r="E499" s="34">
        <v>0</v>
      </c>
      <c r="F499" s="34">
        <v>0</v>
      </c>
      <c r="G499" s="34" t="s">
        <v>1430</v>
      </c>
      <c r="H499" s="34"/>
      <c r="I499" s="34" t="b">
        <v>0</v>
      </c>
      <c r="J499" s="34" t="b">
        <v>0</v>
      </c>
      <c r="K499" s="34" t="b">
        <v>1</v>
      </c>
      <c r="L499" s="34" t="s">
        <v>5473</v>
      </c>
      <c r="M499" s="34" t="s">
        <v>1430</v>
      </c>
      <c r="N499" s="34" t="str">
        <f>_xlfn.IFNA(VLOOKUP($M499,Buff.CM!$A:$O,13,FALSE),"")</f>
        <v>icon_battle_criticaldamage</v>
      </c>
      <c r="O499" s="34" t="str">
        <f>_xlfn.IFNA(VLOOKUP($M499,Buff.CM!$A:$O,14,FALSE),"")</f>
        <v>Buff.Name.CriticalDamage.Up.05</v>
      </c>
      <c r="P499" s="34" t="str">
        <f>_xlfn.IFNA(VLOOKUP($M499,Buff.CM!$A:$O,15,FALSE),"")</f>
        <v>Buff.Desc.CriticalDamage.Up.05</v>
      </c>
      <c r="Q499" s="34" t="b">
        <v>0</v>
      </c>
      <c r="R499" s="34" t="b">
        <v>0</v>
      </c>
    </row>
    <row r="500" spans="1:18">
      <c r="A500" s="34" t="s">
        <v>2546</v>
      </c>
      <c r="B500" s="34"/>
      <c r="C500" s="34"/>
      <c r="D500" s="34">
        <v>18000</v>
      </c>
      <c r="E500" s="34">
        <v>0</v>
      </c>
      <c r="F500" s="34">
        <v>0</v>
      </c>
      <c r="G500" s="34" t="s">
        <v>1430</v>
      </c>
      <c r="H500" s="34"/>
      <c r="I500" s="34" t="b">
        <v>0</v>
      </c>
      <c r="J500" s="34" t="b">
        <v>0</v>
      </c>
      <c r="K500" s="34" t="b">
        <v>1</v>
      </c>
      <c r="L500" s="34" t="s">
        <v>5473</v>
      </c>
      <c r="M500" s="34" t="s">
        <v>1430</v>
      </c>
      <c r="N500" s="34" t="str">
        <f>_xlfn.IFNA(VLOOKUP($M500,Buff.CM!$A:$O,13,FALSE),"")</f>
        <v>icon_battle_criticaldamage</v>
      </c>
      <c r="O500" s="34" t="str">
        <f>_xlfn.IFNA(VLOOKUP($M500,Buff.CM!$A:$O,14,FALSE),"")</f>
        <v>Buff.Name.CriticalDamage.Up.05</v>
      </c>
      <c r="P500" s="34" t="str">
        <f>_xlfn.IFNA(VLOOKUP($M500,Buff.CM!$A:$O,15,FALSE),"")</f>
        <v>Buff.Desc.CriticalDamage.Up.05</v>
      </c>
      <c r="Q500" s="34" t="b">
        <v>0</v>
      </c>
      <c r="R500" s="34" t="b">
        <v>0</v>
      </c>
    </row>
    <row r="501" spans="1:18">
      <c r="A501" s="26" t="s">
        <v>2858</v>
      </c>
      <c r="B501" s="26"/>
      <c r="C501" s="26"/>
      <c r="D501" s="26">
        <v>9000</v>
      </c>
      <c r="E501" s="26">
        <v>0</v>
      </c>
      <c r="F501" s="26">
        <v>0</v>
      </c>
      <c r="G501" s="26" t="s">
        <v>1568</v>
      </c>
      <c r="H501" s="26"/>
      <c r="I501" s="26" t="b">
        <v>0</v>
      </c>
      <c r="J501" s="26" t="b">
        <v>0</v>
      </c>
      <c r="K501" s="26" t="b">
        <v>0</v>
      </c>
      <c r="L501" s="24" t="s">
        <v>175</v>
      </c>
      <c r="M501" s="24" t="s">
        <v>1568</v>
      </c>
      <c r="N501" s="26" t="str">
        <f>_xlfn.IFNA(VLOOKUP($M501,Buff.CM!$A:$O,13,FALSE),"")</f>
        <v>icon_battle_damageimmune</v>
      </c>
      <c r="O501" s="26" t="str">
        <f>_xlfn.IFNA(VLOOKUP($M501,Buff.CM!$A:$O,14,FALSE),"")</f>
        <v>Buff.Name.Reduce.Damage.Down.03</v>
      </c>
      <c r="P501" s="26" t="str">
        <f>_xlfn.IFNA(VLOOKUP($M501,Buff.CM!$A:$O,15,FALSE),"")</f>
        <v>Buff.Desc.Reduce.Damage.Down.03</v>
      </c>
      <c r="Q501" s="24" t="b">
        <v>0</v>
      </c>
      <c r="R501" s="26" t="b">
        <v>0</v>
      </c>
    </row>
    <row r="502" spans="1:18">
      <c r="A502" s="26" t="s">
        <v>2859</v>
      </c>
      <c r="B502" s="26"/>
      <c r="C502" s="26"/>
      <c r="D502" s="26">
        <v>9000</v>
      </c>
      <c r="E502" s="26">
        <v>0</v>
      </c>
      <c r="F502" s="26">
        <v>0</v>
      </c>
      <c r="G502" s="26" t="s">
        <v>1568</v>
      </c>
      <c r="H502" s="26"/>
      <c r="I502" s="26" t="b">
        <v>0</v>
      </c>
      <c r="J502" s="26" t="b">
        <v>0</v>
      </c>
      <c r="K502" s="26" t="b">
        <v>0</v>
      </c>
      <c r="L502" s="24" t="s">
        <v>175</v>
      </c>
      <c r="M502" s="24" t="s">
        <v>1568</v>
      </c>
      <c r="N502" s="26" t="str">
        <f>_xlfn.IFNA(VLOOKUP($M502,Buff.CM!$A:$O,13,FALSE),"")</f>
        <v>icon_battle_damageimmune</v>
      </c>
      <c r="O502" s="26" t="str">
        <f>_xlfn.IFNA(VLOOKUP($M502,Buff.CM!$A:$O,14,FALSE),"")</f>
        <v>Buff.Name.Reduce.Damage.Down.03</v>
      </c>
      <c r="P502" s="26" t="str">
        <f>_xlfn.IFNA(VLOOKUP($M502,Buff.CM!$A:$O,15,FALSE),"")</f>
        <v>Buff.Desc.Reduce.Damage.Down.03</v>
      </c>
      <c r="Q502" s="24" t="b">
        <v>0</v>
      </c>
      <c r="R502" s="26" t="b">
        <v>0</v>
      </c>
    </row>
    <row r="503" spans="1:18">
      <c r="A503" s="26" t="s">
        <v>2860</v>
      </c>
      <c r="B503" s="26"/>
      <c r="C503" s="26"/>
      <c r="D503" s="26">
        <v>9000</v>
      </c>
      <c r="E503" s="26">
        <v>0</v>
      </c>
      <c r="F503" s="26">
        <v>0</v>
      </c>
      <c r="G503" s="26" t="s">
        <v>1568</v>
      </c>
      <c r="H503" s="26"/>
      <c r="I503" s="26" t="b">
        <v>0</v>
      </c>
      <c r="J503" s="26" t="b">
        <v>0</v>
      </c>
      <c r="K503" s="26" t="b">
        <v>0</v>
      </c>
      <c r="L503" s="24" t="s">
        <v>175</v>
      </c>
      <c r="M503" s="24" t="s">
        <v>1568</v>
      </c>
      <c r="N503" s="26" t="str">
        <f>_xlfn.IFNA(VLOOKUP($M503,Buff.CM!$A:$O,13,FALSE),"")</f>
        <v>icon_battle_damageimmune</v>
      </c>
      <c r="O503" s="26" t="str">
        <f>_xlfn.IFNA(VLOOKUP($M503,Buff.CM!$A:$O,14,FALSE),"")</f>
        <v>Buff.Name.Reduce.Damage.Down.03</v>
      </c>
      <c r="P503" s="26" t="str">
        <f>_xlfn.IFNA(VLOOKUP($M503,Buff.CM!$A:$O,15,FALSE),"")</f>
        <v>Buff.Desc.Reduce.Damage.Down.03</v>
      </c>
      <c r="Q503" s="24" t="b">
        <v>0</v>
      </c>
      <c r="R503" s="26" t="b">
        <v>0</v>
      </c>
    </row>
    <row r="504" spans="1:18">
      <c r="A504" s="26" t="s">
        <v>2861</v>
      </c>
      <c r="B504" s="26"/>
      <c r="C504" s="26"/>
      <c r="D504" s="26">
        <v>9000</v>
      </c>
      <c r="E504" s="26">
        <v>0</v>
      </c>
      <c r="F504" s="26">
        <v>0</v>
      </c>
      <c r="G504" s="26" t="s">
        <v>1569</v>
      </c>
      <c r="H504" s="26"/>
      <c r="I504" s="26" t="b">
        <v>0</v>
      </c>
      <c r="J504" s="26" t="b">
        <v>0</v>
      </c>
      <c r="K504" s="26" t="b">
        <v>0</v>
      </c>
      <c r="L504" s="24" t="s">
        <v>175</v>
      </c>
      <c r="M504" s="24" t="s">
        <v>1569</v>
      </c>
      <c r="N504" s="26" t="str">
        <f>_xlfn.IFNA(VLOOKUP($M504,Buff.CM!$A:$O,13,FALSE),"")</f>
        <v>icon_battle_damageimmune</v>
      </c>
      <c r="O504" s="26" t="str">
        <f>_xlfn.IFNA(VLOOKUP($M504,Buff.CM!$A:$O,14,FALSE),"")</f>
        <v>Buff.Name.Reduce.Damage.Down.04</v>
      </c>
      <c r="P504" s="26" t="str">
        <f>_xlfn.IFNA(VLOOKUP($M504,Buff.CM!$A:$O,15,FALSE),"")</f>
        <v>Buff.Desc.Reduce.Damage.Down.04</v>
      </c>
      <c r="Q504" s="24" t="b">
        <v>0</v>
      </c>
      <c r="R504" s="26" t="b">
        <v>0</v>
      </c>
    </row>
    <row r="505" spans="1:18">
      <c r="A505" s="26" t="s">
        <v>2862</v>
      </c>
      <c r="B505" s="26"/>
      <c r="C505" s="26"/>
      <c r="D505" s="26">
        <v>9000</v>
      </c>
      <c r="E505" s="26">
        <v>0</v>
      </c>
      <c r="F505" s="26">
        <v>0</v>
      </c>
      <c r="G505" s="26" t="s">
        <v>1570</v>
      </c>
      <c r="H505" s="26"/>
      <c r="I505" s="26" t="b">
        <v>0</v>
      </c>
      <c r="J505" s="26" t="b">
        <v>0</v>
      </c>
      <c r="K505" s="26" t="b">
        <v>0</v>
      </c>
      <c r="L505" s="24" t="s">
        <v>175</v>
      </c>
      <c r="M505" s="24" t="s">
        <v>1570</v>
      </c>
      <c r="N505" s="26" t="str">
        <f>_xlfn.IFNA(VLOOKUP($M505,Buff.CM!$A:$O,13,FALSE),"")</f>
        <v>icon_battle_damageimmune</v>
      </c>
      <c r="O505" s="26" t="str">
        <f>_xlfn.IFNA(VLOOKUP($M505,Buff.CM!$A:$O,14,FALSE),"")</f>
        <v>Buff.Name.Reduce.Damage.Down.05</v>
      </c>
      <c r="P505" s="26" t="str">
        <f>_xlfn.IFNA(VLOOKUP($M505,Buff.CM!$A:$O,15,FALSE),"")</f>
        <v>Buff.Desc.Reduce.Damage.Down.05</v>
      </c>
      <c r="Q505" s="24" t="b">
        <v>0</v>
      </c>
      <c r="R505" s="26" t="b">
        <v>0</v>
      </c>
    </row>
    <row r="506" spans="1:18">
      <c r="A506" s="34" t="s">
        <v>2863</v>
      </c>
      <c r="B506" s="34"/>
      <c r="C506" s="34"/>
      <c r="D506" s="34">
        <v>18000</v>
      </c>
      <c r="E506" s="34">
        <v>0</v>
      </c>
      <c r="F506" s="34">
        <v>0</v>
      </c>
      <c r="G506" s="34" t="s">
        <v>1570</v>
      </c>
      <c r="H506" s="34"/>
      <c r="I506" s="34" t="b">
        <v>0</v>
      </c>
      <c r="J506" s="34" t="b">
        <v>0</v>
      </c>
      <c r="K506" s="34" t="b">
        <v>0</v>
      </c>
      <c r="L506" s="34" t="s">
        <v>175</v>
      </c>
      <c r="M506" s="34" t="s">
        <v>1570</v>
      </c>
      <c r="N506" s="34" t="str">
        <f>_xlfn.IFNA(VLOOKUP($M506,Buff.CM!$A:$O,13,FALSE),"")</f>
        <v>icon_battle_damageimmune</v>
      </c>
      <c r="O506" s="34" t="str">
        <f>_xlfn.IFNA(VLOOKUP($M506,Buff.CM!$A:$O,14,FALSE),"")</f>
        <v>Buff.Name.Reduce.Damage.Down.05</v>
      </c>
      <c r="P506" s="34" t="str">
        <f>_xlfn.IFNA(VLOOKUP($M506,Buff.CM!$A:$O,15,FALSE),"")</f>
        <v>Buff.Desc.Reduce.Damage.Down.05</v>
      </c>
      <c r="Q506" s="34" t="b">
        <v>0</v>
      </c>
      <c r="R506" s="34" t="b">
        <v>0</v>
      </c>
    </row>
    <row r="507" spans="1:18">
      <c r="A507" s="34" t="s">
        <v>2864</v>
      </c>
      <c r="B507" s="34"/>
      <c r="C507" s="34"/>
      <c r="D507" s="34">
        <v>18000</v>
      </c>
      <c r="E507" s="34">
        <v>0</v>
      </c>
      <c r="F507" s="34">
        <v>0</v>
      </c>
      <c r="G507" s="34" t="s">
        <v>1570</v>
      </c>
      <c r="H507" s="34"/>
      <c r="I507" s="34" t="b">
        <v>0</v>
      </c>
      <c r="J507" s="34" t="b">
        <v>0</v>
      </c>
      <c r="K507" s="34" t="b">
        <v>0</v>
      </c>
      <c r="L507" s="34" t="s">
        <v>175</v>
      </c>
      <c r="M507" s="34" t="s">
        <v>1570</v>
      </c>
      <c r="N507" s="34" t="str">
        <f>_xlfn.IFNA(VLOOKUP($M507,Buff.CM!$A:$O,13,FALSE),"")</f>
        <v>icon_battle_damageimmune</v>
      </c>
      <c r="O507" s="34" t="str">
        <f>_xlfn.IFNA(VLOOKUP($M507,Buff.CM!$A:$O,14,FALSE),"")</f>
        <v>Buff.Name.Reduce.Damage.Down.05</v>
      </c>
      <c r="P507" s="34" t="str">
        <f>_xlfn.IFNA(VLOOKUP($M507,Buff.CM!$A:$O,15,FALSE),"")</f>
        <v>Buff.Desc.Reduce.Damage.Down.05</v>
      </c>
      <c r="Q507" s="34" t="b">
        <v>0</v>
      </c>
      <c r="R507" s="34" t="b">
        <v>0</v>
      </c>
    </row>
    <row r="508" spans="1:18">
      <c r="A508" s="25" t="s">
        <v>1722</v>
      </c>
      <c r="B508" s="25"/>
      <c r="C508" s="25"/>
      <c r="D508" s="25">
        <v>5000</v>
      </c>
      <c r="E508" s="25">
        <v>0</v>
      </c>
      <c r="F508" s="25">
        <v>0</v>
      </c>
      <c r="G508" s="25" t="s">
        <v>1592</v>
      </c>
      <c r="H508" s="25"/>
      <c r="I508" s="25" t="b">
        <v>0</v>
      </c>
      <c r="J508" s="25" t="b">
        <v>0</v>
      </c>
      <c r="K508" s="25" t="b">
        <v>0</v>
      </c>
      <c r="L508" s="25" t="s">
        <v>175</v>
      </c>
      <c r="M508" s="25" t="s">
        <v>1592</v>
      </c>
      <c r="N508" s="25" t="str">
        <f>_xlfn.IFNA(VLOOKUP($M508,Buff.CM!$A:$O,13,FALSE),"")</f>
        <v>icon_battle_guardreduce</v>
      </c>
      <c r="O508" s="25" t="str">
        <f>_xlfn.IFNA(VLOOKUP($M508,Buff.CM!$A:$O,14,FALSE),"")</f>
        <v>Buff.Name.GuardRate.Down.03</v>
      </c>
      <c r="P508" s="25" t="str">
        <f>_xlfn.IFNA(VLOOKUP($M508,Buff.CM!$A:$O,15,FALSE),"")</f>
        <v>Buff.Desc.GuardRate.Down.03</v>
      </c>
      <c r="Q508" s="24" t="b">
        <v>0</v>
      </c>
      <c r="R508" s="25" t="b">
        <v>0</v>
      </c>
    </row>
    <row r="509" spans="1:18">
      <c r="A509" s="25" t="s">
        <v>1723</v>
      </c>
      <c r="B509" s="25"/>
      <c r="C509" s="25"/>
      <c r="D509" s="25">
        <v>5000</v>
      </c>
      <c r="E509" s="25">
        <v>0</v>
      </c>
      <c r="F509" s="25">
        <v>0</v>
      </c>
      <c r="G509" s="25" t="s">
        <v>1592</v>
      </c>
      <c r="H509" s="25"/>
      <c r="I509" s="25" t="b">
        <v>0</v>
      </c>
      <c r="J509" s="25" t="b">
        <v>0</v>
      </c>
      <c r="K509" s="25" t="b">
        <v>0</v>
      </c>
      <c r="L509" s="25" t="s">
        <v>175</v>
      </c>
      <c r="M509" s="25" t="s">
        <v>1592</v>
      </c>
      <c r="N509" s="25" t="str">
        <f>_xlfn.IFNA(VLOOKUP($M509,Buff.CM!$A:$O,13,FALSE),"")</f>
        <v>icon_battle_guardreduce</v>
      </c>
      <c r="O509" s="25" t="str">
        <f>_xlfn.IFNA(VLOOKUP($M509,Buff.CM!$A:$O,14,FALSE),"")</f>
        <v>Buff.Name.GuardRate.Down.03</v>
      </c>
      <c r="P509" s="25" t="str">
        <f>_xlfn.IFNA(VLOOKUP($M509,Buff.CM!$A:$O,15,FALSE),"")</f>
        <v>Buff.Desc.GuardRate.Down.03</v>
      </c>
      <c r="Q509" s="24" t="b">
        <v>0</v>
      </c>
      <c r="R509" s="25" t="b">
        <v>0</v>
      </c>
    </row>
    <row r="510" spans="1:18">
      <c r="A510" s="25" t="s">
        <v>1724</v>
      </c>
      <c r="B510" s="25"/>
      <c r="C510" s="25"/>
      <c r="D510" s="25">
        <v>5000</v>
      </c>
      <c r="E510" s="25">
        <v>0</v>
      </c>
      <c r="F510" s="25">
        <v>0</v>
      </c>
      <c r="G510" s="25" t="s">
        <v>1593</v>
      </c>
      <c r="H510" s="25"/>
      <c r="I510" s="25" t="b">
        <v>0</v>
      </c>
      <c r="J510" s="25" t="b">
        <v>0</v>
      </c>
      <c r="K510" s="25" t="b">
        <v>0</v>
      </c>
      <c r="L510" s="25" t="s">
        <v>175</v>
      </c>
      <c r="M510" s="25" t="s">
        <v>1593</v>
      </c>
      <c r="N510" s="25" t="str">
        <f>_xlfn.IFNA(VLOOKUP($M510,Buff.CM!$A:$O,13,FALSE),"")</f>
        <v>icon_battle_guardreduce</v>
      </c>
      <c r="O510" s="25" t="str">
        <f>_xlfn.IFNA(VLOOKUP($M510,Buff.CM!$A:$O,14,FALSE),"")</f>
        <v>Buff.Name.GuardRate.Down.04</v>
      </c>
      <c r="P510" s="25" t="str">
        <f>_xlfn.IFNA(VLOOKUP($M510,Buff.CM!$A:$O,15,FALSE),"")</f>
        <v>Buff.Desc.GuardRate.Down.04</v>
      </c>
      <c r="Q510" s="24" t="b">
        <v>0</v>
      </c>
      <c r="R510" s="25" t="b">
        <v>0</v>
      </c>
    </row>
    <row r="511" spans="1:18">
      <c r="A511" s="34" t="s">
        <v>2547</v>
      </c>
      <c r="B511" s="34"/>
      <c r="C511" s="34"/>
      <c r="D511" s="34">
        <v>5000</v>
      </c>
      <c r="E511" s="34">
        <v>0</v>
      </c>
      <c r="F511" s="34">
        <v>0</v>
      </c>
      <c r="G511" s="34" t="s">
        <v>1593</v>
      </c>
      <c r="H511" s="34"/>
      <c r="I511" s="34" t="b">
        <v>0</v>
      </c>
      <c r="J511" s="34" t="b">
        <v>0</v>
      </c>
      <c r="K511" s="34" t="b">
        <v>0</v>
      </c>
      <c r="L511" s="34" t="s">
        <v>175</v>
      </c>
      <c r="M511" s="34" t="s">
        <v>1593</v>
      </c>
      <c r="N511" s="34" t="str">
        <f>_xlfn.IFNA(VLOOKUP($M511,Buff.CM!$A:$O,13,FALSE),"")</f>
        <v>icon_battle_guardreduce</v>
      </c>
      <c r="O511" s="34" t="str">
        <f>_xlfn.IFNA(VLOOKUP($M511,Buff.CM!$A:$O,14,FALSE),"")</f>
        <v>Buff.Name.GuardRate.Down.04</v>
      </c>
      <c r="P511" s="34" t="str">
        <f>_xlfn.IFNA(VLOOKUP($M511,Buff.CM!$A:$O,15,FALSE),"")</f>
        <v>Buff.Desc.GuardRate.Down.04</v>
      </c>
      <c r="Q511" s="34" t="b">
        <v>0</v>
      </c>
      <c r="R511" s="34" t="b">
        <v>0</v>
      </c>
    </row>
    <row r="512" spans="1:18">
      <c r="A512" s="34" t="s">
        <v>2548</v>
      </c>
      <c r="B512" s="34"/>
      <c r="C512" s="34"/>
      <c r="D512" s="34">
        <v>6000</v>
      </c>
      <c r="E512" s="34">
        <v>0</v>
      </c>
      <c r="F512" s="34">
        <v>0</v>
      </c>
      <c r="G512" s="34" t="s">
        <v>1593</v>
      </c>
      <c r="H512" s="34"/>
      <c r="I512" s="34" t="b">
        <v>0</v>
      </c>
      <c r="J512" s="34" t="b">
        <v>0</v>
      </c>
      <c r="K512" s="34" t="b">
        <v>0</v>
      </c>
      <c r="L512" s="34" t="s">
        <v>175</v>
      </c>
      <c r="M512" s="34" t="s">
        <v>1593</v>
      </c>
      <c r="N512" s="34" t="str">
        <f>_xlfn.IFNA(VLOOKUP($M512,Buff.CM!$A:$O,13,FALSE),"")</f>
        <v>icon_battle_guardreduce</v>
      </c>
      <c r="O512" s="34" t="str">
        <f>_xlfn.IFNA(VLOOKUP($M512,Buff.CM!$A:$O,14,FALSE),"")</f>
        <v>Buff.Name.GuardRate.Down.04</v>
      </c>
      <c r="P512" s="34" t="str">
        <f>_xlfn.IFNA(VLOOKUP($M512,Buff.CM!$A:$O,15,FALSE),"")</f>
        <v>Buff.Desc.GuardRate.Down.04</v>
      </c>
      <c r="Q512" s="34" t="b">
        <v>0</v>
      </c>
      <c r="R512" s="34" t="b">
        <v>0</v>
      </c>
    </row>
    <row r="513" spans="1:18">
      <c r="A513" s="34" t="s">
        <v>2549</v>
      </c>
      <c r="B513" s="34"/>
      <c r="C513" s="34"/>
      <c r="D513" s="34">
        <v>6000</v>
      </c>
      <c r="E513" s="34">
        <v>0</v>
      </c>
      <c r="F513" s="34">
        <v>0</v>
      </c>
      <c r="G513" s="34" t="s">
        <v>1593</v>
      </c>
      <c r="H513" s="34"/>
      <c r="I513" s="34" t="b">
        <v>0</v>
      </c>
      <c r="J513" s="34" t="b">
        <v>0</v>
      </c>
      <c r="K513" s="34" t="b">
        <v>0</v>
      </c>
      <c r="L513" s="34" t="s">
        <v>175</v>
      </c>
      <c r="M513" s="34" t="s">
        <v>1593</v>
      </c>
      <c r="N513" s="34" t="str">
        <f>_xlfn.IFNA(VLOOKUP($M513,Buff.CM!$A:$O,13,FALSE),"")</f>
        <v>icon_battle_guardreduce</v>
      </c>
      <c r="O513" s="34" t="str">
        <f>_xlfn.IFNA(VLOOKUP($M513,Buff.CM!$A:$O,14,FALSE),"")</f>
        <v>Buff.Name.GuardRate.Down.04</v>
      </c>
      <c r="P513" s="34" t="str">
        <f>_xlfn.IFNA(VLOOKUP($M513,Buff.CM!$A:$O,15,FALSE),"")</f>
        <v>Buff.Desc.GuardRate.Down.04</v>
      </c>
      <c r="Q513" s="34" t="b">
        <v>0</v>
      </c>
      <c r="R513" s="34" t="b">
        <v>0</v>
      </c>
    </row>
    <row r="514" spans="1:18" s="150" customFormat="1">
      <c r="A514" s="24" t="s">
        <v>3896</v>
      </c>
      <c r="B514" s="24"/>
      <c r="C514" s="24"/>
      <c r="D514" s="24">
        <v>0</v>
      </c>
      <c r="E514" s="24">
        <v>0</v>
      </c>
      <c r="F514" s="24">
        <v>0</v>
      </c>
      <c r="G514" s="38" t="s">
        <v>6678</v>
      </c>
      <c r="H514" s="24"/>
      <c r="I514" s="24" t="b">
        <v>0</v>
      </c>
      <c r="J514" s="24" t="b">
        <v>0</v>
      </c>
      <c r="K514" s="24" t="b">
        <v>1</v>
      </c>
      <c r="L514" s="24"/>
      <c r="M514" s="24"/>
      <c r="N514" s="24" t="str">
        <f>_xlfn.IFNA(VLOOKUP($M514,Buff.CM!$A:$O,13,FALSE),"")</f>
        <v/>
      </c>
      <c r="O514" s="24" t="str">
        <f>_xlfn.IFNA(VLOOKUP($M514,Buff.CM!$A:$O,14,FALSE),"")</f>
        <v/>
      </c>
      <c r="P514" s="24" t="str">
        <f>_xlfn.IFNA(VLOOKUP($M514,Buff.CM!$A:$O,15,FALSE),"")</f>
        <v/>
      </c>
      <c r="Q514" s="24" t="b">
        <v>0</v>
      </c>
      <c r="R514" s="24" t="b">
        <v>0</v>
      </c>
    </row>
    <row r="515" spans="1:18" s="150" customFormat="1">
      <c r="A515" s="108" t="s">
        <v>6679</v>
      </c>
      <c r="B515" s="24"/>
      <c r="C515" s="24"/>
      <c r="D515" s="24">
        <v>1100</v>
      </c>
      <c r="E515" s="24">
        <v>0</v>
      </c>
      <c r="F515" s="24">
        <v>0</v>
      </c>
      <c r="G515" s="38" t="s">
        <v>4458</v>
      </c>
      <c r="H515" s="24"/>
      <c r="I515" s="41" t="b">
        <v>1</v>
      </c>
      <c r="J515" s="24" t="b">
        <v>0</v>
      </c>
      <c r="K515" s="24" t="b">
        <v>1</v>
      </c>
      <c r="L515" s="24"/>
      <c r="M515" s="24"/>
      <c r="N515" s="24" t="str">
        <f>_xlfn.IFNA(VLOOKUP($M515,Buff.CM!$A:$O,13,FALSE),"")</f>
        <v/>
      </c>
      <c r="O515" s="24" t="str">
        <f>_xlfn.IFNA(VLOOKUP($M515,Buff.CM!$A:$O,14,FALSE),"")</f>
        <v/>
      </c>
      <c r="P515" s="24" t="str">
        <f>_xlfn.IFNA(VLOOKUP($M515,Buff.CM!$A:$O,15,FALSE),"")</f>
        <v/>
      </c>
      <c r="Q515" s="24" t="b">
        <v>0</v>
      </c>
      <c r="R515" s="24" t="b">
        <v>0</v>
      </c>
    </row>
    <row r="516" spans="1:18">
      <c r="A516" s="26" t="s">
        <v>502</v>
      </c>
      <c r="B516" s="26"/>
      <c r="C516" s="26"/>
      <c r="D516" s="26">
        <v>0</v>
      </c>
      <c r="E516" s="26">
        <v>0</v>
      </c>
      <c r="F516" s="26">
        <v>0</v>
      </c>
      <c r="G516" s="45" t="s">
        <v>503</v>
      </c>
      <c r="H516" s="26"/>
      <c r="I516" s="26" t="b">
        <v>0</v>
      </c>
      <c r="J516" s="23" t="b">
        <v>1</v>
      </c>
      <c r="K516" s="26" t="b">
        <v>1</v>
      </c>
      <c r="L516" s="26"/>
      <c r="M516" s="26"/>
      <c r="N516" s="26" t="str">
        <f>_xlfn.IFNA(VLOOKUP($M516,Buff.CM!$A:$O,13,FALSE),"")</f>
        <v/>
      </c>
      <c r="O516" s="26" t="str">
        <f>_xlfn.IFNA(VLOOKUP($M516,Buff.CM!$A:$O,14,FALSE),"")</f>
        <v/>
      </c>
      <c r="P516" s="26" t="str">
        <f>_xlfn.IFNA(VLOOKUP($M516,Buff.CM!$A:$O,15,FALSE),"")</f>
        <v/>
      </c>
      <c r="Q516" s="24" t="b">
        <v>0</v>
      </c>
      <c r="R516" s="26" t="b">
        <v>0</v>
      </c>
    </row>
    <row r="517" spans="1:18">
      <c r="A517" s="26" t="s">
        <v>504</v>
      </c>
      <c r="B517" s="26"/>
      <c r="C517" s="26"/>
      <c r="D517" s="26">
        <v>0</v>
      </c>
      <c r="E517" s="26">
        <v>0</v>
      </c>
      <c r="F517" s="26">
        <v>0</v>
      </c>
      <c r="G517" s="45" t="s">
        <v>505</v>
      </c>
      <c r="H517" s="26"/>
      <c r="I517" s="26" t="b">
        <v>0</v>
      </c>
      <c r="J517" s="23" t="b">
        <v>1</v>
      </c>
      <c r="K517" s="26" t="b">
        <v>1</v>
      </c>
      <c r="L517" s="26"/>
      <c r="M517" s="26"/>
      <c r="N517" s="26" t="str">
        <f>_xlfn.IFNA(VLOOKUP($M517,Buff.CM!$A:$O,13,FALSE),"")</f>
        <v/>
      </c>
      <c r="O517" s="26" t="str">
        <f>_xlfn.IFNA(VLOOKUP($M517,Buff.CM!$A:$O,14,FALSE),"")</f>
        <v/>
      </c>
      <c r="P517" s="26" t="str">
        <f>_xlfn.IFNA(VLOOKUP($M517,Buff.CM!$A:$O,15,FALSE),"")</f>
        <v/>
      </c>
      <c r="Q517" s="24" t="b">
        <v>0</v>
      </c>
      <c r="R517" s="26" t="b">
        <v>0</v>
      </c>
    </row>
    <row r="518" spans="1:18">
      <c r="A518" s="26" t="s">
        <v>506</v>
      </c>
      <c r="B518" s="26"/>
      <c r="C518" s="26"/>
      <c r="D518" s="26">
        <v>0</v>
      </c>
      <c r="E518" s="26">
        <v>0</v>
      </c>
      <c r="F518" s="26">
        <v>0</v>
      </c>
      <c r="G518" s="45" t="s">
        <v>507</v>
      </c>
      <c r="H518" s="26"/>
      <c r="I518" s="26" t="b">
        <v>0</v>
      </c>
      <c r="J518" s="23" t="b">
        <v>1</v>
      </c>
      <c r="K518" s="26" t="b">
        <v>1</v>
      </c>
      <c r="L518" s="26"/>
      <c r="M518" s="26"/>
      <c r="N518" s="26" t="str">
        <f>_xlfn.IFNA(VLOOKUP($M518,Buff.CM!$A:$O,13,FALSE),"")</f>
        <v/>
      </c>
      <c r="O518" s="26" t="str">
        <f>_xlfn.IFNA(VLOOKUP($M518,Buff.CM!$A:$O,14,FALSE),"")</f>
        <v/>
      </c>
      <c r="P518" s="26" t="str">
        <f>_xlfn.IFNA(VLOOKUP($M518,Buff.CM!$A:$O,15,FALSE),"")</f>
        <v/>
      </c>
      <c r="Q518" s="24" t="b">
        <v>0</v>
      </c>
      <c r="R518" s="26" t="b">
        <v>0</v>
      </c>
    </row>
    <row r="519" spans="1:18">
      <c r="A519" s="34" t="s">
        <v>508</v>
      </c>
      <c r="B519" s="34"/>
      <c r="C519" s="34"/>
      <c r="D519" s="34">
        <v>0</v>
      </c>
      <c r="E519" s="34">
        <v>0</v>
      </c>
      <c r="F519" s="34">
        <v>0</v>
      </c>
      <c r="G519" s="40" t="s">
        <v>509</v>
      </c>
      <c r="H519" s="34"/>
      <c r="I519" s="34" t="b">
        <v>0</v>
      </c>
      <c r="J519" s="23" t="b">
        <v>1</v>
      </c>
      <c r="K519" s="34" t="b">
        <v>1</v>
      </c>
      <c r="L519" s="34"/>
      <c r="M519" s="34"/>
      <c r="N519" s="34" t="str">
        <f>_xlfn.IFNA(VLOOKUP($M519,Buff.CM!$A:$O,13,FALSE),"")</f>
        <v/>
      </c>
      <c r="O519" s="34" t="str">
        <f>_xlfn.IFNA(VLOOKUP($M519,Buff.CM!$A:$O,14,FALSE),"")</f>
        <v/>
      </c>
      <c r="P519" s="34" t="str">
        <f>_xlfn.IFNA(VLOOKUP($M519,Buff.CM!$A:$O,15,FALSE),"")</f>
        <v/>
      </c>
      <c r="Q519" s="24" t="b">
        <v>0</v>
      </c>
      <c r="R519" s="34" t="b">
        <v>0</v>
      </c>
    </row>
    <row r="520" spans="1:18">
      <c r="A520" s="34" t="s">
        <v>510</v>
      </c>
      <c r="B520" s="34"/>
      <c r="C520" s="34"/>
      <c r="D520" s="34">
        <v>0</v>
      </c>
      <c r="E520" s="34">
        <v>0</v>
      </c>
      <c r="F520" s="34">
        <v>0</v>
      </c>
      <c r="G520" s="40" t="s">
        <v>511</v>
      </c>
      <c r="H520" s="34"/>
      <c r="I520" s="34" t="b">
        <v>0</v>
      </c>
      <c r="J520" s="23" t="b">
        <v>1</v>
      </c>
      <c r="K520" s="34" t="b">
        <v>1</v>
      </c>
      <c r="L520" s="34"/>
      <c r="M520" s="34"/>
      <c r="N520" s="34" t="str">
        <f>_xlfn.IFNA(VLOOKUP($M520,Buff.CM!$A:$O,13,FALSE),"")</f>
        <v/>
      </c>
      <c r="O520" s="34" t="str">
        <f>_xlfn.IFNA(VLOOKUP($M520,Buff.CM!$A:$O,14,FALSE),"")</f>
        <v/>
      </c>
      <c r="P520" s="34" t="str">
        <f>_xlfn.IFNA(VLOOKUP($M520,Buff.CM!$A:$O,15,FALSE),"")</f>
        <v/>
      </c>
      <c r="Q520" s="24" t="b">
        <v>0</v>
      </c>
      <c r="R520" s="34" t="b">
        <v>0</v>
      </c>
    </row>
    <row r="521" spans="1:18">
      <c r="A521" s="34" t="s">
        <v>512</v>
      </c>
      <c r="B521" s="34"/>
      <c r="C521" s="34"/>
      <c r="D521" s="34">
        <v>0</v>
      </c>
      <c r="E521" s="34">
        <v>0</v>
      </c>
      <c r="F521" s="34">
        <v>0</v>
      </c>
      <c r="G521" s="40" t="s">
        <v>513</v>
      </c>
      <c r="H521" s="34"/>
      <c r="I521" s="34" t="b">
        <v>0</v>
      </c>
      <c r="J521" s="23" t="b">
        <v>1</v>
      </c>
      <c r="K521" s="34" t="b">
        <v>1</v>
      </c>
      <c r="L521" s="34"/>
      <c r="M521" s="34"/>
      <c r="N521" s="34" t="str">
        <f>_xlfn.IFNA(VLOOKUP($M521,Buff.CM!$A:$O,13,FALSE),"")</f>
        <v/>
      </c>
      <c r="O521" s="34" t="str">
        <f>_xlfn.IFNA(VLOOKUP($M521,Buff.CM!$A:$O,14,FALSE),"")</f>
        <v/>
      </c>
      <c r="P521" s="34" t="str">
        <f>_xlfn.IFNA(VLOOKUP($M521,Buff.CM!$A:$O,15,FALSE),"")</f>
        <v/>
      </c>
      <c r="Q521" s="24" t="b">
        <v>0</v>
      </c>
      <c r="R521" s="34" t="b">
        <v>0</v>
      </c>
    </row>
    <row r="522" spans="1:18">
      <c r="A522" s="25" t="s">
        <v>1766</v>
      </c>
      <c r="B522" s="25"/>
      <c r="C522" s="25"/>
      <c r="D522" s="25">
        <v>0</v>
      </c>
      <c r="E522" s="25">
        <v>0</v>
      </c>
      <c r="F522" s="25">
        <v>0</v>
      </c>
      <c r="G522" s="43" t="s">
        <v>1772</v>
      </c>
      <c r="H522" s="25"/>
      <c r="I522" s="25" t="b">
        <v>0</v>
      </c>
      <c r="J522" s="23" t="b">
        <v>1</v>
      </c>
      <c r="K522" s="25" t="b">
        <v>1</v>
      </c>
      <c r="L522" s="25"/>
      <c r="M522" s="25"/>
      <c r="N522" s="25" t="str">
        <f>_xlfn.IFNA(VLOOKUP($M522,Buff.CM!$A:$O,13,FALSE),"")</f>
        <v/>
      </c>
      <c r="O522" s="25" t="str">
        <f>_xlfn.IFNA(VLOOKUP($M522,Buff.CM!$A:$O,14,FALSE),"")</f>
        <v/>
      </c>
      <c r="P522" s="25" t="str">
        <f>_xlfn.IFNA(VLOOKUP($M522,Buff.CM!$A:$O,15,FALSE),"")</f>
        <v/>
      </c>
      <c r="Q522" s="25" t="b">
        <v>0</v>
      </c>
      <c r="R522" s="25" t="b">
        <v>0</v>
      </c>
    </row>
    <row r="523" spans="1:18">
      <c r="A523" s="25" t="s">
        <v>1767</v>
      </c>
      <c r="B523" s="25"/>
      <c r="C523" s="25"/>
      <c r="D523" s="25">
        <v>0</v>
      </c>
      <c r="E523" s="25">
        <v>0</v>
      </c>
      <c r="F523" s="25">
        <v>0</v>
      </c>
      <c r="G523" s="43" t="s">
        <v>1773</v>
      </c>
      <c r="H523" s="25"/>
      <c r="I523" s="25" t="b">
        <v>0</v>
      </c>
      <c r="J523" s="23" t="b">
        <v>1</v>
      </c>
      <c r="K523" s="25" t="b">
        <v>1</v>
      </c>
      <c r="L523" s="25"/>
      <c r="M523" s="25"/>
      <c r="N523" s="25" t="str">
        <f>_xlfn.IFNA(VLOOKUP($M523,Buff.CM!$A:$O,13,FALSE),"")</f>
        <v/>
      </c>
      <c r="O523" s="25" t="str">
        <f>_xlfn.IFNA(VLOOKUP($M523,Buff.CM!$A:$O,14,FALSE),"")</f>
        <v/>
      </c>
      <c r="P523" s="25" t="str">
        <f>_xlfn.IFNA(VLOOKUP($M523,Buff.CM!$A:$O,15,FALSE),"")</f>
        <v/>
      </c>
      <c r="Q523" s="25" t="b">
        <v>0</v>
      </c>
      <c r="R523" s="25" t="b">
        <v>0</v>
      </c>
    </row>
    <row r="524" spans="1:18">
      <c r="A524" s="25" t="s">
        <v>1768</v>
      </c>
      <c r="B524" s="25"/>
      <c r="C524" s="25"/>
      <c r="D524" s="25">
        <v>0</v>
      </c>
      <c r="E524" s="25">
        <v>0</v>
      </c>
      <c r="F524" s="25">
        <v>0</v>
      </c>
      <c r="G524" s="43" t="s">
        <v>1774</v>
      </c>
      <c r="H524" s="25"/>
      <c r="I524" s="25" t="b">
        <v>0</v>
      </c>
      <c r="J524" s="23" t="b">
        <v>1</v>
      </c>
      <c r="K524" s="25" t="b">
        <v>1</v>
      </c>
      <c r="L524" s="25"/>
      <c r="M524" s="25"/>
      <c r="N524" s="25" t="str">
        <f>_xlfn.IFNA(VLOOKUP($M524,Buff.CM!$A:$O,13,FALSE),"")</f>
        <v/>
      </c>
      <c r="O524" s="25" t="str">
        <f>_xlfn.IFNA(VLOOKUP($M524,Buff.CM!$A:$O,14,FALSE),"")</f>
        <v/>
      </c>
      <c r="P524" s="25" t="str">
        <f>_xlfn.IFNA(VLOOKUP($M524,Buff.CM!$A:$O,15,FALSE),"")</f>
        <v/>
      </c>
      <c r="Q524" s="25" t="b">
        <v>0</v>
      </c>
      <c r="R524" s="25" t="b">
        <v>0</v>
      </c>
    </row>
    <row r="525" spans="1:18">
      <c r="A525" s="34" t="s">
        <v>1769</v>
      </c>
      <c r="B525" s="34"/>
      <c r="C525" s="34"/>
      <c r="D525" s="34">
        <v>0</v>
      </c>
      <c r="E525" s="34">
        <v>0</v>
      </c>
      <c r="F525" s="34">
        <v>0</v>
      </c>
      <c r="G525" s="40" t="s">
        <v>1775</v>
      </c>
      <c r="H525" s="34"/>
      <c r="I525" s="34" t="b">
        <v>0</v>
      </c>
      <c r="J525" s="23" t="b">
        <v>1</v>
      </c>
      <c r="K525" s="34" t="b">
        <v>1</v>
      </c>
      <c r="L525" s="34"/>
      <c r="M525" s="34"/>
      <c r="N525" s="34" t="str">
        <f>_xlfn.IFNA(VLOOKUP($M525,Buff.CM!$A:$O,13,FALSE),"")</f>
        <v/>
      </c>
      <c r="O525" s="34" t="str">
        <f>_xlfn.IFNA(VLOOKUP($M525,Buff.CM!$A:$O,14,FALSE),"")</f>
        <v/>
      </c>
      <c r="P525" s="34" t="str">
        <f>_xlfn.IFNA(VLOOKUP($M525,Buff.CM!$A:$O,15,FALSE),"")</f>
        <v/>
      </c>
      <c r="Q525" s="24" t="b">
        <v>0</v>
      </c>
      <c r="R525" s="34" t="b">
        <v>0</v>
      </c>
    </row>
    <row r="526" spans="1:18">
      <c r="A526" s="34" t="s">
        <v>1770</v>
      </c>
      <c r="B526" s="34"/>
      <c r="C526" s="34"/>
      <c r="D526" s="34">
        <v>0</v>
      </c>
      <c r="E526" s="34">
        <v>0</v>
      </c>
      <c r="F526" s="34">
        <v>0</v>
      </c>
      <c r="G526" s="40" t="s">
        <v>1776</v>
      </c>
      <c r="H526" s="34"/>
      <c r="I526" s="34" t="b">
        <v>0</v>
      </c>
      <c r="J526" s="23" t="b">
        <v>1</v>
      </c>
      <c r="K526" s="34" t="b">
        <v>1</v>
      </c>
      <c r="L526" s="34"/>
      <c r="M526" s="34"/>
      <c r="N526" s="34" t="str">
        <f>_xlfn.IFNA(VLOOKUP($M526,Buff.CM!$A:$O,13,FALSE),"")</f>
        <v/>
      </c>
      <c r="O526" s="34" t="str">
        <f>_xlfn.IFNA(VLOOKUP($M526,Buff.CM!$A:$O,14,FALSE),"")</f>
        <v/>
      </c>
      <c r="P526" s="34" t="str">
        <f>_xlfn.IFNA(VLOOKUP($M526,Buff.CM!$A:$O,15,FALSE),"")</f>
        <v/>
      </c>
      <c r="Q526" s="24" t="b">
        <v>0</v>
      </c>
      <c r="R526" s="34" t="b">
        <v>0</v>
      </c>
    </row>
    <row r="527" spans="1:18">
      <c r="A527" s="34" t="s">
        <v>1771</v>
      </c>
      <c r="B527" s="34"/>
      <c r="C527" s="34"/>
      <c r="D527" s="34">
        <v>0</v>
      </c>
      <c r="E527" s="34">
        <v>0</v>
      </c>
      <c r="F527" s="34">
        <v>0</v>
      </c>
      <c r="G527" s="40" t="s">
        <v>1777</v>
      </c>
      <c r="H527" s="34"/>
      <c r="I527" s="34" t="b">
        <v>0</v>
      </c>
      <c r="J527" s="23" t="b">
        <v>1</v>
      </c>
      <c r="K527" s="34" t="b">
        <v>1</v>
      </c>
      <c r="L527" s="34"/>
      <c r="M527" s="34"/>
      <c r="N527" s="34" t="str">
        <f>_xlfn.IFNA(VLOOKUP($M527,Buff.CM!$A:$O,13,FALSE),"")</f>
        <v/>
      </c>
      <c r="O527" s="34" t="str">
        <f>_xlfn.IFNA(VLOOKUP($M527,Buff.CM!$A:$O,14,FALSE),"")</f>
        <v/>
      </c>
      <c r="P527" s="34" t="str">
        <f>_xlfn.IFNA(VLOOKUP($M527,Buff.CM!$A:$O,15,FALSE),"")</f>
        <v/>
      </c>
      <c r="Q527" s="24" t="b">
        <v>0</v>
      </c>
      <c r="R527" s="34" t="b">
        <v>0</v>
      </c>
    </row>
    <row r="528" spans="1:18">
      <c r="A528" s="34" t="s">
        <v>6680</v>
      </c>
      <c r="B528" s="34"/>
      <c r="C528" s="34"/>
      <c r="D528" s="34">
        <v>0</v>
      </c>
      <c r="E528" s="34">
        <v>0</v>
      </c>
      <c r="F528" s="34">
        <v>0</v>
      </c>
      <c r="G528" s="40" t="s">
        <v>1778</v>
      </c>
      <c r="H528" s="34"/>
      <c r="I528" s="34" t="b">
        <v>0</v>
      </c>
      <c r="J528" s="23" t="b">
        <v>1</v>
      </c>
      <c r="K528" s="34" t="b">
        <v>1</v>
      </c>
      <c r="L528" s="34"/>
      <c r="M528" s="34"/>
      <c r="N528" s="34" t="str">
        <f>_xlfn.IFNA(VLOOKUP($M528,Buff.CM!$A:$O,13,FALSE),"")</f>
        <v/>
      </c>
      <c r="O528" s="34" t="str">
        <f>_xlfn.IFNA(VLOOKUP($M528,Buff.CM!$A:$O,14,FALSE),"")</f>
        <v/>
      </c>
      <c r="P528" s="34" t="str">
        <f>_xlfn.IFNA(VLOOKUP($M528,Buff.CM!$A:$O,15,FALSE),"")</f>
        <v/>
      </c>
      <c r="Q528" s="24" t="b">
        <v>0</v>
      </c>
      <c r="R528" s="34" t="b">
        <v>0</v>
      </c>
    </row>
    <row r="529" spans="1:18" ht="33">
      <c r="A529" s="26" t="s">
        <v>6681</v>
      </c>
      <c r="B529" s="26"/>
      <c r="C529" s="26"/>
      <c r="D529" s="26">
        <v>0</v>
      </c>
      <c r="E529" s="26">
        <v>0</v>
      </c>
      <c r="F529" s="26">
        <v>0</v>
      </c>
      <c r="G529" s="45" t="s">
        <v>1747</v>
      </c>
      <c r="H529" s="26"/>
      <c r="I529" s="26" t="b">
        <v>0</v>
      </c>
      <c r="J529" s="23" t="b">
        <v>1</v>
      </c>
      <c r="K529" s="26" t="b">
        <v>1</v>
      </c>
      <c r="L529" s="26"/>
      <c r="M529" s="26"/>
      <c r="N529" s="26" t="str">
        <f>_xlfn.IFNA(VLOOKUP($M529,Buff.CM!$A:$O,13,FALSE),"")</f>
        <v/>
      </c>
      <c r="O529" s="26" t="str">
        <f>_xlfn.IFNA(VLOOKUP($M529,Buff.CM!$A:$O,14,FALSE),"")</f>
        <v/>
      </c>
      <c r="P529" s="26" t="str">
        <f>_xlfn.IFNA(VLOOKUP($M529,Buff.CM!$A:$O,15,FALSE),"")</f>
        <v/>
      </c>
      <c r="Q529" s="26" t="b">
        <v>0</v>
      </c>
      <c r="R529" s="26" t="b">
        <v>0</v>
      </c>
    </row>
    <row r="530" spans="1:18" ht="33">
      <c r="A530" s="26" t="s">
        <v>1761</v>
      </c>
      <c r="B530" s="26"/>
      <c r="C530" s="26"/>
      <c r="D530" s="26">
        <v>0</v>
      </c>
      <c r="E530" s="26">
        <v>0</v>
      </c>
      <c r="F530" s="26">
        <v>0</v>
      </c>
      <c r="G530" s="45" t="s">
        <v>1748</v>
      </c>
      <c r="H530" s="26"/>
      <c r="I530" s="26" t="b">
        <v>0</v>
      </c>
      <c r="J530" s="23" t="b">
        <v>1</v>
      </c>
      <c r="K530" s="26" t="b">
        <v>1</v>
      </c>
      <c r="L530" s="26"/>
      <c r="M530" s="26"/>
      <c r="N530" s="26" t="str">
        <f>_xlfn.IFNA(VLOOKUP($M530,Buff.CM!$A:$O,13,FALSE),"")</f>
        <v/>
      </c>
      <c r="O530" s="26" t="str">
        <f>_xlfn.IFNA(VLOOKUP($M530,Buff.CM!$A:$O,14,FALSE),"")</f>
        <v/>
      </c>
      <c r="P530" s="26" t="str">
        <f>_xlfn.IFNA(VLOOKUP($M530,Buff.CM!$A:$O,15,FALSE),"")</f>
        <v/>
      </c>
      <c r="Q530" s="26" t="b">
        <v>0</v>
      </c>
      <c r="R530" s="26" t="b">
        <v>0</v>
      </c>
    </row>
    <row r="531" spans="1:18" ht="33">
      <c r="A531" s="26" t="s">
        <v>1762</v>
      </c>
      <c r="B531" s="26"/>
      <c r="C531" s="26"/>
      <c r="D531" s="26">
        <v>0</v>
      </c>
      <c r="E531" s="26">
        <v>0</v>
      </c>
      <c r="F531" s="26">
        <v>0</v>
      </c>
      <c r="G531" s="45" t="s">
        <v>1749</v>
      </c>
      <c r="H531" s="26"/>
      <c r="I531" s="26" t="b">
        <v>0</v>
      </c>
      <c r="J531" s="23" t="b">
        <v>1</v>
      </c>
      <c r="K531" s="26" t="b">
        <v>1</v>
      </c>
      <c r="L531" s="26"/>
      <c r="M531" s="26"/>
      <c r="N531" s="26" t="str">
        <f>_xlfn.IFNA(VLOOKUP($M531,Buff.CM!$A:$O,13,FALSE),"")</f>
        <v/>
      </c>
      <c r="O531" s="26" t="str">
        <f>_xlfn.IFNA(VLOOKUP($M531,Buff.CM!$A:$O,14,FALSE),"")</f>
        <v/>
      </c>
      <c r="P531" s="26" t="str">
        <f>_xlfn.IFNA(VLOOKUP($M531,Buff.CM!$A:$O,15,FALSE),"")</f>
        <v/>
      </c>
      <c r="Q531" s="26" t="b">
        <v>0</v>
      </c>
      <c r="R531" s="26" t="b">
        <v>0</v>
      </c>
    </row>
    <row r="532" spans="1:18" ht="33">
      <c r="A532" s="34" t="s">
        <v>1763</v>
      </c>
      <c r="B532" s="34"/>
      <c r="C532" s="34"/>
      <c r="D532" s="34">
        <v>0</v>
      </c>
      <c r="E532" s="34">
        <v>0</v>
      </c>
      <c r="F532" s="34">
        <v>0</v>
      </c>
      <c r="G532" s="40" t="s">
        <v>1750</v>
      </c>
      <c r="H532" s="34"/>
      <c r="I532" s="34" t="b">
        <v>0</v>
      </c>
      <c r="J532" s="23" t="b">
        <v>1</v>
      </c>
      <c r="K532" s="34" t="b">
        <v>1</v>
      </c>
      <c r="L532" s="34"/>
      <c r="M532" s="34"/>
      <c r="N532" s="34" t="str">
        <f>_xlfn.IFNA(VLOOKUP($M532,Buff.CM!$A:$O,13,FALSE),"")</f>
        <v/>
      </c>
      <c r="O532" s="34" t="str">
        <f>_xlfn.IFNA(VLOOKUP($M532,Buff.CM!$A:$O,14,FALSE),"")</f>
        <v/>
      </c>
      <c r="P532" s="34" t="str">
        <f>_xlfn.IFNA(VLOOKUP($M532,Buff.CM!$A:$O,15,FALSE),"")</f>
        <v/>
      </c>
      <c r="Q532" s="24" t="b">
        <v>0</v>
      </c>
      <c r="R532" s="34" t="b">
        <v>0</v>
      </c>
    </row>
    <row r="533" spans="1:18" ht="33">
      <c r="A533" s="34" t="s">
        <v>1764</v>
      </c>
      <c r="B533" s="34"/>
      <c r="C533" s="34"/>
      <c r="D533" s="34">
        <v>0</v>
      </c>
      <c r="E533" s="34">
        <v>0</v>
      </c>
      <c r="F533" s="34">
        <v>0</v>
      </c>
      <c r="G533" s="40" t="s">
        <v>1751</v>
      </c>
      <c r="H533" s="34"/>
      <c r="I533" s="34" t="b">
        <v>0</v>
      </c>
      <c r="J533" s="23" t="b">
        <v>1</v>
      </c>
      <c r="K533" s="34" t="b">
        <v>1</v>
      </c>
      <c r="L533" s="34"/>
      <c r="M533" s="34"/>
      <c r="N533" s="34" t="str">
        <f>_xlfn.IFNA(VLOOKUP($M533,Buff.CM!$A:$O,13,FALSE),"")</f>
        <v/>
      </c>
      <c r="O533" s="34" t="str">
        <f>_xlfn.IFNA(VLOOKUP($M533,Buff.CM!$A:$O,14,FALSE),"")</f>
        <v/>
      </c>
      <c r="P533" s="34" t="str">
        <f>_xlfn.IFNA(VLOOKUP($M533,Buff.CM!$A:$O,15,FALSE),"")</f>
        <v/>
      </c>
      <c r="Q533" s="24" t="b">
        <v>0</v>
      </c>
      <c r="R533" s="34" t="b">
        <v>0</v>
      </c>
    </row>
    <row r="534" spans="1:18" ht="33">
      <c r="A534" s="34" t="s">
        <v>1765</v>
      </c>
      <c r="B534" s="34"/>
      <c r="C534" s="34"/>
      <c r="D534" s="34">
        <v>0</v>
      </c>
      <c r="E534" s="34">
        <v>0</v>
      </c>
      <c r="F534" s="34">
        <v>0</v>
      </c>
      <c r="G534" s="40" t="s">
        <v>1752</v>
      </c>
      <c r="H534" s="34"/>
      <c r="I534" s="34" t="b">
        <v>0</v>
      </c>
      <c r="J534" s="23" t="b">
        <v>1</v>
      </c>
      <c r="K534" s="34" t="b">
        <v>1</v>
      </c>
      <c r="L534" s="34"/>
      <c r="M534" s="34"/>
      <c r="N534" s="34" t="str">
        <f>_xlfn.IFNA(VLOOKUP($M534,Buff.CM!$A:$O,13,FALSE),"")</f>
        <v/>
      </c>
      <c r="O534" s="34" t="str">
        <f>_xlfn.IFNA(VLOOKUP($M534,Buff.CM!$A:$O,14,FALSE),"")</f>
        <v/>
      </c>
      <c r="P534" s="34" t="str">
        <f>_xlfn.IFNA(VLOOKUP($M534,Buff.CM!$A:$O,15,FALSE),"")</f>
        <v/>
      </c>
      <c r="Q534" s="24" t="b">
        <v>0</v>
      </c>
      <c r="R534" s="34" t="b">
        <v>0</v>
      </c>
    </row>
    <row r="535" spans="1:18">
      <c r="A535" s="34" t="s">
        <v>6682</v>
      </c>
      <c r="B535" s="34"/>
      <c r="C535" s="34"/>
      <c r="D535" s="34">
        <v>100</v>
      </c>
      <c r="E535" s="34">
        <v>0</v>
      </c>
      <c r="F535" s="34">
        <v>0</v>
      </c>
      <c r="G535" s="40" t="s">
        <v>122</v>
      </c>
      <c r="H535" s="34"/>
      <c r="I535" s="41" t="b">
        <v>1</v>
      </c>
      <c r="J535" s="23" t="b">
        <v>1</v>
      </c>
      <c r="K535" s="34" t="b">
        <v>1</v>
      </c>
      <c r="L535" s="34"/>
      <c r="M535" s="34"/>
      <c r="N535" s="34" t="str">
        <f>_xlfn.IFNA(VLOOKUP($M535,Buff.CM!$A:$O,13,FALSE),"")</f>
        <v/>
      </c>
      <c r="O535" s="34" t="str">
        <f>_xlfn.IFNA(VLOOKUP($M535,Buff.CM!$A:$O,14,FALSE),"")</f>
        <v/>
      </c>
      <c r="P535" s="34" t="str">
        <f>_xlfn.IFNA(VLOOKUP($M535,Buff.CM!$A:$O,15,FALSE),"")</f>
        <v/>
      </c>
      <c r="Q535" s="24" t="b">
        <v>0</v>
      </c>
      <c r="R535" s="34" t="b">
        <v>0</v>
      </c>
    </row>
    <row r="536" spans="1:18">
      <c r="A536" s="41" t="s">
        <v>6683</v>
      </c>
      <c r="B536" s="41"/>
      <c r="C536" s="41"/>
      <c r="D536" s="41">
        <v>0</v>
      </c>
      <c r="E536" s="41">
        <v>3</v>
      </c>
      <c r="F536" s="41">
        <v>1</v>
      </c>
      <c r="G536" s="41" t="s">
        <v>1735</v>
      </c>
      <c r="H536" s="41"/>
      <c r="I536" s="41" t="b">
        <v>1</v>
      </c>
      <c r="J536" s="41" t="b">
        <v>0</v>
      </c>
      <c r="K536" s="41" t="b">
        <v>1</v>
      </c>
      <c r="L536" s="41"/>
      <c r="M536" s="41" t="s">
        <v>5621</v>
      </c>
      <c r="N536" s="41" t="str">
        <f>_xlfn.IFNA(VLOOKUP($M536,Buff.CM!$A:$O,13,FALSE),"")</f>
        <v>icon_battle_belebeta_buff_01</v>
      </c>
      <c r="O536" s="41" t="str">
        <f>_xlfn.IFNA(VLOOKUP($M536,Buff.CM!$A:$O,14,FALSE),"")</f>
        <v>info.belebeta.buff.redtea</v>
      </c>
      <c r="P536" s="41" t="str">
        <f>_xlfn.IFNA(VLOOKUP($M536,Buff.CM!$A:$O,15,FALSE),"")</f>
        <v>Desc.info.belebeta.buff.redtea</v>
      </c>
      <c r="Q536" s="41" t="b">
        <v>0</v>
      </c>
      <c r="R536" s="41" t="b">
        <v>0</v>
      </c>
    </row>
    <row r="537" spans="1:18">
      <c r="A537" s="41" t="s">
        <v>1726</v>
      </c>
      <c r="B537" s="41"/>
      <c r="C537" s="41"/>
      <c r="D537" s="41">
        <v>0</v>
      </c>
      <c r="E537" s="41">
        <v>3</v>
      </c>
      <c r="F537" s="41">
        <v>1</v>
      </c>
      <c r="G537" s="41" t="s">
        <v>1736</v>
      </c>
      <c r="H537" s="41"/>
      <c r="I537" s="41" t="b">
        <v>1</v>
      </c>
      <c r="J537" s="41" t="b">
        <v>0</v>
      </c>
      <c r="K537" s="41" t="b">
        <v>1</v>
      </c>
      <c r="L537" s="41"/>
      <c r="M537" s="41" t="s">
        <v>5621</v>
      </c>
      <c r="N537" s="41" t="str">
        <f>_xlfn.IFNA(VLOOKUP($M537,Buff.CM!$A:$O,13,FALSE),"")</f>
        <v>icon_battle_belebeta_buff_01</v>
      </c>
      <c r="O537" s="41" t="str">
        <f>_xlfn.IFNA(VLOOKUP($M537,Buff.CM!$A:$O,14,FALSE),"")</f>
        <v>info.belebeta.buff.redtea</v>
      </c>
      <c r="P537" s="41" t="str">
        <f>_xlfn.IFNA(VLOOKUP($M537,Buff.CM!$A:$O,15,FALSE),"")</f>
        <v>Desc.info.belebeta.buff.redtea</v>
      </c>
      <c r="Q537" s="41" t="b">
        <v>0</v>
      </c>
      <c r="R537" s="41" t="b">
        <v>0</v>
      </c>
    </row>
    <row r="538" spans="1:18">
      <c r="A538" s="41" t="s">
        <v>1727</v>
      </c>
      <c r="B538" s="41"/>
      <c r="C538" s="41"/>
      <c r="D538" s="41">
        <v>0</v>
      </c>
      <c r="E538" s="41">
        <v>3</v>
      </c>
      <c r="F538" s="41">
        <v>1</v>
      </c>
      <c r="G538" s="41" t="s">
        <v>1737</v>
      </c>
      <c r="H538" s="41"/>
      <c r="I538" s="41" t="b">
        <v>1</v>
      </c>
      <c r="J538" s="41" t="b">
        <v>0</v>
      </c>
      <c r="K538" s="41" t="b">
        <v>1</v>
      </c>
      <c r="L538" s="41"/>
      <c r="M538" s="41" t="s">
        <v>5621</v>
      </c>
      <c r="N538" s="41" t="str">
        <f>_xlfn.IFNA(VLOOKUP($M538,Buff.CM!$A:$O,13,FALSE),"")</f>
        <v>icon_battle_belebeta_buff_01</v>
      </c>
      <c r="O538" s="41" t="str">
        <f>_xlfn.IFNA(VLOOKUP($M538,Buff.CM!$A:$O,14,FALSE),"")</f>
        <v>info.belebeta.buff.redtea</v>
      </c>
      <c r="P538" s="41" t="str">
        <f>_xlfn.IFNA(VLOOKUP($M538,Buff.CM!$A:$O,15,FALSE),"")</f>
        <v>Desc.info.belebeta.buff.redtea</v>
      </c>
      <c r="Q538" s="41" t="b">
        <v>0</v>
      </c>
      <c r="R538" s="41" t="b">
        <v>0</v>
      </c>
    </row>
    <row r="539" spans="1:18">
      <c r="A539" s="41" t="s">
        <v>1728</v>
      </c>
      <c r="B539" s="41"/>
      <c r="C539" s="41"/>
      <c r="D539" s="41">
        <v>0</v>
      </c>
      <c r="E539" s="41">
        <v>3</v>
      </c>
      <c r="F539" s="41">
        <v>1</v>
      </c>
      <c r="G539" s="41" t="s">
        <v>1738</v>
      </c>
      <c r="H539" s="41"/>
      <c r="I539" s="41" t="b">
        <v>1</v>
      </c>
      <c r="J539" s="41" t="b">
        <v>0</v>
      </c>
      <c r="K539" s="41" t="b">
        <v>1</v>
      </c>
      <c r="L539" s="41"/>
      <c r="M539" s="41" t="s">
        <v>5621</v>
      </c>
      <c r="N539" s="41" t="str">
        <f>_xlfn.IFNA(VLOOKUP($M539,Buff.CM!$A:$O,13,FALSE),"")</f>
        <v>icon_battle_belebeta_buff_01</v>
      </c>
      <c r="O539" s="41" t="str">
        <f>_xlfn.IFNA(VLOOKUP($M539,Buff.CM!$A:$O,14,FALSE),"")</f>
        <v>info.belebeta.buff.redtea</v>
      </c>
      <c r="P539" s="41" t="str">
        <f>_xlfn.IFNA(VLOOKUP($M539,Buff.CM!$A:$O,15,FALSE),"")</f>
        <v>Desc.info.belebeta.buff.redtea</v>
      </c>
      <c r="Q539" s="41" t="b">
        <v>0</v>
      </c>
      <c r="R539" s="41" t="b">
        <v>0</v>
      </c>
    </row>
    <row r="540" spans="1:18">
      <c r="A540" s="41" t="s">
        <v>1729</v>
      </c>
      <c r="B540" s="41"/>
      <c r="C540" s="41"/>
      <c r="D540" s="41">
        <v>0</v>
      </c>
      <c r="E540" s="41">
        <v>3</v>
      </c>
      <c r="F540" s="41">
        <v>1</v>
      </c>
      <c r="G540" s="41" t="s">
        <v>1739</v>
      </c>
      <c r="H540" s="41"/>
      <c r="I540" s="41" t="b">
        <v>1</v>
      </c>
      <c r="J540" s="41" t="b">
        <v>0</v>
      </c>
      <c r="K540" s="41" t="b">
        <v>1</v>
      </c>
      <c r="L540" s="41"/>
      <c r="M540" s="41" t="s">
        <v>5621</v>
      </c>
      <c r="N540" s="41" t="str">
        <f>_xlfn.IFNA(VLOOKUP($M540,Buff.CM!$A:$O,13,FALSE),"")</f>
        <v>icon_battle_belebeta_buff_01</v>
      </c>
      <c r="O540" s="41" t="str">
        <f>_xlfn.IFNA(VLOOKUP($M540,Buff.CM!$A:$O,14,FALSE),"")</f>
        <v>info.belebeta.buff.redtea</v>
      </c>
      <c r="P540" s="41" t="str">
        <f>_xlfn.IFNA(VLOOKUP($M540,Buff.CM!$A:$O,15,FALSE),"")</f>
        <v>Desc.info.belebeta.buff.redtea</v>
      </c>
      <c r="Q540" s="41" t="b">
        <v>0</v>
      </c>
      <c r="R540" s="41" t="b">
        <v>0</v>
      </c>
    </row>
    <row r="541" spans="1:18">
      <c r="A541" s="41" t="s">
        <v>1725</v>
      </c>
      <c r="B541" s="41"/>
      <c r="C541" s="41"/>
      <c r="D541" s="41">
        <v>0</v>
      </c>
      <c r="E541" s="41">
        <v>3</v>
      </c>
      <c r="F541" s="41">
        <v>1</v>
      </c>
      <c r="G541" s="41" t="s">
        <v>1740</v>
      </c>
      <c r="H541" s="41"/>
      <c r="I541" s="41" t="b">
        <v>1</v>
      </c>
      <c r="J541" s="41" t="b">
        <v>0</v>
      </c>
      <c r="K541" s="41" t="b">
        <v>1</v>
      </c>
      <c r="L541" s="41"/>
      <c r="M541" s="41" t="s">
        <v>5621</v>
      </c>
      <c r="N541" s="41" t="str">
        <f>_xlfn.IFNA(VLOOKUP($M541,Buff.CM!$A:$O,13,FALSE),"")</f>
        <v>icon_battle_belebeta_buff_01</v>
      </c>
      <c r="O541" s="41" t="str">
        <f>_xlfn.IFNA(VLOOKUP($M541,Buff.CM!$A:$O,14,FALSE),"")</f>
        <v>info.belebeta.buff.redtea</v>
      </c>
      <c r="P541" s="41" t="str">
        <f>_xlfn.IFNA(VLOOKUP($M541,Buff.CM!$A:$O,15,FALSE),"")</f>
        <v>Desc.info.belebeta.buff.redtea</v>
      </c>
      <c r="Q541" s="41" t="b">
        <v>0</v>
      </c>
      <c r="R541" s="41" t="b">
        <v>0</v>
      </c>
    </row>
    <row r="542" spans="1:18" s="150" customFormat="1">
      <c r="A542" s="24" t="s">
        <v>6684</v>
      </c>
      <c r="B542" s="24"/>
      <c r="C542" s="24"/>
      <c r="D542" s="24">
        <v>8000</v>
      </c>
      <c r="E542" s="24">
        <v>0</v>
      </c>
      <c r="F542" s="24">
        <v>0</v>
      </c>
      <c r="G542" s="24" t="s">
        <v>3897</v>
      </c>
      <c r="H542" s="24"/>
      <c r="I542" s="24" t="b">
        <v>1</v>
      </c>
      <c r="J542" s="24" t="b">
        <v>0</v>
      </c>
      <c r="K542" s="24" t="b">
        <v>1</v>
      </c>
      <c r="L542" s="24"/>
      <c r="M542" s="24"/>
      <c r="N542" s="24" t="str">
        <f>_xlfn.IFNA(VLOOKUP($M542,Buff.CM!$A:$O,13,FALSE),"")</f>
        <v/>
      </c>
      <c r="O542" s="24" t="str">
        <f>_xlfn.IFNA(VLOOKUP($M542,Buff.CM!$A:$O,14,FALSE),"")</f>
        <v/>
      </c>
      <c r="P542" s="24" t="str">
        <f>_xlfn.IFNA(VLOOKUP($M542,Buff.CM!$A:$O,15,FALSE),"")</f>
        <v/>
      </c>
      <c r="Q542" s="24" t="b">
        <v>0</v>
      </c>
      <c r="R542" s="24" t="b">
        <v>0</v>
      </c>
    </row>
    <row r="543" spans="1:18" s="150" customFormat="1">
      <c r="A543" s="24" t="s">
        <v>3903</v>
      </c>
      <c r="B543" s="24"/>
      <c r="C543" s="24"/>
      <c r="D543" s="24">
        <v>8000</v>
      </c>
      <c r="E543" s="24">
        <v>0</v>
      </c>
      <c r="F543" s="24">
        <v>0</v>
      </c>
      <c r="G543" s="24" t="s">
        <v>3898</v>
      </c>
      <c r="H543" s="24"/>
      <c r="I543" s="24" t="b">
        <v>1</v>
      </c>
      <c r="J543" s="24" t="b">
        <v>0</v>
      </c>
      <c r="K543" s="24" t="b">
        <v>1</v>
      </c>
      <c r="L543" s="24"/>
      <c r="M543" s="24"/>
      <c r="N543" s="24" t="str">
        <f>_xlfn.IFNA(VLOOKUP($M543,Buff.CM!$A:$O,13,FALSE),"")</f>
        <v/>
      </c>
      <c r="O543" s="24" t="str">
        <f>_xlfn.IFNA(VLOOKUP($M543,Buff.CM!$A:$O,14,FALSE),"")</f>
        <v/>
      </c>
      <c r="P543" s="24" t="str">
        <f>_xlfn.IFNA(VLOOKUP($M543,Buff.CM!$A:$O,15,FALSE),"")</f>
        <v/>
      </c>
      <c r="Q543" s="24" t="b">
        <v>0</v>
      </c>
      <c r="R543" s="24" t="b">
        <v>0</v>
      </c>
    </row>
    <row r="544" spans="1:18" s="150" customFormat="1">
      <c r="A544" s="24" t="s">
        <v>3904</v>
      </c>
      <c r="B544" s="24"/>
      <c r="C544" s="24"/>
      <c r="D544" s="24">
        <v>8000</v>
      </c>
      <c r="E544" s="24">
        <v>0</v>
      </c>
      <c r="F544" s="24">
        <v>0</v>
      </c>
      <c r="G544" s="24" t="s">
        <v>3899</v>
      </c>
      <c r="H544" s="24"/>
      <c r="I544" s="24" t="b">
        <v>1</v>
      </c>
      <c r="J544" s="24" t="b">
        <v>0</v>
      </c>
      <c r="K544" s="24" t="b">
        <v>1</v>
      </c>
      <c r="L544" s="24"/>
      <c r="M544" s="24"/>
      <c r="N544" s="24" t="str">
        <f>_xlfn.IFNA(VLOOKUP($M544,Buff.CM!$A:$O,13,FALSE),"")</f>
        <v/>
      </c>
      <c r="O544" s="24" t="str">
        <f>_xlfn.IFNA(VLOOKUP($M544,Buff.CM!$A:$O,14,FALSE),"")</f>
        <v/>
      </c>
      <c r="P544" s="24" t="str">
        <f>_xlfn.IFNA(VLOOKUP($M544,Buff.CM!$A:$O,15,FALSE),"")</f>
        <v/>
      </c>
      <c r="Q544" s="24" t="b">
        <v>0</v>
      </c>
      <c r="R544" s="24" t="b">
        <v>0</v>
      </c>
    </row>
    <row r="545" spans="1:18" s="150" customFormat="1">
      <c r="A545" s="24" t="s">
        <v>3905</v>
      </c>
      <c r="B545" s="24"/>
      <c r="C545" s="24"/>
      <c r="D545" s="24">
        <v>8000</v>
      </c>
      <c r="E545" s="24">
        <v>0</v>
      </c>
      <c r="F545" s="24">
        <v>0</v>
      </c>
      <c r="G545" s="24" t="s">
        <v>3900</v>
      </c>
      <c r="H545" s="24"/>
      <c r="I545" s="24" t="b">
        <v>1</v>
      </c>
      <c r="J545" s="24" t="b">
        <v>0</v>
      </c>
      <c r="K545" s="24" t="b">
        <v>1</v>
      </c>
      <c r="L545" s="24"/>
      <c r="M545" s="24"/>
      <c r="N545" s="24" t="str">
        <f>_xlfn.IFNA(VLOOKUP($M545,Buff.CM!$A:$O,13,FALSE),"")</f>
        <v/>
      </c>
      <c r="O545" s="24" t="str">
        <f>_xlfn.IFNA(VLOOKUP($M545,Buff.CM!$A:$O,14,FALSE),"")</f>
        <v/>
      </c>
      <c r="P545" s="24" t="str">
        <f>_xlfn.IFNA(VLOOKUP($M545,Buff.CM!$A:$O,15,FALSE),"")</f>
        <v/>
      </c>
      <c r="Q545" s="24" t="b">
        <v>0</v>
      </c>
      <c r="R545" s="24" t="b">
        <v>0</v>
      </c>
    </row>
    <row r="546" spans="1:18" s="150" customFormat="1">
      <c r="A546" s="24" t="s">
        <v>3906</v>
      </c>
      <c r="B546" s="24"/>
      <c r="C546" s="24"/>
      <c r="D546" s="24">
        <v>8000</v>
      </c>
      <c r="E546" s="24">
        <v>0</v>
      </c>
      <c r="F546" s="24">
        <v>0</v>
      </c>
      <c r="G546" s="24" t="s">
        <v>3901</v>
      </c>
      <c r="H546" s="24"/>
      <c r="I546" s="24" t="b">
        <v>1</v>
      </c>
      <c r="J546" s="24" t="b">
        <v>0</v>
      </c>
      <c r="K546" s="24" t="b">
        <v>1</v>
      </c>
      <c r="L546" s="24"/>
      <c r="M546" s="24"/>
      <c r="N546" s="24" t="str">
        <f>_xlfn.IFNA(VLOOKUP($M546,Buff.CM!$A:$O,13,FALSE),"")</f>
        <v/>
      </c>
      <c r="O546" s="24" t="str">
        <f>_xlfn.IFNA(VLOOKUP($M546,Buff.CM!$A:$O,14,FALSE),"")</f>
        <v/>
      </c>
      <c r="P546" s="24" t="str">
        <f>_xlfn.IFNA(VLOOKUP($M546,Buff.CM!$A:$O,15,FALSE),"")</f>
        <v/>
      </c>
      <c r="Q546" s="24" t="b">
        <v>0</v>
      </c>
      <c r="R546" s="24" t="b">
        <v>0</v>
      </c>
    </row>
    <row r="547" spans="1:18" s="150" customFormat="1">
      <c r="A547" s="24" t="s">
        <v>3907</v>
      </c>
      <c r="B547" s="24"/>
      <c r="C547" s="24"/>
      <c r="D547" s="24">
        <v>8000</v>
      </c>
      <c r="E547" s="24">
        <v>0</v>
      </c>
      <c r="F547" s="24">
        <v>0</v>
      </c>
      <c r="G547" s="24" t="s">
        <v>3902</v>
      </c>
      <c r="H547" s="24"/>
      <c r="I547" s="24" t="b">
        <v>1</v>
      </c>
      <c r="J547" s="24" t="b">
        <v>0</v>
      </c>
      <c r="K547" s="24" t="b">
        <v>1</v>
      </c>
      <c r="L547" s="24"/>
      <c r="M547" s="24"/>
      <c r="N547" s="24" t="str">
        <f>_xlfn.IFNA(VLOOKUP($M547,Buff.CM!$A:$O,13,FALSE),"")</f>
        <v/>
      </c>
      <c r="O547" s="24" t="str">
        <f>_xlfn.IFNA(VLOOKUP($M547,Buff.CM!$A:$O,14,FALSE),"")</f>
        <v/>
      </c>
      <c r="P547" s="24" t="str">
        <f>_xlfn.IFNA(VLOOKUP($M547,Buff.CM!$A:$O,15,FALSE),"")</f>
        <v/>
      </c>
      <c r="Q547" s="24" t="b">
        <v>0</v>
      </c>
      <c r="R547" s="24" t="b">
        <v>0</v>
      </c>
    </row>
    <row r="548" spans="1:18">
      <c r="A548" s="14" t="s">
        <v>6685</v>
      </c>
      <c r="B548" s="14"/>
      <c r="C548" s="14"/>
      <c r="D548" s="14">
        <v>0</v>
      </c>
      <c r="E548" s="14">
        <v>3</v>
      </c>
      <c r="F548" s="14">
        <v>1</v>
      </c>
      <c r="G548" s="14" t="s">
        <v>1741</v>
      </c>
      <c r="H548" s="14"/>
      <c r="I548" s="14" t="b">
        <v>1</v>
      </c>
      <c r="J548" s="14" t="b">
        <v>0</v>
      </c>
      <c r="K548" s="14" t="b">
        <v>1</v>
      </c>
      <c r="L548" s="14"/>
      <c r="M548" s="14" t="s">
        <v>5624</v>
      </c>
      <c r="N548" s="14" t="str">
        <f>_xlfn.IFNA(VLOOKUP($M548,Buff.CM!$A:$O,13,FALSE),"")</f>
        <v>icon_battle_belebeta_buff_02</v>
      </c>
      <c r="O548" s="14" t="str">
        <f>_xlfn.IFNA(VLOOKUP($M548,Buff.CM!$A:$O,14,FALSE),"")</f>
        <v>info.belebeta.buff.greentea</v>
      </c>
      <c r="P548" s="14" t="str">
        <f>_xlfn.IFNA(VLOOKUP($M548,Buff.CM!$A:$O,15,FALSE),"")</f>
        <v>Desc.info.belebeta.buff.greentea</v>
      </c>
      <c r="Q548" s="14" t="b">
        <v>0</v>
      </c>
      <c r="R548" s="14" t="b">
        <v>0</v>
      </c>
    </row>
    <row r="549" spans="1:18">
      <c r="A549" s="14" t="s">
        <v>1730</v>
      </c>
      <c r="B549" s="14"/>
      <c r="C549" s="14"/>
      <c r="D549" s="14">
        <v>0</v>
      </c>
      <c r="E549" s="14">
        <v>3</v>
      </c>
      <c r="F549" s="14">
        <v>1</v>
      </c>
      <c r="G549" s="14" t="s">
        <v>1742</v>
      </c>
      <c r="H549" s="14"/>
      <c r="I549" s="14" t="b">
        <v>1</v>
      </c>
      <c r="J549" s="14" t="b">
        <v>0</v>
      </c>
      <c r="K549" s="14" t="b">
        <v>1</v>
      </c>
      <c r="L549" s="14"/>
      <c r="M549" s="14" t="s">
        <v>5624</v>
      </c>
      <c r="N549" s="14" t="str">
        <f>_xlfn.IFNA(VLOOKUP($M549,Buff.CM!$A:$O,13,FALSE),"")</f>
        <v>icon_battle_belebeta_buff_02</v>
      </c>
      <c r="O549" s="14" t="str">
        <f>_xlfn.IFNA(VLOOKUP($M549,Buff.CM!$A:$O,14,FALSE),"")</f>
        <v>info.belebeta.buff.greentea</v>
      </c>
      <c r="P549" s="14" t="str">
        <f>_xlfn.IFNA(VLOOKUP($M549,Buff.CM!$A:$O,15,FALSE),"")</f>
        <v>Desc.info.belebeta.buff.greentea</v>
      </c>
      <c r="Q549" s="14" t="b">
        <v>0</v>
      </c>
      <c r="R549" s="14" t="b">
        <v>0</v>
      </c>
    </row>
    <row r="550" spans="1:18">
      <c r="A550" s="14" t="s">
        <v>1731</v>
      </c>
      <c r="B550" s="14"/>
      <c r="C550" s="14"/>
      <c r="D550" s="14">
        <v>0</v>
      </c>
      <c r="E550" s="14">
        <v>3</v>
      </c>
      <c r="F550" s="14">
        <v>1</v>
      </c>
      <c r="G550" s="14" t="s">
        <v>1743</v>
      </c>
      <c r="H550" s="14"/>
      <c r="I550" s="14" t="b">
        <v>1</v>
      </c>
      <c r="J550" s="14" t="b">
        <v>0</v>
      </c>
      <c r="K550" s="14" t="b">
        <v>1</v>
      </c>
      <c r="L550" s="14"/>
      <c r="M550" s="14" t="s">
        <v>5624</v>
      </c>
      <c r="N550" s="14" t="str">
        <f>_xlfn.IFNA(VLOOKUP($M550,Buff.CM!$A:$O,13,FALSE),"")</f>
        <v>icon_battle_belebeta_buff_02</v>
      </c>
      <c r="O550" s="14" t="str">
        <f>_xlfn.IFNA(VLOOKUP($M550,Buff.CM!$A:$O,14,FALSE),"")</f>
        <v>info.belebeta.buff.greentea</v>
      </c>
      <c r="P550" s="14" t="str">
        <f>_xlfn.IFNA(VLOOKUP($M550,Buff.CM!$A:$O,15,FALSE),"")</f>
        <v>Desc.info.belebeta.buff.greentea</v>
      </c>
      <c r="Q550" s="14" t="b">
        <v>0</v>
      </c>
      <c r="R550" s="14" t="b">
        <v>0</v>
      </c>
    </row>
    <row r="551" spans="1:18">
      <c r="A551" s="14" t="s">
        <v>1732</v>
      </c>
      <c r="B551" s="14"/>
      <c r="C551" s="14"/>
      <c r="D551" s="14">
        <v>0</v>
      </c>
      <c r="E551" s="14">
        <v>3</v>
      </c>
      <c r="F551" s="14">
        <v>1</v>
      </c>
      <c r="G551" s="14" t="s">
        <v>1744</v>
      </c>
      <c r="H551" s="14"/>
      <c r="I551" s="14" t="b">
        <v>1</v>
      </c>
      <c r="J551" s="14" t="b">
        <v>0</v>
      </c>
      <c r="K551" s="14" t="b">
        <v>1</v>
      </c>
      <c r="L551" s="14"/>
      <c r="M551" s="14" t="s">
        <v>5624</v>
      </c>
      <c r="N551" s="14" t="str">
        <f>_xlfn.IFNA(VLOOKUP($M551,Buff.CM!$A:$O,13,FALSE),"")</f>
        <v>icon_battle_belebeta_buff_02</v>
      </c>
      <c r="O551" s="14" t="str">
        <f>_xlfn.IFNA(VLOOKUP($M551,Buff.CM!$A:$O,14,FALSE),"")</f>
        <v>info.belebeta.buff.greentea</v>
      </c>
      <c r="P551" s="14" t="str">
        <f>_xlfn.IFNA(VLOOKUP($M551,Buff.CM!$A:$O,15,FALSE),"")</f>
        <v>Desc.info.belebeta.buff.greentea</v>
      </c>
      <c r="Q551" s="14" t="b">
        <v>0</v>
      </c>
      <c r="R551" s="14" t="b">
        <v>0</v>
      </c>
    </row>
    <row r="552" spans="1:18">
      <c r="A552" s="14" t="s">
        <v>1733</v>
      </c>
      <c r="B552" s="14"/>
      <c r="C552" s="14"/>
      <c r="D552" s="14">
        <v>0</v>
      </c>
      <c r="E552" s="14">
        <v>3</v>
      </c>
      <c r="F552" s="14">
        <v>1</v>
      </c>
      <c r="G552" s="14" t="s">
        <v>1745</v>
      </c>
      <c r="H552" s="14"/>
      <c r="I552" s="14" t="b">
        <v>1</v>
      </c>
      <c r="J552" s="14" t="b">
        <v>0</v>
      </c>
      <c r="K552" s="14" t="b">
        <v>1</v>
      </c>
      <c r="L552" s="14"/>
      <c r="M552" s="14" t="s">
        <v>5624</v>
      </c>
      <c r="N552" s="14" t="str">
        <f>_xlfn.IFNA(VLOOKUP($M552,Buff.CM!$A:$O,13,FALSE),"")</f>
        <v>icon_battle_belebeta_buff_02</v>
      </c>
      <c r="O552" s="14" t="str">
        <f>_xlfn.IFNA(VLOOKUP($M552,Buff.CM!$A:$O,14,FALSE),"")</f>
        <v>info.belebeta.buff.greentea</v>
      </c>
      <c r="P552" s="14" t="str">
        <f>_xlfn.IFNA(VLOOKUP($M552,Buff.CM!$A:$O,15,FALSE),"")</f>
        <v>Desc.info.belebeta.buff.greentea</v>
      </c>
      <c r="Q552" s="14" t="b">
        <v>0</v>
      </c>
      <c r="R552" s="14" t="b">
        <v>0</v>
      </c>
    </row>
    <row r="553" spans="1:18">
      <c r="A553" s="14" t="s">
        <v>1734</v>
      </c>
      <c r="B553" s="14"/>
      <c r="C553" s="14"/>
      <c r="D553" s="14">
        <v>0</v>
      </c>
      <c r="E553" s="14">
        <v>3</v>
      </c>
      <c r="F553" s="14">
        <v>1</v>
      </c>
      <c r="G553" s="14" t="s">
        <v>1746</v>
      </c>
      <c r="H553" s="14"/>
      <c r="I553" s="14" t="b">
        <v>1</v>
      </c>
      <c r="J553" s="14" t="b">
        <v>0</v>
      </c>
      <c r="K553" s="14" t="b">
        <v>1</v>
      </c>
      <c r="L553" s="14"/>
      <c r="M553" s="14" t="s">
        <v>5624</v>
      </c>
      <c r="N553" s="14" t="str">
        <f>_xlfn.IFNA(VLOOKUP($M553,Buff.CM!$A:$O,13,FALSE),"")</f>
        <v>icon_battle_belebeta_buff_02</v>
      </c>
      <c r="O553" s="14" t="str">
        <f>_xlfn.IFNA(VLOOKUP($M553,Buff.CM!$A:$O,14,FALSE),"")</f>
        <v>info.belebeta.buff.greentea</v>
      </c>
      <c r="P553" s="14" t="str">
        <f>_xlfn.IFNA(VLOOKUP($M553,Buff.CM!$A:$O,15,FALSE),"")</f>
        <v>Desc.info.belebeta.buff.greentea</v>
      </c>
      <c r="Q553" s="14" t="b">
        <v>0</v>
      </c>
      <c r="R553" s="14" t="b">
        <v>0</v>
      </c>
    </row>
    <row r="554" spans="1:18" s="154" customFormat="1">
      <c r="A554" s="51" t="s">
        <v>6686</v>
      </c>
      <c r="B554" s="51"/>
      <c r="C554" s="51"/>
      <c r="D554" s="51">
        <v>8000</v>
      </c>
      <c r="E554" s="51">
        <v>0</v>
      </c>
      <c r="F554" s="51">
        <v>0</v>
      </c>
      <c r="G554" s="51" t="s">
        <v>6687</v>
      </c>
      <c r="H554" s="51"/>
      <c r="I554" s="51" t="b">
        <v>1</v>
      </c>
      <c r="J554" s="51" t="b">
        <v>0</v>
      </c>
      <c r="K554" s="51" t="b">
        <v>1</v>
      </c>
      <c r="L554" s="51"/>
      <c r="M554" s="51"/>
      <c r="N554" s="51" t="str">
        <f>_xlfn.IFNA(VLOOKUP($M554,Buff.CM!$A:$O,13,FALSE),"")</f>
        <v/>
      </c>
      <c r="O554" s="51" t="str">
        <f>_xlfn.IFNA(VLOOKUP($M554,Buff.CM!$A:$O,14,FALSE),"")</f>
        <v/>
      </c>
      <c r="P554" s="51" t="str">
        <f>_xlfn.IFNA(VLOOKUP($M554,Buff.CM!$A:$O,15,FALSE),"")</f>
        <v/>
      </c>
      <c r="Q554" s="51" t="b">
        <v>0</v>
      </c>
      <c r="R554" s="51" t="b">
        <v>0</v>
      </c>
    </row>
    <row r="555" spans="1:18" s="154" customFormat="1">
      <c r="A555" s="51" t="s">
        <v>3908</v>
      </c>
      <c r="B555" s="51"/>
      <c r="C555" s="51"/>
      <c r="D555" s="51">
        <v>8000</v>
      </c>
      <c r="E555" s="51">
        <v>0</v>
      </c>
      <c r="F555" s="51">
        <v>0</v>
      </c>
      <c r="G555" s="51" t="s">
        <v>3913</v>
      </c>
      <c r="H555" s="51"/>
      <c r="I555" s="51" t="b">
        <v>1</v>
      </c>
      <c r="J555" s="51" t="b">
        <v>0</v>
      </c>
      <c r="K555" s="51" t="b">
        <v>1</v>
      </c>
      <c r="L555" s="51"/>
      <c r="M555" s="51"/>
      <c r="N555" s="51" t="str">
        <f>_xlfn.IFNA(VLOOKUP($M555,Buff.CM!$A:$O,13,FALSE),"")</f>
        <v/>
      </c>
      <c r="O555" s="51" t="str">
        <f>_xlfn.IFNA(VLOOKUP($M555,Buff.CM!$A:$O,14,FALSE),"")</f>
        <v/>
      </c>
      <c r="P555" s="51" t="str">
        <f>_xlfn.IFNA(VLOOKUP($M555,Buff.CM!$A:$O,15,FALSE),"")</f>
        <v/>
      </c>
      <c r="Q555" s="51" t="b">
        <v>0</v>
      </c>
      <c r="R555" s="51" t="b">
        <v>0</v>
      </c>
    </row>
    <row r="556" spans="1:18" s="154" customFormat="1">
      <c r="A556" s="51" t="s">
        <v>3909</v>
      </c>
      <c r="B556" s="51"/>
      <c r="C556" s="51"/>
      <c r="D556" s="51">
        <v>8000</v>
      </c>
      <c r="E556" s="51">
        <v>0</v>
      </c>
      <c r="F556" s="51">
        <v>0</v>
      </c>
      <c r="G556" s="51" t="s">
        <v>3914</v>
      </c>
      <c r="H556" s="51"/>
      <c r="I556" s="51" t="b">
        <v>1</v>
      </c>
      <c r="J556" s="51" t="b">
        <v>0</v>
      </c>
      <c r="K556" s="51" t="b">
        <v>1</v>
      </c>
      <c r="L556" s="51"/>
      <c r="M556" s="51"/>
      <c r="N556" s="51" t="str">
        <f>_xlfn.IFNA(VLOOKUP($M556,Buff.CM!$A:$O,13,FALSE),"")</f>
        <v/>
      </c>
      <c r="O556" s="51" t="str">
        <f>_xlfn.IFNA(VLOOKUP($M556,Buff.CM!$A:$O,14,FALSE),"")</f>
        <v/>
      </c>
      <c r="P556" s="51" t="str">
        <f>_xlfn.IFNA(VLOOKUP($M556,Buff.CM!$A:$O,15,FALSE),"")</f>
        <v/>
      </c>
      <c r="Q556" s="51" t="b">
        <v>0</v>
      </c>
      <c r="R556" s="51" t="b">
        <v>0</v>
      </c>
    </row>
    <row r="557" spans="1:18" s="154" customFormat="1">
      <c r="A557" s="51" t="s">
        <v>3910</v>
      </c>
      <c r="B557" s="51"/>
      <c r="C557" s="51"/>
      <c r="D557" s="51">
        <v>8000</v>
      </c>
      <c r="E557" s="51">
        <v>0</v>
      </c>
      <c r="F557" s="51">
        <v>0</v>
      </c>
      <c r="G557" s="51" t="s">
        <v>3915</v>
      </c>
      <c r="H557" s="51"/>
      <c r="I557" s="51" t="b">
        <v>1</v>
      </c>
      <c r="J557" s="51" t="b">
        <v>0</v>
      </c>
      <c r="K557" s="51" t="b">
        <v>1</v>
      </c>
      <c r="L557" s="51"/>
      <c r="M557" s="51"/>
      <c r="N557" s="51" t="str">
        <f>_xlfn.IFNA(VLOOKUP($M557,Buff.CM!$A:$O,13,FALSE),"")</f>
        <v/>
      </c>
      <c r="O557" s="51" t="str">
        <f>_xlfn.IFNA(VLOOKUP($M557,Buff.CM!$A:$O,14,FALSE),"")</f>
        <v/>
      </c>
      <c r="P557" s="51" t="str">
        <f>_xlfn.IFNA(VLOOKUP($M557,Buff.CM!$A:$O,15,FALSE),"")</f>
        <v/>
      </c>
      <c r="Q557" s="51" t="b">
        <v>0</v>
      </c>
      <c r="R557" s="51" t="b">
        <v>0</v>
      </c>
    </row>
    <row r="558" spans="1:18" s="154" customFormat="1">
      <c r="A558" s="51" t="s">
        <v>3911</v>
      </c>
      <c r="B558" s="51"/>
      <c r="C558" s="51"/>
      <c r="D558" s="51">
        <v>8000</v>
      </c>
      <c r="E558" s="51">
        <v>0</v>
      </c>
      <c r="F558" s="51">
        <v>0</v>
      </c>
      <c r="G558" s="51" t="s">
        <v>3916</v>
      </c>
      <c r="H558" s="51"/>
      <c r="I558" s="51" t="b">
        <v>1</v>
      </c>
      <c r="J558" s="51" t="b">
        <v>0</v>
      </c>
      <c r="K558" s="51" t="b">
        <v>1</v>
      </c>
      <c r="L558" s="51"/>
      <c r="M558" s="51"/>
      <c r="N558" s="51" t="str">
        <f>_xlfn.IFNA(VLOOKUP($M558,Buff.CM!$A:$O,13,FALSE),"")</f>
        <v/>
      </c>
      <c r="O558" s="51" t="str">
        <f>_xlfn.IFNA(VLOOKUP($M558,Buff.CM!$A:$O,14,FALSE),"")</f>
        <v/>
      </c>
      <c r="P558" s="51" t="str">
        <f>_xlfn.IFNA(VLOOKUP($M558,Buff.CM!$A:$O,15,FALSE),"")</f>
        <v/>
      </c>
      <c r="Q558" s="51" t="b">
        <v>0</v>
      </c>
      <c r="R558" s="51" t="b">
        <v>0</v>
      </c>
    </row>
    <row r="559" spans="1:18" s="154" customFormat="1">
      <c r="A559" s="51" t="s">
        <v>3912</v>
      </c>
      <c r="B559" s="51"/>
      <c r="C559" s="51"/>
      <c r="D559" s="51">
        <v>8000</v>
      </c>
      <c r="E559" s="51">
        <v>0</v>
      </c>
      <c r="F559" s="51">
        <v>0</v>
      </c>
      <c r="G559" s="51" t="s">
        <v>3917</v>
      </c>
      <c r="H559" s="51"/>
      <c r="I559" s="51" t="b">
        <v>1</v>
      </c>
      <c r="J559" s="51" t="b">
        <v>0</v>
      </c>
      <c r="K559" s="51" t="b">
        <v>1</v>
      </c>
      <c r="L559" s="51"/>
      <c r="M559" s="51"/>
      <c r="N559" s="51" t="str">
        <f>_xlfn.IFNA(VLOOKUP($M559,Buff.CM!$A:$O,13,FALSE),"")</f>
        <v/>
      </c>
      <c r="O559" s="51" t="str">
        <f>_xlfn.IFNA(VLOOKUP($M559,Buff.CM!$A:$O,14,FALSE),"")</f>
        <v/>
      </c>
      <c r="P559" s="51" t="str">
        <f>_xlfn.IFNA(VLOOKUP($M559,Buff.CM!$A:$O,15,FALSE),"")</f>
        <v/>
      </c>
      <c r="Q559" s="51" t="b">
        <v>0</v>
      </c>
      <c r="R559" s="51" t="b">
        <v>0</v>
      </c>
    </row>
    <row r="560" spans="1:18" s="155" customFormat="1" ht="99">
      <c r="A560" s="6" t="s">
        <v>2947</v>
      </c>
      <c r="B560" s="6"/>
      <c r="C560" s="6"/>
      <c r="D560" s="6">
        <v>100</v>
      </c>
      <c r="E560" s="6">
        <v>0</v>
      </c>
      <c r="F560" s="6">
        <v>0</v>
      </c>
      <c r="G560" s="158" t="s">
        <v>6688</v>
      </c>
      <c r="H560" s="6"/>
      <c r="I560" s="6" t="b">
        <v>1</v>
      </c>
      <c r="J560" s="6" t="b">
        <v>0</v>
      </c>
      <c r="K560" s="6" t="b">
        <v>1</v>
      </c>
      <c r="L560" s="6"/>
      <c r="M560" s="6"/>
      <c r="N560" s="6" t="str">
        <f>_xlfn.IFNA(VLOOKUP($M560,Buff.CM!$A:$O,13,FALSE),"")</f>
        <v/>
      </c>
      <c r="O560" s="6" t="str">
        <f>_xlfn.IFNA(VLOOKUP($M560,Buff.CM!$A:$O,14,FALSE),"")</f>
        <v/>
      </c>
      <c r="P560" s="6" t="str">
        <f>_xlfn.IFNA(VLOOKUP($M560,Buff.CM!$A:$O,15,FALSE),"")</f>
        <v/>
      </c>
      <c r="Q560" s="6" t="b">
        <v>0</v>
      </c>
      <c r="R560" s="6" t="b">
        <v>0</v>
      </c>
    </row>
    <row r="561" spans="1:18" s="152" customFormat="1" ht="99">
      <c r="A561" s="151" t="s">
        <v>2954</v>
      </c>
      <c r="B561" s="151"/>
      <c r="C561" s="151"/>
      <c r="D561" s="151">
        <v>100</v>
      </c>
      <c r="E561" s="151">
        <v>0</v>
      </c>
      <c r="F561" s="151">
        <v>0</v>
      </c>
      <c r="G561" s="161" t="s">
        <v>6689</v>
      </c>
      <c r="H561" s="151"/>
      <c r="I561" s="151" t="b">
        <v>1</v>
      </c>
      <c r="J561" s="151" t="b">
        <v>0</v>
      </c>
      <c r="K561" s="151" t="b">
        <v>1</v>
      </c>
      <c r="L561" s="151"/>
      <c r="M561" s="151"/>
      <c r="N561" s="151" t="str">
        <f>_xlfn.IFNA(VLOOKUP($M561,Buff.CM!$A:$O,13,FALSE),"")</f>
        <v/>
      </c>
      <c r="O561" s="151" t="str">
        <f>_xlfn.IFNA(VLOOKUP($M561,Buff.CM!$A:$O,14,FALSE),"")</f>
        <v/>
      </c>
      <c r="P561" s="151" t="str">
        <f>_xlfn.IFNA(VLOOKUP($M561,Buff.CM!$A:$O,15,FALSE),"")</f>
        <v/>
      </c>
      <c r="Q561" s="151" t="b">
        <v>0</v>
      </c>
      <c r="R561" s="151" t="b">
        <v>0</v>
      </c>
    </row>
    <row r="562" spans="1:18">
      <c r="A562" s="34" t="s">
        <v>2941</v>
      </c>
      <c r="B562" s="34"/>
      <c r="C562" s="34"/>
      <c r="D562" s="34">
        <v>0</v>
      </c>
      <c r="E562" s="34">
        <v>0</v>
      </c>
      <c r="F562" s="34">
        <v>0</v>
      </c>
      <c r="G562" s="40" t="s">
        <v>6690</v>
      </c>
      <c r="H562" s="34"/>
      <c r="I562" s="34" t="b">
        <v>0</v>
      </c>
      <c r="J562" s="23" t="b">
        <v>1</v>
      </c>
      <c r="K562" s="34" t="b">
        <v>1</v>
      </c>
      <c r="L562" s="34"/>
      <c r="M562" s="34"/>
      <c r="N562" s="34" t="str">
        <f>_xlfn.IFNA(VLOOKUP($M562,Buff.CM!$A:$O,13,FALSE),"")</f>
        <v/>
      </c>
      <c r="O562" s="34" t="str">
        <f>_xlfn.IFNA(VLOOKUP($M562,Buff.CM!$A:$O,14,FALSE),"")</f>
        <v/>
      </c>
      <c r="P562" s="34" t="str">
        <f>_xlfn.IFNA(VLOOKUP($M562,Buff.CM!$A:$O,15,FALSE),"")</f>
        <v/>
      </c>
      <c r="Q562" s="24" t="b">
        <v>0</v>
      </c>
      <c r="R562" s="34" t="b">
        <v>0</v>
      </c>
    </row>
    <row r="563" spans="1:18">
      <c r="A563" s="34" t="s">
        <v>2942</v>
      </c>
      <c r="B563" s="34"/>
      <c r="C563" s="34"/>
      <c r="D563" s="34">
        <v>0</v>
      </c>
      <c r="E563" s="34">
        <v>0</v>
      </c>
      <c r="F563" s="34">
        <v>0</v>
      </c>
      <c r="G563" s="40" t="s">
        <v>6690</v>
      </c>
      <c r="H563" s="34"/>
      <c r="I563" s="34" t="b">
        <v>0</v>
      </c>
      <c r="J563" s="23" t="b">
        <v>1</v>
      </c>
      <c r="K563" s="34" t="b">
        <v>1</v>
      </c>
      <c r="L563" s="34"/>
      <c r="M563" s="34"/>
      <c r="N563" s="34" t="str">
        <f>_xlfn.IFNA(VLOOKUP($M563,Buff.CM!$A:$O,13,FALSE),"")</f>
        <v/>
      </c>
      <c r="O563" s="34" t="str">
        <f>_xlfn.IFNA(VLOOKUP($M563,Buff.CM!$A:$O,14,FALSE),"")</f>
        <v/>
      </c>
      <c r="P563" s="34" t="str">
        <f>_xlfn.IFNA(VLOOKUP($M563,Buff.CM!$A:$O,15,FALSE),"")</f>
        <v/>
      </c>
      <c r="Q563" s="24" t="b">
        <v>0</v>
      </c>
      <c r="R563" s="34" t="b">
        <v>0</v>
      </c>
    </row>
    <row r="564" spans="1:18">
      <c r="A564" s="34" t="s">
        <v>2943</v>
      </c>
      <c r="B564" s="34"/>
      <c r="C564" s="34"/>
      <c r="D564" s="34">
        <v>0</v>
      </c>
      <c r="E564" s="34">
        <v>0</v>
      </c>
      <c r="F564" s="34">
        <v>0</v>
      </c>
      <c r="G564" s="40" t="s">
        <v>6690</v>
      </c>
      <c r="H564" s="34"/>
      <c r="I564" s="34" t="b">
        <v>0</v>
      </c>
      <c r="J564" s="23" t="b">
        <v>1</v>
      </c>
      <c r="K564" s="34" t="b">
        <v>1</v>
      </c>
      <c r="L564" s="34"/>
      <c r="M564" s="34"/>
      <c r="N564" s="34" t="str">
        <f>_xlfn.IFNA(VLOOKUP($M564,Buff.CM!$A:$O,13,FALSE),"")</f>
        <v/>
      </c>
      <c r="O564" s="34" t="str">
        <f>_xlfn.IFNA(VLOOKUP($M564,Buff.CM!$A:$O,14,FALSE),"")</f>
        <v/>
      </c>
      <c r="P564" s="34" t="str">
        <f>_xlfn.IFNA(VLOOKUP($M564,Buff.CM!$A:$O,15,FALSE),"")</f>
        <v/>
      </c>
      <c r="Q564" s="24" t="b">
        <v>0</v>
      </c>
      <c r="R564" s="34" t="b">
        <v>0</v>
      </c>
    </row>
    <row r="565" spans="1:18">
      <c r="A565" s="34" t="s">
        <v>2944</v>
      </c>
      <c r="B565" s="34"/>
      <c r="C565" s="34"/>
      <c r="D565" s="34">
        <v>0</v>
      </c>
      <c r="E565" s="34">
        <v>0</v>
      </c>
      <c r="F565" s="34">
        <v>0</v>
      </c>
      <c r="G565" s="40" t="s">
        <v>6690</v>
      </c>
      <c r="H565" s="34"/>
      <c r="I565" s="34" t="b">
        <v>0</v>
      </c>
      <c r="J565" s="23" t="b">
        <v>1</v>
      </c>
      <c r="K565" s="34" t="b">
        <v>1</v>
      </c>
      <c r="L565" s="34"/>
      <c r="M565" s="34"/>
      <c r="N565" s="34" t="str">
        <f>_xlfn.IFNA(VLOOKUP($M565,Buff.CM!$A:$O,13,FALSE),"")</f>
        <v/>
      </c>
      <c r="O565" s="34" t="str">
        <f>_xlfn.IFNA(VLOOKUP($M565,Buff.CM!$A:$O,14,FALSE),"")</f>
        <v/>
      </c>
      <c r="P565" s="34" t="str">
        <f>_xlfn.IFNA(VLOOKUP($M565,Buff.CM!$A:$O,15,FALSE),"")</f>
        <v/>
      </c>
      <c r="Q565" s="24" t="b">
        <v>0</v>
      </c>
      <c r="R565" s="34" t="b">
        <v>0</v>
      </c>
    </row>
    <row r="566" spans="1:18">
      <c r="A566" s="34" t="s">
        <v>2945</v>
      </c>
      <c r="B566" s="34"/>
      <c r="C566" s="34"/>
      <c r="D566" s="34">
        <v>0</v>
      </c>
      <c r="E566" s="34">
        <v>0</v>
      </c>
      <c r="F566" s="34">
        <v>0</v>
      </c>
      <c r="G566" s="40" t="s">
        <v>6690</v>
      </c>
      <c r="H566" s="34"/>
      <c r="I566" s="34" t="b">
        <v>0</v>
      </c>
      <c r="J566" s="23" t="b">
        <v>1</v>
      </c>
      <c r="K566" s="34" t="b">
        <v>1</v>
      </c>
      <c r="L566" s="34"/>
      <c r="M566" s="34"/>
      <c r="N566" s="34" t="str">
        <f>_xlfn.IFNA(VLOOKUP($M566,Buff.CM!$A:$O,13,FALSE),"")</f>
        <v/>
      </c>
      <c r="O566" s="34" t="str">
        <f>_xlfn.IFNA(VLOOKUP($M566,Buff.CM!$A:$O,14,FALSE),"")</f>
        <v/>
      </c>
      <c r="P566" s="34" t="str">
        <f>_xlfn.IFNA(VLOOKUP($M566,Buff.CM!$A:$O,15,FALSE),"")</f>
        <v/>
      </c>
      <c r="Q566" s="24" t="b">
        <v>0</v>
      </c>
      <c r="R566" s="34" t="b">
        <v>0</v>
      </c>
    </row>
    <row r="567" spans="1:18">
      <c r="A567" s="34" t="s">
        <v>2946</v>
      </c>
      <c r="B567" s="34"/>
      <c r="C567" s="34"/>
      <c r="D567" s="34">
        <v>0</v>
      </c>
      <c r="E567" s="34">
        <v>0</v>
      </c>
      <c r="F567" s="34">
        <v>0</v>
      </c>
      <c r="G567" s="40" t="s">
        <v>6690</v>
      </c>
      <c r="H567" s="34"/>
      <c r="I567" s="34" t="b">
        <v>0</v>
      </c>
      <c r="J567" s="23" t="b">
        <v>1</v>
      </c>
      <c r="K567" s="34" t="b">
        <v>1</v>
      </c>
      <c r="L567" s="34"/>
      <c r="M567" s="34"/>
      <c r="N567" s="34" t="str">
        <f>_xlfn.IFNA(VLOOKUP($M567,Buff.CM!$A:$O,13,FALSE),"")</f>
        <v/>
      </c>
      <c r="O567" s="34" t="str">
        <f>_xlfn.IFNA(VLOOKUP($M567,Buff.CM!$A:$O,14,FALSE),"")</f>
        <v/>
      </c>
      <c r="P567" s="34" t="str">
        <f>_xlfn.IFNA(VLOOKUP($M567,Buff.CM!$A:$O,15,FALSE),"")</f>
        <v/>
      </c>
      <c r="Q567" s="24" t="b">
        <v>0</v>
      </c>
      <c r="R567" s="34" t="b">
        <v>0</v>
      </c>
    </row>
    <row r="568" spans="1:18">
      <c r="A568" s="173" t="s">
        <v>6691</v>
      </c>
      <c r="B568" s="14"/>
      <c r="C568" s="14"/>
      <c r="D568" s="14">
        <v>3000</v>
      </c>
      <c r="E568" s="14">
        <v>0</v>
      </c>
      <c r="F568" s="14">
        <v>0</v>
      </c>
      <c r="G568" s="14" t="s">
        <v>6692</v>
      </c>
      <c r="H568" s="14"/>
      <c r="I568" s="34" t="b">
        <v>0</v>
      </c>
      <c r="J568" s="14" t="b">
        <v>0</v>
      </c>
      <c r="K568" s="14" t="b">
        <v>1</v>
      </c>
      <c r="L568" s="14" t="s">
        <v>317</v>
      </c>
      <c r="M568" s="14" t="s">
        <v>5461</v>
      </c>
      <c r="N568" s="14" t="str">
        <f>_xlfn.IFNA(VLOOKUP($M568,Buff.CM!$A:$O,13,FALSE),"")</f>
        <v>icon_battle_shield</v>
      </c>
      <c r="O568" s="14" t="str">
        <f>_xlfn.IFNA(VLOOKUP($M568,Buff.CM!$A:$O,14,FALSE),"")</f>
        <v>Buff.Name.Shield</v>
      </c>
      <c r="P568" s="14" t="str">
        <f>_xlfn.IFNA(VLOOKUP($M568,Buff.CM!$A:$O,15,FALSE),"")</f>
        <v>Buff.Desc.Shield</v>
      </c>
      <c r="Q568" s="14" t="b">
        <v>0</v>
      </c>
      <c r="R568" s="14" t="b">
        <v>0</v>
      </c>
    </row>
    <row r="569" spans="1:18">
      <c r="A569" s="173" t="s">
        <v>5892</v>
      </c>
      <c r="B569" s="14"/>
      <c r="C569" s="14"/>
      <c r="D569" s="14">
        <v>3000</v>
      </c>
      <c r="E569" s="14">
        <v>0</v>
      </c>
      <c r="F569" s="14">
        <v>0</v>
      </c>
      <c r="G569" s="14" t="s">
        <v>5897</v>
      </c>
      <c r="H569" s="14"/>
      <c r="I569" s="34" t="b">
        <v>0</v>
      </c>
      <c r="J569" s="14" t="b">
        <v>0</v>
      </c>
      <c r="K569" s="14" t="b">
        <v>1</v>
      </c>
      <c r="L569" s="14" t="s">
        <v>317</v>
      </c>
      <c r="M569" s="14" t="s">
        <v>5461</v>
      </c>
      <c r="N569" s="14" t="str">
        <f>_xlfn.IFNA(VLOOKUP($M569,Buff.CM!$A:$O,13,FALSE),"")</f>
        <v>icon_battle_shield</v>
      </c>
      <c r="O569" s="14" t="str">
        <f>_xlfn.IFNA(VLOOKUP($M569,Buff.CM!$A:$O,14,FALSE),"")</f>
        <v>Buff.Name.Shield</v>
      </c>
      <c r="P569" s="14" t="str">
        <f>_xlfn.IFNA(VLOOKUP($M569,Buff.CM!$A:$O,15,FALSE),"")</f>
        <v>Buff.Desc.Shield</v>
      </c>
      <c r="Q569" s="14" t="b">
        <v>0</v>
      </c>
      <c r="R569" s="14" t="b">
        <v>0</v>
      </c>
    </row>
    <row r="570" spans="1:18">
      <c r="A570" s="173" t="s">
        <v>5893</v>
      </c>
      <c r="B570" s="14"/>
      <c r="C570" s="14"/>
      <c r="D570" s="14">
        <v>3000</v>
      </c>
      <c r="E570" s="14">
        <v>0</v>
      </c>
      <c r="F570" s="14">
        <v>0</v>
      </c>
      <c r="G570" s="14" t="s">
        <v>5898</v>
      </c>
      <c r="H570" s="14"/>
      <c r="I570" s="34" t="b">
        <v>0</v>
      </c>
      <c r="J570" s="14" t="b">
        <v>0</v>
      </c>
      <c r="K570" s="14" t="b">
        <v>1</v>
      </c>
      <c r="L570" s="14" t="s">
        <v>317</v>
      </c>
      <c r="M570" s="14" t="s">
        <v>5461</v>
      </c>
      <c r="N570" s="14" t="str">
        <f>_xlfn.IFNA(VLOOKUP($M570,Buff.CM!$A:$O,13,FALSE),"")</f>
        <v>icon_battle_shield</v>
      </c>
      <c r="O570" s="14" t="str">
        <f>_xlfn.IFNA(VLOOKUP($M570,Buff.CM!$A:$O,14,FALSE),"")</f>
        <v>Buff.Name.Shield</v>
      </c>
      <c r="P570" s="14" t="str">
        <f>_xlfn.IFNA(VLOOKUP($M570,Buff.CM!$A:$O,15,FALSE),"")</f>
        <v>Buff.Desc.Shield</v>
      </c>
      <c r="Q570" s="14" t="b">
        <v>0</v>
      </c>
      <c r="R570" s="14" t="b">
        <v>0</v>
      </c>
    </row>
    <row r="571" spans="1:18">
      <c r="A571" s="173" t="s">
        <v>5894</v>
      </c>
      <c r="B571" s="14"/>
      <c r="C571" s="14"/>
      <c r="D571" s="14">
        <v>3000</v>
      </c>
      <c r="E571" s="14">
        <v>0</v>
      </c>
      <c r="F571" s="14">
        <v>0</v>
      </c>
      <c r="G571" s="14" t="s">
        <v>5899</v>
      </c>
      <c r="H571" s="14"/>
      <c r="I571" s="34" t="b">
        <v>0</v>
      </c>
      <c r="J571" s="14" t="b">
        <v>0</v>
      </c>
      <c r="K571" s="14" t="b">
        <v>1</v>
      </c>
      <c r="L571" s="14" t="s">
        <v>317</v>
      </c>
      <c r="M571" s="14" t="s">
        <v>5461</v>
      </c>
      <c r="N571" s="14" t="str">
        <f>_xlfn.IFNA(VLOOKUP($M571,Buff.CM!$A:$O,13,FALSE),"")</f>
        <v>icon_battle_shield</v>
      </c>
      <c r="O571" s="14" t="str">
        <f>_xlfn.IFNA(VLOOKUP($M571,Buff.CM!$A:$O,14,FALSE),"")</f>
        <v>Buff.Name.Shield</v>
      </c>
      <c r="P571" s="14" t="str">
        <f>_xlfn.IFNA(VLOOKUP($M571,Buff.CM!$A:$O,15,FALSE),"")</f>
        <v>Buff.Desc.Shield</v>
      </c>
      <c r="Q571" s="14" t="b">
        <v>0</v>
      </c>
      <c r="R571" s="14" t="b">
        <v>0</v>
      </c>
    </row>
    <row r="572" spans="1:18">
      <c r="A572" s="173" t="s">
        <v>5895</v>
      </c>
      <c r="B572" s="14"/>
      <c r="C572" s="14"/>
      <c r="D572" s="14">
        <v>3000</v>
      </c>
      <c r="E572" s="14">
        <v>0</v>
      </c>
      <c r="F572" s="14">
        <v>0</v>
      </c>
      <c r="G572" s="14" t="s">
        <v>5900</v>
      </c>
      <c r="H572" s="14"/>
      <c r="I572" s="34" t="b">
        <v>0</v>
      </c>
      <c r="J572" s="14" t="b">
        <v>0</v>
      </c>
      <c r="K572" s="14" t="b">
        <v>1</v>
      </c>
      <c r="L572" s="14" t="s">
        <v>317</v>
      </c>
      <c r="M572" s="14" t="s">
        <v>5461</v>
      </c>
      <c r="N572" s="14" t="str">
        <f>_xlfn.IFNA(VLOOKUP($M572,Buff.CM!$A:$O,13,FALSE),"")</f>
        <v>icon_battle_shield</v>
      </c>
      <c r="O572" s="14" t="str">
        <f>_xlfn.IFNA(VLOOKUP($M572,Buff.CM!$A:$O,14,FALSE),"")</f>
        <v>Buff.Name.Shield</v>
      </c>
      <c r="P572" s="14" t="str">
        <f>_xlfn.IFNA(VLOOKUP($M572,Buff.CM!$A:$O,15,FALSE),"")</f>
        <v>Buff.Desc.Shield</v>
      </c>
      <c r="Q572" s="14" t="b">
        <v>0</v>
      </c>
      <c r="R572" s="14" t="b">
        <v>0</v>
      </c>
    </row>
    <row r="573" spans="1:18">
      <c r="A573" s="173" t="s">
        <v>5896</v>
      </c>
      <c r="B573" s="14"/>
      <c r="C573" s="14"/>
      <c r="D573" s="14">
        <v>3000</v>
      </c>
      <c r="E573" s="14">
        <v>0</v>
      </c>
      <c r="F573" s="14">
        <v>0</v>
      </c>
      <c r="G573" s="14" t="s">
        <v>5901</v>
      </c>
      <c r="H573" s="14"/>
      <c r="I573" s="34" t="b">
        <v>0</v>
      </c>
      <c r="J573" s="14" t="b">
        <v>0</v>
      </c>
      <c r="K573" s="14" t="b">
        <v>1</v>
      </c>
      <c r="L573" s="14" t="s">
        <v>317</v>
      </c>
      <c r="M573" s="14" t="s">
        <v>5461</v>
      </c>
      <c r="N573" s="14" t="str">
        <f>_xlfn.IFNA(VLOOKUP($M573,Buff.CM!$A:$O,13,FALSE),"")</f>
        <v>icon_battle_shield</v>
      </c>
      <c r="O573" s="14" t="str">
        <f>_xlfn.IFNA(VLOOKUP($M573,Buff.CM!$A:$O,14,FALSE),"")</f>
        <v>Buff.Name.Shield</v>
      </c>
      <c r="P573" s="14" t="str">
        <f>_xlfn.IFNA(VLOOKUP($M573,Buff.CM!$A:$O,15,FALSE),"")</f>
        <v>Buff.Desc.Shield</v>
      </c>
      <c r="Q573" s="14" t="b">
        <v>0</v>
      </c>
      <c r="R573" s="14" t="b">
        <v>0</v>
      </c>
    </row>
    <row r="574" spans="1:18">
      <c r="A574" s="24" t="s">
        <v>6693</v>
      </c>
      <c r="B574" s="24"/>
      <c r="C574" s="24"/>
      <c r="D574" s="24">
        <v>8000</v>
      </c>
      <c r="E574" s="24">
        <v>0</v>
      </c>
      <c r="F574" s="24">
        <v>0</v>
      </c>
      <c r="G574" s="24" t="s">
        <v>3448</v>
      </c>
      <c r="H574" s="24"/>
      <c r="I574" s="24" t="b">
        <v>0</v>
      </c>
      <c r="J574" s="14" t="b">
        <v>0</v>
      </c>
      <c r="K574" s="24" t="b">
        <v>0</v>
      </c>
      <c r="L574" s="24" t="s">
        <v>529</v>
      </c>
      <c r="M574" s="24" t="s">
        <v>5691</v>
      </c>
      <c r="N574" s="24" t="str">
        <f>_xlfn.IFNA(VLOOKUP($M574,Buff.CM!$A:$O,13,FALSE),"")</f>
        <v>icon_battle_arcels_burn</v>
      </c>
      <c r="O574" s="24" t="str">
        <f>_xlfn.IFNA(VLOOKUP($M574,Buff.CM!$A:$O,14,FALSE),"")</f>
        <v>info.arcels.debuff.burn</v>
      </c>
      <c r="P574" s="24" t="str">
        <f>_xlfn.IFNA(VLOOKUP($M574,Buff.CM!$A:$O,15,FALSE),"")</f>
        <v>Desc.info.arcels.debuff.burn</v>
      </c>
      <c r="Q574" s="24" t="b">
        <v>0</v>
      </c>
      <c r="R574" s="24" t="b">
        <v>0</v>
      </c>
    </row>
    <row r="575" spans="1:18">
      <c r="A575" s="24" t="s">
        <v>3442</v>
      </c>
      <c r="B575" s="24"/>
      <c r="C575" s="24"/>
      <c r="D575" s="24">
        <v>8000</v>
      </c>
      <c r="E575" s="24">
        <v>0</v>
      </c>
      <c r="F575" s="24">
        <v>0</v>
      </c>
      <c r="G575" s="24" t="s">
        <v>3449</v>
      </c>
      <c r="H575" s="24"/>
      <c r="I575" s="24" t="b">
        <v>0</v>
      </c>
      <c r="J575" s="14" t="b">
        <v>0</v>
      </c>
      <c r="K575" s="24" t="b">
        <v>0</v>
      </c>
      <c r="L575" s="24" t="s">
        <v>529</v>
      </c>
      <c r="M575" s="24" t="s">
        <v>5691</v>
      </c>
      <c r="N575" s="24" t="str">
        <f>_xlfn.IFNA(VLOOKUP($M575,Buff.CM!$A:$O,13,FALSE),"")</f>
        <v>icon_battle_arcels_burn</v>
      </c>
      <c r="O575" s="24" t="str">
        <f>_xlfn.IFNA(VLOOKUP($M575,Buff.CM!$A:$O,14,FALSE),"")</f>
        <v>info.arcels.debuff.burn</v>
      </c>
      <c r="P575" s="24" t="str">
        <f>_xlfn.IFNA(VLOOKUP($M575,Buff.CM!$A:$O,15,FALSE),"")</f>
        <v>Desc.info.arcels.debuff.burn</v>
      </c>
      <c r="Q575" s="24" t="b">
        <v>0</v>
      </c>
      <c r="R575" s="24" t="b">
        <v>0</v>
      </c>
    </row>
    <row r="576" spans="1:18">
      <c r="A576" s="24" t="s">
        <v>3443</v>
      </c>
      <c r="B576" s="24"/>
      <c r="C576" s="24"/>
      <c r="D576" s="24">
        <v>8000</v>
      </c>
      <c r="E576" s="24">
        <v>0</v>
      </c>
      <c r="F576" s="24">
        <v>0</v>
      </c>
      <c r="G576" s="24" t="s">
        <v>3450</v>
      </c>
      <c r="H576" s="24"/>
      <c r="I576" s="24" t="b">
        <v>0</v>
      </c>
      <c r="J576" s="14" t="b">
        <v>0</v>
      </c>
      <c r="K576" s="24" t="b">
        <v>0</v>
      </c>
      <c r="L576" s="24" t="s">
        <v>529</v>
      </c>
      <c r="M576" s="24" t="s">
        <v>5691</v>
      </c>
      <c r="N576" s="24" t="str">
        <f>_xlfn.IFNA(VLOOKUP($M576,Buff.CM!$A:$O,13,FALSE),"")</f>
        <v>icon_battle_arcels_burn</v>
      </c>
      <c r="O576" s="24" t="str">
        <f>_xlfn.IFNA(VLOOKUP($M576,Buff.CM!$A:$O,14,FALSE),"")</f>
        <v>info.arcels.debuff.burn</v>
      </c>
      <c r="P576" s="24" t="str">
        <f>_xlfn.IFNA(VLOOKUP($M576,Buff.CM!$A:$O,15,FALSE),"")</f>
        <v>Desc.info.arcels.debuff.burn</v>
      </c>
      <c r="Q576" s="24" t="b">
        <v>0</v>
      </c>
      <c r="R576" s="24" t="b">
        <v>0</v>
      </c>
    </row>
    <row r="577" spans="1:18">
      <c r="A577" s="34" t="s">
        <v>3444</v>
      </c>
      <c r="B577" s="34"/>
      <c r="C577" s="34"/>
      <c r="D577" s="34">
        <v>8000</v>
      </c>
      <c r="E577" s="34">
        <v>0</v>
      </c>
      <c r="F577" s="34">
        <v>0</v>
      </c>
      <c r="G577" s="34" t="s">
        <v>3451</v>
      </c>
      <c r="H577" s="34"/>
      <c r="I577" s="34" t="b">
        <v>0</v>
      </c>
      <c r="J577" s="14" t="b">
        <v>0</v>
      </c>
      <c r="K577" s="34" t="b">
        <v>0</v>
      </c>
      <c r="L577" s="34" t="s">
        <v>529</v>
      </c>
      <c r="M577" s="34" t="s">
        <v>5691</v>
      </c>
      <c r="N577" s="34" t="str">
        <f>_xlfn.IFNA(VLOOKUP($M577,Buff.CM!$A:$O,13,FALSE),"")</f>
        <v>icon_battle_arcels_burn</v>
      </c>
      <c r="O577" s="34" t="str">
        <f>_xlfn.IFNA(VLOOKUP($M577,Buff.CM!$A:$O,14,FALSE),"")</f>
        <v>info.arcels.debuff.burn</v>
      </c>
      <c r="P577" s="34" t="str">
        <f>_xlfn.IFNA(VLOOKUP($M577,Buff.CM!$A:$O,15,FALSE),"")</f>
        <v>Desc.info.arcels.debuff.burn</v>
      </c>
      <c r="Q577" s="34" t="b">
        <v>0</v>
      </c>
      <c r="R577" s="34" t="b">
        <v>0</v>
      </c>
    </row>
    <row r="578" spans="1:18">
      <c r="A578" s="34" t="s">
        <v>3445</v>
      </c>
      <c r="B578" s="34"/>
      <c r="C578" s="34"/>
      <c r="D578" s="34">
        <v>8000</v>
      </c>
      <c r="E578" s="34">
        <v>0</v>
      </c>
      <c r="F578" s="34">
        <v>0</v>
      </c>
      <c r="G578" s="34" t="s">
        <v>3452</v>
      </c>
      <c r="H578" s="34"/>
      <c r="I578" s="34" t="b">
        <v>0</v>
      </c>
      <c r="J578" s="14" t="b">
        <v>0</v>
      </c>
      <c r="K578" s="34" t="b">
        <v>0</v>
      </c>
      <c r="L578" s="34" t="s">
        <v>529</v>
      </c>
      <c r="M578" s="34" t="s">
        <v>5691</v>
      </c>
      <c r="N578" s="34" t="str">
        <f>_xlfn.IFNA(VLOOKUP($M578,Buff.CM!$A:$O,13,FALSE),"")</f>
        <v>icon_battle_arcels_burn</v>
      </c>
      <c r="O578" s="34" t="str">
        <f>_xlfn.IFNA(VLOOKUP($M578,Buff.CM!$A:$O,14,FALSE),"")</f>
        <v>info.arcels.debuff.burn</v>
      </c>
      <c r="P578" s="34" t="str">
        <f>_xlfn.IFNA(VLOOKUP($M578,Buff.CM!$A:$O,15,FALSE),"")</f>
        <v>Desc.info.arcels.debuff.burn</v>
      </c>
      <c r="Q578" s="34" t="b">
        <v>0</v>
      </c>
      <c r="R578" s="34" t="b">
        <v>0</v>
      </c>
    </row>
    <row r="579" spans="1:18">
      <c r="A579" s="34" t="s">
        <v>3446</v>
      </c>
      <c r="B579" s="34"/>
      <c r="C579" s="34"/>
      <c r="D579" s="34">
        <v>8000</v>
      </c>
      <c r="E579" s="34">
        <v>0</v>
      </c>
      <c r="F579" s="34">
        <v>0</v>
      </c>
      <c r="G579" s="34" t="s">
        <v>3453</v>
      </c>
      <c r="H579" s="34"/>
      <c r="I579" s="34" t="b">
        <v>0</v>
      </c>
      <c r="J579" s="14" t="b">
        <v>0</v>
      </c>
      <c r="K579" s="34" t="b">
        <v>0</v>
      </c>
      <c r="L579" s="34" t="s">
        <v>529</v>
      </c>
      <c r="M579" s="34" t="s">
        <v>5691</v>
      </c>
      <c r="N579" s="34" t="str">
        <f>_xlfn.IFNA(VLOOKUP($M579,Buff.CM!$A:$O,13,FALSE),"")</f>
        <v>icon_battle_arcels_burn</v>
      </c>
      <c r="O579" s="34" t="str">
        <f>_xlfn.IFNA(VLOOKUP($M579,Buff.CM!$A:$O,14,FALSE),"")</f>
        <v>info.arcels.debuff.burn</v>
      </c>
      <c r="P579" s="34" t="str">
        <f>_xlfn.IFNA(VLOOKUP($M579,Buff.CM!$A:$O,15,FALSE),"")</f>
        <v>Desc.info.arcels.debuff.burn</v>
      </c>
      <c r="Q579" s="34" t="b">
        <v>0</v>
      </c>
      <c r="R579" s="34" t="b">
        <v>0</v>
      </c>
    </row>
    <row r="580" spans="1:18">
      <c r="A580" s="34" t="s">
        <v>3447</v>
      </c>
      <c r="B580" s="34"/>
      <c r="C580" s="34"/>
      <c r="D580" s="34">
        <v>8000</v>
      </c>
      <c r="E580" s="34">
        <v>0</v>
      </c>
      <c r="F580" s="34">
        <v>0</v>
      </c>
      <c r="G580" s="34" t="s">
        <v>3454</v>
      </c>
      <c r="H580" s="34"/>
      <c r="I580" s="34" t="b">
        <v>0</v>
      </c>
      <c r="J580" s="14" t="b">
        <v>0</v>
      </c>
      <c r="K580" s="34" t="b">
        <v>0</v>
      </c>
      <c r="L580" s="34" t="s">
        <v>529</v>
      </c>
      <c r="M580" s="34" t="s">
        <v>5691</v>
      </c>
      <c r="N580" s="34" t="str">
        <f>_xlfn.IFNA(VLOOKUP($M580,Buff.CM!$A:$O,13,FALSE),"")</f>
        <v>icon_battle_arcels_burn</v>
      </c>
      <c r="O580" s="34" t="str">
        <f>_xlfn.IFNA(VLOOKUP($M580,Buff.CM!$A:$O,14,FALSE),"")</f>
        <v>info.arcels.debuff.burn</v>
      </c>
      <c r="P580" s="34" t="str">
        <f>_xlfn.IFNA(VLOOKUP($M580,Buff.CM!$A:$O,15,FALSE),"")</f>
        <v>Desc.info.arcels.debuff.burn</v>
      </c>
      <c r="Q580" s="34" t="b">
        <v>0</v>
      </c>
      <c r="R580" s="34" t="b">
        <v>0</v>
      </c>
    </row>
    <row r="581" spans="1:18">
      <c r="A581" s="23" t="s">
        <v>2187</v>
      </c>
      <c r="B581" s="23"/>
      <c r="C581" s="23"/>
      <c r="D581" s="23">
        <v>6000</v>
      </c>
      <c r="E581" s="23">
        <v>0</v>
      </c>
      <c r="F581" s="23">
        <v>0</v>
      </c>
      <c r="G581" s="23" t="s">
        <v>4748</v>
      </c>
      <c r="H581" s="23"/>
      <c r="I581" s="23" t="b">
        <v>0</v>
      </c>
      <c r="J581" s="23" t="b">
        <v>0</v>
      </c>
      <c r="K581" s="23" t="b">
        <v>1</v>
      </c>
      <c r="L581" s="23" t="s">
        <v>66</v>
      </c>
      <c r="M581" s="23" t="s">
        <v>5543</v>
      </c>
      <c r="N581" s="23" t="str">
        <f>_xlfn.IFNA(VLOOKUP($M581,Buff.CM!$A:$O,13,FALSE),"")</f>
        <v>icon_battle_attack</v>
      </c>
      <c r="O581" s="23" t="str">
        <f>_xlfn.IFNA(VLOOKUP($M581,Buff.CM!$A:$O,14,FALSE),"")</f>
        <v>Buff.Name.Atk.Up.00</v>
      </c>
      <c r="P581" s="23" t="str">
        <f>_xlfn.IFNA(VLOOKUP($M581,Buff.CM!$A:$O,15,FALSE),"")</f>
        <v>Buff.Desc.Atk.Up.00</v>
      </c>
      <c r="Q581" s="23" t="b">
        <v>0</v>
      </c>
      <c r="R581" s="23" t="b">
        <v>0</v>
      </c>
    </row>
    <row r="582" spans="1:18">
      <c r="A582" s="23" t="s">
        <v>2188</v>
      </c>
      <c r="B582" s="23"/>
      <c r="C582" s="23"/>
      <c r="D582" s="23">
        <v>6000</v>
      </c>
      <c r="E582" s="23">
        <v>0</v>
      </c>
      <c r="F582" s="23">
        <v>0</v>
      </c>
      <c r="G582" s="23" t="s">
        <v>4749</v>
      </c>
      <c r="H582" s="23"/>
      <c r="I582" s="23" t="b">
        <v>0</v>
      </c>
      <c r="J582" s="23" t="b">
        <v>0</v>
      </c>
      <c r="K582" s="23" t="b">
        <v>1</v>
      </c>
      <c r="L582" s="23" t="s">
        <v>66</v>
      </c>
      <c r="M582" s="23" t="s">
        <v>5543</v>
      </c>
      <c r="N582" s="23" t="str">
        <f>_xlfn.IFNA(VLOOKUP($M582,Buff.CM!$A:$O,13,FALSE),"")</f>
        <v>icon_battle_attack</v>
      </c>
      <c r="O582" s="23" t="str">
        <f>_xlfn.IFNA(VLOOKUP($M582,Buff.CM!$A:$O,14,FALSE),"")</f>
        <v>Buff.Name.Atk.Up.00</v>
      </c>
      <c r="P582" s="23" t="str">
        <f>_xlfn.IFNA(VLOOKUP($M582,Buff.CM!$A:$O,15,FALSE),"")</f>
        <v>Buff.Desc.Atk.Up.00</v>
      </c>
      <c r="Q582" s="23" t="b">
        <v>0</v>
      </c>
      <c r="R582" s="23" t="b">
        <v>0</v>
      </c>
    </row>
    <row r="583" spans="1:18">
      <c r="A583" s="23" t="s">
        <v>2189</v>
      </c>
      <c r="B583" s="23"/>
      <c r="C583" s="23"/>
      <c r="D583" s="23">
        <v>6000</v>
      </c>
      <c r="E583" s="23">
        <v>0</v>
      </c>
      <c r="F583" s="23">
        <v>0</v>
      </c>
      <c r="G583" s="23" t="s">
        <v>4750</v>
      </c>
      <c r="H583" s="23"/>
      <c r="I583" s="23" t="b">
        <v>0</v>
      </c>
      <c r="J583" s="23" t="b">
        <v>0</v>
      </c>
      <c r="K583" s="23" t="b">
        <v>1</v>
      </c>
      <c r="L583" s="23" t="s">
        <v>66</v>
      </c>
      <c r="M583" s="23" t="s">
        <v>5543</v>
      </c>
      <c r="N583" s="23" t="str">
        <f>_xlfn.IFNA(VLOOKUP($M583,Buff.CM!$A:$O,13,FALSE),"")</f>
        <v>icon_battle_attack</v>
      </c>
      <c r="O583" s="23" t="str">
        <f>_xlfn.IFNA(VLOOKUP($M583,Buff.CM!$A:$O,14,FALSE),"")</f>
        <v>Buff.Name.Atk.Up.00</v>
      </c>
      <c r="P583" s="23" t="str">
        <f>_xlfn.IFNA(VLOOKUP($M583,Buff.CM!$A:$O,15,FALSE),"")</f>
        <v>Buff.Desc.Atk.Up.00</v>
      </c>
      <c r="Q583" s="23" t="b">
        <v>0</v>
      </c>
      <c r="R583" s="23" t="b">
        <v>0</v>
      </c>
    </row>
    <row r="584" spans="1:18">
      <c r="A584" s="34" t="s">
        <v>2190</v>
      </c>
      <c r="B584" s="34"/>
      <c r="C584" s="34"/>
      <c r="D584" s="34">
        <v>6000</v>
      </c>
      <c r="E584" s="34">
        <v>0</v>
      </c>
      <c r="F584" s="34">
        <v>0</v>
      </c>
      <c r="G584" s="34" t="s">
        <v>4751</v>
      </c>
      <c r="H584" s="34"/>
      <c r="I584" s="34" t="b">
        <v>0</v>
      </c>
      <c r="J584" s="34" t="b">
        <v>0</v>
      </c>
      <c r="K584" s="34" t="b">
        <v>1</v>
      </c>
      <c r="L584" s="34" t="s">
        <v>66</v>
      </c>
      <c r="M584" s="34" t="s">
        <v>5543</v>
      </c>
      <c r="N584" s="34" t="str">
        <f>_xlfn.IFNA(VLOOKUP($M584,Buff.CM!$A:$O,13,FALSE),"")</f>
        <v>icon_battle_attack</v>
      </c>
      <c r="O584" s="34" t="str">
        <f>_xlfn.IFNA(VLOOKUP($M584,Buff.CM!$A:$O,14,FALSE),"")</f>
        <v>Buff.Name.Atk.Up.00</v>
      </c>
      <c r="P584" s="34" t="str">
        <f>_xlfn.IFNA(VLOOKUP($M584,Buff.CM!$A:$O,15,FALSE),"")</f>
        <v>Buff.Desc.Atk.Up.00</v>
      </c>
      <c r="Q584" s="34" t="b">
        <v>0</v>
      </c>
      <c r="R584" s="34" t="b">
        <v>0</v>
      </c>
    </row>
    <row r="585" spans="1:18">
      <c r="A585" s="34" t="s">
        <v>2572</v>
      </c>
      <c r="B585" s="34"/>
      <c r="C585" s="34"/>
      <c r="D585" s="34">
        <v>7000</v>
      </c>
      <c r="E585" s="34">
        <v>0</v>
      </c>
      <c r="F585" s="34">
        <v>0</v>
      </c>
      <c r="G585" s="34" t="s">
        <v>4752</v>
      </c>
      <c r="H585" s="34"/>
      <c r="I585" s="34" t="b">
        <v>0</v>
      </c>
      <c r="J585" s="34" t="b">
        <v>0</v>
      </c>
      <c r="K585" s="34" t="b">
        <v>1</v>
      </c>
      <c r="L585" s="34" t="s">
        <v>66</v>
      </c>
      <c r="M585" s="34" t="s">
        <v>5543</v>
      </c>
      <c r="N585" s="34" t="str">
        <f>_xlfn.IFNA(VLOOKUP($M585,Buff.CM!$A:$O,13,FALSE),"")</f>
        <v>icon_battle_attack</v>
      </c>
      <c r="O585" s="34" t="str">
        <f>_xlfn.IFNA(VLOOKUP($M585,Buff.CM!$A:$O,14,FALSE),"")</f>
        <v>Buff.Name.Atk.Up.00</v>
      </c>
      <c r="P585" s="34" t="str">
        <f>_xlfn.IFNA(VLOOKUP($M585,Buff.CM!$A:$O,15,FALSE),"")</f>
        <v>Buff.Desc.Atk.Up.00</v>
      </c>
      <c r="Q585" s="34" t="b">
        <v>0</v>
      </c>
      <c r="R585" s="34" t="b">
        <v>0</v>
      </c>
    </row>
    <row r="586" spans="1:18">
      <c r="A586" s="34" t="s">
        <v>2573</v>
      </c>
      <c r="B586" s="34"/>
      <c r="C586" s="34"/>
      <c r="D586" s="34">
        <v>7000</v>
      </c>
      <c r="E586" s="34">
        <v>0</v>
      </c>
      <c r="F586" s="34">
        <v>0</v>
      </c>
      <c r="G586" s="34" t="s">
        <v>4753</v>
      </c>
      <c r="H586" s="34"/>
      <c r="I586" s="34" t="b">
        <v>0</v>
      </c>
      <c r="J586" s="34" t="b">
        <v>0</v>
      </c>
      <c r="K586" s="34" t="b">
        <v>1</v>
      </c>
      <c r="L586" s="34" t="s">
        <v>66</v>
      </c>
      <c r="M586" s="34" t="s">
        <v>5543</v>
      </c>
      <c r="N586" s="34" t="str">
        <f>_xlfn.IFNA(VLOOKUP($M586,Buff.CM!$A:$O,13,FALSE),"")</f>
        <v>icon_battle_attack</v>
      </c>
      <c r="O586" s="34" t="str">
        <f>_xlfn.IFNA(VLOOKUP($M586,Buff.CM!$A:$O,14,FALSE),"")</f>
        <v>Buff.Name.Atk.Up.00</v>
      </c>
      <c r="P586" s="34" t="str">
        <f>_xlfn.IFNA(VLOOKUP($M586,Buff.CM!$A:$O,15,FALSE),"")</f>
        <v>Buff.Desc.Atk.Up.00</v>
      </c>
      <c r="Q586" s="34" t="b">
        <v>0</v>
      </c>
      <c r="R586" s="34" t="b">
        <v>0</v>
      </c>
    </row>
    <row r="587" spans="1:18">
      <c r="A587" s="24" t="s">
        <v>6694</v>
      </c>
      <c r="B587" s="24"/>
      <c r="C587" s="24"/>
      <c r="D587" s="24">
        <v>6000</v>
      </c>
      <c r="E587" s="24">
        <v>0</v>
      </c>
      <c r="F587" s="24">
        <v>0</v>
      </c>
      <c r="G587" s="24" t="s">
        <v>4754</v>
      </c>
      <c r="H587" s="24"/>
      <c r="I587" s="24" t="b">
        <v>0</v>
      </c>
      <c r="J587" s="24" t="b">
        <v>0</v>
      </c>
      <c r="K587" s="24" t="b">
        <v>0</v>
      </c>
      <c r="L587" s="24" t="s">
        <v>175</v>
      </c>
      <c r="M587" s="24" t="s">
        <v>5573</v>
      </c>
      <c r="N587" s="24" t="str">
        <f>_xlfn.IFNA(VLOOKUP($M587,Buff.CM!$A:$O,13,FALSE),"")</f>
        <v>icon_battle_attack</v>
      </c>
      <c r="O587" s="24" t="str">
        <f>_xlfn.IFNA(VLOOKUP($M587,Buff.CM!$A:$O,14,FALSE),"")</f>
        <v>Buff.Name.Atk.Down.00</v>
      </c>
      <c r="P587" s="24" t="str">
        <f>_xlfn.IFNA(VLOOKUP($M587,Buff.CM!$A:$O,15,FALSE),"")</f>
        <v>Buff.Desc.Atk.Down.00</v>
      </c>
      <c r="Q587" s="24" t="b">
        <v>0</v>
      </c>
      <c r="R587" s="24" t="b">
        <v>0</v>
      </c>
    </row>
    <row r="588" spans="1:18">
      <c r="A588" s="24" t="s">
        <v>2184</v>
      </c>
      <c r="B588" s="24"/>
      <c r="C588" s="24"/>
      <c r="D588" s="24">
        <v>6000</v>
      </c>
      <c r="E588" s="24">
        <v>0</v>
      </c>
      <c r="F588" s="24">
        <v>0</v>
      </c>
      <c r="G588" s="24" t="s">
        <v>4755</v>
      </c>
      <c r="H588" s="24"/>
      <c r="I588" s="24" t="b">
        <v>0</v>
      </c>
      <c r="J588" s="24" t="b">
        <v>0</v>
      </c>
      <c r="K588" s="24" t="b">
        <v>0</v>
      </c>
      <c r="L588" s="24" t="s">
        <v>175</v>
      </c>
      <c r="M588" s="24" t="s">
        <v>5573</v>
      </c>
      <c r="N588" s="24" t="str">
        <f>_xlfn.IFNA(VLOOKUP($M588,Buff.CM!$A:$O,13,FALSE),"")</f>
        <v>icon_battle_attack</v>
      </c>
      <c r="O588" s="24" t="str">
        <f>_xlfn.IFNA(VLOOKUP($M588,Buff.CM!$A:$O,14,FALSE),"")</f>
        <v>Buff.Name.Atk.Down.00</v>
      </c>
      <c r="P588" s="24" t="str">
        <f>_xlfn.IFNA(VLOOKUP($M588,Buff.CM!$A:$O,15,FALSE),"")</f>
        <v>Buff.Desc.Atk.Down.00</v>
      </c>
      <c r="Q588" s="24" t="b">
        <v>0</v>
      </c>
      <c r="R588" s="24" t="b">
        <v>0</v>
      </c>
    </row>
    <row r="589" spans="1:18">
      <c r="A589" s="24" t="s">
        <v>2185</v>
      </c>
      <c r="B589" s="24"/>
      <c r="C589" s="24"/>
      <c r="D589" s="24">
        <v>6000</v>
      </c>
      <c r="E589" s="24">
        <v>0</v>
      </c>
      <c r="F589" s="24">
        <v>0</v>
      </c>
      <c r="G589" s="24" t="s">
        <v>4756</v>
      </c>
      <c r="H589" s="24"/>
      <c r="I589" s="24" t="b">
        <v>0</v>
      </c>
      <c r="J589" s="24" t="b">
        <v>0</v>
      </c>
      <c r="K589" s="24" t="b">
        <v>0</v>
      </c>
      <c r="L589" s="24" t="s">
        <v>175</v>
      </c>
      <c r="M589" s="24" t="s">
        <v>5573</v>
      </c>
      <c r="N589" s="24" t="str">
        <f>_xlfn.IFNA(VLOOKUP($M589,Buff.CM!$A:$O,13,FALSE),"")</f>
        <v>icon_battle_attack</v>
      </c>
      <c r="O589" s="24" t="str">
        <f>_xlfn.IFNA(VLOOKUP($M589,Buff.CM!$A:$O,14,FALSE),"")</f>
        <v>Buff.Name.Atk.Down.00</v>
      </c>
      <c r="P589" s="24" t="str">
        <f>_xlfn.IFNA(VLOOKUP($M589,Buff.CM!$A:$O,15,FALSE),"")</f>
        <v>Buff.Desc.Atk.Down.00</v>
      </c>
      <c r="Q589" s="24" t="b">
        <v>0</v>
      </c>
      <c r="R589" s="24" t="b">
        <v>0</v>
      </c>
    </row>
    <row r="590" spans="1:18">
      <c r="A590" s="34" t="s">
        <v>2186</v>
      </c>
      <c r="B590" s="34"/>
      <c r="C590" s="34"/>
      <c r="D590" s="34">
        <v>6000</v>
      </c>
      <c r="E590" s="34">
        <v>0</v>
      </c>
      <c r="F590" s="34">
        <v>0</v>
      </c>
      <c r="G590" s="34" t="s">
        <v>4757</v>
      </c>
      <c r="H590" s="34"/>
      <c r="I590" s="34" t="b">
        <v>0</v>
      </c>
      <c r="J590" s="34" t="b">
        <v>0</v>
      </c>
      <c r="K590" s="34" t="b">
        <v>0</v>
      </c>
      <c r="L590" s="34" t="s">
        <v>175</v>
      </c>
      <c r="M590" s="34" t="s">
        <v>5573</v>
      </c>
      <c r="N590" s="34" t="str">
        <f>_xlfn.IFNA(VLOOKUP($M590,Buff.CM!$A:$O,13,FALSE),"")</f>
        <v>icon_battle_attack</v>
      </c>
      <c r="O590" s="34" t="str">
        <f>_xlfn.IFNA(VLOOKUP($M590,Buff.CM!$A:$O,14,FALSE),"")</f>
        <v>Buff.Name.Atk.Down.00</v>
      </c>
      <c r="P590" s="34" t="str">
        <f>_xlfn.IFNA(VLOOKUP($M590,Buff.CM!$A:$O,15,FALSE),"")</f>
        <v>Buff.Desc.Atk.Down.00</v>
      </c>
      <c r="Q590" s="34" t="b">
        <v>0</v>
      </c>
      <c r="R590" s="34" t="b">
        <v>0</v>
      </c>
    </row>
    <row r="591" spans="1:18">
      <c r="A591" s="34" t="s">
        <v>2574</v>
      </c>
      <c r="B591" s="34"/>
      <c r="C591" s="34"/>
      <c r="D591" s="34">
        <v>7000</v>
      </c>
      <c r="E591" s="34">
        <v>0</v>
      </c>
      <c r="F591" s="34">
        <v>0</v>
      </c>
      <c r="G591" s="34" t="s">
        <v>4758</v>
      </c>
      <c r="H591" s="34"/>
      <c r="I591" s="34" t="b">
        <v>0</v>
      </c>
      <c r="J591" s="34" t="b">
        <v>0</v>
      </c>
      <c r="K591" s="34" t="b">
        <v>0</v>
      </c>
      <c r="L591" s="34" t="s">
        <v>175</v>
      </c>
      <c r="M591" s="34" t="s">
        <v>5573</v>
      </c>
      <c r="N591" s="34" t="str">
        <f>_xlfn.IFNA(VLOOKUP($M591,Buff.CM!$A:$O,13,FALSE),"")</f>
        <v>icon_battle_attack</v>
      </c>
      <c r="O591" s="34" t="str">
        <f>_xlfn.IFNA(VLOOKUP($M591,Buff.CM!$A:$O,14,FALSE),"")</f>
        <v>Buff.Name.Atk.Down.00</v>
      </c>
      <c r="P591" s="34" t="str">
        <f>_xlfn.IFNA(VLOOKUP($M591,Buff.CM!$A:$O,15,FALSE),"")</f>
        <v>Buff.Desc.Atk.Down.00</v>
      </c>
      <c r="Q591" s="34" t="b">
        <v>0</v>
      </c>
      <c r="R591" s="34" t="b">
        <v>0</v>
      </c>
    </row>
    <row r="592" spans="1:18">
      <c r="A592" s="34" t="s">
        <v>2575</v>
      </c>
      <c r="B592" s="34"/>
      <c r="C592" s="34"/>
      <c r="D592" s="34">
        <v>7000</v>
      </c>
      <c r="E592" s="34">
        <v>0</v>
      </c>
      <c r="F592" s="34">
        <v>0</v>
      </c>
      <c r="G592" s="34" t="s">
        <v>4759</v>
      </c>
      <c r="H592" s="34"/>
      <c r="I592" s="34" t="b">
        <v>0</v>
      </c>
      <c r="J592" s="34" t="b">
        <v>0</v>
      </c>
      <c r="K592" s="34" t="b">
        <v>0</v>
      </c>
      <c r="L592" s="34" t="s">
        <v>175</v>
      </c>
      <c r="M592" s="34" t="s">
        <v>5573</v>
      </c>
      <c r="N592" s="34" t="str">
        <f>_xlfn.IFNA(VLOOKUP($M592,Buff.CM!$A:$O,13,FALSE),"")</f>
        <v>icon_battle_attack</v>
      </c>
      <c r="O592" s="34" t="str">
        <f>_xlfn.IFNA(VLOOKUP($M592,Buff.CM!$A:$O,14,FALSE),"")</f>
        <v>Buff.Name.Atk.Down.00</v>
      </c>
      <c r="P592" s="34" t="str">
        <f>_xlfn.IFNA(VLOOKUP($M592,Buff.CM!$A:$O,15,FALSE),"")</f>
        <v>Buff.Desc.Atk.Down.00</v>
      </c>
      <c r="Q592" s="34" t="b">
        <v>0</v>
      </c>
      <c r="R592" s="34" t="b">
        <v>0</v>
      </c>
    </row>
    <row r="593" spans="1:18">
      <c r="A593" s="23" t="s">
        <v>514</v>
      </c>
      <c r="B593" s="23"/>
      <c r="C593" s="23"/>
      <c r="D593" s="23">
        <v>0</v>
      </c>
      <c r="E593" s="23">
        <v>0</v>
      </c>
      <c r="F593" s="23">
        <v>0</v>
      </c>
      <c r="G593" s="23" t="s">
        <v>515</v>
      </c>
      <c r="H593" s="23"/>
      <c r="I593" s="23" t="b">
        <v>0</v>
      </c>
      <c r="J593" s="23" t="b">
        <v>1</v>
      </c>
      <c r="K593" s="23" t="b">
        <v>1</v>
      </c>
      <c r="L593" s="23"/>
      <c r="M593" s="23"/>
      <c r="N593" s="23" t="str">
        <f>_xlfn.IFNA(VLOOKUP($M593,Buff.CM!$A:$O,13,FALSE),"")</f>
        <v/>
      </c>
      <c r="O593" s="23" t="str">
        <f>_xlfn.IFNA(VLOOKUP($M593,Buff.CM!$A:$O,14,FALSE),"")</f>
        <v/>
      </c>
      <c r="P593" s="23" t="str">
        <f>_xlfn.IFNA(VLOOKUP($M593,Buff.CM!$A:$O,15,FALSE),"")</f>
        <v/>
      </c>
      <c r="Q593" s="23" t="b">
        <v>0</v>
      </c>
      <c r="R593" s="23" t="b">
        <v>0</v>
      </c>
    </row>
    <row r="594" spans="1:18">
      <c r="A594" s="23" t="s">
        <v>516</v>
      </c>
      <c r="B594" s="23"/>
      <c r="C594" s="23"/>
      <c r="D594" s="23">
        <v>0</v>
      </c>
      <c r="E594" s="23">
        <v>0</v>
      </c>
      <c r="F594" s="23">
        <v>0</v>
      </c>
      <c r="G594" s="23" t="s">
        <v>517</v>
      </c>
      <c r="H594" s="23"/>
      <c r="I594" s="23" t="b">
        <v>0</v>
      </c>
      <c r="J594" s="23" t="b">
        <v>1</v>
      </c>
      <c r="K594" s="23" t="b">
        <v>1</v>
      </c>
      <c r="L594" s="23"/>
      <c r="M594" s="23"/>
      <c r="N594" s="23" t="str">
        <f>_xlfn.IFNA(VLOOKUP($M594,Buff.CM!$A:$O,13,FALSE),"")</f>
        <v/>
      </c>
      <c r="O594" s="23" t="str">
        <f>_xlfn.IFNA(VLOOKUP($M594,Buff.CM!$A:$O,14,FALSE),"")</f>
        <v/>
      </c>
      <c r="P594" s="23" t="str">
        <f>_xlfn.IFNA(VLOOKUP($M594,Buff.CM!$A:$O,15,FALSE),"")</f>
        <v/>
      </c>
      <c r="Q594" s="23" t="b">
        <v>0</v>
      </c>
      <c r="R594" s="23" t="b">
        <v>0</v>
      </c>
    </row>
    <row r="595" spans="1:18">
      <c r="A595" s="23" t="s">
        <v>518</v>
      </c>
      <c r="B595" s="23"/>
      <c r="C595" s="23"/>
      <c r="D595" s="23">
        <v>0</v>
      </c>
      <c r="E595" s="23">
        <v>0</v>
      </c>
      <c r="F595" s="23">
        <v>0</v>
      </c>
      <c r="G595" s="23" t="s">
        <v>519</v>
      </c>
      <c r="H595" s="23"/>
      <c r="I595" s="23" t="b">
        <v>0</v>
      </c>
      <c r="J595" s="23" t="b">
        <v>1</v>
      </c>
      <c r="K595" s="23" t="b">
        <v>1</v>
      </c>
      <c r="L595" s="23"/>
      <c r="M595" s="23"/>
      <c r="N595" s="23" t="str">
        <f>_xlfn.IFNA(VLOOKUP($M595,Buff.CM!$A:$O,13,FALSE),"")</f>
        <v/>
      </c>
      <c r="O595" s="23" t="str">
        <f>_xlfn.IFNA(VLOOKUP($M595,Buff.CM!$A:$O,14,FALSE),"")</f>
        <v/>
      </c>
      <c r="P595" s="23" t="str">
        <f>_xlfn.IFNA(VLOOKUP($M595,Buff.CM!$A:$O,15,FALSE),"")</f>
        <v/>
      </c>
      <c r="Q595" s="23" t="b">
        <v>0</v>
      </c>
      <c r="R595" s="23" t="b">
        <v>0</v>
      </c>
    </row>
    <row r="596" spans="1:18">
      <c r="A596" s="34" t="s">
        <v>520</v>
      </c>
      <c r="B596" s="34"/>
      <c r="C596" s="34"/>
      <c r="D596" s="34">
        <v>0</v>
      </c>
      <c r="E596" s="34">
        <v>0</v>
      </c>
      <c r="F596" s="34">
        <v>0</v>
      </c>
      <c r="G596" s="34" t="s">
        <v>521</v>
      </c>
      <c r="H596" s="34"/>
      <c r="I596" s="34" t="b">
        <v>0</v>
      </c>
      <c r="J596" s="34" t="b">
        <v>1</v>
      </c>
      <c r="K596" s="34" t="b">
        <v>1</v>
      </c>
      <c r="L596" s="34"/>
      <c r="M596" s="34"/>
      <c r="N596" s="34" t="str">
        <f>_xlfn.IFNA(VLOOKUP($M596,Buff.CM!$A:$O,13,FALSE),"")</f>
        <v/>
      </c>
      <c r="O596" s="34" t="str">
        <f>_xlfn.IFNA(VLOOKUP($M596,Buff.CM!$A:$O,14,FALSE),"")</f>
        <v/>
      </c>
      <c r="P596" s="34" t="str">
        <f>_xlfn.IFNA(VLOOKUP($M596,Buff.CM!$A:$O,15,FALSE),"")</f>
        <v/>
      </c>
      <c r="Q596" s="34" t="b">
        <v>0</v>
      </c>
      <c r="R596" s="34" t="b">
        <v>0</v>
      </c>
    </row>
    <row r="597" spans="1:18">
      <c r="A597" s="34" t="s">
        <v>522</v>
      </c>
      <c r="B597" s="34"/>
      <c r="C597" s="34"/>
      <c r="D597" s="34">
        <v>0</v>
      </c>
      <c r="E597" s="34">
        <v>0</v>
      </c>
      <c r="F597" s="34">
        <v>0</v>
      </c>
      <c r="G597" s="34" t="s">
        <v>523</v>
      </c>
      <c r="H597" s="34"/>
      <c r="I597" s="34" t="b">
        <v>0</v>
      </c>
      <c r="J597" s="34" t="b">
        <v>1</v>
      </c>
      <c r="K597" s="34" t="b">
        <v>1</v>
      </c>
      <c r="L597" s="34"/>
      <c r="M597" s="34"/>
      <c r="N597" s="34" t="str">
        <f>_xlfn.IFNA(VLOOKUP($M597,Buff.CM!$A:$O,13,FALSE),"")</f>
        <v/>
      </c>
      <c r="O597" s="34" t="str">
        <f>_xlfn.IFNA(VLOOKUP($M597,Buff.CM!$A:$O,14,FALSE),"")</f>
        <v/>
      </c>
      <c r="P597" s="34" t="str">
        <f>_xlfn.IFNA(VLOOKUP($M597,Buff.CM!$A:$O,15,FALSE),"")</f>
        <v/>
      </c>
      <c r="Q597" s="34" t="b">
        <v>0</v>
      </c>
      <c r="R597" s="34" t="b">
        <v>0</v>
      </c>
    </row>
    <row r="598" spans="1:18">
      <c r="A598" s="34" t="s">
        <v>524</v>
      </c>
      <c r="B598" s="34"/>
      <c r="C598" s="34"/>
      <c r="D598" s="34">
        <v>0</v>
      </c>
      <c r="E598" s="34">
        <v>0</v>
      </c>
      <c r="F598" s="34">
        <v>0</v>
      </c>
      <c r="G598" s="34" t="s">
        <v>525</v>
      </c>
      <c r="H598" s="34"/>
      <c r="I598" s="34" t="b">
        <v>0</v>
      </c>
      <c r="J598" s="34" t="b">
        <v>1</v>
      </c>
      <c r="K598" s="34" t="b">
        <v>1</v>
      </c>
      <c r="L598" s="34"/>
      <c r="M598" s="34"/>
      <c r="N598" s="34" t="str">
        <f>_xlfn.IFNA(VLOOKUP($M598,Buff.CM!$A:$O,13,FALSE),"")</f>
        <v/>
      </c>
      <c r="O598" s="34" t="str">
        <f>_xlfn.IFNA(VLOOKUP($M598,Buff.CM!$A:$O,14,FALSE),"")</f>
        <v/>
      </c>
      <c r="P598" s="34" t="str">
        <f>_xlfn.IFNA(VLOOKUP($M598,Buff.CM!$A:$O,15,FALSE),"")</f>
        <v/>
      </c>
      <c r="Q598" s="34" t="b">
        <v>0</v>
      </c>
      <c r="R598" s="34" t="b">
        <v>0</v>
      </c>
    </row>
    <row r="599" spans="1:18" ht="33">
      <c r="A599" s="24" t="s">
        <v>6695</v>
      </c>
      <c r="B599" s="24"/>
      <c r="C599" s="24"/>
      <c r="D599" s="24">
        <v>1500</v>
      </c>
      <c r="E599" s="24">
        <v>0</v>
      </c>
      <c r="F599" s="24">
        <v>0</v>
      </c>
      <c r="G599" s="38" t="s">
        <v>6696</v>
      </c>
      <c r="H599" s="24"/>
      <c r="I599" s="24" t="b">
        <v>0</v>
      </c>
      <c r="J599" s="24" t="b">
        <v>0</v>
      </c>
      <c r="K599" s="24" t="b">
        <v>0</v>
      </c>
      <c r="L599" s="24" t="s">
        <v>161</v>
      </c>
      <c r="M599" s="24" t="s">
        <v>6121</v>
      </c>
      <c r="N599" s="24" t="str">
        <f>_xlfn.IFNA(VLOOKUP($M599,Buff.CM!$A:$O,13,FALSE),"")</f>
        <v>icon_battle_burn</v>
      </c>
      <c r="O599" s="24" t="str">
        <f>_xlfn.IFNA(VLOOKUP($M599,Buff.CM!$A:$O,14,FALSE),"")</f>
        <v>Buff.Name.burn</v>
      </c>
      <c r="P599" s="24" t="str">
        <f>_xlfn.IFNA(VLOOKUP($M599,Buff.CM!$A:$O,15,FALSE),"")</f>
        <v>Buff.Desc.burn</v>
      </c>
      <c r="Q599" s="24" t="b">
        <v>0</v>
      </c>
      <c r="R599" s="24" t="b">
        <v>0</v>
      </c>
    </row>
    <row r="600" spans="1:18" ht="33">
      <c r="A600" s="24" t="s">
        <v>2191</v>
      </c>
      <c r="B600" s="24"/>
      <c r="C600" s="24"/>
      <c r="D600" s="24">
        <v>1500</v>
      </c>
      <c r="E600" s="24">
        <v>0</v>
      </c>
      <c r="F600" s="24">
        <v>0</v>
      </c>
      <c r="G600" s="38" t="s">
        <v>6697</v>
      </c>
      <c r="H600" s="24"/>
      <c r="I600" s="24" t="b">
        <v>0</v>
      </c>
      <c r="J600" s="24" t="b">
        <v>0</v>
      </c>
      <c r="K600" s="24" t="b">
        <v>0</v>
      </c>
      <c r="L600" s="24" t="s">
        <v>161</v>
      </c>
      <c r="M600" s="24" t="s">
        <v>6121</v>
      </c>
      <c r="N600" s="24" t="str">
        <f>_xlfn.IFNA(VLOOKUP($M600,Buff.CM!$A:$O,13,FALSE),"")</f>
        <v>icon_battle_burn</v>
      </c>
      <c r="O600" s="24" t="str">
        <f>_xlfn.IFNA(VLOOKUP($M600,Buff.CM!$A:$O,14,FALSE),"")</f>
        <v>Buff.Name.burn</v>
      </c>
      <c r="P600" s="24" t="str">
        <f>_xlfn.IFNA(VLOOKUP($M600,Buff.CM!$A:$O,15,FALSE),"")</f>
        <v>Buff.Desc.burn</v>
      </c>
      <c r="Q600" s="24" t="b">
        <v>0</v>
      </c>
      <c r="R600" s="24" t="b">
        <v>0</v>
      </c>
    </row>
    <row r="601" spans="1:18" ht="33">
      <c r="A601" s="24" t="s">
        <v>2192</v>
      </c>
      <c r="B601" s="24"/>
      <c r="C601" s="24"/>
      <c r="D601" s="24">
        <v>1500</v>
      </c>
      <c r="E601" s="24">
        <v>0</v>
      </c>
      <c r="F601" s="24">
        <v>0</v>
      </c>
      <c r="G601" s="38" t="s">
        <v>6698</v>
      </c>
      <c r="H601" s="24"/>
      <c r="I601" s="24" t="b">
        <v>0</v>
      </c>
      <c r="J601" s="24" t="b">
        <v>0</v>
      </c>
      <c r="K601" s="24" t="b">
        <v>0</v>
      </c>
      <c r="L601" s="24" t="s">
        <v>161</v>
      </c>
      <c r="M601" s="24" t="s">
        <v>6121</v>
      </c>
      <c r="N601" s="24" t="str">
        <f>_xlfn.IFNA(VLOOKUP($M601,Buff.CM!$A:$O,13,FALSE),"")</f>
        <v>icon_battle_burn</v>
      </c>
      <c r="O601" s="24" t="str">
        <f>_xlfn.IFNA(VLOOKUP($M601,Buff.CM!$A:$O,14,FALSE),"")</f>
        <v>Buff.Name.burn</v>
      </c>
      <c r="P601" s="24" t="str">
        <f>_xlfn.IFNA(VLOOKUP($M601,Buff.CM!$A:$O,15,FALSE),"")</f>
        <v>Buff.Desc.burn</v>
      </c>
      <c r="Q601" s="24" t="b">
        <v>0</v>
      </c>
      <c r="R601" s="24" t="b">
        <v>0</v>
      </c>
    </row>
    <row r="602" spans="1:18" ht="33">
      <c r="A602" s="34" t="s">
        <v>2576</v>
      </c>
      <c r="B602" s="34"/>
      <c r="C602" s="34"/>
      <c r="D602" s="34">
        <v>1500</v>
      </c>
      <c r="E602" s="34">
        <v>0</v>
      </c>
      <c r="F602" s="34">
        <v>0</v>
      </c>
      <c r="G602" s="40" t="s">
        <v>6699</v>
      </c>
      <c r="H602" s="34"/>
      <c r="I602" s="34" t="b">
        <v>0</v>
      </c>
      <c r="J602" s="34" t="b">
        <v>0</v>
      </c>
      <c r="K602" s="34" t="b">
        <v>0</v>
      </c>
      <c r="L602" s="34" t="s">
        <v>161</v>
      </c>
      <c r="M602" s="34" t="s">
        <v>6121</v>
      </c>
      <c r="N602" s="34" t="str">
        <f>_xlfn.IFNA(VLOOKUP($M602,Buff.CM!$A:$O,13,FALSE),"")</f>
        <v>icon_battle_burn</v>
      </c>
      <c r="O602" s="34" t="str">
        <f>_xlfn.IFNA(VLOOKUP($M602,Buff.CM!$A:$O,14,FALSE),"")</f>
        <v>Buff.Name.burn</v>
      </c>
      <c r="P602" s="34" t="str">
        <f>_xlfn.IFNA(VLOOKUP($M602,Buff.CM!$A:$O,15,FALSE),"")</f>
        <v>Buff.Desc.burn</v>
      </c>
      <c r="Q602" s="34" t="b">
        <v>0</v>
      </c>
      <c r="R602" s="34" t="b">
        <v>0</v>
      </c>
    </row>
    <row r="603" spans="1:18" ht="33">
      <c r="A603" s="34" t="s">
        <v>2577</v>
      </c>
      <c r="B603" s="34"/>
      <c r="C603" s="34"/>
      <c r="D603" s="34">
        <v>1500</v>
      </c>
      <c r="E603" s="34">
        <v>0</v>
      </c>
      <c r="F603" s="34">
        <v>0</v>
      </c>
      <c r="G603" s="40" t="s">
        <v>6700</v>
      </c>
      <c r="H603" s="34"/>
      <c r="I603" s="34" t="b">
        <v>0</v>
      </c>
      <c r="J603" s="34" t="b">
        <v>0</v>
      </c>
      <c r="K603" s="34" t="b">
        <v>0</v>
      </c>
      <c r="L603" s="34" t="s">
        <v>161</v>
      </c>
      <c r="M603" s="34" t="s">
        <v>6121</v>
      </c>
      <c r="N603" s="34" t="str">
        <f>_xlfn.IFNA(VLOOKUP($M603,Buff.CM!$A:$O,13,FALSE),"")</f>
        <v>icon_battle_burn</v>
      </c>
      <c r="O603" s="34" t="str">
        <f>_xlfn.IFNA(VLOOKUP($M603,Buff.CM!$A:$O,14,FALSE),"")</f>
        <v>Buff.Name.burn</v>
      </c>
      <c r="P603" s="34" t="str">
        <f>_xlfn.IFNA(VLOOKUP($M603,Buff.CM!$A:$O,15,FALSE),"")</f>
        <v>Buff.Desc.burn</v>
      </c>
      <c r="Q603" s="34" t="b">
        <v>0</v>
      </c>
      <c r="R603" s="34" t="b">
        <v>0</v>
      </c>
    </row>
    <row r="604" spans="1:18" ht="33">
      <c r="A604" s="34" t="s">
        <v>2578</v>
      </c>
      <c r="B604" s="34"/>
      <c r="C604" s="34"/>
      <c r="D604" s="34">
        <v>1500</v>
      </c>
      <c r="E604" s="34">
        <v>0</v>
      </c>
      <c r="F604" s="34">
        <v>0</v>
      </c>
      <c r="G604" s="40" t="s">
        <v>6700</v>
      </c>
      <c r="H604" s="34"/>
      <c r="I604" s="34" t="b">
        <v>0</v>
      </c>
      <c r="J604" s="34" t="b">
        <v>0</v>
      </c>
      <c r="K604" s="34" t="b">
        <v>0</v>
      </c>
      <c r="L604" s="34" t="s">
        <v>161</v>
      </c>
      <c r="M604" s="34" t="s">
        <v>6121</v>
      </c>
      <c r="N604" s="34" t="str">
        <f>_xlfn.IFNA(VLOOKUP($M604,Buff.CM!$A:$O,13,FALSE),"")</f>
        <v>icon_battle_burn</v>
      </c>
      <c r="O604" s="34" t="str">
        <f>_xlfn.IFNA(VLOOKUP($M604,Buff.CM!$A:$O,14,FALSE),"")</f>
        <v>Buff.Name.burn</v>
      </c>
      <c r="P604" s="34" t="str">
        <f>_xlfn.IFNA(VLOOKUP($M604,Buff.CM!$A:$O,15,FALSE),"")</f>
        <v>Buff.Desc.burn</v>
      </c>
      <c r="Q604" s="34" t="b">
        <v>0</v>
      </c>
      <c r="R604" s="34" t="b">
        <v>0</v>
      </c>
    </row>
    <row r="605" spans="1:18">
      <c r="A605" s="23" t="s">
        <v>526</v>
      </c>
      <c r="B605" s="23"/>
      <c r="C605" s="23"/>
      <c r="D605" s="23">
        <v>0</v>
      </c>
      <c r="E605" s="23">
        <v>0</v>
      </c>
      <c r="F605" s="23">
        <v>0</v>
      </c>
      <c r="G605" s="23" t="s">
        <v>527</v>
      </c>
      <c r="H605" s="23"/>
      <c r="I605" s="23" t="b">
        <v>1</v>
      </c>
      <c r="J605" s="23" t="b">
        <v>1</v>
      </c>
      <c r="K605" s="23" t="b">
        <v>1</v>
      </c>
      <c r="L605" s="23"/>
      <c r="M605" s="23"/>
      <c r="N605" s="23" t="str">
        <f>_xlfn.IFNA(VLOOKUP($M605,Buff.CM!$A:$O,13,FALSE),"")</f>
        <v/>
      </c>
      <c r="O605" s="23" t="str">
        <f>_xlfn.IFNA(VLOOKUP($M605,Buff.CM!$A:$O,14,FALSE),"")</f>
        <v/>
      </c>
      <c r="P605" s="23" t="str">
        <f>_xlfn.IFNA(VLOOKUP($M605,Buff.CM!$A:$O,15,FALSE),"")</f>
        <v/>
      </c>
      <c r="Q605" s="23" t="b">
        <v>0</v>
      </c>
      <c r="R605" s="23" t="b">
        <v>0</v>
      </c>
    </row>
    <row r="606" spans="1:18">
      <c r="A606" s="23" t="s">
        <v>528</v>
      </c>
      <c r="B606" s="23"/>
      <c r="C606" s="23"/>
      <c r="D606" s="23">
        <v>300000</v>
      </c>
      <c r="E606" s="23">
        <v>0</v>
      </c>
      <c r="F606" s="23">
        <v>0</v>
      </c>
      <c r="G606" s="23" t="s">
        <v>122</v>
      </c>
      <c r="H606" s="23"/>
      <c r="I606" s="23" t="b">
        <v>1</v>
      </c>
      <c r="J606" s="23" t="b">
        <v>1</v>
      </c>
      <c r="K606" s="23" t="b">
        <v>1</v>
      </c>
      <c r="L606" s="23" t="s">
        <v>529</v>
      </c>
      <c r="M606" s="23"/>
      <c r="N606" s="23" t="str">
        <f>_xlfn.IFNA(VLOOKUP($M606,Buff.CM!$A:$O,13,FALSE),"")</f>
        <v/>
      </c>
      <c r="O606" s="23" t="str">
        <f>_xlfn.IFNA(VLOOKUP($M606,Buff.CM!$A:$O,14,FALSE),"")</f>
        <v/>
      </c>
      <c r="P606" s="23" t="str">
        <f>_xlfn.IFNA(VLOOKUP($M606,Buff.CM!$A:$O,15,FALSE),"")</f>
        <v/>
      </c>
      <c r="Q606" s="23" t="b">
        <v>0</v>
      </c>
      <c r="R606" s="23" t="b">
        <v>0</v>
      </c>
    </row>
    <row r="607" spans="1:18">
      <c r="A607" s="24" t="s">
        <v>6701</v>
      </c>
      <c r="B607" s="24"/>
      <c r="C607" s="24"/>
      <c r="D607" s="24">
        <v>0</v>
      </c>
      <c r="E607" s="24">
        <v>0</v>
      </c>
      <c r="F607" s="24">
        <v>0</v>
      </c>
      <c r="G607" s="24" t="s">
        <v>122</v>
      </c>
      <c r="H607" s="24"/>
      <c r="I607" s="24" t="b">
        <v>0</v>
      </c>
      <c r="J607" s="24" t="b">
        <v>1</v>
      </c>
      <c r="K607" s="24" t="b">
        <v>1</v>
      </c>
      <c r="L607" s="24"/>
      <c r="M607" s="24"/>
      <c r="N607" s="24" t="str">
        <f>_xlfn.IFNA(VLOOKUP($M607,Buff.CM!$A:$O,13,FALSE),"")</f>
        <v/>
      </c>
      <c r="O607" s="24" t="str">
        <f>_xlfn.IFNA(VLOOKUP($M607,Buff.CM!$A:$O,14,FALSE),"")</f>
        <v/>
      </c>
      <c r="P607" s="24" t="str">
        <f>_xlfn.IFNA(VLOOKUP($M607,Buff.CM!$A:$O,15,FALSE),"")</f>
        <v/>
      </c>
      <c r="Q607" s="24" t="b">
        <v>0</v>
      </c>
      <c r="R607" s="24" t="b">
        <v>0</v>
      </c>
    </row>
    <row r="608" spans="1:18">
      <c r="A608" s="24" t="s">
        <v>3519</v>
      </c>
      <c r="B608" s="24"/>
      <c r="C608" s="24"/>
      <c r="D608" s="24">
        <v>0</v>
      </c>
      <c r="E608" s="24">
        <v>0</v>
      </c>
      <c r="F608" s="24">
        <v>0</v>
      </c>
      <c r="G608" s="24" t="s">
        <v>122</v>
      </c>
      <c r="H608" s="24"/>
      <c r="I608" s="24" t="b">
        <v>0</v>
      </c>
      <c r="J608" s="24" t="b">
        <v>1</v>
      </c>
      <c r="K608" s="24" t="b">
        <v>1</v>
      </c>
      <c r="L608" s="24"/>
      <c r="M608" s="24"/>
      <c r="N608" s="24" t="str">
        <f>_xlfn.IFNA(VLOOKUP($M608,Buff.CM!$A:$O,13,FALSE),"")</f>
        <v/>
      </c>
      <c r="O608" s="24" t="str">
        <f>_xlfn.IFNA(VLOOKUP($M608,Buff.CM!$A:$O,14,FALSE),"")</f>
        <v/>
      </c>
      <c r="P608" s="24" t="str">
        <f>_xlfn.IFNA(VLOOKUP($M608,Buff.CM!$A:$O,15,FALSE),"")</f>
        <v/>
      </c>
      <c r="Q608" s="24" t="b">
        <v>0</v>
      </c>
      <c r="R608" s="24" t="b">
        <v>0</v>
      </c>
    </row>
    <row r="609" spans="1:18">
      <c r="A609" s="24" t="s">
        <v>3520</v>
      </c>
      <c r="B609" s="24"/>
      <c r="C609" s="24"/>
      <c r="D609" s="24">
        <v>0</v>
      </c>
      <c r="E609" s="24">
        <v>0</v>
      </c>
      <c r="F609" s="24">
        <v>0</v>
      </c>
      <c r="G609" s="24" t="s">
        <v>122</v>
      </c>
      <c r="H609" s="24"/>
      <c r="I609" s="24" t="b">
        <v>0</v>
      </c>
      <c r="J609" s="24" t="b">
        <v>1</v>
      </c>
      <c r="K609" s="24" t="b">
        <v>1</v>
      </c>
      <c r="L609" s="24"/>
      <c r="M609" s="24"/>
      <c r="N609" s="24" t="str">
        <f>_xlfn.IFNA(VLOOKUP($M609,Buff.CM!$A:$O,13,FALSE),"")</f>
        <v/>
      </c>
      <c r="O609" s="24" t="str">
        <f>_xlfn.IFNA(VLOOKUP($M609,Buff.CM!$A:$O,14,FALSE),"")</f>
        <v/>
      </c>
      <c r="P609" s="24" t="str">
        <f>_xlfn.IFNA(VLOOKUP($M609,Buff.CM!$A:$O,15,FALSE),"")</f>
        <v/>
      </c>
      <c r="Q609" s="24" t="b">
        <v>0</v>
      </c>
      <c r="R609" s="24" t="b">
        <v>0</v>
      </c>
    </row>
    <row r="610" spans="1:18">
      <c r="A610" s="34" t="s">
        <v>3521</v>
      </c>
      <c r="B610" s="34"/>
      <c r="C610" s="34"/>
      <c r="D610" s="34">
        <v>0</v>
      </c>
      <c r="E610" s="34">
        <v>0</v>
      </c>
      <c r="F610" s="34">
        <v>0</v>
      </c>
      <c r="G610" s="34" t="s">
        <v>122</v>
      </c>
      <c r="H610" s="34"/>
      <c r="I610" s="34" t="b">
        <v>0</v>
      </c>
      <c r="J610" s="34" t="b">
        <v>1</v>
      </c>
      <c r="K610" s="34" t="b">
        <v>1</v>
      </c>
      <c r="L610" s="34"/>
      <c r="M610" s="34"/>
      <c r="N610" s="34" t="str">
        <f>_xlfn.IFNA(VLOOKUP($M610,Buff.CM!$A:$O,13,FALSE),"")</f>
        <v/>
      </c>
      <c r="O610" s="34" t="str">
        <f>_xlfn.IFNA(VLOOKUP($M610,Buff.CM!$A:$O,14,FALSE),"")</f>
        <v/>
      </c>
      <c r="P610" s="34" t="str">
        <f>_xlfn.IFNA(VLOOKUP($M610,Buff.CM!$A:$O,15,FALSE),"")</f>
        <v/>
      </c>
      <c r="Q610" s="34" t="b">
        <v>0</v>
      </c>
      <c r="R610" s="34" t="b">
        <v>0</v>
      </c>
    </row>
    <row r="611" spans="1:18">
      <c r="A611" s="34" t="s">
        <v>3522</v>
      </c>
      <c r="B611" s="34"/>
      <c r="C611" s="34"/>
      <c r="D611" s="34">
        <v>0</v>
      </c>
      <c r="E611" s="34">
        <v>0</v>
      </c>
      <c r="F611" s="34">
        <v>0</v>
      </c>
      <c r="G611" s="34" t="s">
        <v>122</v>
      </c>
      <c r="H611" s="34"/>
      <c r="I611" s="34" t="b">
        <v>0</v>
      </c>
      <c r="J611" s="34" t="b">
        <v>1</v>
      </c>
      <c r="K611" s="34" t="b">
        <v>1</v>
      </c>
      <c r="L611" s="34"/>
      <c r="M611" s="34"/>
      <c r="N611" s="34" t="str">
        <f>_xlfn.IFNA(VLOOKUP($M611,Buff.CM!$A:$O,13,FALSE),"")</f>
        <v/>
      </c>
      <c r="O611" s="34" t="str">
        <f>_xlfn.IFNA(VLOOKUP($M611,Buff.CM!$A:$O,14,FALSE),"")</f>
        <v/>
      </c>
      <c r="P611" s="34" t="str">
        <f>_xlfn.IFNA(VLOOKUP($M611,Buff.CM!$A:$O,15,FALSE),"")</f>
        <v/>
      </c>
      <c r="Q611" s="34" t="b">
        <v>0</v>
      </c>
      <c r="R611" s="34" t="b">
        <v>0</v>
      </c>
    </row>
    <row r="612" spans="1:18">
      <c r="A612" s="34" t="s">
        <v>3523</v>
      </c>
      <c r="B612" s="34"/>
      <c r="C612" s="34"/>
      <c r="D612" s="34">
        <v>0</v>
      </c>
      <c r="E612" s="34">
        <v>0</v>
      </c>
      <c r="F612" s="34">
        <v>0</v>
      </c>
      <c r="G612" s="34" t="s">
        <v>122</v>
      </c>
      <c r="H612" s="34"/>
      <c r="I612" s="34" t="b">
        <v>0</v>
      </c>
      <c r="J612" s="34" t="b">
        <v>1</v>
      </c>
      <c r="K612" s="34" t="b">
        <v>1</v>
      </c>
      <c r="L612" s="34"/>
      <c r="M612" s="34"/>
      <c r="N612" s="34" t="str">
        <f>_xlfn.IFNA(VLOOKUP($M612,Buff.CM!$A:$O,13,FALSE),"")</f>
        <v/>
      </c>
      <c r="O612" s="34" t="str">
        <f>_xlfn.IFNA(VLOOKUP($M612,Buff.CM!$A:$O,14,FALSE),"")</f>
        <v/>
      </c>
      <c r="P612" s="34" t="str">
        <f>_xlfn.IFNA(VLOOKUP($M612,Buff.CM!$A:$O,15,FALSE),"")</f>
        <v/>
      </c>
      <c r="Q612" s="34" t="b">
        <v>0</v>
      </c>
      <c r="R612" s="34" t="b">
        <v>0</v>
      </c>
    </row>
    <row r="613" spans="1:18">
      <c r="A613" s="34" t="s">
        <v>6702</v>
      </c>
      <c r="B613" s="34"/>
      <c r="C613" s="34"/>
      <c r="D613" s="34">
        <v>1000</v>
      </c>
      <c r="E613" s="34">
        <v>0</v>
      </c>
      <c r="F613" s="34">
        <v>0</v>
      </c>
      <c r="G613" s="34" t="s">
        <v>243</v>
      </c>
      <c r="H613" s="34"/>
      <c r="I613" s="34" t="b">
        <v>0</v>
      </c>
      <c r="J613" s="34" t="b">
        <v>0</v>
      </c>
      <c r="K613" s="34" t="b">
        <v>0</v>
      </c>
      <c r="L613" s="34" t="s">
        <v>314</v>
      </c>
      <c r="M613" s="34" t="s">
        <v>5468</v>
      </c>
      <c r="N613" s="34" t="str">
        <f>_xlfn.IFNA(VLOOKUP($M613,Buff.CM!$A:$O,13,FALSE),"")</f>
        <v>icon_battle_stun</v>
      </c>
      <c r="O613" s="34" t="str">
        <f>_xlfn.IFNA(VLOOKUP($M613,Buff.CM!$A:$O,14,FALSE),"")</f>
        <v>Buff.Name.Stun</v>
      </c>
      <c r="P613" s="34" t="str">
        <f>_xlfn.IFNA(VLOOKUP($M613,Buff.CM!$A:$O,15,FALSE),"")</f>
        <v>Buff.Desc.Stun</v>
      </c>
      <c r="Q613" s="34" t="b">
        <v>0</v>
      </c>
      <c r="R613" s="34" t="b">
        <v>0</v>
      </c>
    </row>
    <row r="614" spans="1:18" s="154" customFormat="1">
      <c r="A614" s="51" t="s">
        <v>4048</v>
      </c>
      <c r="B614" s="51"/>
      <c r="C614" s="51"/>
      <c r="D614" s="51">
        <v>0</v>
      </c>
      <c r="E614" s="51">
        <v>0</v>
      </c>
      <c r="F614" s="51">
        <v>0</v>
      </c>
      <c r="G614" s="52" t="s">
        <v>4049</v>
      </c>
      <c r="H614" s="51"/>
      <c r="I614" s="51" t="b">
        <v>0</v>
      </c>
      <c r="J614" s="51" t="b">
        <v>0</v>
      </c>
      <c r="K614" s="51" t="b">
        <v>1</v>
      </c>
      <c r="L614" s="51"/>
      <c r="M614" s="51"/>
      <c r="N614" s="51" t="str">
        <f>_xlfn.IFNA(VLOOKUP($M614,Buff.CM!$A:$O,13,FALSE),"")</f>
        <v/>
      </c>
      <c r="O614" s="51" t="str">
        <f>_xlfn.IFNA(VLOOKUP($M614,Buff.CM!$A:$O,14,FALSE),"")</f>
        <v/>
      </c>
      <c r="P614" s="51" t="str">
        <f>_xlfn.IFNA(VLOOKUP($M614,Buff.CM!$A:$O,15,FALSE),"")</f>
        <v/>
      </c>
      <c r="Q614" s="51" t="b">
        <v>0</v>
      </c>
      <c r="R614" s="51" t="b">
        <v>0</v>
      </c>
    </row>
    <row r="615" spans="1:18" s="154" customFormat="1">
      <c r="A615" s="51" t="s">
        <v>4050</v>
      </c>
      <c r="B615" s="51"/>
      <c r="C615" s="51"/>
      <c r="D615" s="51">
        <v>0</v>
      </c>
      <c r="E615" s="51">
        <v>0</v>
      </c>
      <c r="F615" s="51">
        <v>0</v>
      </c>
      <c r="G615" s="52" t="s">
        <v>4051</v>
      </c>
      <c r="H615" s="51"/>
      <c r="I615" s="51" t="b">
        <v>0</v>
      </c>
      <c r="J615" s="51" t="b">
        <v>0</v>
      </c>
      <c r="K615" s="51" t="b">
        <v>1</v>
      </c>
      <c r="L615" s="51"/>
      <c r="M615" s="51"/>
      <c r="N615" s="51" t="str">
        <f>_xlfn.IFNA(VLOOKUP($M615,Buff.CM!$A:$O,13,FALSE),"")</f>
        <v/>
      </c>
      <c r="O615" s="51" t="str">
        <f>_xlfn.IFNA(VLOOKUP($M615,Buff.CM!$A:$O,14,FALSE),"")</f>
        <v/>
      </c>
      <c r="P615" s="51" t="str">
        <f>_xlfn.IFNA(VLOOKUP($M615,Buff.CM!$A:$O,15,FALSE),"")</f>
        <v/>
      </c>
      <c r="Q615" s="51" t="b">
        <v>0</v>
      </c>
      <c r="R615" s="51" t="b">
        <v>0</v>
      </c>
    </row>
    <row r="616" spans="1:18" s="154" customFormat="1">
      <c r="A616" s="51" t="s">
        <v>4052</v>
      </c>
      <c r="B616" s="51"/>
      <c r="C616" s="51"/>
      <c r="D616" s="51">
        <v>0</v>
      </c>
      <c r="E616" s="51">
        <v>0</v>
      </c>
      <c r="F616" s="51">
        <v>0</v>
      </c>
      <c r="G616" s="52" t="s">
        <v>4053</v>
      </c>
      <c r="H616" s="51"/>
      <c r="I616" s="51" t="b">
        <v>0</v>
      </c>
      <c r="J616" s="51" t="b">
        <v>0</v>
      </c>
      <c r="K616" s="51" t="b">
        <v>1</v>
      </c>
      <c r="L616" s="51"/>
      <c r="M616" s="51"/>
      <c r="N616" s="51" t="str">
        <f>_xlfn.IFNA(VLOOKUP($M616,Buff.CM!$A:$O,13,FALSE),"")</f>
        <v/>
      </c>
      <c r="O616" s="51" t="str">
        <f>_xlfn.IFNA(VLOOKUP($M616,Buff.CM!$A:$O,14,FALSE),"")</f>
        <v/>
      </c>
      <c r="P616" s="51" t="str">
        <f>_xlfn.IFNA(VLOOKUP($M616,Buff.CM!$A:$O,15,FALSE),"")</f>
        <v/>
      </c>
      <c r="Q616" s="51" t="b">
        <v>0</v>
      </c>
      <c r="R616" s="51" t="b">
        <v>0</v>
      </c>
    </row>
    <row r="617" spans="1:18" s="154" customFormat="1">
      <c r="A617" s="51" t="s">
        <v>4054</v>
      </c>
      <c r="B617" s="51"/>
      <c r="C617" s="51"/>
      <c r="D617" s="51">
        <v>0</v>
      </c>
      <c r="E617" s="51">
        <v>0</v>
      </c>
      <c r="F617" s="51">
        <v>0</v>
      </c>
      <c r="G617" s="52" t="s">
        <v>4055</v>
      </c>
      <c r="H617" s="51"/>
      <c r="I617" s="51" t="b">
        <v>0</v>
      </c>
      <c r="J617" s="51" t="b">
        <v>0</v>
      </c>
      <c r="K617" s="51" t="b">
        <v>1</v>
      </c>
      <c r="L617" s="51"/>
      <c r="M617" s="51"/>
      <c r="N617" s="51" t="str">
        <f>_xlfn.IFNA(VLOOKUP($M617,Buff.CM!$A:$O,13,FALSE),"")</f>
        <v/>
      </c>
      <c r="O617" s="51" t="str">
        <f>_xlfn.IFNA(VLOOKUP($M617,Buff.CM!$A:$O,14,FALSE),"")</f>
        <v/>
      </c>
      <c r="P617" s="51" t="str">
        <f>_xlfn.IFNA(VLOOKUP($M617,Buff.CM!$A:$O,15,FALSE),"")</f>
        <v/>
      </c>
      <c r="Q617" s="51" t="b">
        <v>0</v>
      </c>
      <c r="R617" s="51" t="b">
        <v>0</v>
      </c>
    </row>
    <row r="618" spans="1:18" s="154" customFormat="1">
      <c r="A618" s="51" t="s">
        <v>4056</v>
      </c>
      <c r="B618" s="51"/>
      <c r="C618" s="51"/>
      <c r="D618" s="51">
        <v>0</v>
      </c>
      <c r="E618" s="51">
        <v>0</v>
      </c>
      <c r="F618" s="51">
        <v>0</v>
      </c>
      <c r="G618" s="52" t="s">
        <v>4057</v>
      </c>
      <c r="H618" s="51"/>
      <c r="I618" s="51" t="b">
        <v>0</v>
      </c>
      <c r="J618" s="51" t="b">
        <v>0</v>
      </c>
      <c r="K618" s="51" t="b">
        <v>1</v>
      </c>
      <c r="L618" s="51"/>
      <c r="M618" s="51"/>
      <c r="N618" s="51" t="str">
        <f>_xlfn.IFNA(VLOOKUP($M618,Buff.CM!$A:$O,13,FALSE),"")</f>
        <v/>
      </c>
      <c r="O618" s="51" t="str">
        <f>_xlfn.IFNA(VLOOKUP($M618,Buff.CM!$A:$O,14,FALSE),"")</f>
        <v/>
      </c>
      <c r="P618" s="51" t="str">
        <f>_xlfn.IFNA(VLOOKUP($M618,Buff.CM!$A:$O,15,FALSE),"")</f>
        <v/>
      </c>
      <c r="Q618" s="51" t="b">
        <v>0</v>
      </c>
      <c r="R618" s="51" t="b">
        <v>0</v>
      </c>
    </row>
    <row r="619" spans="1:18">
      <c r="A619" s="34" t="s">
        <v>4058</v>
      </c>
      <c r="B619" s="34"/>
      <c r="C619" s="34"/>
      <c r="D619" s="34">
        <v>0</v>
      </c>
      <c r="E619" s="34">
        <v>0</v>
      </c>
      <c r="F619" s="34">
        <v>0</v>
      </c>
      <c r="G619" s="40" t="s">
        <v>4059</v>
      </c>
      <c r="H619" s="34"/>
      <c r="I619" s="34" t="b">
        <v>0</v>
      </c>
      <c r="J619" s="34" t="b">
        <v>0</v>
      </c>
      <c r="K619" s="34" t="b">
        <v>1</v>
      </c>
      <c r="L619" s="34"/>
      <c r="M619" s="34"/>
      <c r="N619" s="34" t="str">
        <f>_xlfn.IFNA(VLOOKUP($M619,Buff.CM!$A:$O,13,FALSE),"")</f>
        <v/>
      </c>
      <c r="O619" s="34" t="str">
        <f>_xlfn.IFNA(VLOOKUP($M619,Buff.CM!$A:$O,14,FALSE),"")</f>
        <v/>
      </c>
      <c r="P619" s="34" t="str">
        <f>_xlfn.IFNA(VLOOKUP($M619,Buff.CM!$A:$O,15,FALSE),"")</f>
        <v/>
      </c>
      <c r="Q619" s="34" t="b">
        <v>0</v>
      </c>
      <c r="R619" s="34" t="b">
        <v>0</v>
      </c>
    </row>
    <row r="620" spans="1:18">
      <c r="A620" s="34" t="s">
        <v>4060</v>
      </c>
      <c r="B620" s="34"/>
      <c r="C620" s="34"/>
      <c r="D620" s="34">
        <v>0</v>
      </c>
      <c r="E620" s="34">
        <v>0</v>
      </c>
      <c r="F620" s="34">
        <v>0</v>
      </c>
      <c r="G620" s="40" t="s">
        <v>4061</v>
      </c>
      <c r="H620" s="34"/>
      <c r="I620" s="34" t="b">
        <v>0</v>
      </c>
      <c r="J620" s="34" t="b">
        <v>0</v>
      </c>
      <c r="K620" s="34" t="b">
        <v>1</v>
      </c>
      <c r="L620" s="34"/>
      <c r="M620" s="34"/>
      <c r="N620" s="34" t="str">
        <f>_xlfn.IFNA(VLOOKUP($M620,Buff.CM!$A:$O,13,FALSE),"")</f>
        <v/>
      </c>
      <c r="O620" s="34" t="str">
        <f>_xlfn.IFNA(VLOOKUP($M620,Buff.CM!$A:$O,14,FALSE),"")</f>
        <v/>
      </c>
      <c r="P620" s="34" t="str">
        <f>_xlfn.IFNA(VLOOKUP($M620,Buff.CM!$A:$O,15,FALSE),"")</f>
        <v/>
      </c>
      <c r="Q620" s="34" t="b">
        <v>0</v>
      </c>
      <c r="R620" s="34" t="b">
        <v>0</v>
      </c>
    </row>
    <row r="621" spans="1:18" s="154" customFormat="1">
      <c r="A621" s="51" t="s">
        <v>4062</v>
      </c>
      <c r="B621" s="51"/>
      <c r="C621" s="51"/>
      <c r="D621" s="51">
        <v>10000</v>
      </c>
      <c r="E621" s="51">
        <v>0</v>
      </c>
      <c r="F621" s="51">
        <v>0</v>
      </c>
      <c r="G621" s="52" t="s">
        <v>4063</v>
      </c>
      <c r="H621" s="51"/>
      <c r="I621" s="51" t="b">
        <v>0</v>
      </c>
      <c r="J621" s="51" t="b">
        <v>0</v>
      </c>
      <c r="K621" s="51" t="b">
        <v>1</v>
      </c>
      <c r="L621" s="51" t="s">
        <v>66</v>
      </c>
      <c r="M621" s="51"/>
      <c r="N621" s="51" t="str">
        <f>_xlfn.IFNA(VLOOKUP($M621,Buff.CM!$A:$O,13,FALSE),"")</f>
        <v/>
      </c>
      <c r="O621" s="51" t="str">
        <f>_xlfn.IFNA(VLOOKUP($M621,Buff.CM!$A:$O,14,FALSE),"")</f>
        <v/>
      </c>
      <c r="P621" s="51" t="str">
        <f>_xlfn.IFNA(VLOOKUP($M621,Buff.CM!$A:$O,15,FALSE),"")</f>
        <v/>
      </c>
      <c r="Q621" s="51" t="b">
        <v>0</v>
      </c>
      <c r="R621" s="51" t="b">
        <v>0</v>
      </c>
    </row>
    <row r="622" spans="1:18" s="154" customFormat="1">
      <c r="A622" s="51" t="s">
        <v>4064</v>
      </c>
      <c r="B622" s="51"/>
      <c r="C622" s="51"/>
      <c r="D622" s="51">
        <v>10000</v>
      </c>
      <c r="E622" s="51">
        <v>0</v>
      </c>
      <c r="F622" s="51">
        <v>0</v>
      </c>
      <c r="G622" s="52" t="s">
        <v>4065</v>
      </c>
      <c r="H622" s="51"/>
      <c r="I622" s="51" t="b">
        <v>0</v>
      </c>
      <c r="J622" s="51" t="b">
        <v>0</v>
      </c>
      <c r="K622" s="51" t="b">
        <v>1</v>
      </c>
      <c r="L622" s="51" t="s">
        <v>66</v>
      </c>
      <c r="M622" s="51"/>
      <c r="N622" s="51" t="str">
        <f>_xlfn.IFNA(VLOOKUP($M622,Buff.CM!$A:$O,13,FALSE),"")</f>
        <v/>
      </c>
      <c r="O622" s="51" t="str">
        <f>_xlfn.IFNA(VLOOKUP($M622,Buff.CM!$A:$O,14,FALSE),"")</f>
        <v/>
      </c>
      <c r="P622" s="51" t="str">
        <f>_xlfn.IFNA(VLOOKUP($M622,Buff.CM!$A:$O,15,FALSE),"")</f>
        <v/>
      </c>
      <c r="Q622" s="51" t="b">
        <v>0</v>
      </c>
      <c r="R622" s="51" t="b">
        <v>0</v>
      </c>
    </row>
    <row r="623" spans="1:18" s="154" customFormat="1">
      <c r="A623" s="51" t="s">
        <v>4066</v>
      </c>
      <c r="B623" s="51"/>
      <c r="C623" s="51"/>
      <c r="D623" s="51">
        <v>10000</v>
      </c>
      <c r="E623" s="51">
        <v>0</v>
      </c>
      <c r="F623" s="51">
        <v>0</v>
      </c>
      <c r="G623" s="52" t="s">
        <v>4067</v>
      </c>
      <c r="H623" s="51"/>
      <c r="I623" s="51" t="b">
        <v>0</v>
      </c>
      <c r="J623" s="51" t="b">
        <v>0</v>
      </c>
      <c r="K623" s="51" t="b">
        <v>1</v>
      </c>
      <c r="L623" s="51" t="s">
        <v>66</v>
      </c>
      <c r="M623" s="51"/>
      <c r="N623" s="51" t="str">
        <f>_xlfn.IFNA(VLOOKUP($M623,Buff.CM!$A:$O,13,FALSE),"")</f>
        <v/>
      </c>
      <c r="O623" s="51" t="str">
        <f>_xlfn.IFNA(VLOOKUP($M623,Buff.CM!$A:$O,14,FALSE),"")</f>
        <v/>
      </c>
      <c r="P623" s="51" t="str">
        <f>_xlfn.IFNA(VLOOKUP($M623,Buff.CM!$A:$O,15,FALSE),"")</f>
        <v/>
      </c>
      <c r="Q623" s="51" t="b">
        <v>0</v>
      </c>
      <c r="R623" s="51" t="b">
        <v>0</v>
      </c>
    </row>
    <row r="624" spans="1:18" s="154" customFormat="1">
      <c r="A624" s="51" t="s">
        <v>4068</v>
      </c>
      <c r="B624" s="51"/>
      <c r="C624" s="51"/>
      <c r="D624" s="51">
        <v>10000</v>
      </c>
      <c r="E624" s="51">
        <v>0</v>
      </c>
      <c r="F624" s="51">
        <v>0</v>
      </c>
      <c r="G624" s="52" t="s">
        <v>4069</v>
      </c>
      <c r="H624" s="51"/>
      <c r="I624" s="51" t="b">
        <v>0</v>
      </c>
      <c r="J624" s="51" t="b">
        <v>0</v>
      </c>
      <c r="K624" s="51" t="b">
        <v>1</v>
      </c>
      <c r="L624" s="51" t="s">
        <v>66</v>
      </c>
      <c r="M624" s="51"/>
      <c r="N624" s="51" t="str">
        <f>_xlfn.IFNA(VLOOKUP($M624,Buff.CM!$A:$O,13,FALSE),"")</f>
        <v/>
      </c>
      <c r="O624" s="51" t="str">
        <f>_xlfn.IFNA(VLOOKUP($M624,Buff.CM!$A:$O,14,FALSE),"")</f>
        <v/>
      </c>
      <c r="P624" s="51" t="str">
        <f>_xlfn.IFNA(VLOOKUP($M624,Buff.CM!$A:$O,15,FALSE),"")</f>
        <v/>
      </c>
      <c r="Q624" s="51" t="b">
        <v>0</v>
      </c>
      <c r="R624" s="51" t="b">
        <v>0</v>
      </c>
    </row>
    <row r="625" spans="1:18" s="154" customFormat="1">
      <c r="A625" s="51" t="s">
        <v>4070</v>
      </c>
      <c r="B625" s="51"/>
      <c r="C625" s="51"/>
      <c r="D625" s="51">
        <v>10000</v>
      </c>
      <c r="E625" s="51">
        <v>0</v>
      </c>
      <c r="F625" s="51">
        <v>0</v>
      </c>
      <c r="G625" s="52" t="s">
        <v>4071</v>
      </c>
      <c r="H625" s="51"/>
      <c r="I625" s="51" t="b">
        <v>0</v>
      </c>
      <c r="J625" s="51" t="b">
        <v>0</v>
      </c>
      <c r="K625" s="51" t="b">
        <v>1</v>
      </c>
      <c r="L625" s="51" t="s">
        <v>66</v>
      </c>
      <c r="M625" s="51"/>
      <c r="N625" s="51" t="str">
        <f>_xlfn.IFNA(VLOOKUP($M625,Buff.CM!$A:$O,13,FALSE),"")</f>
        <v/>
      </c>
      <c r="O625" s="51" t="str">
        <f>_xlfn.IFNA(VLOOKUP($M625,Buff.CM!$A:$O,14,FALSE),"")</f>
        <v/>
      </c>
      <c r="P625" s="51" t="str">
        <f>_xlfn.IFNA(VLOOKUP($M625,Buff.CM!$A:$O,15,FALSE),"")</f>
        <v/>
      </c>
      <c r="Q625" s="51" t="b">
        <v>0</v>
      </c>
      <c r="R625" s="51" t="b">
        <v>0</v>
      </c>
    </row>
    <row r="626" spans="1:18">
      <c r="A626" s="34" t="s">
        <v>4072</v>
      </c>
      <c r="B626" s="34"/>
      <c r="C626" s="34"/>
      <c r="D626" s="34">
        <v>10000</v>
      </c>
      <c r="E626" s="34">
        <v>0</v>
      </c>
      <c r="F626" s="34">
        <v>0</v>
      </c>
      <c r="G626" s="40" t="s">
        <v>4073</v>
      </c>
      <c r="H626" s="34"/>
      <c r="I626" s="34" t="b">
        <v>0</v>
      </c>
      <c r="J626" s="34" t="b">
        <v>0</v>
      </c>
      <c r="K626" s="34" t="b">
        <v>1</v>
      </c>
      <c r="L626" s="34" t="s">
        <v>66</v>
      </c>
      <c r="M626" s="34"/>
      <c r="N626" s="34" t="str">
        <f>_xlfn.IFNA(VLOOKUP($M626,Buff.CM!$A:$O,13,FALSE),"")</f>
        <v/>
      </c>
      <c r="O626" s="34" t="str">
        <f>_xlfn.IFNA(VLOOKUP($M626,Buff.CM!$A:$O,14,FALSE),"")</f>
        <v/>
      </c>
      <c r="P626" s="34" t="str">
        <f>_xlfn.IFNA(VLOOKUP($M626,Buff.CM!$A:$O,15,FALSE),"")</f>
        <v/>
      </c>
      <c r="Q626" s="34" t="b">
        <v>0</v>
      </c>
      <c r="R626" s="34" t="b">
        <v>0</v>
      </c>
    </row>
    <row r="627" spans="1:18">
      <c r="A627" s="34" t="s">
        <v>4074</v>
      </c>
      <c r="B627" s="34"/>
      <c r="C627" s="34"/>
      <c r="D627" s="34">
        <v>10000</v>
      </c>
      <c r="E627" s="34">
        <v>0</v>
      </c>
      <c r="F627" s="34">
        <v>0</v>
      </c>
      <c r="G627" s="40" t="s">
        <v>4075</v>
      </c>
      <c r="H627" s="34"/>
      <c r="I627" s="34" t="b">
        <v>0</v>
      </c>
      <c r="J627" s="34" t="b">
        <v>0</v>
      </c>
      <c r="K627" s="34" t="b">
        <v>1</v>
      </c>
      <c r="L627" s="34" t="s">
        <v>66</v>
      </c>
      <c r="M627" s="34"/>
      <c r="N627" s="34" t="str">
        <f>_xlfn.IFNA(VLOOKUP($M627,Buff.CM!$A:$O,13,FALSE),"")</f>
        <v/>
      </c>
      <c r="O627" s="34" t="str">
        <f>_xlfn.IFNA(VLOOKUP($M627,Buff.CM!$A:$O,14,FALSE),"")</f>
        <v/>
      </c>
      <c r="P627" s="34" t="str">
        <f>_xlfn.IFNA(VLOOKUP($M627,Buff.CM!$A:$O,15,FALSE),"")</f>
        <v/>
      </c>
      <c r="Q627" s="34" t="b">
        <v>0</v>
      </c>
      <c r="R627" s="34" t="b">
        <v>0</v>
      </c>
    </row>
    <row r="628" spans="1:18">
      <c r="A628" s="34" t="s">
        <v>3350</v>
      </c>
      <c r="B628" s="34"/>
      <c r="C628" s="34"/>
      <c r="D628" s="34">
        <v>300</v>
      </c>
      <c r="E628" s="34">
        <v>0</v>
      </c>
      <c r="F628" s="34">
        <v>0</v>
      </c>
      <c r="G628" s="34" t="s">
        <v>263</v>
      </c>
      <c r="H628" s="34"/>
      <c r="I628" s="34" t="b">
        <v>0</v>
      </c>
      <c r="J628" s="34" t="b">
        <v>0</v>
      </c>
      <c r="K628" s="34" t="b">
        <v>0</v>
      </c>
      <c r="L628" s="34" t="s">
        <v>314</v>
      </c>
      <c r="M628" s="34" t="s">
        <v>5467</v>
      </c>
      <c r="N628" s="34" t="str">
        <f>_xlfn.IFNA(VLOOKUP($M628,Buff.CM!$A:$O,13,FALSE),"")</f>
        <v>icon_cha_skill_backstep_u</v>
      </c>
      <c r="O628" s="34" t="str">
        <f>_xlfn.IFNA(VLOOKUP($M628,Buff.CM!$A:$O,14,FALSE),"")</f>
        <v>Buff.Name.Airborne</v>
      </c>
      <c r="P628" s="34" t="str">
        <f>_xlfn.IFNA(VLOOKUP($M628,Buff.CM!$A:$O,15,FALSE),"")</f>
        <v>Buff.Desc.Airborne</v>
      </c>
      <c r="Q628" s="34" t="b">
        <v>0</v>
      </c>
      <c r="R628" s="34" t="b">
        <v>0</v>
      </c>
    </row>
    <row r="629" spans="1:18" s="154" customFormat="1">
      <c r="A629" s="51" t="s">
        <v>6703</v>
      </c>
      <c r="B629" s="51"/>
      <c r="C629" s="51"/>
      <c r="D629" s="51">
        <v>0</v>
      </c>
      <c r="E629" s="51">
        <v>0</v>
      </c>
      <c r="F629" s="51">
        <v>0</v>
      </c>
      <c r="G629" s="52" t="s">
        <v>6704</v>
      </c>
      <c r="H629" s="51"/>
      <c r="I629" s="51" t="b">
        <v>0</v>
      </c>
      <c r="J629" s="51" t="b">
        <v>0</v>
      </c>
      <c r="K629" s="51" t="b">
        <v>1</v>
      </c>
      <c r="L629" s="51"/>
      <c r="M629" s="51"/>
      <c r="N629" s="51" t="str">
        <f>_xlfn.IFNA(VLOOKUP($M629,Buff.CM!$A:$O,13,FALSE),"")</f>
        <v/>
      </c>
      <c r="O629" s="51" t="str">
        <f>_xlfn.IFNA(VLOOKUP($M629,Buff.CM!$A:$O,14,FALSE),"")</f>
        <v/>
      </c>
      <c r="P629" s="51" t="str">
        <f>_xlfn.IFNA(VLOOKUP($M629,Buff.CM!$A:$O,15,FALSE),"")</f>
        <v/>
      </c>
      <c r="Q629" s="51" t="b">
        <v>0</v>
      </c>
      <c r="R629" s="51" t="b">
        <v>0</v>
      </c>
    </row>
    <row r="630" spans="1:18" s="154" customFormat="1">
      <c r="A630" s="51" t="s">
        <v>3354</v>
      </c>
      <c r="B630" s="51"/>
      <c r="C630" s="51"/>
      <c r="D630" s="51">
        <v>0</v>
      </c>
      <c r="E630" s="51">
        <v>0</v>
      </c>
      <c r="F630" s="51">
        <v>0</v>
      </c>
      <c r="G630" s="52" t="s">
        <v>3360</v>
      </c>
      <c r="H630" s="51"/>
      <c r="I630" s="51" t="b">
        <v>0</v>
      </c>
      <c r="J630" s="51" t="b">
        <v>0</v>
      </c>
      <c r="K630" s="51" t="b">
        <v>1</v>
      </c>
      <c r="L630" s="51"/>
      <c r="M630" s="51"/>
      <c r="N630" s="51" t="str">
        <f>_xlfn.IFNA(VLOOKUP($M630,Buff.CM!$A:$O,13,FALSE),"")</f>
        <v/>
      </c>
      <c r="O630" s="51" t="str">
        <f>_xlfn.IFNA(VLOOKUP($M630,Buff.CM!$A:$O,14,FALSE),"")</f>
        <v/>
      </c>
      <c r="P630" s="51" t="str">
        <f>_xlfn.IFNA(VLOOKUP($M630,Buff.CM!$A:$O,15,FALSE),"")</f>
        <v/>
      </c>
      <c r="Q630" s="51" t="b">
        <v>0</v>
      </c>
      <c r="R630" s="51" t="b">
        <v>0</v>
      </c>
    </row>
    <row r="631" spans="1:18" s="154" customFormat="1">
      <c r="A631" s="51" t="s">
        <v>3355</v>
      </c>
      <c r="B631" s="51"/>
      <c r="C631" s="51"/>
      <c r="D631" s="51">
        <v>0</v>
      </c>
      <c r="E631" s="51">
        <v>0</v>
      </c>
      <c r="F631" s="51">
        <v>0</v>
      </c>
      <c r="G631" s="52" t="s">
        <v>3361</v>
      </c>
      <c r="H631" s="51"/>
      <c r="I631" s="51" t="b">
        <v>0</v>
      </c>
      <c r="J631" s="51" t="b">
        <v>0</v>
      </c>
      <c r="K631" s="51" t="b">
        <v>1</v>
      </c>
      <c r="L631" s="51"/>
      <c r="M631" s="51"/>
      <c r="N631" s="51" t="str">
        <f>_xlfn.IFNA(VLOOKUP($M631,Buff.CM!$A:$O,13,FALSE),"")</f>
        <v/>
      </c>
      <c r="O631" s="51" t="str">
        <f>_xlfn.IFNA(VLOOKUP($M631,Buff.CM!$A:$O,14,FALSE),"")</f>
        <v/>
      </c>
      <c r="P631" s="51" t="str">
        <f>_xlfn.IFNA(VLOOKUP($M631,Buff.CM!$A:$O,15,FALSE),"")</f>
        <v/>
      </c>
      <c r="Q631" s="51" t="b">
        <v>0</v>
      </c>
      <c r="R631" s="51" t="b">
        <v>0</v>
      </c>
    </row>
    <row r="632" spans="1:18" s="154" customFormat="1">
      <c r="A632" s="51" t="s">
        <v>3356</v>
      </c>
      <c r="B632" s="51"/>
      <c r="C632" s="51"/>
      <c r="D632" s="51">
        <v>0</v>
      </c>
      <c r="E632" s="51">
        <v>0</v>
      </c>
      <c r="F632" s="51">
        <v>0</v>
      </c>
      <c r="G632" s="52" t="s">
        <v>3362</v>
      </c>
      <c r="H632" s="51"/>
      <c r="I632" s="51" t="b">
        <v>0</v>
      </c>
      <c r="J632" s="51" t="b">
        <v>0</v>
      </c>
      <c r="K632" s="51" t="b">
        <v>1</v>
      </c>
      <c r="L632" s="51"/>
      <c r="M632" s="51"/>
      <c r="N632" s="51" t="str">
        <f>_xlfn.IFNA(VLOOKUP($M632,Buff.CM!$A:$O,13,FALSE),"")</f>
        <v/>
      </c>
      <c r="O632" s="51" t="str">
        <f>_xlfn.IFNA(VLOOKUP($M632,Buff.CM!$A:$O,14,FALSE),"")</f>
        <v/>
      </c>
      <c r="P632" s="51" t="str">
        <f>_xlfn.IFNA(VLOOKUP($M632,Buff.CM!$A:$O,15,FALSE),"")</f>
        <v/>
      </c>
      <c r="Q632" s="51" t="b">
        <v>0</v>
      </c>
      <c r="R632" s="51" t="b">
        <v>0</v>
      </c>
    </row>
    <row r="633" spans="1:18" s="154" customFormat="1">
      <c r="A633" s="51" t="s">
        <v>3357</v>
      </c>
      <c r="B633" s="51"/>
      <c r="C633" s="51"/>
      <c r="D633" s="51">
        <v>0</v>
      </c>
      <c r="E633" s="51">
        <v>0</v>
      </c>
      <c r="F633" s="51">
        <v>0</v>
      </c>
      <c r="G633" s="52" t="s">
        <v>3363</v>
      </c>
      <c r="H633" s="51"/>
      <c r="I633" s="51" t="b">
        <v>0</v>
      </c>
      <c r="J633" s="51" t="b">
        <v>0</v>
      </c>
      <c r="K633" s="51" t="b">
        <v>1</v>
      </c>
      <c r="L633" s="51"/>
      <c r="M633" s="51"/>
      <c r="N633" s="51" t="str">
        <f>_xlfn.IFNA(VLOOKUP($M633,Buff.CM!$A:$O,13,FALSE),"")</f>
        <v/>
      </c>
      <c r="O633" s="51" t="str">
        <f>_xlfn.IFNA(VLOOKUP($M633,Buff.CM!$A:$O,14,FALSE),"")</f>
        <v/>
      </c>
      <c r="P633" s="51" t="str">
        <f>_xlfn.IFNA(VLOOKUP($M633,Buff.CM!$A:$O,15,FALSE),"")</f>
        <v/>
      </c>
      <c r="Q633" s="51" t="b">
        <v>0</v>
      </c>
      <c r="R633" s="51" t="b">
        <v>0</v>
      </c>
    </row>
    <row r="634" spans="1:18">
      <c r="A634" s="34" t="s">
        <v>3358</v>
      </c>
      <c r="B634" s="34"/>
      <c r="C634" s="34"/>
      <c r="D634" s="34">
        <v>0</v>
      </c>
      <c r="E634" s="34">
        <v>0</v>
      </c>
      <c r="F634" s="34">
        <v>0</v>
      </c>
      <c r="G634" s="40" t="s">
        <v>3364</v>
      </c>
      <c r="H634" s="34"/>
      <c r="I634" s="34" t="b">
        <v>0</v>
      </c>
      <c r="J634" s="34" t="b">
        <v>0</v>
      </c>
      <c r="K634" s="34" t="b">
        <v>1</v>
      </c>
      <c r="L634" s="34"/>
      <c r="M634" s="34"/>
      <c r="N634" s="34" t="str">
        <f>_xlfn.IFNA(VLOOKUP($M634,Buff.CM!$A:$O,13,FALSE),"")</f>
        <v/>
      </c>
      <c r="O634" s="34" t="str">
        <f>_xlfn.IFNA(VLOOKUP($M634,Buff.CM!$A:$O,14,FALSE),"")</f>
        <v/>
      </c>
      <c r="P634" s="34" t="str">
        <f>_xlfn.IFNA(VLOOKUP($M634,Buff.CM!$A:$O,15,FALSE),"")</f>
        <v/>
      </c>
      <c r="Q634" s="34" t="b">
        <v>0</v>
      </c>
      <c r="R634" s="34" t="b">
        <v>0</v>
      </c>
    </row>
    <row r="635" spans="1:18">
      <c r="A635" s="34" t="s">
        <v>3359</v>
      </c>
      <c r="B635" s="34"/>
      <c r="C635" s="34"/>
      <c r="D635" s="34">
        <v>0</v>
      </c>
      <c r="E635" s="34">
        <v>0</v>
      </c>
      <c r="F635" s="34">
        <v>0</v>
      </c>
      <c r="G635" s="40" t="s">
        <v>3365</v>
      </c>
      <c r="H635" s="34"/>
      <c r="I635" s="34" t="b">
        <v>0</v>
      </c>
      <c r="J635" s="34" t="b">
        <v>0</v>
      </c>
      <c r="K635" s="34" t="b">
        <v>1</v>
      </c>
      <c r="L635" s="34"/>
      <c r="M635" s="34"/>
      <c r="N635" s="34" t="str">
        <f>_xlfn.IFNA(VLOOKUP($M635,Buff.CM!$A:$O,13,FALSE),"")</f>
        <v/>
      </c>
      <c r="O635" s="34" t="str">
        <f>_xlfn.IFNA(VLOOKUP($M635,Buff.CM!$A:$O,14,FALSE),"")</f>
        <v/>
      </c>
      <c r="P635" s="34" t="str">
        <f>_xlfn.IFNA(VLOOKUP($M635,Buff.CM!$A:$O,15,FALSE),"")</f>
        <v/>
      </c>
      <c r="Q635" s="34" t="b">
        <v>0</v>
      </c>
      <c r="R635" s="34" t="b">
        <v>0</v>
      </c>
    </row>
    <row r="636" spans="1:18" s="154" customFormat="1">
      <c r="A636" s="51" t="s">
        <v>6705</v>
      </c>
      <c r="B636" s="51"/>
      <c r="C636" s="51"/>
      <c r="D636" s="51">
        <v>8000</v>
      </c>
      <c r="E636" s="51">
        <v>0</v>
      </c>
      <c r="F636" s="51">
        <v>0</v>
      </c>
      <c r="G636" s="52" t="s">
        <v>3325</v>
      </c>
      <c r="H636" s="51"/>
      <c r="I636" s="51" t="b">
        <v>0</v>
      </c>
      <c r="J636" s="51" t="b">
        <v>0</v>
      </c>
      <c r="K636" s="51" t="b">
        <v>1</v>
      </c>
      <c r="L636" s="51" t="s">
        <v>66</v>
      </c>
      <c r="M636" s="52" t="s">
        <v>3325</v>
      </c>
      <c r="N636" s="51" t="str">
        <f>_xlfn.IFNA(VLOOKUP($M636,Buff.CM!$A:$O,13,FALSE),"")</f>
        <v>icon_battle_attack</v>
      </c>
      <c r="O636" s="51" t="str">
        <f>_xlfn.IFNA(VLOOKUP($M636,Buff.CM!$A:$O,14,FALSE),"")</f>
        <v>Buff.Name.NormalDamage.Up.02</v>
      </c>
      <c r="P636" s="51" t="str">
        <f>_xlfn.IFNA(VLOOKUP($M636,Buff.CM!$A:$O,15,FALSE),"")</f>
        <v>Buff.Desc.NormalDamage.Up.02</v>
      </c>
      <c r="Q636" s="51" t="b">
        <v>0</v>
      </c>
      <c r="R636" s="51" t="b">
        <v>0</v>
      </c>
    </row>
    <row r="637" spans="1:18" s="154" customFormat="1">
      <c r="A637" s="51" t="s">
        <v>5487</v>
      </c>
      <c r="B637" s="51"/>
      <c r="C637" s="51"/>
      <c r="D637" s="51">
        <v>8000</v>
      </c>
      <c r="E637" s="51">
        <v>0</v>
      </c>
      <c r="F637" s="51">
        <v>0</v>
      </c>
      <c r="G637" s="52" t="s">
        <v>3325</v>
      </c>
      <c r="H637" s="51"/>
      <c r="I637" s="51" t="b">
        <v>0</v>
      </c>
      <c r="J637" s="51" t="b">
        <v>0</v>
      </c>
      <c r="K637" s="51" t="b">
        <v>1</v>
      </c>
      <c r="L637" s="51" t="s">
        <v>66</v>
      </c>
      <c r="M637" s="52" t="s">
        <v>3325</v>
      </c>
      <c r="N637" s="51" t="str">
        <f>_xlfn.IFNA(VLOOKUP($M637,Buff.CM!$A:$O,13,FALSE),"")</f>
        <v>icon_battle_attack</v>
      </c>
      <c r="O637" s="51" t="str">
        <f>_xlfn.IFNA(VLOOKUP($M637,Buff.CM!$A:$O,14,FALSE),"")</f>
        <v>Buff.Name.NormalDamage.Up.02</v>
      </c>
      <c r="P637" s="51" t="str">
        <f>_xlfn.IFNA(VLOOKUP($M637,Buff.CM!$A:$O,15,FALSE),"")</f>
        <v>Buff.Desc.NormalDamage.Up.02</v>
      </c>
      <c r="Q637" s="51" t="b">
        <v>0</v>
      </c>
      <c r="R637" s="51" t="b">
        <v>0</v>
      </c>
    </row>
    <row r="638" spans="1:18" s="154" customFormat="1">
      <c r="A638" s="51" t="s">
        <v>5488</v>
      </c>
      <c r="B638" s="51"/>
      <c r="C638" s="51"/>
      <c r="D638" s="51">
        <v>8000</v>
      </c>
      <c r="E638" s="51">
        <v>0</v>
      </c>
      <c r="F638" s="51">
        <v>0</v>
      </c>
      <c r="G638" s="52" t="s">
        <v>3326</v>
      </c>
      <c r="H638" s="51"/>
      <c r="I638" s="51" t="b">
        <v>0</v>
      </c>
      <c r="J638" s="51" t="b">
        <v>0</v>
      </c>
      <c r="K638" s="51" t="b">
        <v>1</v>
      </c>
      <c r="L638" s="51" t="s">
        <v>66</v>
      </c>
      <c r="M638" s="52" t="s">
        <v>3326</v>
      </c>
      <c r="N638" s="51" t="str">
        <f>_xlfn.IFNA(VLOOKUP($M638,Buff.CM!$A:$O,13,FALSE),"")</f>
        <v>icon_battle_attack</v>
      </c>
      <c r="O638" s="51" t="str">
        <f>_xlfn.IFNA(VLOOKUP($M638,Buff.CM!$A:$O,14,FALSE),"")</f>
        <v>Buff.Name.NormalDamage.Up.03</v>
      </c>
      <c r="P638" s="51" t="str">
        <f>_xlfn.IFNA(VLOOKUP($M638,Buff.CM!$A:$O,15,FALSE),"")</f>
        <v>Buff.Desc.NormalDamage.Up.03</v>
      </c>
      <c r="Q638" s="51" t="b">
        <v>0</v>
      </c>
      <c r="R638" s="51" t="b">
        <v>0</v>
      </c>
    </row>
    <row r="639" spans="1:18" s="154" customFormat="1">
      <c r="A639" s="51" t="s">
        <v>5489</v>
      </c>
      <c r="B639" s="51"/>
      <c r="C639" s="51"/>
      <c r="D639" s="51">
        <v>8000</v>
      </c>
      <c r="E639" s="51">
        <v>0</v>
      </c>
      <c r="F639" s="51">
        <v>0</v>
      </c>
      <c r="G639" s="52" t="s">
        <v>3326</v>
      </c>
      <c r="H639" s="51"/>
      <c r="I639" s="51" t="b">
        <v>0</v>
      </c>
      <c r="J639" s="51" t="b">
        <v>0</v>
      </c>
      <c r="K639" s="51" t="b">
        <v>1</v>
      </c>
      <c r="L639" s="51" t="s">
        <v>66</v>
      </c>
      <c r="M639" s="52" t="s">
        <v>3326</v>
      </c>
      <c r="N639" s="51" t="str">
        <f>_xlfn.IFNA(VLOOKUP($M639,Buff.CM!$A:$O,13,FALSE),"")</f>
        <v>icon_battle_attack</v>
      </c>
      <c r="O639" s="51" t="str">
        <f>_xlfn.IFNA(VLOOKUP($M639,Buff.CM!$A:$O,14,FALSE),"")</f>
        <v>Buff.Name.NormalDamage.Up.03</v>
      </c>
      <c r="P639" s="51" t="str">
        <f>_xlfn.IFNA(VLOOKUP($M639,Buff.CM!$A:$O,15,FALSE),"")</f>
        <v>Buff.Desc.NormalDamage.Up.03</v>
      </c>
      <c r="Q639" s="51" t="b">
        <v>0</v>
      </c>
      <c r="R639" s="51" t="b">
        <v>0</v>
      </c>
    </row>
    <row r="640" spans="1:18" s="154" customFormat="1">
      <c r="A640" s="51" t="s">
        <v>5490</v>
      </c>
      <c r="B640" s="51"/>
      <c r="C640" s="51"/>
      <c r="D640" s="51">
        <v>8000</v>
      </c>
      <c r="E640" s="51">
        <v>0</v>
      </c>
      <c r="F640" s="51">
        <v>0</v>
      </c>
      <c r="G640" s="52" t="s">
        <v>3327</v>
      </c>
      <c r="H640" s="51"/>
      <c r="I640" s="51" t="b">
        <v>0</v>
      </c>
      <c r="J640" s="51" t="b">
        <v>0</v>
      </c>
      <c r="K640" s="51" t="b">
        <v>1</v>
      </c>
      <c r="L640" s="51" t="s">
        <v>66</v>
      </c>
      <c r="M640" s="52" t="s">
        <v>3327</v>
      </c>
      <c r="N640" s="51" t="str">
        <f>_xlfn.IFNA(VLOOKUP($M640,Buff.CM!$A:$O,13,FALSE),"")</f>
        <v>icon_battle_attack</v>
      </c>
      <c r="O640" s="51" t="str">
        <f>_xlfn.IFNA(VLOOKUP($M640,Buff.CM!$A:$O,14,FALSE),"")</f>
        <v>Buff.Name.NormalDamage.Up.04</v>
      </c>
      <c r="P640" s="51" t="str">
        <f>_xlfn.IFNA(VLOOKUP($M640,Buff.CM!$A:$O,15,FALSE),"")</f>
        <v>Buff.Desc.NormalDamage.Up.04</v>
      </c>
      <c r="Q640" s="51" t="b">
        <v>0</v>
      </c>
      <c r="R640" s="51" t="b">
        <v>0</v>
      </c>
    </row>
    <row r="641" spans="1:18">
      <c r="A641" s="34" t="s">
        <v>5491</v>
      </c>
      <c r="B641" s="34"/>
      <c r="C641" s="34"/>
      <c r="D641" s="34">
        <v>8000</v>
      </c>
      <c r="E641" s="34">
        <v>0</v>
      </c>
      <c r="F641" s="34">
        <v>0</v>
      </c>
      <c r="G641" s="40" t="s">
        <v>3326</v>
      </c>
      <c r="H641" s="34"/>
      <c r="I641" s="34" t="b">
        <v>0</v>
      </c>
      <c r="J641" s="34" t="b">
        <v>0</v>
      </c>
      <c r="K641" s="34" t="b">
        <v>1</v>
      </c>
      <c r="L641" s="34" t="s">
        <v>66</v>
      </c>
      <c r="M641" s="34" t="s">
        <v>3326</v>
      </c>
      <c r="N641" s="34" t="str">
        <f>_xlfn.IFNA(VLOOKUP($M641,Buff.CM!$A:$O,13,FALSE),"")</f>
        <v>icon_battle_attack</v>
      </c>
      <c r="O641" s="34" t="str">
        <f>_xlfn.IFNA(VLOOKUP($M641,Buff.CM!$A:$O,14,FALSE),"")</f>
        <v>Buff.Name.NormalDamage.Up.03</v>
      </c>
      <c r="P641" s="34" t="str">
        <f>_xlfn.IFNA(VLOOKUP($M641,Buff.CM!$A:$O,15,FALSE),"")</f>
        <v>Buff.Desc.NormalDamage.Up.03</v>
      </c>
      <c r="Q641" s="34" t="b">
        <v>0</v>
      </c>
      <c r="R641" s="34" t="b">
        <v>0</v>
      </c>
    </row>
    <row r="642" spans="1:18">
      <c r="A642" s="34" t="s">
        <v>5492</v>
      </c>
      <c r="B642" s="34"/>
      <c r="C642" s="34"/>
      <c r="D642" s="34">
        <v>8000</v>
      </c>
      <c r="E642" s="34">
        <v>0</v>
      </c>
      <c r="F642" s="34">
        <v>0</v>
      </c>
      <c r="G642" s="40" t="s">
        <v>3326</v>
      </c>
      <c r="H642" s="34"/>
      <c r="I642" s="34" t="b">
        <v>0</v>
      </c>
      <c r="J642" s="34" t="b">
        <v>0</v>
      </c>
      <c r="K642" s="34" t="b">
        <v>1</v>
      </c>
      <c r="L642" s="34" t="s">
        <v>66</v>
      </c>
      <c r="M642" s="34" t="s">
        <v>3326</v>
      </c>
      <c r="N642" s="34" t="str">
        <f>_xlfn.IFNA(VLOOKUP($M642,Buff.CM!$A:$O,13,FALSE),"")</f>
        <v>icon_battle_attack</v>
      </c>
      <c r="O642" s="34" t="str">
        <f>_xlfn.IFNA(VLOOKUP($M642,Buff.CM!$A:$O,14,FALSE),"")</f>
        <v>Buff.Name.NormalDamage.Up.03</v>
      </c>
      <c r="P642" s="34" t="str">
        <f>_xlfn.IFNA(VLOOKUP($M642,Buff.CM!$A:$O,15,FALSE),"")</f>
        <v>Buff.Desc.NormalDamage.Up.03</v>
      </c>
      <c r="Q642" s="34" t="b">
        <v>0</v>
      </c>
      <c r="R642" s="34" t="b">
        <v>0</v>
      </c>
    </row>
    <row r="643" spans="1:18" s="154" customFormat="1">
      <c r="A643" s="51" t="s">
        <v>6706</v>
      </c>
      <c r="B643" s="51"/>
      <c r="C643" s="51"/>
      <c r="D643" s="51">
        <v>8000</v>
      </c>
      <c r="E643" s="51">
        <v>0</v>
      </c>
      <c r="F643" s="51">
        <v>0</v>
      </c>
      <c r="G643" s="52" t="s">
        <v>1676</v>
      </c>
      <c r="H643" s="51"/>
      <c r="I643" s="51" t="b">
        <v>0</v>
      </c>
      <c r="J643" s="51" t="b">
        <v>0</v>
      </c>
      <c r="K643" s="51" t="b">
        <v>1</v>
      </c>
      <c r="L643" s="51" t="s">
        <v>5474</v>
      </c>
      <c r="M643" s="52" t="s">
        <v>1676</v>
      </c>
      <c r="N643" s="51" t="str">
        <f>_xlfn.IFNA(VLOOKUP($M643,Buff.CM!$A:$O,13,FALSE),"")</f>
        <v>icon_battle_attackspeed</v>
      </c>
      <c r="O643" s="51" t="str">
        <f>_xlfn.IFNA(VLOOKUP($M643,Buff.CM!$A:$O,14,FALSE),"")</f>
        <v>Buff.Name.AtkSpeed.Up.01</v>
      </c>
      <c r="P643" s="51" t="str">
        <f>_xlfn.IFNA(VLOOKUP($M643,Buff.CM!$A:$O,15,FALSE),"")</f>
        <v>Buff.Desc.AtkSpeed.Up.01</v>
      </c>
      <c r="Q643" s="51" t="b">
        <v>0</v>
      </c>
      <c r="R643" s="51" t="b">
        <v>0</v>
      </c>
    </row>
    <row r="644" spans="1:18" s="154" customFormat="1">
      <c r="A644" s="51" t="s">
        <v>5493</v>
      </c>
      <c r="B644" s="51"/>
      <c r="C644" s="51"/>
      <c r="D644" s="51">
        <v>8000</v>
      </c>
      <c r="E644" s="51">
        <v>0</v>
      </c>
      <c r="F644" s="51">
        <v>0</v>
      </c>
      <c r="G644" s="52" t="s">
        <v>1676</v>
      </c>
      <c r="H644" s="51"/>
      <c r="I644" s="51" t="b">
        <v>0</v>
      </c>
      <c r="J644" s="51" t="b">
        <v>0</v>
      </c>
      <c r="K644" s="51" t="b">
        <v>1</v>
      </c>
      <c r="L644" s="51" t="s">
        <v>5474</v>
      </c>
      <c r="M644" s="52" t="s">
        <v>1676</v>
      </c>
      <c r="N644" s="51" t="str">
        <f>_xlfn.IFNA(VLOOKUP($M644,Buff.CM!$A:$O,13,FALSE),"")</f>
        <v>icon_battle_attackspeed</v>
      </c>
      <c r="O644" s="51" t="str">
        <f>_xlfn.IFNA(VLOOKUP($M644,Buff.CM!$A:$O,14,FALSE),"")</f>
        <v>Buff.Name.AtkSpeed.Up.01</v>
      </c>
      <c r="P644" s="51" t="str">
        <f>_xlfn.IFNA(VLOOKUP($M644,Buff.CM!$A:$O,15,FALSE),"")</f>
        <v>Buff.Desc.AtkSpeed.Up.01</v>
      </c>
      <c r="Q644" s="51" t="b">
        <v>0</v>
      </c>
      <c r="R644" s="51" t="b">
        <v>0</v>
      </c>
    </row>
    <row r="645" spans="1:18" s="154" customFormat="1">
      <c r="A645" s="51" t="s">
        <v>5494</v>
      </c>
      <c r="B645" s="51"/>
      <c r="C645" s="51"/>
      <c r="D645" s="51">
        <v>8000</v>
      </c>
      <c r="E645" s="51">
        <v>0</v>
      </c>
      <c r="F645" s="51">
        <v>0</v>
      </c>
      <c r="G645" s="52" t="s">
        <v>1431</v>
      </c>
      <c r="H645" s="51"/>
      <c r="I645" s="51" t="b">
        <v>0</v>
      </c>
      <c r="J645" s="51" t="b">
        <v>0</v>
      </c>
      <c r="K645" s="51" t="b">
        <v>1</v>
      </c>
      <c r="L645" s="51" t="s">
        <v>5474</v>
      </c>
      <c r="M645" s="52" t="s">
        <v>1431</v>
      </c>
      <c r="N645" s="51" t="str">
        <f>_xlfn.IFNA(VLOOKUP($M645,Buff.CM!$A:$O,13,FALSE),"")</f>
        <v>icon_battle_attackspeed</v>
      </c>
      <c r="O645" s="51" t="str">
        <f>_xlfn.IFNA(VLOOKUP($M645,Buff.CM!$A:$O,14,FALSE),"")</f>
        <v>Buff.Name.AtkSpeed.Up.02</v>
      </c>
      <c r="P645" s="51" t="str">
        <f>_xlfn.IFNA(VLOOKUP($M645,Buff.CM!$A:$O,15,FALSE),"")</f>
        <v>Buff.Desc.AtkSpeed.Up.02</v>
      </c>
      <c r="Q645" s="51" t="b">
        <v>0</v>
      </c>
      <c r="R645" s="51" t="b">
        <v>0</v>
      </c>
    </row>
    <row r="646" spans="1:18" s="154" customFormat="1">
      <c r="A646" s="51" t="s">
        <v>5495</v>
      </c>
      <c r="B646" s="51"/>
      <c r="C646" s="51"/>
      <c r="D646" s="51">
        <v>8000</v>
      </c>
      <c r="E646" s="51">
        <v>0</v>
      </c>
      <c r="F646" s="51">
        <v>0</v>
      </c>
      <c r="G646" s="52" t="s">
        <v>1431</v>
      </c>
      <c r="H646" s="51"/>
      <c r="I646" s="51" t="b">
        <v>0</v>
      </c>
      <c r="J646" s="51" t="b">
        <v>0</v>
      </c>
      <c r="K646" s="51" t="b">
        <v>1</v>
      </c>
      <c r="L646" s="51" t="s">
        <v>5474</v>
      </c>
      <c r="M646" s="52" t="s">
        <v>1431</v>
      </c>
      <c r="N646" s="51" t="str">
        <f>_xlfn.IFNA(VLOOKUP($M646,Buff.CM!$A:$O,13,FALSE),"")</f>
        <v>icon_battle_attackspeed</v>
      </c>
      <c r="O646" s="51" t="str">
        <f>_xlfn.IFNA(VLOOKUP($M646,Buff.CM!$A:$O,14,FALSE),"")</f>
        <v>Buff.Name.AtkSpeed.Up.02</v>
      </c>
      <c r="P646" s="51" t="str">
        <f>_xlfn.IFNA(VLOOKUP($M646,Buff.CM!$A:$O,15,FALSE),"")</f>
        <v>Buff.Desc.AtkSpeed.Up.02</v>
      </c>
      <c r="Q646" s="51" t="b">
        <v>0</v>
      </c>
      <c r="R646" s="51" t="b">
        <v>0</v>
      </c>
    </row>
    <row r="647" spans="1:18" s="154" customFormat="1">
      <c r="A647" s="51" t="s">
        <v>5496</v>
      </c>
      <c r="B647" s="51"/>
      <c r="C647" s="51"/>
      <c r="D647" s="51">
        <v>8000</v>
      </c>
      <c r="E647" s="51">
        <v>0</v>
      </c>
      <c r="F647" s="51">
        <v>0</v>
      </c>
      <c r="G647" s="52" t="s">
        <v>1432</v>
      </c>
      <c r="H647" s="51"/>
      <c r="I647" s="51" t="b">
        <v>0</v>
      </c>
      <c r="J647" s="51" t="b">
        <v>0</v>
      </c>
      <c r="K647" s="51" t="b">
        <v>1</v>
      </c>
      <c r="L647" s="51" t="s">
        <v>5474</v>
      </c>
      <c r="M647" s="52" t="s">
        <v>1432</v>
      </c>
      <c r="N647" s="51" t="str">
        <f>_xlfn.IFNA(VLOOKUP($M647,Buff.CM!$A:$O,13,FALSE),"")</f>
        <v>icon_battle_attackspeed</v>
      </c>
      <c r="O647" s="51" t="str">
        <f>_xlfn.IFNA(VLOOKUP($M647,Buff.CM!$A:$O,14,FALSE),"")</f>
        <v>Buff.Name.AtkSpeed.Up.03</v>
      </c>
      <c r="P647" s="51" t="str">
        <f>_xlfn.IFNA(VLOOKUP($M647,Buff.CM!$A:$O,15,FALSE),"")</f>
        <v>Buff.Desc.AtkSpeed.Up.03</v>
      </c>
      <c r="Q647" s="51" t="b">
        <v>0</v>
      </c>
      <c r="R647" s="51" t="b">
        <v>0</v>
      </c>
    </row>
    <row r="648" spans="1:18">
      <c r="A648" s="34" t="s">
        <v>5497</v>
      </c>
      <c r="B648" s="34"/>
      <c r="C648" s="34"/>
      <c r="D648" s="34">
        <v>8000</v>
      </c>
      <c r="E648" s="34">
        <v>0</v>
      </c>
      <c r="F648" s="34">
        <v>0</v>
      </c>
      <c r="G648" s="40" t="s">
        <v>1433</v>
      </c>
      <c r="H648" s="34"/>
      <c r="I648" s="34" t="b">
        <v>0</v>
      </c>
      <c r="J648" s="34" t="b">
        <v>0</v>
      </c>
      <c r="K648" s="34" t="b">
        <v>1</v>
      </c>
      <c r="L648" s="34" t="s">
        <v>5474</v>
      </c>
      <c r="M648" s="34" t="s">
        <v>1433</v>
      </c>
      <c r="N648" s="34" t="str">
        <f>_xlfn.IFNA(VLOOKUP($M648,Buff.CM!$A:$O,13,FALSE),"")</f>
        <v>icon_battle_attackspeed</v>
      </c>
      <c r="O648" s="34" t="str">
        <f>_xlfn.IFNA(VLOOKUP($M648,Buff.CM!$A:$O,14,FALSE),"")</f>
        <v>Buff.Name.AtkSpeed.Up.04</v>
      </c>
      <c r="P648" s="34" t="str">
        <f>_xlfn.IFNA(VLOOKUP($M648,Buff.CM!$A:$O,15,FALSE),"")</f>
        <v>Buff.Desc.AtkSpeed.Up.04</v>
      </c>
      <c r="Q648" s="34" t="b">
        <v>0</v>
      </c>
      <c r="R648" s="34" t="b">
        <v>0</v>
      </c>
    </row>
    <row r="649" spans="1:18">
      <c r="A649" s="34" t="s">
        <v>5498</v>
      </c>
      <c r="B649" s="34"/>
      <c r="C649" s="34"/>
      <c r="D649" s="34">
        <v>8000</v>
      </c>
      <c r="E649" s="34">
        <v>0</v>
      </c>
      <c r="F649" s="34">
        <v>0</v>
      </c>
      <c r="G649" s="40" t="s">
        <v>1433</v>
      </c>
      <c r="H649" s="34"/>
      <c r="I649" s="34" t="b">
        <v>0</v>
      </c>
      <c r="J649" s="34" t="b">
        <v>0</v>
      </c>
      <c r="K649" s="34" t="b">
        <v>1</v>
      </c>
      <c r="L649" s="34" t="s">
        <v>5474</v>
      </c>
      <c r="M649" s="34" t="s">
        <v>1433</v>
      </c>
      <c r="N649" s="34" t="str">
        <f>_xlfn.IFNA(VLOOKUP($M649,Buff.CM!$A:$O,13,FALSE),"")</f>
        <v>icon_battle_attackspeed</v>
      </c>
      <c r="O649" s="34" t="str">
        <f>_xlfn.IFNA(VLOOKUP($M649,Buff.CM!$A:$O,14,FALSE),"")</f>
        <v>Buff.Name.AtkSpeed.Up.04</v>
      </c>
      <c r="P649" s="34" t="str">
        <f>_xlfn.IFNA(VLOOKUP($M649,Buff.CM!$A:$O,15,FALSE),"")</f>
        <v>Buff.Desc.AtkSpeed.Up.04</v>
      </c>
      <c r="Q649" s="34" t="b">
        <v>0</v>
      </c>
      <c r="R649" s="34" t="b">
        <v>0</v>
      </c>
    </row>
    <row r="650" spans="1:18">
      <c r="A650" s="25" t="s">
        <v>4018</v>
      </c>
      <c r="B650" s="25"/>
      <c r="C650" s="25"/>
      <c r="D650" s="25">
        <v>4000</v>
      </c>
      <c r="E650" s="25">
        <v>0</v>
      </c>
      <c r="F650" s="25">
        <v>0</v>
      </c>
      <c r="G650" s="43" t="s">
        <v>1699</v>
      </c>
      <c r="H650" s="25"/>
      <c r="I650" s="25" t="b">
        <v>0</v>
      </c>
      <c r="J650" s="25" t="b">
        <v>0</v>
      </c>
      <c r="K650" s="25" t="b">
        <v>0</v>
      </c>
      <c r="L650" s="23" t="s">
        <v>175</v>
      </c>
      <c r="M650" s="43" t="s">
        <v>1699</v>
      </c>
      <c r="N650" s="25" t="str">
        <f>_xlfn.IFNA(VLOOKUP($M650,Buff.CM!$A:$O,13,FALSE),"")</f>
        <v>icon_battle_evasion</v>
      </c>
      <c r="O650" s="25" t="str">
        <f>_xlfn.IFNA(VLOOKUP($M650,Buff.CM!$A:$O,14,FALSE),"")</f>
        <v>Buff.Name.Evasion.Down.01</v>
      </c>
      <c r="P650" s="25" t="str">
        <f>_xlfn.IFNA(VLOOKUP($M650,Buff.CM!$A:$O,15,FALSE),"")</f>
        <v>Buff.Desc.Evasion.Down.01</v>
      </c>
      <c r="Q650" s="25" t="b">
        <v>0</v>
      </c>
      <c r="R650" s="25" t="b">
        <v>0</v>
      </c>
    </row>
    <row r="651" spans="1:18">
      <c r="A651" s="25" t="s">
        <v>4019</v>
      </c>
      <c r="B651" s="25"/>
      <c r="C651" s="25"/>
      <c r="D651" s="25">
        <v>4000</v>
      </c>
      <c r="E651" s="25">
        <v>0</v>
      </c>
      <c r="F651" s="25">
        <v>0</v>
      </c>
      <c r="G651" s="43" t="s">
        <v>1699</v>
      </c>
      <c r="H651" s="25"/>
      <c r="I651" s="25" t="b">
        <v>0</v>
      </c>
      <c r="J651" s="25" t="b">
        <v>0</v>
      </c>
      <c r="K651" s="25" t="b">
        <v>0</v>
      </c>
      <c r="L651" s="23" t="s">
        <v>175</v>
      </c>
      <c r="M651" s="43" t="s">
        <v>1699</v>
      </c>
      <c r="N651" s="25" t="str">
        <f>_xlfn.IFNA(VLOOKUP($M651,Buff.CM!$A:$O,13,FALSE),"")</f>
        <v>icon_battle_evasion</v>
      </c>
      <c r="O651" s="25" t="str">
        <f>_xlfn.IFNA(VLOOKUP($M651,Buff.CM!$A:$O,14,FALSE),"")</f>
        <v>Buff.Name.Evasion.Down.01</v>
      </c>
      <c r="P651" s="25" t="str">
        <f>_xlfn.IFNA(VLOOKUP($M651,Buff.CM!$A:$O,15,FALSE),"")</f>
        <v>Buff.Desc.Evasion.Down.01</v>
      </c>
      <c r="Q651" s="25" t="b">
        <v>0</v>
      </c>
      <c r="R651" s="25" t="b">
        <v>0</v>
      </c>
    </row>
    <row r="652" spans="1:18">
      <c r="A652" s="25" t="s">
        <v>4020</v>
      </c>
      <c r="B652" s="25"/>
      <c r="C652" s="25"/>
      <c r="D652" s="25">
        <v>4000</v>
      </c>
      <c r="E652" s="25">
        <v>0</v>
      </c>
      <c r="F652" s="25">
        <v>0</v>
      </c>
      <c r="G652" s="43" t="s">
        <v>1539</v>
      </c>
      <c r="H652" s="25"/>
      <c r="I652" s="25" t="b">
        <v>0</v>
      </c>
      <c r="J652" s="25" t="b">
        <v>0</v>
      </c>
      <c r="K652" s="25" t="b">
        <v>0</v>
      </c>
      <c r="L652" s="23" t="s">
        <v>175</v>
      </c>
      <c r="M652" s="43" t="s">
        <v>1539</v>
      </c>
      <c r="N652" s="25" t="str">
        <f>_xlfn.IFNA(VLOOKUP($M652,Buff.CM!$A:$O,13,FALSE),"")</f>
        <v>icon_battle_evasion</v>
      </c>
      <c r="O652" s="25" t="str">
        <f>_xlfn.IFNA(VLOOKUP($M652,Buff.CM!$A:$O,14,FALSE),"")</f>
        <v>Buff.Name.Evasion.Down.02</v>
      </c>
      <c r="P652" s="25" t="str">
        <f>_xlfn.IFNA(VLOOKUP($M652,Buff.CM!$A:$O,15,FALSE),"")</f>
        <v>Buff.Desc.Evasion.Down.02</v>
      </c>
      <c r="Q652" s="25" t="b">
        <v>0</v>
      </c>
      <c r="R652" s="25" t="b">
        <v>0</v>
      </c>
    </row>
    <row r="653" spans="1:18">
      <c r="A653" s="34" t="s">
        <v>4021</v>
      </c>
      <c r="B653" s="34"/>
      <c r="C653" s="34"/>
      <c r="D653" s="34">
        <v>4000</v>
      </c>
      <c r="E653" s="34">
        <v>0</v>
      </c>
      <c r="F653" s="34">
        <v>0</v>
      </c>
      <c r="G653" s="40" t="s">
        <v>1539</v>
      </c>
      <c r="H653" s="34"/>
      <c r="I653" s="34" t="b">
        <v>0</v>
      </c>
      <c r="J653" s="34" t="b">
        <v>0</v>
      </c>
      <c r="K653" s="34" t="b">
        <v>0</v>
      </c>
      <c r="L653" s="23" t="s">
        <v>175</v>
      </c>
      <c r="M653" s="40" t="s">
        <v>1539</v>
      </c>
      <c r="N653" s="34" t="str">
        <f>_xlfn.IFNA(VLOOKUP($M653,Buff.CM!$A:$O,13,FALSE),"")</f>
        <v>icon_battle_evasion</v>
      </c>
      <c r="O653" s="34" t="str">
        <f>_xlfn.IFNA(VLOOKUP($M653,Buff.CM!$A:$O,14,FALSE),"")</f>
        <v>Buff.Name.Evasion.Down.02</v>
      </c>
      <c r="P653" s="34" t="str">
        <f>_xlfn.IFNA(VLOOKUP($M653,Buff.CM!$A:$O,15,FALSE),"")</f>
        <v>Buff.Desc.Evasion.Down.02</v>
      </c>
      <c r="Q653" s="34" t="b">
        <v>0</v>
      </c>
      <c r="R653" s="34" t="b">
        <v>0</v>
      </c>
    </row>
    <row r="654" spans="1:18">
      <c r="A654" s="34" t="s">
        <v>4022</v>
      </c>
      <c r="B654" s="34"/>
      <c r="C654" s="34"/>
      <c r="D654" s="34">
        <v>4000</v>
      </c>
      <c r="E654" s="34">
        <v>0</v>
      </c>
      <c r="F654" s="34">
        <v>0</v>
      </c>
      <c r="G654" s="40" t="s">
        <v>1540</v>
      </c>
      <c r="H654" s="34"/>
      <c r="I654" s="34" t="b">
        <v>0</v>
      </c>
      <c r="J654" s="34" t="b">
        <v>0</v>
      </c>
      <c r="K654" s="34" t="b">
        <v>0</v>
      </c>
      <c r="L654" s="23" t="s">
        <v>175</v>
      </c>
      <c r="M654" s="40" t="s">
        <v>1540</v>
      </c>
      <c r="N654" s="34" t="str">
        <f>_xlfn.IFNA(VLOOKUP($M654,Buff.CM!$A:$O,13,FALSE),"")</f>
        <v>icon_battle_evasion</v>
      </c>
      <c r="O654" s="34" t="str">
        <f>_xlfn.IFNA(VLOOKUP($M654,Buff.CM!$A:$O,14,FALSE),"")</f>
        <v>Buff.Name.Evasion.Down.03</v>
      </c>
      <c r="P654" s="34" t="str">
        <f>_xlfn.IFNA(VLOOKUP($M654,Buff.CM!$A:$O,15,FALSE),"")</f>
        <v>Buff.Desc.Evasion.Down.03</v>
      </c>
      <c r="Q654" s="34" t="b">
        <v>0</v>
      </c>
      <c r="R654" s="34" t="b">
        <v>0</v>
      </c>
    </row>
    <row r="655" spans="1:18">
      <c r="A655" s="34" t="s">
        <v>4023</v>
      </c>
      <c r="B655" s="34"/>
      <c r="C655" s="34"/>
      <c r="D655" s="34">
        <v>4000</v>
      </c>
      <c r="E655" s="34">
        <v>0</v>
      </c>
      <c r="F655" s="34">
        <v>0</v>
      </c>
      <c r="G655" s="40" t="s">
        <v>1539</v>
      </c>
      <c r="H655" s="34"/>
      <c r="I655" s="34" t="b">
        <v>0</v>
      </c>
      <c r="J655" s="34" t="b">
        <v>0</v>
      </c>
      <c r="K655" s="34" t="b">
        <v>0</v>
      </c>
      <c r="L655" s="23" t="s">
        <v>175</v>
      </c>
      <c r="M655" s="40" t="s">
        <v>1539</v>
      </c>
      <c r="N655" s="34" t="str">
        <f>_xlfn.IFNA(VLOOKUP($M655,Buff.CM!$A:$O,13,FALSE),"")</f>
        <v>icon_battle_evasion</v>
      </c>
      <c r="O655" s="34" t="str">
        <f>_xlfn.IFNA(VLOOKUP($M655,Buff.CM!$A:$O,14,FALSE),"")</f>
        <v>Buff.Name.Evasion.Down.02</v>
      </c>
      <c r="P655" s="34" t="str">
        <f>_xlfn.IFNA(VLOOKUP($M655,Buff.CM!$A:$O,15,FALSE),"")</f>
        <v>Buff.Desc.Evasion.Down.02</v>
      </c>
      <c r="Q655" s="34" t="b">
        <v>0</v>
      </c>
      <c r="R655" s="34" t="b">
        <v>0</v>
      </c>
    </row>
    <row r="656" spans="1:18">
      <c r="A656" s="25" t="s">
        <v>4029</v>
      </c>
      <c r="B656" s="25"/>
      <c r="C656" s="25"/>
      <c r="D656" s="25">
        <v>4000</v>
      </c>
      <c r="E656" s="25">
        <v>0</v>
      </c>
      <c r="F656" s="25">
        <v>0</v>
      </c>
      <c r="G656" s="43" t="s">
        <v>1539</v>
      </c>
      <c r="H656" s="25"/>
      <c r="I656" s="25" t="b">
        <v>0</v>
      </c>
      <c r="J656" s="25" t="b">
        <v>0</v>
      </c>
      <c r="K656" s="25" t="b">
        <v>0</v>
      </c>
      <c r="L656" s="23" t="s">
        <v>175</v>
      </c>
      <c r="M656" s="43" t="s">
        <v>1539</v>
      </c>
      <c r="N656" s="25" t="str">
        <f>_xlfn.IFNA(VLOOKUP($M656,Buff.CM!$A:$O,13,FALSE),"")</f>
        <v>icon_battle_evasion</v>
      </c>
      <c r="O656" s="25" t="str">
        <f>_xlfn.IFNA(VLOOKUP($M656,Buff.CM!$A:$O,14,FALSE),"")</f>
        <v>Buff.Name.Evasion.Down.02</v>
      </c>
      <c r="P656" s="25" t="str">
        <f>_xlfn.IFNA(VLOOKUP($M656,Buff.CM!$A:$O,15,FALSE),"")</f>
        <v>Buff.Desc.Evasion.Down.02</v>
      </c>
      <c r="Q656" s="25" t="b">
        <v>0</v>
      </c>
      <c r="R656" s="25" t="b">
        <v>0</v>
      </c>
    </row>
    <row r="657" spans="1:18">
      <c r="A657" s="25" t="s">
        <v>4024</v>
      </c>
      <c r="B657" s="25"/>
      <c r="C657" s="25"/>
      <c r="D657" s="25">
        <v>4000</v>
      </c>
      <c r="E657" s="25">
        <v>0</v>
      </c>
      <c r="F657" s="25">
        <v>0</v>
      </c>
      <c r="G657" s="43" t="s">
        <v>1539</v>
      </c>
      <c r="H657" s="25"/>
      <c r="I657" s="25" t="b">
        <v>0</v>
      </c>
      <c r="J657" s="25" t="b">
        <v>0</v>
      </c>
      <c r="K657" s="25" t="b">
        <v>0</v>
      </c>
      <c r="L657" s="23" t="s">
        <v>175</v>
      </c>
      <c r="M657" s="43" t="s">
        <v>1539</v>
      </c>
      <c r="N657" s="25" t="str">
        <f>_xlfn.IFNA(VLOOKUP($M657,Buff.CM!$A:$O,13,FALSE),"")</f>
        <v>icon_battle_evasion</v>
      </c>
      <c r="O657" s="25" t="str">
        <f>_xlfn.IFNA(VLOOKUP($M657,Buff.CM!$A:$O,14,FALSE),"")</f>
        <v>Buff.Name.Evasion.Down.02</v>
      </c>
      <c r="P657" s="25" t="str">
        <f>_xlfn.IFNA(VLOOKUP($M657,Buff.CM!$A:$O,15,FALSE),"")</f>
        <v>Buff.Desc.Evasion.Down.02</v>
      </c>
      <c r="Q657" s="25" t="b">
        <v>0</v>
      </c>
      <c r="R657" s="25" t="b">
        <v>0</v>
      </c>
    </row>
    <row r="658" spans="1:18">
      <c r="A658" s="25" t="s">
        <v>4025</v>
      </c>
      <c r="B658" s="25"/>
      <c r="C658" s="25"/>
      <c r="D658" s="25">
        <v>4000</v>
      </c>
      <c r="E658" s="25">
        <v>0</v>
      </c>
      <c r="F658" s="25">
        <v>0</v>
      </c>
      <c r="G658" s="43" t="s">
        <v>1540</v>
      </c>
      <c r="H658" s="25"/>
      <c r="I658" s="25" t="b">
        <v>0</v>
      </c>
      <c r="J658" s="25" t="b">
        <v>0</v>
      </c>
      <c r="K658" s="25" t="b">
        <v>0</v>
      </c>
      <c r="L658" s="23" t="s">
        <v>175</v>
      </c>
      <c r="M658" s="43" t="s">
        <v>1540</v>
      </c>
      <c r="N658" s="25" t="str">
        <f>_xlfn.IFNA(VLOOKUP($M658,Buff.CM!$A:$O,13,FALSE),"")</f>
        <v>icon_battle_evasion</v>
      </c>
      <c r="O658" s="25" t="str">
        <f>_xlfn.IFNA(VLOOKUP($M658,Buff.CM!$A:$O,14,FALSE),"")</f>
        <v>Buff.Name.Evasion.Down.03</v>
      </c>
      <c r="P658" s="25" t="str">
        <f>_xlfn.IFNA(VLOOKUP($M658,Buff.CM!$A:$O,15,FALSE),"")</f>
        <v>Buff.Desc.Evasion.Down.03</v>
      </c>
      <c r="Q658" s="25" t="b">
        <v>0</v>
      </c>
      <c r="R658" s="25" t="b">
        <v>0</v>
      </c>
    </row>
    <row r="659" spans="1:18">
      <c r="A659" s="34" t="s">
        <v>4026</v>
      </c>
      <c r="B659" s="34"/>
      <c r="C659" s="34"/>
      <c r="D659" s="34">
        <v>4000</v>
      </c>
      <c r="E659" s="34">
        <v>0</v>
      </c>
      <c r="F659" s="34">
        <v>0</v>
      </c>
      <c r="G659" s="40" t="s">
        <v>1540</v>
      </c>
      <c r="H659" s="34"/>
      <c r="I659" s="34" t="b">
        <v>0</v>
      </c>
      <c r="J659" s="34" t="b">
        <v>0</v>
      </c>
      <c r="K659" s="34" t="b">
        <v>0</v>
      </c>
      <c r="L659" s="23" t="s">
        <v>175</v>
      </c>
      <c r="M659" s="40" t="s">
        <v>1540</v>
      </c>
      <c r="N659" s="34" t="str">
        <f>_xlfn.IFNA(VLOOKUP($M659,Buff.CM!$A:$O,13,FALSE),"")</f>
        <v>icon_battle_evasion</v>
      </c>
      <c r="O659" s="34" t="str">
        <f>_xlfn.IFNA(VLOOKUP($M659,Buff.CM!$A:$O,14,FALSE),"")</f>
        <v>Buff.Name.Evasion.Down.03</v>
      </c>
      <c r="P659" s="34" t="str">
        <f>_xlfn.IFNA(VLOOKUP($M659,Buff.CM!$A:$O,15,FALSE),"")</f>
        <v>Buff.Desc.Evasion.Down.03</v>
      </c>
      <c r="Q659" s="34" t="b">
        <v>0</v>
      </c>
      <c r="R659" s="34" t="b">
        <v>0</v>
      </c>
    </row>
    <row r="660" spans="1:18">
      <c r="A660" s="34" t="s">
        <v>4027</v>
      </c>
      <c r="B660" s="34"/>
      <c r="C660" s="34"/>
      <c r="D660" s="34">
        <v>4000</v>
      </c>
      <c r="E660" s="34">
        <v>0</v>
      </c>
      <c r="F660" s="34">
        <v>0</v>
      </c>
      <c r="G660" s="40" t="s">
        <v>1541</v>
      </c>
      <c r="H660" s="34"/>
      <c r="I660" s="34" t="b">
        <v>0</v>
      </c>
      <c r="J660" s="34" t="b">
        <v>0</v>
      </c>
      <c r="K660" s="34" t="b">
        <v>0</v>
      </c>
      <c r="L660" s="23" t="s">
        <v>175</v>
      </c>
      <c r="M660" s="40" t="s">
        <v>1541</v>
      </c>
      <c r="N660" s="34" t="str">
        <f>_xlfn.IFNA(VLOOKUP($M660,Buff.CM!$A:$O,13,FALSE),"")</f>
        <v>icon_battle_evasion</v>
      </c>
      <c r="O660" s="34" t="str">
        <f>_xlfn.IFNA(VLOOKUP($M660,Buff.CM!$A:$O,14,FALSE),"")</f>
        <v>Buff.Name.Evasion.Down.04</v>
      </c>
      <c r="P660" s="34" t="str">
        <f>_xlfn.IFNA(VLOOKUP($M660,Buff.CM!$A:$O,15,FALSE),"")</f>
        <v>Buff.Desc.Evasion.Down.04</v>
      </c>
      <c r="Q660" s="34" t="b">
        <v>0</v>
      </c>
      <c r="R660" s="34" t="b">
        <v>0</v>
      </c>
    </row>
    <row r="661" spans="1:18">
      <c r="A661" s="34" t="s">
        <v>4028</v>
      </c>
      <c r="B661" s="34"/>
      <c r="C661" s="34"/>
      <c r="D661" s="34">
        <v>4000</v>
      </c>
      <c r="E661" s="34">
        <v>0</v>
      </c>
      <c r="F661" s="34">
        <v>0</v>
      </c>
      <c r="G661" s="40" t="s">
        <v>1541</v>
      </c>
      <c r="H661" s="34"/>
      <c r="I661" s="34" t="b">
        <v>0</v>
      </c>
      <c r="J661" s="34" t="b">
        <v>0</v>
      </c>
      <c r="K661" s="34" t="b">
        <v>0</v>
      </c>
      <c r="L661" s="23" t="s">
        <v>175</v>
      </c>
      <c r="M661" s="40" t="s">
        <v>1541</v>
      </c>
      <c r="N661" s="34" t="str">
        <f>_xlfn.IFNA(VLOOKUP($M661,Buff.CM!$A:$O,13,FALSE),"")</f>
        <v>icon_battle_evasion</v>
      </c>
      <c r="O661" s="34" t="str">
        <f>_xlfn.IFNA(VLOOKUP($M661,Buff.CM!$A:$O,14,FALSE),"")</f>
        <v>Buff.Name.Evasion.Down.04</v>
      </c>
      <c r="P661" s="34" t="str">
        <f>_xlfn.IFNA(VLOOKUP($M661,Buff.CM!$A:$O,15,FALSE),"")</f>
        <v>Buff.Desc.Evasion.Down.04</v>
      </c>
      <c r="Q661" s="34" t="b">
        <v>0</v>
      </c>
      <c r="R661" s="34" t="b">
        <v>0</v>
      </c>
    </row>
    <row r="662" spans="1:18">
      <c r="A662" s="25" t="s">
        <v>4040</v>
      </c>
      <c r="B662" s="25"/>
      <c r="C662" s="25"/>
      <c r="D662" s="25">
        <v>8000</v>
      </c>
      <c r="E662" s="25">
        <v>0</v>
      </c>
      <c r="F662" s="25">
        <v>0</v>
      </c>
      <c r="G662" s="25" t="s">
        <v>1431</v>
      </c>
      <c r="H662" s="25"/>
      <c r="I662" s="25" t="b">
        <v>0</v>
      </c>
      <c r="J662" s="25" t="b">
        <v>0</v>
      </c>
      <c r="K662" s="25" t="b">
        <v>1</v>
      </c>
      <c r="L662" s="25" t="s">
        <v>5474</v>
      </c>
      <c r="M662" s="25" t="s">
        <v>1431</v>
      </c>
      <c r="N662" s="25" t="str">
        <f>_xlfn.IFNA(VLOOKUP($M662,Buff.CM!$A:$O,13,FALSE),"")</f>
        <v>icon_battle_attackspeed</v>
      </c>
      <c r="O662" s="25" t="str">
        <f>_xlfn.IFNA(VLOOKUP($M662,Buff.CM!$A:$O,14,FALSE),"")</f>
        <v>Buff.Name.AtkSpeed.Up.02</v>
      </c>
      <c r="P662" s="25" t="str">
        <f>_xlfn.IFNA(VLOOKUP($M662,Buff.CM!$A:$O,15,FALSE),"")</f>
        <v>Buff.Desc.AtkSpeed.Up.02</v>
      </c>
      <c r="Q662" s="25" t="b">
        <v>0</v>
      </c>
      <c r="R662" s="25" t="b">
        <v>0</v>
      </c>
    </row>
    <row r="663" spans="1:18">
      <c r="A663" s="25" t="s">
        <v>4030</v>
      </c>
      <c r="B663" s="25"/>
      <c r="C663" s="25"/>
      <c r="D663" s="25">
        <v>8000</v>
      </c>
      <c r="E663" s="25">
        <v>0</v>
      </c>
      <c r="F663" s="25">
        <v>0</v>
      </c>
      <c r="G663" s="25" t="s">
        <v>1432</v>
      </c>
      <c r="H663" s="25"/>
      <c r="I663" s="25" t="b">
        <v>0</v>
      </c>
      <c r="J663" s="25" t="b">
        <v>0</v>
      </c>
      <c r="K663" s="25" t="b">
        <v>1</v>
      </c>
      <c r="L663" s="25" t="s">
        <v>5474</v>
      </c>
      <c r="M663" s="25" t="s">
        <v>1432</v>
      </c>
      <c r="N663" s="25" t="str">
        <f>_xlfn.IFNA(VLOOKUP($M663,Buff.CM!$A:$O,13,FALSE),"")</f>
        <v>icon_battle_attackspeed</v>
      </c>
      <c r="O663" s="25" t="str">
        <f>_xlfn.IFNA(VLOOKUP($M663,Buff.CM!$A:$O,14,FALSE),"")</f>
        <v>Buff.Name.AtkSpeed.Up.03</v>
      </c>
      <c r="P663" s="25" t="str">
        <f>_xlfn.IFNA(VLOOKUP($M663,Buff.CM!$A:$O,15,FALSE),"")</f>
        <v>Buff.Desc.AtkSpeed.Up.03</v>
      </c>
      <c r="Q663" s="25" t="b">
        <v>0</v>
      </c>
      <c r="R663" s="25" t="b">
        <v>0</v>
      </c>
    </row>
    <row r="664" spans="1:18">
      <c r="A664" s="25" t="s">
        <v>4031</v>
      </c>
      <c r="B664" s="25"/>
      <c r="C664" s="25"/>
      <c r="D664" s="25">
        <v>9000</v>
      </c>
      <c r="E664" s="25">
        <v>0</v>
      </c>
      <c r="F664" s="25">
        <v>0</v>
      </c>
      <c r="G664" s="25" t="s">
        <v>1432</v>
      </c>
      <c r="H664" s="25"/>
      <c r="I664" s="25" t="b">
        <v>0</v>
      </c>
      <c r="J664" s="25" t="b">
        <v>0</v>
      </c>
      <c r="K664" s="25" t="b">
        <v>1</v>
      </c>
      <c r="L664" s="25" t="s">
        <v>5474</v>
      </c>
      <c r="M664" s="25" t="s">
        <v>1432</v>
      </c>
      <c r="N664" s="25" t="str">
        <f>_xlfn.IFNA(VLOOKUP($M664,Buff.CM!$A:$O,13,FALSE),"")</f>
        <v>icon_battle_attackspeed</v>
      </c>
      <c r="O664" s="25" t="str">
        <f>_xlfn.IFNA(VLOOKUP($M664,Buff.CM!$A:$O,14,FALSE),"")</f>
        <v>Buff.Name.AtkSpeed.Up.03</v>
      </c>
      <c r="P664" s="25" t="str">
        <f>_xlfn.IFNA(VLOOKUP($M664,Buff.CM!$A:$O,15,FALSE),"")</f>
        <v>Buff.Desc.AtkSpeed.Up.03</v>
      </c>
      <c r="Q664" s="25" t="b">
        <v>0</v>
      </c>
      <c r="R664" s="25" t="b">
        <v>0</v>
      </c>
    </row>
    <row r="665" spans="1:18">
      <c r="A665" s="34" t="s">
        <v>4032</v>
      </c>
      <c r="B665" s="34"/>
      <c r="C665" s="34"/>
      <c r="D665" s="34">
        <v>9000</v>
      </c>
      <c r="E665" s="34">
        <v>0</v>
      </c>
      <c r="F665" s="34">
        <v>0</v>
      </c>
      <c r="G665" s="34" t="s">
        <v>1433</v>
      </c>
      <c r="H665" s="34"/>
      <c r="I665" s="34" t="b">
        <v>0</v>
      </c>
      <c r="J665" s="34" t="b">
        <v>0</v>
      </c>
      <c r="K665" s="34" t="b">
        <v>1</v>
      </c>
      <c r="L665" s="34" t="s">
        <v>5474</v>
      </c>
      <c r="M665" s="34" t="s">
        <v>1433</v>
      </c>
      <c r="N665" s="34" t="str">
        <f>_xlfn.IFNA(VLOOKUP($M665,Buff.CM!$A:$O,13,FALSE),"")</f>
        <v>icon_battle_attackspeed</v>
      </c>
      <c r="O665" s="34" t="str">
        <f>_xlfn.IFNA(VLOOKUP($M665,Buff.CM!$A:$O,14,FALSE),"")</f>
        <v>Buff.Name.AtkSpeed.Up.04</v>
      </c>
      <c r="P665" s="34" t="str">
        <f>_xlfn.IFNA(VLOOKUP($M665,Buff.CM!$A:$O,15,FALSE),"")</f>
        <v>Buff.Desc.AtkSpeed.Up.04</v>
      </c>
      <c r="Q665" s="34" t="b">
        <v>0</v>
      </c>
      <c r="R665" s="34" t="b">
        <v>0</v>
      </c>
    </row>
    <row r="666" spans="1:18">
      <c r="A666" s="34" t="s">
        <v>4033</v>
      </c>
      <c r="B666" s="34"/>
      <c r="C666" s="34"/>
      <c r="D666" s="34">
        <v>9000</v>
      </c>
      <c r="E666" s="34">
        <v>0</v>
      </c>
      <c r="F666" s="34">
        <v>0</v>
      </c>
      <c r="G666" s="34" t="s">
        <v>1433</v>
      </c>
      <c r="H666" s="34"/>
      <c r="I666" s="34" t="b">
        <v>0</v>
      </c>
      <c r="J666" s="34" t="b">
        <v>0</v>
      </c>
      <c r="K666" s="34" t="b">
        <v>1</v>
      </c>
      <c r="L666" s="34" t="s">
        <v>5474</v>
      </c>
      <c r="M666" s="34" t="s">
        <v>1433</v>
      </c>
      <c r="N666" s="34" t="str">
        <f>_xlfn.IFNA(VLOOKUP($M666,Buff.CM!$A:$O,13,FALSE),"")</f>
        <v>icon_battle_attackspeed</v>
      </c>
      <c r="O666" s="34" t="str">
        <f>_xlfn.IFNA(VLOOKUP($M666,Buff.CM!$A:$O,14,FALSE),"")</f>
        <v>Buff.Name.AtkSpeed.Up.04</v>
      </c>
      <c r="P666" s="34" t="str">
        <f>_xlfn.IFNA(VLOOKUP($M666,Buff.CM!$A:$O,15,FALSE),"")</f>
        <v>Buff.Desc.AtkSpeed.Up.04</v>
      </c>
      <c r="Q666" s="34" t="b">
        <v>0</v>
      </c>
      <c r="R666" s="34" t="b">
        <v>0</v>
      </c>
    </row>
    <row r="667" spans="1:18">
      <c r="A667" s="34" t="s">
        <v>4034</v>
      </c>
      <c r="B667" s="34"/>
      <c r="C667" s="34"/>
      <c r="D667" s="34">
        <v>9000</v>
      </c>
      <c r="E667" s="34">
        <v>0</v>
      </c>
      <c r="F667" s="34">
        <v>0</v>
      </c>
      <c r="G667" s="34" t="s">
        <v>1433</v>
      </c>
      <c r="H667" s="34"/>
      <c r="I667" s="34" t="b">
        <v>0</v>
      </c>
      <c r="J667" s="34" t="b">
        <v>0</v>
      </c>
      <c r="K667" s="34" t="b">
        <v>1</v>
      </c>
      <c r="L667" s="34" t="s">
        <v>5474</v>
      </c>
      <c r="M667" s="34" t="s">
        <v>1433</v>
      </c>
      <c r="N667" s="34" t="str">
        <f>_xlfn.IFNA(VLOOKUP($M667,Buff.CM!$A:$O,13,FALSE),"")</f>
        <v>icon_battle_attackspeed</v>
      </c>
      <c r="O667" s="34" t="str">
        <f>_xlfn.IFNA(VLOOKUP($M667,Buff.CM!$A:$O,14,FALSE),"")</f>
        <v>Buff.Name.AtkSpeed.Up.04</v>
      </c>
      <c r="P667" s="34" t="str">
        <f>_xlfn.IFNA(VLOOKUP($M667,Buff.CM!$A:$O,15,FALSE),"")</f>
        <v>Buff.Desc.AtkSpeed.Up.04</v>
      </c>
      <c r="Q667" s="34" t="b">
        <v>0</v>
      </c>
      <c r="R667" s="34" t="b">
        <v>0</v>
      </c>
    </row>
    <row r="668" spans="1:18">
      <c r="A668" s="25" t="s">
        <v>4041</v>
      </c>
      <c r="B668" s="25"/>
      <c r="C668" s="25"/>
      <c r="D668" s="25">
        <v>8000</v>
      </c>
      <c r="E668" s="25">
        <v>0</v>
      </c>
      <c r="F668" s="25">
        <v>0</v>
      </c>
      <c r="G668" s="25" t="s">
        <v>7304</v>
      </c>
      <c r="H668" s="25"/>
      <c r="I668" s="25" t="b">
        <v>0</v>
      </c>
      <c r="J668" s="25" t="b">
        <v>0</v>
      </c>
      <c r="K668" s="25" t="b">
        <v>1</v>
      </c>
      <c r="L668" s="25" t="s">
        <v>5474</v>
      </c>
      <c r="M668" s="25" t="s">
        <v>1432</v>
      </c>
      <c r="N668" s="25" t="str">
        <f>_xlfn.IFNA(VLOOKUP($M668,Buff.CM!$A:$O,13,FALSE),"")</f>
        <v>icon_battle_attackspeed</v>
      </c>
      <c r="O668" s="25" t="str">
        <f>_xlfn.IFNA(VLOOKUP($M668,Buff.CM!$A:$O,14,FALSE),"")</f>
        <v>Buff.Name.AtkSpeed.Up.03</v>
      </c>
      <c r="P668" s="25" t="str">
        <f>_xlfn.IFNA(VLOOKUP($M668,Buff.CM!$A:$O,15,FALSE),"")</f>
        <v>Buff.Desc.AtkSpeed.Up.03</v>
      </c>
      <c r="Q668" s="25" t="b">
        <v>0</v>
      </c>
      <c r="R668" s="25" t="b">
        <v>0</v>
      </c>
    </row>
    <row r="669" spans="1:18">
      <c r="A669" s="25" t="s">
        <v>4035</v>
      </c>
      <c r="B669" s="25"/>
      <c r="C669" s="25"/>
      <c r="D669" s="25">
        <v>8000</v>
      </c>
      <c r="E669" s="25">
        <v>0</v>
      </c>
      <c r="F669" s="25">
        <v>0</v>
      </c>
      <c r="G669" s="25" t="s">
        <v>7305</v>
      </c>
      <c r="H669" s="25"/>
      <c r="I669" s="25" t="b">
        <v>0</v>
      </c>
      <c r="J669" s="25" t="b">
        <v>0</v>
      </c>
      <c r="K669" s="25" t="b">
        <v>1</v>
      </c>
      <c r="L669" s="25" t="s">
        <v>5474</v>
      </c>
      <c r="M669" s="25" t="s">
        <v>1433</v>
      </c>
      <c r="N669" s="25" t="str">
        <f>_xlfn.IFNA(VLOOKUP($M669,Buff.CM!$A:$O,13,FALSE),"")</f>
        <v>icon_battle_attackspeed</v>
      </c>
      <c r="O669" s="25" t="str">
        <f>_xlfn.IFNA(VLOOKUP($M669,Buff.CM!$A:$O,14,FALSE),"")</f>
        <v>Buff.Name.AtkSpeed.Up.04</v>
      </c>
      <c r="P669" s="25" t="str">
        <f>_xlfn.IFNA(VLOOKUP($M669,Buff.CM!$A:$O,15,FALSE),"")</f>
        <v>Buff.Desc.AtkSpeed.Up.04</v>
      </c>
      <c r="Q669" s="25" t="b">
        <v>0</v>
      </c>
      <c r="R669" s="25" t="b">
        <v>0</v>
      </c>
    </row>
    <row r="670" spans="1:18">
      <c r="A670" s="25" t="s">
        <v>4036</v>
      </c>
      <c r="B670" s="25"/>
      <c r="C670" s="25"/>
      <c r="D670" s="25">
        <v>9000</v>
      </c>
      <c r="E670" s="25">
        <v>0</v>
      </c>
      <c r="F670" s="25">
        <v>0</v>
      </c>
      <c r="G670" s="25" t="s">
        <v>7305</v>
      </c>
      <c r="H670" s="25"/>
      <c r="I670" s="25" t="b">
        <v>0</v>
      </c>
      <c r="J670" s="25" t="b">
        <v>0</v>
      </c>
      <c r="K670" s="25" t="b">
        <v>1</v>
      </c>
      <c r="L670" s="25" t="s">
        <v>5474</v>
      </c>
      <c r="M670" s="25" t="s">
        <v>1433</v>
      </c>
      <c r="N670" s="25" t="str">
        <f>_xlfn.IFNA(VLOOKUP($M670,Buff.CM!$A:$O,13,FALSE),"")</f>
        <v>icon_battle_attackspeed</v>
      </c>
      <c r="O670" s="25" t="str">
        <f>_xlfn.IFNA(VLOOKUP($M670,Buff.CM!$A:$O,14,FALSE),"")</f>
        <v>Buff.Name.AtkSpeed.Up.04</v>
      </c>
      <c r="P670" s="25" t="str">
        <f>_xlfn.IFNA(VLOOKUP($M670,Buff.CM!$A:$O,15,FALSE),"")</f>
        <v>Buff.Desc.AtkSpeed.Up.04</v>
      </c>
      <c r="Q670" s="25" t="b">
        <v>0</v>
      </c>
      <c r="R670" s="25" t="b">
        <v>0</v>
      </c>
    </row>
    <row r="671" spans="1:18">
      <c r="A671" s="34" t="s">
        <v>4037</v>
      </c>
      <c r="B671" s="34"/>
      <c r="C671" s="34"/>
      <c r="D671" s="34">
        <v>9000</v>
      </c>
      <c r="E671" s="34">
        <v>0</v>
      </c>
      <c r="F671" s="34">
        <v>0</v>
      </c>
      <c r="G671" s="34" t="s">
        <v>7306</v>
      </c>
      <c r="H671" s="34"/>
      <c r="I671" s="34" t="b">
        <v>0</v>
      </c>
      <c r="J671" s="34" t="b">
        <v>0</v>
      </c>
      <c r="K671" s="34" t="b">
        <v>1</v>
      </c>
      <c r="L671" s="34" t="s">
        <v>5474</v>
      </c>
      <c r="M671" s="34" t="s">
        <v>1434</v>
      </c>
      <c r="N671" s="34" t="str">
        <f>_xlfn.IFNA(VLOOKUP($M671,Buff.CM!$A:$O,13,FALSE),"")</f>
        <v>icon_battle_attackspeed</v>
      </c>
      <c r="O671" s="34" t="str">
        <f>_xlfn.IFNA(VLOOKUP($M671,Buff.CM!$A:$O,14,FALSE),"")</f>
        <v>Buff.Name.AtkSpeed.Up.05</v>
      </c>
      <c r="P671" s="34" t="str">
        <f>_xlfn.IFNA(VLOOKUP($M671,Buff.CM!$A:$O,15,FALSE),"")</f>
        <v>Buff.Desc.AtkSpeed.Up.05</v>
      </c>
      <c r="Q671" s="34" t="b">
        <v>0</v>
      </c>
      <c r="R671" s="34" t="b">
        <v>0</v>
      </c>
    </row>
    <row r="672" spans="1:18">
      <c r="A672" s="34" t="s">
        <v>4038</v>
      </c>
      <c r="B672" s="34"/>
      <c r="C672" s="34"/>
      <c r="D672" s="34">
        <v>9000</v>
      </c>
      <c r="E672" s="34">
        <v>0</v>
      </c>
      <c r="F672" s="34">
        <v>0</v>
      </c>
      <c r="G672" s="34" t="s">
        <v>1434</v>
      </c>
      <c r="H672" s="34"/>
      <c r="I672" s="34" t="b">
        <v>0</v>
      </c>
      <c r="J672" s="34" t="b">
        <v>0</v>
      </c>
      <c r="K672" s="34" t="b">
        <v>1</v>
      </c>
      <c r="L672" s="34" t="s">
        <v>5474</v>
      </c>
      <c r="M672" s="34" t="s">
        <v>1434</v>
      </c>
      <c r="N672" s="34" t="str">
        <f>_xlfn.IFNA(VLOOKUP($M672,Buff.CM!$A:$O,13,FALSE),"")</f>
        <v>icon_battle_attackspeed</v>
      </c>
      <c r="O672" s="34" t="str">
        <f>_xlfn.IFNA(VLOOKUP($M672,Buff.CM!$A:$O,14,FALSE),"")</f>
        <v>Buff.Name.AtkSpeed.Up.05</v>
      </c>
      <c r="P672" s="34" t="str">
        <f>_xlfn.IFNA(VLOOKUP($M672,Buff.CM!$A:$O,15,FALSE),"")</f>
        <v>Buff.Desc.AtkSpeed.Up.05</v>
      </c>
      <c r="Q672" s="34" t="b">
        <v>0</v>
      </c>
      <c r="R672" s="34" t="b">
        <v>0</v>
      </c>
    </row>
    <row r="673" spans="1:18">
      <c r="A673" s="34" t="s">
        <v>4039</v>
      </c>
      <c r="B673" s="34"/>
      <c r="C673" s="34"/>
      <c r="D673" s="34">
        <v>9000</v>
      </c>
      <c r="E673" s="34">
        <v>0</v>
      </c>
      <c r="F673" s="34">
        <v>0</v>
      </c>
      <c r="G673" s="34" t="s">
        <v>1434</v>
      </c>
      <c r="H673" s="34"/>
      <c r="I673" s="34" t="b">
        <v>0</v>
      </c>
      <c r="J673" s="34" t="b">
        <v>0</v>
      </c>
      <c r="K673" s="34" t="b">
        <v>1</v>
      </c>
      <c r="L673" s="34" t="s">
        <v>5474</v>
      </c>
      <c r="M673" s="34" t="s">
        <v>1434</v>
      </c>
      <c r="N673" s="34" t="str">
        <f>_xlfn.IFNA(VLOOKUP($M673,Buff.CM!$A:$O,13,FALSE),"")</f>
        <v>icon_battle_attackspeed</v>
      </c>
      <c r="O673" s="34" t="str">
        <f>_xlfn.IFNA(VLOOKUP($M673,Buff.CM!$A:$O,14,FALSE),"")</f>
        <v>Buff.Name.AtkSpeed.Up.05</v>
      </c>
      <c r="P673" s="34" t="str">
        <f>_xlfn.IFNA(VLOOKUP($M673,Buff.CM!$A:$O,15,FALSE),"")</f>
        <v>Buff.Desc.AtkSpeed.Up.05</v>
      </c>
      <c r="Q673" s="34" t="b">
        <v>0</v>
      </c>
      <c r="R673" s="34" t="b">
        <v>0</v>
      </c>
    </row>
    <row r="674" spans="1:18" ht="49.5">
      <c r="A674" s="26" t="s">
        <v>530</v>
      </c>
      <c r="B674" s="26"/>
      <c r="C674" s="26"/>
      <c r="D674" s="26">
        <v>0</v>
      </c>
      <c r="E674" s="26">
        <v>0</v>
      </c>
      <c r="F674" s="26">
        <v>0</v>
      </c>
      <c r="G674" s="45" t="s">
        <v>6707</v>
      </c>
      <c r="H674" s="26"/>
      <c r="I674" s="26" t="b">
        <v>0</v>
      </c>
      <c r="J674" s="23" t="b">
        <v>1</v>
      </c>
      <c r="K674" s="26" t="b">
        <v>1</v>
      </c>
      <c r="L674" s="26"/>
      <c r="M674" s="26"/>
      <c r="N674" s="26" t="str">
        <f>_xlfn.IFNA(VLOOKUP($M674,Buff.CM!$A:$O,13,FALSE),"")</f>
        <v/>
      </c>
      <c r="O674" s="26" t="str">
        <f>_xlfn.IFNA(VLOOKUP($M674,Buff.CM!$A:$O,14,FALSE),"")</f>
        <v/>
      </c>
      <c r="P674" s="26" t="str">
        <f>_xlfn.IFNA(VLOOKUP($M674,Buff.CM!$A:$O,15,FALSE),"")</f>
        <v/>
      </c>
      <c r="Q674" s="34" t="b">
        <v>0</v>
      </c>
      <c r="R674" s="26" t="b">
        <v>0</v>
      </c>
    </row>
    <row r="675" spans="1:18" ht="49.5">
      <c r="A675" s="26" t="s">
        <v>532</v>
      </c>
      <c r="B675" s="26"/>
      <c r="C675" s="26"/>
      <c r="D675" s="26">
        <v>0</v>
      </c>
      <c r="E675" s="26">
        <v>0</v>
      </c>
      <c r="F675" s="26">
        <v>0</v>
      </c>
      <c r="G675" s="45" t="s">
        <v>6708</v>
      </c>
      <c r="H675" s="26"/>
      <c r="I675" s="26" t="b">
        <v>0</v>
      </c>
      <c r="J675" s="23" t="b">
        <v>1</v>
      </c>
      <c r="K675" s="26" t="b">
        <v>1</v>
      </c>
      <c r="L675" s="26"/>
      <c r="M675" s="26"/>
      <c r="N675" s="26" t="str">
        <f>_xlfn.IFNA(VLOOKUP($M675,Buff.CM!$A:$O,13,FALSE),"")</f>
        <v/>
      </c>
      <c r="O675" s="26" t="str">
        <f>_xlfn.IFNA(VLOOKUP($M675,Buff.CM!$A:$O,14,FALSE),"")</f>
        <v/>
      </c>
      <c r="P675" s="26" t="str">
        <f>_xlfn.IFNA(VLOOKUP($M675,Buff.CM!$A:$O,15,FALSE),"")</f>
        <v/>
      </c>
      <c r="Q675" s="34" t="b">
        <v>0</v>
      </c>
      <c r="R675" s="26" t="b">
        <v>0</v>
      </c>
    </row>
    <row r="676" spans="1:18" ht="49.5">
      <c r="A676" s="26" t="s">
        <v>534</v>
      </c>
      <c r="B676" s="26"/>
      <c r="C676" s="26"/>
      <c r="D676" s="26">
        <v>0</v>
      </c>
      <c r="E676" s="26">
        <v>0</v>
      </c>
      <c r="F676" s="26">
        <v>0</v>
      </c>
      <c r="G676" s="45" t="s">
        <v>6709</v>
      </c>
      <c r="H676" s="26"/>
      <c r="I676" s="26" t="b">
        <v>0</v>
      </c>
      <c r="J676" s="23" t="b">
        <v>1</v>
      </c>
      <c r="K676" s="26" t="b">
        <v>1</v>
      </c>
      <c r="L676" s="26"/>
      <c r="M676" s="26"/>
      <c r="N676" s="26" t="str">
        <f>_xlfn.IFNA(VLOOKUP($M676,Buff.CM!$A:$O,13,FALSE),"")</f>
        <v/>
      </c>
      <c r="O676" s="26" t="str">
        <f>_xlfn.IFNA(VLOOKUP($M676,Buff.CM!$A:$O,14,FALSE),"")</f>
        <v/>
      </c>
      <c r="P676" s="26" t="str">
        <f>_xlfn.IFNA(VLOOKUP($M676,Buff.CM!$A:$O,15,FALSE),"")</f>
        <v/>
      </c>
      <c r="Q676" s="34" t="b">
        <v>0</v>
      </c>
      <c r="R676" s="26" t="b">
        <v>0</v>
      </c>
    </row>
    <row r="677" spans="1:18" ht="49.5">
      <c r="A677" s="34" t="s">
        <v>536</v>
      </c>
      <c r="B677" s="34"/>
      <c r="C677" s="34"/>
      <c r="D677" s="34">
        <v>0</v>
      </c>
      <c r="E677" s="34">
        <v>0</v>
      </c>
      <c r="F677" s="34">
        <v>0</v>
      </c>
      <c r="G677" s="40" t="s">
        <v>6710</v>
      </c>
      <c r="H677" s="34"/>
      <c r="I677" s="34" t="b">
        <v>0</v>
      </c>
      <c r="J677" s="23" t="b">
        <v>1</v>
      </c>
      <c r="K677" s="34" t="b">
        <v>1</v>
      </c>
      <c r="L677" s="34"/>
      <c r="M677" s="34"/>
      <c r="N677" s="34" t="str">
        <f>_xlfn.IFNA(VLOOKUP($M677,Buff.CM!$A:$O,13,FALSE),"")</f>
        <v/>
      </c>
      <c r="O677" s="34" t="str">
        <f>_xlfn.IFNA(VLOOKUP($M677,Buff.CM!$A:$O,14,FALSE),"")</f>
        <v/>
      </c>
      <c r="P677" s="34" t="str">
        <f>_xlfn.IFNA(VLOOKUP($M677,Buff.CM!$A:$O,15,FALSE),"")</f>
        <v/>
      </c>
      <c r="Q677" s="34" t="b">
        <v>0</v>
      </c>
      <c r="R677" s="34" t="b">
        <v>0</v>
      </c>
    </row>
    <row r="678" spans="1:18" ht="49.5">
      <c r="A678" s="34" t="s">
        <v>538</v>
      </c>
      <c r="B678" s="34"/>
      <c r="C678" s="34"/>
      <c r="D678" s="34">
        <v>0</v>
      </c>
      <c r="E678" s="34">
        <v>0</v>
      </c>
      <c r="F678" s="34">
        <v>0</v>
      </c>
      <c r="G678" s="40" t="s">
        <v>6711</v>
      </c>
      <c r="H678" s="34"/>
      <c r="I678" s="34" t="b">
        <v>0</v>
      </c>
      <c r="J678" s="23" t="b">
        <v>1</v>
      </c>
      <c r="K678" s="34" t="b">
        <v>1</v>
      </c>
      <c r="L678" s="34"/>
      <c r="M678" s="34"/>
      <c r="N678" s="34" t="str">
        <f>_xlfn.IFNA(VLOOKUP($M678,Buff.CM!$A:$O,13,FALSE),"")</f>
        <v/>
      </c>
      <c r="O678" s="34" t="str">
        <f>_xlfn.IFNA(VLOOKUP($M678,Buff.CM!$A:$O,14,FALSE),"")</f>
        <v/>
      </c>
      <c r="P678" s="34" t="str">
        <f>_xlfn.IFNA(VLOOKUP($M678,Buff.CM!$A:$O,15,FALSE),"")</f>
        <v/>
      </c>
      <c r="Q678" s="34" t="b">
        <v>0</v>
      </c>
      <c r="R678" s="34" t="b">
        <v>0</v>
      </c>
    </row>
    <row r="679" spans="1:18" ht="49.5">
      <c r="A679" s="34" t="s">
        <v>540</v>
      </c>
      <c r="B679" s="34"/>
      <c r="C679" s="34"/>
      <c r="D679" s="34">
        <v>0</v>
      </c>
      <c r="E679" s="34">
        <v>0</v>
      </c>
      <c r="F679" s="34">
        <v>0</v>
      </c>
      <c r="G679" s="40" t="s">
        <v>6712</v>
      </c>
      <c r="H679" s="34"/>
      <c r="I679" s="34" t="b">
        <v>0</v>
      </c>
      <c r="J679" s="23" t="b">
        <v>1</v>
      </c>
      <c r="K679" s="34" t="b">
        <v>1</v>
      </c>
      <c r="L679" s="34"/>
      <c r="M679" s="34"/>
      <c r="N679" s="34" t="str">
        <f>_xlfn.IFNA(VLOOKUP($M679,Buff.CM!$A:$O,13,FALSE),"")</f>
        <v/>
      </c>
      <c r="O679" s="34" t="str">
        <f>_xlfn.IFNA(VLOOKUP($M679,Buff.CM!$A:$O,14,FALSE),"")</f>
        <v/>
      </c>
      <c r="P679" s="34" t="str">
        <f>_xlfn.IFNA(VLOOKUP($M679,Buff.CM!$A:$O,15,FALSE),"")</f>
        <v/>
      </c>
      <c r="Q679" s="34" t="b">
        <v>0</v>
      </c>
      <c r="R679" s="34" t="b">
        <v>0</v>
      </c>
    </row>
    <row r="680" spans="1:18">
      <c r="A680" s="59" t="s">
        <v>2498</v>
      </c>
      <c r="B680" s="59"/>
      <c r="C680" s="59"/>
      <c r="D680" s="59">
        <v>0</v>
      </c>
      <c r="E680" s="59">
        <v>0</v>
      </c>
      <c r="F680" s="59">
        <v>0</v>
      </c>
      <c r="G680" s="132" t="s">
        <v>122</v>
      </c>
      <c r="H680" s="59"/>
      <c r="I680" s="59" t="b">
        <v>1</v>
      </c>
      <c r="J680" s="23" t="b">
        <v>1</v>
      </c>
      <c r="K680" s="59" t="b">
        <v>1</v>
      </c>
      <c r="L680" s="59"/>
      <c r="M680" s="59"/>
      <c r="N680" s="59" t="str">
        <f>_xlfn.IFNA(VLOOKUP($M680,Buff.CM!$A:$O,13,FALSE),"")</f>
        <v/>
      </c>
      <c r="O680" s="59" t="str">
        <f>_xlfn.IFNA(VLOOKUP($M680,Buff.CM!$A:$O,14,FALSE),"")</f>
        <v/>
      </c>
      <c r="P680" s="59" t="str">
        <f>_xlfn.IFNA(VLOOKUP($M680,Buff.CM!$A:$O,15,FALSE),"")</f>
        <v/>
      </c>
      <c r="Q680" s="59" t="b">
        <v>0</v>
      </c>
      <c r="R680" s="59" t="b">
        <v>0</v>
      </c>
    </row>
    <row r="681" spans="1:18">
      <c r="A681" s="25" t="s">
        <v>4327</v>
      </c>
      <c r="B681" s="25"/>
      <c r="C681" s="25"/>
      <c r="D681" s="25">
        <v>0</v>
      </c>
      <c r="E681" s="25">
        <v>0</v>
      </c>
      <c r="F681" s="25">
        <v>0</v>
      </c>
      <c r="G681" s="25" t="s">
        <v>6713</v>
      </c>
      <c r="H681" s="25"/>
      <c r="I681" s="25" t="b">
        <v>0</v>
      </c>
      <c r="J681" s="23" t="b">
        <v>1</v>
      </c>
      <c r="K681" s="25" t="b">
        <v>1</v>
      </c>
      <c r="L681" s="25"/>
      <c r="M681" s="25"/>
      <c r="N681" s="25" t="str">
        <f>_xlfn.IFNA(VLOOKUP($M681,Buff.CM!$A:$O,13,FALSE),"")</f>
        <v/>
      </c>
      <c r="O681" s="25" t="str">
        <f>_xlfn.IFNA(VLOOKUP($M681,Buff.CM!$A:$O,14,FALSE),"")</f>
        <v/>
      </c>
      <c r="P681" s="25" t="str">
        <f>_xlfn.IFNA(VLOOKUP($M681,Buff.CM!$A:$O,15,FALSE),"")</f>
        <v/>
      </c>
      <c r="Q681" s="25" t="b">
        <v>0</v>
      </c>
      <c r="R681" s="25" t="b">
        <v>0</v>
      </c>
    </row>
    <row r="682" spans="1:18">
      <c r="A682" s="25" t="s">
        <v>4328</v>
      </c>
      <c r="B682" s="25"/>
      <c r="C682" s="25"/>
      <c r="D682" s="25">
        <v>0</v>
      </c>
      <c r="E682" s="25">
        <v>0</v>
      </c>
      <c r="F682" s="25">
        <v>0</v>
      </c>
      <c r="G682" s="25" t="s">
        <v>4317</v>
      </c>
      <c r="H682" s="25"/>
      <c r="I682" s="25" t="b">
        <v>0</v>
      </c>
      <c r="J682" s="23" t="b">
        <v>1</v>
      </c>
      <c r="K682" s="25" t="b">
        <v>1</v>
      </c>
      <c r="L682" s="25"/>
      <c r="M682" s="25"/>
      <c r="N682" s="25" t="str">
        <f>_xlfn.IFNA(VLOOKUP($M682,Buff.CM!$A:$O,13,FALSE),"")</f>
        <v/>
      </c>
      <c r="O682" s="25" t="str">
        <f>_xlfn.IFNA(VLOOKUP($M682,Buff.CM!$A:$O,14,FALSE),"")</f>
        <v/>
      </c>
      <c r="P682" s="25" t="str">
        <f>_xlfn.IFNA(VLOOKUP($M682,Buff.CM!$A:$O,15,FALSE),"")</f>
        <v/>
      </c>
      <c r="Q682" s="25" t="b">
        <v>0</v>
      </c>
      <c r="R682" s="25" t="b">
        <v>0</v>
      </c>
    </row>
    <row r="683" spans="1:18">
      <c r="A683" s="25" t="s">
        <v>4329</v>
      </c>
      <c r="B683" s="25"/>
      <c r="C683" s="25"/>
      <c r="D683" s="25">
        <v>0</v>
      </c>
      <c r="E683" s="25">
        <v>0</v>
      </c>
      <c r="F683" s="25">
        <v>0</v>
      </c>
      <c r="G683" s="25" t="s">
        <v>4318</v>
      </c>
      <c r="H683" s="25"/>
      <c r="I683" s="25" t="b">
        <v>0</v>
      </c>
      <c r="J683" s="23" t="b">
        <v>1</v>
      </c>
      <c r="K683" s="25" t="b">
        <v>1</v>
      </c>
      <c r="L683" s="25"/>
      <c r="M683" s="25"/>
      <c r="N683" s="25" t="str">
        <f>_xlfn.IFNA(VLOOKUP($M683,Buff.CM!$A:$O,13,FALSE),"")</f>
        <v/>
      </c>
      <c r="O683" s="25" t="str">
        <f>_xlfn.IFNA(VLOOKUP($M683,Buff.CM!$A:$O,14,FALSE),"")</f>
        <v/>
      </c>
      <c r="P683" s="25" t="str">
        <f>_xlfn.IFNA(VLOOKUP($M683,Buff.CM!$A:$O,15,FALSE),"")</f>
        <v/>
      </c>
      <c r="Q683" s="25" t="b">
        <v>0</v>
      </c>
      <c r="R683" s="25" t="b">
        <v>0</v>
      </c>
    </row>
    <row r="684" spans="1:18">
      <c r="A684" s="26" t="s">
        <v>4330</v>
      </c>
      <c r="B684" s="26"/>
      <c r="C684" s="26"/>
      <c r="D684" s="26">
        <v>0</v>
      </c>
      <c r="E684" s="26">
        <v>0</v>
      </c>
      <c r="F684" s="26">
        <v>0</v>
      </c>
      <c r="G684" s="26" t="s">
        <v>4319</v>
      </c>
      <c r="H684" s="26"/>
      <c r="I684" s="26" t="b">
        <v>0</v>
      </c>
      <c r="J684" s="23" t="b">
        <v>1</v>
      </c>
      <c r="K684" s="26" t="b">
        <v>1</v>
      </c>
      <c r="L684" s="26"/>
      <c r="M684" s="26"/>
      <c r="N684" s="26" t="str">
        <f>_xlfn.IFNA(VLOOKUP($M684,Buff.CM!$A:$O,13,FALSE),"")</f>
        <v/>
      </c>
      <c r="O684" s="26" t="str">
        <f>_xlfn.IFNA(VLOOKUP($M684,Buff.CM!$A:$O,14,FALSE),"")</f>
        <v/>
      </c>
      <c r="P684" s="26" t="str">
        <f>_xlfn.IFNA(VLOOKUP($M684,Buff.CM!$A:$O,15,FALSE),"")</f>
        <v/>
      </c>
      <c r="Q684" s="26" t="b">
        <v>0</v>
      </c>
      <c r="R684" s="26" t="b">
        <v>0</v>
      </c>
    </row>
    <row r="685" spans="1:18">
      <c r="A685" s="26" t="s">
        <v>4331</v>
      </c>
      <c r="B685" s="26"/>
      <c r="C685" s="26"/>
      <c r="D685" s="26">
        <v>0</v>
      </c>
      <c r="E685" s="26">
        <v>0</v>
      </c>
      <c r="F685" s="26">
        <v>0</v>
      </c>
      <c r="G685" s="26" t="s">
        <v>4320</v>
      </c>
      <c r="H685" s="26"/>
      <c r="I685" s="26" t="b">
        <v>0</v>
      </c>
      <c r="J685" s="23" t="b">
        <v>1</v>
      </c>
      <c r="K685" s="26" t="b">
        <v>1</v>
      </c>
      <c r="L685" s="26"/>
      <c r="M685" s="26"/>
      <c r="N685" s="26" t="str">
        <f>_xlfn.IFNA(VLOOKUP($M685,Buff.CM!$A:$O,13,FALSE),"")</f>
        <v/>
      </c>
      <c r="O685" s="26" t="str">
        <f>_xlfn.IFNA(VLOOKUP($M685,Buff.CM!$A:$O,14,FALSE),"")</f>
        <v/>
      </c>
      <c r="P685" s="26" t="str">
        <f>_xlfn.IFNA(VLOOKUP($M685,Buff.CM!$A:$O,15,FALSE),"")</f>
        <v/>
      </c>
      <c r="Q685" s="26" t="b">
        <v>0</v>
      </c>
      <c r="R685" s="26" t="b">
        <v>0</v>
      </c>
    </row>
    <row r="686" spans="1:18">
      <c r="A686" s="26" t="s">
        <v>4332</v>
      </c>
      <c r="B686" s="26"/>
      <c r="C686" s="26"/>
      <c r="D686" s="26">
        <v>0</v>
      </c>
      <c r="E686" s="26">
        <v>0</v>
      </c>
      <c r="F686" s="26">
        <v>0</v>
      </c>
      <c r="G686" s="26" t="s">
        <v>4321</v>
      </c>
      <c r="H686" s="26"/>
      <c r="I686" s="26" t="b">
        <v>0</v>
      </c>
      <c r="J686" s="23" t="b">
        <v>1</v>
      </c>
      <c r="K686" s="26" t="b">
        <v>1</v>
      </c>
      <c r="L686" s="26"/>
      <c r="M686" s="26"/>
      <c r="N686" s="26" t="str">
        <f>_xlfn.IFNA(VLOOKUP($M686,Buff.CM!$A:$O,13,FALSE),"")</f>
        <v/>
      </c>
      <c r="O686" s="26" t="str">
        <f>_xlfn.IFNA(VLOOKUP($M686,Buff.CM!$A:$O,14,FALSE),"")</f>
        <v/>
      </c>
      <c r="P686" s="26" t="str">
        <f>_xlfn.IFNA(VLOOKUP($M686,Buff.CM!$A:$O,15,FALSE),"")</f>
        <v/>
      </c>
      <c r="Q686" s="26" t="b">
        <v>0</v>
      </c>
      <c r="R686" s="26" t="b">
        <v>0</v>
      </c>
    </row>
    <row r="687" spans="1:18">
      <c r="A687" s="25" t="s">
        <v>4333</v>
      </c>
      <c r="B687" s="25"/>
      <c r="C687" s="25"/>
      <c r="D687" s="25">
        <v>0</v>
      </c>
      <c r="E687" s="25">
        <v>0</v>
      </c>
      <c r="F687" s="25">
        <v>0</v>
      </c>
      <c r="G687" s="25" t="s">
        <v>6714</v>
      </c>
      <c r="H687" s="25"/>
      <c r="I687" s="25" t="b">
        <v>0</v>
      </c>
      <c r="J687" s="23" t="b">
        <v>1</v>
      </c>
      <c r="K687" s="25" t="b">
        <v>1</v>
      </c>
      <c r="L687" s="25"/>
      <c r="M687" s="25"/>
      <c r="N687" s="25" t="str">
        <f>_xlfn.IFNA(VLOOKUP($M687,Buff.CM!$A:$O,13,FALSE),"")</f>
        <v/>
      </c>
      <c r="O687" s="25" t="str">
        <f>_xlfn.IFNA(VLOOKUP($M687,Buff.CM!$A:$O,14,FALSE),"")</f>
        <v/>
      </c>
      <c r="P687" s="25" t="str">
        <f>_xlfn.IFNA(VLOOKUP($M687,Buff.CM!$A:$O,15,FALSE),"")</f>
        <v/>
      </c>
      <c r="Q687" s="25" t="b">
        <v>0</v>
      </c>
      <c r="R687" s="25" t="b">
        <v>0</v>
      </c>
    </row>
    <row r="688" spans="1:18">
      <c r="A688" s="25" t="s">
        <v>4334</v>
      </c>
      <c r="B688" s="25"/>
      <c r="C688" s="25"/>
      <c r="D688" s="25">
        <v>0</v>
      </c>
      <c r="E688" s="25">
        <v>0</v>
      </c>
      <c r="F688" s="25">
        <v>0</v>
      </c>
      <c r="G688" s="25" t="s">
        <v>4322</v>
      </c>
      <c r="H688" s="25"/>
      <c r="I688" s="25" t="b">
        <v>0</v>
      </c>
      <c r="J688" s="23" t="b">
        <v>1</v>
      </c>
      <c r="K688" s="25" t="b">
        <v>1</v>
      </c>
      <c r="L688" s="25"/>
      <c r="M688" s="25"/>
      <c r="N688" s="25" t="str">
        <f>_xlfn.IFNA(VLOOKUP($M688,Buff.CM!$A:$O,13,FALSE),"")</f>
        <v/>
      </c>
      <c r="O688" s="25" t="str">
        <f>_xlfn.IFNA(VLOOKUP($M688,Buff.CM!$A:$O,14,FALSE),"")</f>
        <v/>
      </c>
      <c r="P688" s="25" t="str">
        <f>_xlfn.IFNA(VLOOKUP($M688,Buff.CM!$A:$O,15,FALSE),"")</f>
        <v/>
      </c>
      <c r="Q688" s="25" t="b">
        <v>0</v>
      </c>
      <c r="R688" s="25" t="b">
        <v>0</v>
      </c>
    </row>
    <row r="689" spans="1:18">
      <c r="A689" s="25" t="s">
        <v>4335</v>
      </c>
      <c r="B689" s="25"/>
      <c r="C689" s="25"/>
      <c r="D689" s="25">
        <v>0</v>
      </c>
      <c r="E689" s="25">
        <v>0</v>
      </c>
      <c r="F689" s="25">
        <v>0</v>
      </c>
      <c r="G689" s="25" t="s">
        <v>4323</v>
      </c>
      <c r="H689" s="25"/>
      <c r="I689" s="25" t="b">
        <v>0</v>
      </c>
      <c r="J689" s="23" t="b">
        <v>1</v>
      </c>
      <c r="K689" s="25" t="b">
        <v>1</v>
      </c>
      <c r="L689" s="25"/>
      <c r="M689" s="25"/>
      <c r="N689" s="25" t="str">
        <f>_xlfn.IFNA(VLOOKUP($M689,Buff.CM!$A:$O,13,FALSE),"")</f>
        <v/>
      </c>
      <c r="O689" s="25" t="str">
        <f>_xlfn.IFNA(VLOOKUP($M689,Buff.CM!$A:$O,14,FALSE),"")</f>
        <v/>
      </c>
      <c r="P689" s="25" t="str">
        <f>_xlfn.IFNA(VLOOKUP($M689,Buff.CM!$A:$O,15,FALSE),"")</f>
        <v/>
      </c>
      <c r="Q689" s="25" t="b">
        <v>0</v>
      </c>
      <c r="R689" s="25" t="b">
        <v>0</v>
      </c>
    </row>
    <row r="690" spans="1:18">
      <c r="A690" s="26" t="s">
        <v>4336</v>
      </c>
      <c r="B690" s="26"/>
      <c r="C690" s="26"/>
      <c r="D690" s="26">
        <v>0</v>
      </c>
      <c r="E690" s="26">
        <v>0</v>
      </c>
      <c r="F690" s="26">
        <v>0</v>
      </c>
      <c r="G690" s="26" t="s">
        <v>4324</v>
      </c>
      <c r="H690" s="26"/>
      <c r="I690" s="26" t="b">
        <v>0</v>
      </c>
      <c r="J690" s="23" t="b">
        <v>1</v>
      </c>
      <c r="K690" s="26" t="b">
        <v>1</v>
      </c>
      <c r="L690" s="26"/>
      <c r="M690" s="26"/>
      <c r="N690" s="26" t="str">
        <f>_xlfn.IFNA(VLOOKUP($M690,Buff.CM!$A:$O,13,FALSE),"")</f>
        <v/>
      </c>
      <c r="O690" s="26" t="str">
        <f>_xlfn.IFNA(VLOOKUP($M690,Buff.CM!$A:$O,14,FALSE),"")</f>
        <v/>
      </c>
      <c r="P690" s="26" t="str">
        <f>_xlfn.IFNA(VLOOKUP($M690,Buff.CM!$A:$O,15,FALSE),"")</f>
        <v/>
      </c>
      <c r="Q690" s="26" t="b">
        <v>0</v>
      </c>
      <c r="R690" s="26" t="b">
        <v>0</v>
      </c>
    </row>
    <row r="691" spans="1:18">
      <c r="A691" s="26" t="s">
        <v>4337</v>
      </c>
      <c r="B691" s="26"/>
      <c r="C691" s="26"/>
      <c r="D691" s="26">
        <v>0</v>
      </c>
      <c r="E691" s="26">
        <v>0</v>
      </c>
      <c r="F691" s="26">
        <v>0</v>
      </c>
      <c r="G691" s="26" t="s">
        <v>4325</v>
      </c>
      <c r="H691" s="26"/>
      <c r="I691" s="26" t="b">
        <v>0</v>
      </c>
      <c r="J691" s="23" t="b">
        <v>1</v>
      </c>
      <c r="K691" s="26" t="b">
        <v>1</v>
      </c>
      <c r="L691" s="26"/>
      <c r="M691" s="26"/>
      <c r="N691" s="26" t="str">
        <f>_xlfn.IFNA(VLOOKUP($M691,Buff.CM!$A:$O,13,FALSE),"")</f>
        <v/>
      </c>
      <c r="O691" s="26" t="str">
        <f>_xlfn.IFNA(VLOOKUP($M691,Buff.CM!$A:$O,14,FALSE),"")</f>
        <v/>
      </c>
      <c r="P691" s="26" t="str">
        <f>_xlfn.IFNA(VLOOKUP($M691,Buff.CM!$A:$O,15,FALSE),"")</f>
        <v/>
      </c>
      <c r="Q691" s="26" t="b">
        <v>0</v>
      </c>
      <c r="R691" s="26" t="b">
        <v>0</v>
      </c>
    </row>
    <row r="692" spans="1:18">
      <c r="A692" s="26" t="s">
        <v>4338</v>
      </c>
      <c r="B692" s="26"/>
      <c r="C692" s="26"/>
      <c r="D692" s="26">
        <v>0</v>
      </c>
      <c r="E692" s="26">
        <v>0</v>
      </c>
      <c r="F692" s="26">
        <v>0</v>
      </c>
      <c r="G692" s="26" t="s">
        <v>4326</v>
      </c>
      <c r="H692" s="26"/>
      <c r="I692" s="26" t="b">
        <v>0</v>
      </c>
      <c r="J692" s="23" t="b">
        <v>1</v>
      </c>
      <c r="K692" s="26" t="b">
        <v>1</v>
      </c>
      <c r="L692" s="26"/>
      <c r="M692" s="26"/>
      <c r="N692" s="26" t="str">
        <f>_xlfn.IFNA(VLOOKUP($M692,Buff.CM!$A:$O,13,FALSE),"")</f>
        <v/>
      </c>
      <c r="O692" s="26" t="str">
        <f>_xlfn.IFNA(VLOOKUP($M692,Buff.CM!$A:$O,14,FALSE),"")</f>
        <v/>
      </c>
      <c r="P692" s="26" t="str">
        <f>_xlfn.IFNA(VLOOKUP($M692,Buff.CM!$A:$O,15,FALSE),"")</f>
        <v/>
      </c>
      <c r="Q692" s="26" t="b">
        <v>0</v>
      </c>
      <c r="R692" s="26" t="b">
        <v>0</v>
      </c>
    </row>
    <row r="693" spans="1:18" ht="33">
      <c r="A693" s="26" t="s">
        <v>6715</v>
      </c>
      <c r="B693" s="26"/>
      <c r="C693" s="26"/>
      <c r="D693" s="26">
        <v>0</v>
      </c>
      <c r="E693" s="26">
        <v>0</v>
      </c>
      <c r="F693" s="26">
        <v>0</v>
      </c>
      <c r="G693" s="45" t="s">
        <v>6716</v>
      </c>
      <c r="H693" s="26"/>
      <c r="I693" s="26" t="b">
        <v>0</v>
      </c>
      <c r="J693" s="23" t="b">
        <v>1</v>
      </c>
      <c r="K693" s="26" t="b">
        <v>1</v>
      </c>
      <c r="L693" s="26"/>
      <c r="M693" s="26"/>
      <c r="N693" s="26" t="str">
        <f>_xlfn.IFNA(VLOOKUP($M693,Buff.CM!$A:$O,13,FALSE),"")</f>
        <v/>
      </c>
      <c r="O693" s="26" t="str">
        <f>_xlfn.IFNA(VLOOKUP($M693,Buff.CM!$A:$O,14,FALSE),"")</f>
        <v/>
      </c>
      <c r="P693" s="26" t="str">
        <f>_xlfn.IFNA(VLOOKUP($M693,Buff.CM!$A:$O,15,FALSE),"")</f>
        <v/>
      </c>
      <c r="Q693" s="34" t="b">
        <v>0</v>
      </c>
      <c r="R693" s="26" t="b">
        <v>0</v>
      </c>
    </row>
    <row r="694" spans="1:18" ht="33">
      <c r="A694" s="26" t="s">
        <v>3478</v>
      </c>
      <c r="B694" s="26"/>
      <c r="C694" s="26"/>
      <c r="D694" s="26">
        <v>0</v>
      </c>
      <c r="E694" s="26">
        <v>0</v>
      </c>
      <c r="F694" s="26">
        <v>0</v>
      </c>
      <c r="G694" s="45" t="s">
        <v>6717</v>
      </c>
      <c r="H694" s="26"/>
      <c r="I694" s="26" t="b">
        <v>0</v>
      </c>
      <c r="J694" s="23" t="b">
        <v>1</v>
      </c>
      <c r="K694" s="26" t="b">
        <v>1</v>
      </c>
      <c r="L694" s="26"/>
      <c r="M694" s="26"/>
      <c r="N694" s="26" t="str">
        <f>_xlfn.IFNA(VLOOKUP($M694,Buff.CM!$A:$O,13,FALSE),"")</f>
        <v/>
      </c>
      <c r="O694" s="26" t="str">
        <f>_xlfn.IFNA(VLOOKUP($M694,Buff.CM!$A:$O,14,FALSE),"")</f>
        <v/>
      </c>
      <c r="P694" s="26" t="str">
        <f>_xlfn.IFNA(VLOOKUP($M694,Buff.CM!$A:$O,15,FALSE),"")</f>
        <v/>
      </c>
      <c r="Q694" s="34" t="b">
        <v>0</v>
      </c>
      <c r="R694" s="26" t="b">
        <v>0</v>
      </c>
    </row>
    <row r="695" spans="1:18" ht="33">
      <c r="A695" s="26" t="s">
        <v>3479</v>
      </c>
      <c r="B695" s="26"/>
      <c r="C695" s="26"/>
      <c r="D695" s="26">
        <v>0</v>
      </c>
      <c r="E695" s="26">
        <v>0</v>
      </c>
      <c r="F695" s="26">
        <v>0</v>
      </c>
      <c r="G695" s="45" t="s">
        <v>6718</v>
      </c>
      <c r="H695" s="26"/>
      <c r="I695" s="26" t="b">
        <v>0</v>
      </c>
      <c r="J695" s="23" t="b">
        <v>1</v>
      </c>
      <c r="K695" s="26" t="b">
        <v>1</v>
      </c>
      <c r="L695" s="26"/>
      <c r="M695" s="26"/>
      <c r="N695" s="26" t="str">
        <f>_xlfn.IFNA(VLOOKUP($M695,Buff.CM!$A:$O,13,FALSE),"")</f>
        <v/>
      </c>
      <c r="O695" s="26" t="str">
        <f>_xlfn.IFNA(VLOOKUP($M695,Buff.CM!$A:$O,14,FALSE),"")</f>
        <v/>
      </c>
      <c r="P695" s="26" t="str">
        <f>_xlfn.IFNA(VLOOKUP($M695,Buff.CM!$A:$O,15,FALSE),"")</f>
        <v/>
      </c>
      <c r="Q695" s="34" t="b">
        <v>0</v>
      </c>
      <c r="R695" s="26" t="b">
        <v>0</v>
      </c>
    </row>
    <row r="696" spans="1:18" ht="33">
      <c r="A696" s="34" t="s">
        <v>3480</v>
      </c>
      <c r="B696" s="34"/>
      <c r="C696" s="34"/>
      <c r="D696" s="34">
        <v>0</v>
      </c>
      <c r="E696" s="34">
        <v>0</v>
      </c>
      <c r="F696" s="34">
        <v>0</v>
      </c>
      <c r="G696" s="40" t="s">
        <v>6719</v>
      </c>
      <c r="H696" s="34"/>
      <c r="I696" s="34" t="b">
        <v>0</v>
      </c>
      <c r="J696" s="23" t="b">
        <v>1</v>
      </c>
      <c r="K696" s="34" t="b">
        <v>1</v>
      </c>
      <c r="L696" s="34"/>
      <c r="M696" s="34"/>
      <c r="N696" s="34" t="str">
        <f>_xlfn.IFNA(VLOOKUP($M696,Buff.CM!$A:$O,13,FALSE),"")</f>
        <v/>
      </c>
      <c r="O696" s="34" t="str">
        <f>_xlfn.IFNA(VLOOKUP($M696,Buff.CM!$A:$O,14,FALSE),"")</f>
        <v/>
      </c>
      <c r="P696" s="34" t="str">
        <f>_xlfn.IFNA(VLOOKUP($M696,Buff.CM!$A:$O,15,FALSE),"")</f>
        <v/>
      </c>
      <c r="Q696" s="34" t="b">
        <v>0</v>
      </c>
      <c r="R696" s="34" t="b">
        <v>0</v>
      </c>
    </row>
    <row r="697" spans="1:18" ht="33">
      <c r="A697" s="34" t="s">
        <v>3481</v>
      </c>
      <c r="B697" s="34"/>
      <c r="C697" s="34"/>
      <c r="D697" s="34">
        <v>0</v>
      </c>
      <c r="E697" s="34">
        <v>0</v>
      </c>
      <c r="F697" s="34">
        <v>0</v>
      </c>
      <c r="G697" s="40" t="s">
        <v>6720</v>
      </c>
      <c r="H697" s="34"/>
      <c r="I697" s="34" t="b">
        <v>0</v>
      </c>
      <c r="J697" s="23" t="b">
        <v>1</v>
      </c>
      <c r="K697" s="34" t="b">
        <v>1</v>
      </c>
      <c r="L697" s="34"/>
      <c r="M697" s="34"/>
      <c r="N697" s="34" t="str">
        <f>_xlfn.IFNA(VLOOKUP($M697,Buff.CM!$A:$O,13,FALSE),"")</f>
        <v/>
      </c>
      <c r="O697" s="34" t="str">
        <f>_xlfn.IFNA(VLOOKUP($M697,Buff.CM!$A:$O,14,FALSE),"")</f>
        <v/>
      </c>
      <c r="P697" s="34" t="str">
        <f>_xlfn.IFNA(VLOOKUP($M697,Buff.CM!$A:$O,15,FALSE),"")</f>
        <v/>
      </c>
      <c r="Q697" s="34" t="b">
        <v>0</v>
      </c>
      <c r="R697" s="34" t="b">
        <v>0</v>
      </c>
    </row>
    <row r="698" spans="1:18" ht="33">
      <c r="A698" s="34" t="s">
        <v>3482</v>
      </c>
      <c r="B698" s="34"/>
      <c r="C698" s="34"/>
      <c r="D698" s="34">
        <v>0</v>
      </c>
      <c r="E698" s="34">
        <v>0</v>
      </c>
      <c r="F698" s="34">
        <v>0</v>
      </c>
      <c r="G698" s="40" t="s">
        <v>6721</v>
      </c>
      <c r="H698" s="34"/>
      <c r="I698" s="34" t="b">
        <v>0</v>
      </c>
      <c r="J698" s="23" t="b">
        <v>1</v>
      </c>
      <c r="K698" s="34" t="b">
        <v>1</v>
      </c>
      <c r="L698" s="34"/>
      <c r="M698" s="34"/>
      <c r="N698" s="34" t="str">
        <f>_xlfn.IFNA(VLOOKUP($M698,Buff.CM!$A:$O,13,FALSE),"")</f>
        <v/>
      </c>
      <c r="O698" s="34" t="str">
        <f>_xlfn.IFNA(VLOOKUP($M698,Buff.CM!$A:$O,14,FALSE),"")</f>
        <v/>
      </c>
      <c r="P698" s="34" t="str">
        <f>_xlfn.IFNA(VLOOKUP($M698,Buff.CM!$A:$O,15,FALSE),"")</f>
        <v/>
      </c>
      <c r="Q698" s="34" t="b">
        <v>0</v>
      </c>
      <c r="R698" s="34" t="b">
        <v>0</v>
      </c>
    </row>
    <row r="699" spans="1:18">
      <c r="A699" s="26" t="s">
        <v>6722</v>
      </c>
      <c r="B699" s="26"/>
      <c r="C699" s="26"/>
      <c r="D699" s="26">
        <v>0</v>
      </c>
      <c r="E699" s="26">
        <v>3</v>
      </c>
      <c r="F699" s="26">
        <v>1</v>
      </c>
      <c r="G699" s="45" t="s">
        <v>6723</v>
      </c>
      <c r="H699" s="26"/>
      <c r="I699" s="26" t="b">
        <v>0</v>
      </c>
      <c r="J699" s="23" t="b">
        <v>1</v>
      </c>
      <c r="K699" s="26" t="b">
        <v>1</v>
      </c>
      <c r="L699" s="26"/>
      <c r="M699" s="26" t="s">
        <v>5609</v>
      </c>
      <c r="N699" s="26" t="str">
        <f>_xlfn.IFNA(VLOOKUP($M699,Buff.CM!$A:$O,13,FALSE),"")</f>
        <v>icon_battle_angelica_stage1</v>
      </c>
      <c r="O699" s="26" t="str">
        <f>_xlfn.IFNA(VLOOKUP($M699,Buff.CM!$A:$O,14,FALSE),"")</f>
        <v>info.angelica.buff.burn</v>
      </c>
      <c r="P699" s="26" t="str">
        <f>_xlfn.IFNA(VLOOKUP($M699,Buff.CM!$A:$O,15,FALSE),"")</f>
        <v>Desc.info.angelica.buff.burn</v>
      </c>
      <c r="Q699" s="34" t="b">
        <v>0</v>
      </c>
      <c r="R699" s="34" t="b">
        <v>0</v>
      </c>
    </row>
    <row r="700" spans="1:18">
      <c r="A700" s="26" t="s">
        <v>3488</v>
      </c>
      <c r="B700" s="26"/>
      <c r="C700" s="26"/>
      <c r="D700" s="26">
        <v>0</v>
      </c>
      <c r="E700" s="26">
        <v>3</v>
      </c>
      <c r="F700" s="26">
        <v>1</v>
      </c>
      <c r="G700" s="45" t="s">
        <v>3493</v>
      </c>
      <c r="H700" s="26"/>
      <c r="I700" s="26" t="b">
        <v>0</v>
      </c>
      <c r="J700" s="23" t="b">
        <v>1</v>
      </c>
      <c r="K700" s="26" t="b">
        <v>1</v>
      </c>
      <c r="L700" s="26"/>
      <c r="M700" s="26" t="s">
        <v>5609</v>
      </c>
      <c r="N700" s="26" t="str">
        <f>_xlfn.IFNA(VLOOKUP($M700,Buff.CM!$A:$O,13,FALSE),"")</f>
        <v>icon_battle_angelica_stage1</v>
      </c>
      <c r="O700" s="26" t="str">
        <f>_xlfn.IFNA(VLOOKUP($M700,Buff.CM!$A:$O,14,FALSE),"")</f>
        <v>info.angelica.buff.burn</v>
      </c>
      <c r="P700" s="26" t="str">
        <f>_xlfn.IFNA(VLOOKUP($M700,Buff.CM!$A:$O,15,FALSE),"")</f>
        <v>Desc.info.angelica.buff.burn</v>
      </c>
      <c r="Q700" s="34" t="b">
        <v>0</v>
      </c>
      <c r="R700" s="34" t="b">
        <v>0</v>
      </c>
    </row>
    <row r="701" spans="1:18">
      <c r="A701" s="26" t="s">
        <v>3489</v>
      </c>
      <c r="B701" s="26"/>
      <c r="C701" s="26"/>
      <c r="D701" s="26">
        <v>0</v>
      </c>
      <c r="E701" s="26">
        <v>3</v>
      </c>
      <c r="F701" s="26">
        <v>1</v>
      </c>
      <c r="G701" s="45" t="s">
        <v>3494</v>
      </c>
      <c r="H701" s="26"/>
      <c r="I701" s="26" t="b">
        <v>0</v>
      </c>
      <c r="J701" s="23" t="b">
        <v>1</v>
      </c>
      <c r="K701" s="26" t="b">
        <v>1</v>
      </c>
      <c r="L701" s="26"/>
      <c r="M701" s="26" t="s">
        <v>5609</v>
      </c>
      <c r="N701" s="26" t="str">
        <f>_xlfn.IFNA(VLOOKUP($M701,Buff.CM!$A:$O,13,FALSE),"")</f>
        <v>icon_battle_angelica_stage1</v>
      </c>
      <c r="O701" s="26" t="str">
        <f>_xlfn.IFNA(VLOOKUP($M701,Buff.CM!$A:$O,14,FALSE),"")</f>
        <v>info.angelica.buff.burn</v>
      </c>
      <c r="P701" s="26" t="str">
        <f>_xlfn.IFNA(VLOOKUP($M701,Buff.CM!$A:$O,15,FALSE),"")</f>
        <v>Desc.info.angelica.buff.burn</v>
      </c>
      <c r="Q701" s="34" t="b">
        <v>0</v>
      </c>
      <c r="R701" s="34" t="b">
        <v>0</v>
      </c>
    </row>
    <row r="702" spans="1:18">
      <c r="A702" s="34" t="s">
        <v>3490</v>
      </c>
      <c r="B702" s="34"/>
      <c r="C702" s="34"/>
      <c r="D702" s="34">
        <v>0</v>
      </c>
      <c r="E702" s="34">
        <v>3</v>
      </c>
      <c r="F702" s="34">
        <v>1</v>
      </c>
      <c r="G702" s="40" t="s">
        <v>3495</v>
      </c>
      <c r="H702" s="34"/>
      <c r="I702" s="34" t="b">
        <v>0</v>
      </c>
      <c r="J702" s="23" t="b">
        <v>1</v>
      </c>
      <c r="K702" s="34" t="b">
        <v>1</v>
      </c>
      <c r="L702" s="34"/>
      <c r="M702" s="34" t="s">
        <v>5609</v>
      </c>
      <c r="N702" s="34" t="str">
        <f>_xlfn.IFNA(VLOOKUP($M702,Buff.CM!$A:$O,13,FALSE),"")</f>
        <v>icon_battle_angelica_stage1</v>
      </c>
      <c r="O702" s="34" t="str">
        <f>_xlfn.IFNA(VLOOKUP($M702,Buff.CM!$A:$O,14,FALSE),"")</f>
        <v>info.angelica.buff.burn</v>
      </c>
      <c r="P702" s="34" t="str">
        <f>_xlfn.IFNA(VLOOKUP($M702,Buff.CM!$A:$O,15,FALSE),"")</f>
        <v>Desc.info.angelica.buff.burn</v>
      </c>
      <c r="Q702" s="34" t="b">
        <v>0</v>
      </c>
      <c r="R702" s="34" t="b">
        <v>0</v>
      </c>
    </row>
    <row r="703" spans="1:18">
      <c r="A703" s="34" t="s">
        <v>3491</v>
      </c>
      <c r="B703" s="34"/>
      <c r="C703" s="34"/>
      <c r="D703" s="34">
        <v>0</v>
      </c>
      <c r="E703" s="34">
        <v>3</v>
      </c>
      <c r="F703" s="34">
        <v>1</v>
      </c>
      <c r="G703" s="40" t="s">
        <v>3496</v>
      </c>
      <c r="H703" s="34"/>
      <c r="I703" s="34" t="b">
        <v>0</v>
      </c>
      <c r="J703" s="23" t="b">
        <v>1</v>
      </c>
      <c r="K703" s="34" t="b">
        <v>1</v>
      </c>
      <c r="L703" s="34"/>
      <c r="M703" s="34" t="s">
        <v>5609</v>
      </c>
      <c r="N703" s="34" t="str">
        <f>_xlfn.IFNA(VLOOKUP($M703,Buff.CM!$A:$O,13,FALSE),"")</f>
        <v>icon_battle_angelica_stage1</v>
      </c>
      <c r="O703" s="34" t="str">
        <f>_xlfn.IFNA(VLOOKUP($M703,Buff.CM!$A:$O,14,FALSE),"")</f>
        <v>info.angelica.buff.burn</v>
      </c>
      <c r="P703" s="34" t="str">
        <f>_xlfn.IFNA(VLOOKUP($M703,Buff.CM!$A:$O,15,FALSE),"")</f>
        <v>Desc.info.angelica.buff.burn</v>
      </c>
      <c r="Q703" s="34" t="b">
        <v>0</v>
      </c>
      <c r="R703" s="34" t="b">
        <v>0</v>
      </c>
    </row>
    <row r="704" spans="1:18">
      <c r="A704" s="34" t="s">
        <v>3492</v>
      </c>
      <c r="B704" s="34"/>
      <c r="C704" s="34"/>
      <c r="D704" s="34">
        <v>0</v>
      </c>
      <c r="E704" s="34">
        <v>3</v>
      </c>
      <c r="F704" s="34">
        <v>1</v>
      </c>
      <c r="G704" s="40" t="s">
        <v>3497</v>
      </c>
      <c r="H704" s="34"/>
      <c r="I704" s="34" t="b">
        <v>0</v>
      </c>
      <c r="J704" s="23" t="b">
        <v>1</v>
      </c>
      <c r="K704" s="34" t="b">
        <v>1</v>
      </c>
      <c r="L704" s="34"/>
      <c r="M704" s="34" t="s">
        <v>5609</v>
      </c>
      <c r="N704" s="34" t="str">
        <f>_xlfn.IFNA(VLOOKUP($M704,Buff.CM!$A:$O,13,FALSE),"")</f>
        <v>icon_battle_angelica_stage1</v>
      </c>
      <c r="O704" s="34" t="str">
        <f>_xlfn.IFNA(VLOOKUP($M704,Buff.CM!$A:$O,14,FALSE),"")</f>
        <v>info.angelica.buff.burn</v>
      </c>
      <c r="P704" s="34" t="str">
        <f>_xlfn.IFNA(VLOOKUP($M704,Buff.CM!$A:$O,15,FALSE),"")</f>
        <v>Desc.info.angelica.buff.burn</v>
      </c>
      <c r="Q704" s="34" t="b">
        <v>0</v>
      </c>
      <c r="R704" s="34" t="b">
        <v>0</v>
      </c>
    </row>
    <row r="705" spans="1:18">
      <c r="A705" s="26" t="s">
        <v>3518</v>
      </c>
      <c r="B705" s="26"/>
      <c r="C705" s="26"/>
      <c r="D705" s="26">
        <v>7000</v>
      </c>
      <c r="E705" s="26">
        <v>0</v>
      </c>
      <c r="F705" s="26">
        <v>0</v>
      </c>
      <c r="G705" s="45" t="s">
        <v>7303</v>
      </c>
      <c r="H705" s="26"/>
      <c r="I705" s="26" t="b">
        <v>0</v>
      </c>
      <c r="J705" s="26" t="b">
        <v>0</v>
      </c>
      <c r="K705" s="26" t="b">
        <v>1</v>
      </c>
      <c r="L705" s="26" t="s">
        <v>5474</v>
      </c>
      <c r="M705" s="26" t="s">
        <v>1431</v>
      </c>
      <c r="N705" s="26" t="str">
        <f>_xlfn.IFNA(VLOOKUP($M705,Buff.CM!$A:$O,13,FALSE),"")</f>
        <v>icon_battle_attackspeed</v>
      </c>
      <c r="O705" s="26" t="str">
        <f>_xlfn.IFNA(VLOOKUP($M705,Buff.CM!$A:$O,14,FALSE),"")</f>
        <v>Buff.Name.AtkSpeed.Up.02</v>
      </c>
      <c r="P705" s="26" t="str">
        <f>_xlfn.IFNA(VLOOKUP($M705,Buff.CM!$A:$O,15,FALSE),"")</f>
        <v>Buff.Desc.AtkSpeed.Up.02</v>
      </c>
      <c r="Q705" s="34" t="b">
        <v>0</v>
      </c>
      <c r="R705" s="34" t="b">
        <v>0</v>
      </c>
    </row>
    <row r="706" spans="1:18">
      <c r="A706" s="26" t="s">
        <v>3513</v>
      </c>
      <c r="B706" s="26"/>
      <c r="C706" s="26"/>
      <c r="D706" s="26">
        <v>7000</v>
      </c>
      <c r="E706" s="26">
        <v>0</v>
      </c>
      <c r="F706" s="26">
        <v>0</v>
      </c>
      <c r="G706" s="45" t="s">
        <v>7304</v>
      </c>
      <c r="H706" s="26"/>
      <c r="I706" s="26" t="b">
        <v>0</v>
      </c>
      <c r="J706" s="26" t="b">
        <v>0</v>
      </c>
      <c r="K706" s="26" t="b">
        <v>1</v>
      </c>
      <c r="L706" s="26" t="s">
        <v>5474</v>
      </c>
      <c r="M706" s="26" t="s">
        <v>1432</v>
      </c>
      <c r="N706" s="26" t="str">
        <f>_xlfn.IFNA(VLOOKUP($M706,Buff.CM!$A:$O,13,FALSE),"")</f>
        <v>icon_battle_attackspeed</v>
      </c>
      <c r="O706" s="26" t="str">
        <f>_xlfn.IFNA(VLOOKUP($M706,Buff.CM!$A:$O,14,FALSE),"")</f>
        <v>Buff.Name.AtkSpeed.Up.03</v>
      </c>
      <c r="P706" s="26" t="str">
        <f>_xlfn.IFNA(VLOOKUP($M706,Buff.CM!$A:$O,15,FALSE),"")</f>
        <v>Buff.Desc.AtkSpeed.Up.03</v>
      </c>
      <c r="Q706" s="34" t="b">
        <v>0</v>
      </c>
      <c r="R706" s="34" t="b">
        <v>0</v>
      </c>
    </row>
    <row r="707" spans="1:18">
      <c r="A707" s="26" t="s">
        <v>3514</v>
      </c>
      <c r="B707" s="26"/>
      <c r="C707" s="26"/>
      <c r="D707" s="26">
        <v>8000</v>
      </c>
      <c r="E707" s="26">
        <v>0</v>
      </c>
      <c r="F707" s="26">
        <v>0</v>
      </c>
      <c r="G707" s="45" t="s">
        <v>7304</v>
      </c>
      <c r="H707" s="26"/>
      <c r="I707" s="26" t="b">
        <v>0</v>
      </c>
      <c r="J707" s="26" t="b">
        <v>0</v>
      </c>
      <c r="K707" s="26" t="b">
        <v>1</v>
      </c>
      <c r="L707" s="26" t="s">
        <v>5474</v>
      </c>
      <c r="M707" s="26" t="s">
        <v>1432</v>
      </c>
      <c r="N707" s="26" t="str">
        <f>_xlfn.IFNA(VLOOKUP($M707,Buff.CM!$A:$O,13,FALSE),"")</f>
        <v>icon_battle_attackspeed</v>
      </c>
      <c r="O707" s="26" t="str">
        <f>_xlfn.IFNA(VLOOKUP($M707,Buff.CM!$A:$O,14,FALSE),"")</f>
        <v>Buff.Name.AtkSpeed.Up.03</v>
      </c>
      <c r="P707" s="26" t="str">
        <f>_xlfn.IFNA(VLOOKUP($M707,Buff.CM!$A:$O,15,FALSE),"")</f>
        <v>Buff.Desc.AtkSpeed.Up.03</v>
      </c>
      <c r="Q707" s="34" t="b">
        <v>0</v>
      </c>
      <c r="R707" s="34" t="b">
        <v>0</v>
      </c>
    </row>
    <row r="708" spans="1:18">
      <c r="A708" s="34" t="s">
        <v>3515</v>
      </c>
      <c r="B708" s="34"/>
      <c r="C708" s="34"/>
      <c r="D708" s="34">
        <v>8000</v>
      </c>
      <c r="E708" s="34">
        <v>0</v>
      </c>
      <c r="F708" s="34">
        <v>0</v>
      </c>
      <c r="G708" s="40" t="s">
        <v>7305</v>
      </c>
      <c r="H708" s="34"/>
      <c r="I708" s="34" t="b">
        <v>0</v>
      </c>
      <c r="J708" s="34" t="b">
        <v>0</v>
      </c>
      <c r="K708" s="34" t="b">
        <v>1</v>
      </c>
      <c r="L708" s="34" t="s">
        <v>5474</v>
      </c>
      <c r="M708" s="34" t="s">
        <v>1433</v>
      </c>
      <c r="N708" s="34" t="str">
        <f>_xlfn.IFNA(VLOOKUP($M708,Buff.CM!$A:$O,13,FALSE),"")</f>
        <v>icon_battle_attackspeed</v>
      </c>
      <c r="O708" s="34" t="str">
        <f>_xlfn.IFNA(VLOOKUP($M708,Buff.CM!$A:$O,14,FALSE),"")</f>
        <v>Buff.Name.AtkSpeed.Up.04</v>
      </c>
      <c r="P708" s="34" t="str">
        <f>_xlfn.IFNA(VLOOKUP($M708,Buff.CM!$A:$O,15,FALSE),"")</f>
        <v>Buff.Desc.AtkSpeed.Up.04</v>
      </c>
      <c r="Q708" s="34" t="b">
        <v>0</v>
      </c>
      <c r="R708" s="34" t="b">
        <v>0</v>
      </c>
    </row>
    <row r="709" spans="1:18">
      <c r="A709" s="34" t="s">
        <v>3516</v>
      </c>
      <c r="B709" s="34"/>
      <c r="C709" s="34"/>
      <c r="D709" s="34">
        <v>3000</v>
      </c>
      <c r="E709" s="34">
        <v>0</v>
      </c>
      <c r="F709" s="34">
        <v>0</v>
      </c>
      <c r="G709" s="40" t="s">
        <v>7305</v>
      </c>
      <c r="H709" s="34"/>
      <c r="I709" s="34" t="b">
        <v>0</v>
      </c>
      <c r="J709" s="34" t="b">
        <v>0</v>
      </c>
      <c r="K709" s="34" t="b">
        <v>1</v>
      </c>
      <c r="L709" s="34" t="s">
        <v>5474</v>
      </c>
      <c r="M709" s="34" t="s">
        <v>1433</v>
      </c>
      <c r="N709" s="34" t="str">
        <f>_xlfn.IFNA(VLOOKUP($M709,Buff.CM!$A:$O,13,FALSE),"")</f>
        <v>icon_battle_attackspeed</v>
      </c>
      <c r="O709" s="34" t="str">
        <f>_xlfn.IFNA(VLOOKUP($M709,Buff.CM!$A:$O,14,FALSE),"")</f>
        <v>Buff.Name.AtkSpeed.Up.04</v>
      </c>
      <c r="P709" s="34" t="str">
        <f>_xlfn.IFNA(VLOOKUP($M709,Buff.CM!$A:$O,15,FALSE),"")</f>
        <v>Buff.Desc.AtkSpeed.Up.04</v>
      </c>
      <c r="Q709" s="34" t="b">
        <v>0</v>
      </c>
      <c r="R709" s="34" t="b">
        <v>0</v>
      </c>
    </row>
    <row r="710" spans="1:18">
      <c r="A710" s="34" t="s">
        <v>3517</v>
      </c>
      <c r="B710" s="34"/>
      <c r="C710" s="34"/>
      <c r="D710" s="34">
        <v>3000</v>
      </c>
      <c r="E710" s="34">
        <v>0</v>
      </c>
      <c r="F710" s="34">
        <v>0</v>
      </c>
      <c r="G710" s="40" t="s">
        <v>1433</v>
      </c>
      <c r="H710" s="34"/>
      <c r="I710" s="34" t="b">
        <v>0</v>
      </c>
      <c r="J710" s="34" t="b">
        <v>0</v>
      </c>
      <c r="K710" s="34" t="b">
        <v>1</v>
      </c>
      <c r="L710" s="34" t="s">
        <v>5474</v>
      </c>
      <c r="M710" s="34" t="s">
        <v>1433</v>
      </c>
      <c r="N710" s="34" t="str">
        <f>_xlfn.IFNA(VLOOKUP($M710,Buff.CM!$A:$O,13,FALSE),"")</f>
        <v>icon_battle_attackspeed</v>
      </c>
      <c r="O710" s="34" t="str">
        <f>_xlfn.IFNA(VLOOKUP($M710,Buff.CM!$A:$O,14,FALSE),"")</f>
        <v>Buff.Name.AtkSpeed.Up.04</v>
      </c>
      <c r="P710" s="34" t="str">
        <f>_xlfn.IFNA(VLOOKUP($M710,Buff.CM!$A:$O,15,FALSE),"")</f>
        <v>Buff.Desc.AtkSpeed.Up.04</v>
      </c>
      <c r="Q710" s="34" t="b">
        <v>0</v>
      </c>
      <c r="R710" s="34" t="b">
        <v>0</v>
      </c>
    </row>
    <row r="711" spans="1:18" ht="49.5">
      <c r="A711" s="23" t="s">
        <v>1872</v>
      </c>
      <c r="B711" s="23"/>
      <c r="C711" s="23"/>
      <c r="D711" s="23">
        <v>0</v>
      </c>
      <c r="E711" s="23">
        <v>0</v>
      </c>
      <c r="F711" s="23">
        <v>0</v>
      </c>
      <c r="G711" s="39" t="s">
        <v>6724</v>
      </c>
      <c r="H711" s="23"/>
      <c r="I711" s="24" t="b">
        <v>1</v>
      </c>
      <c r="J711" s="23" t="b">
        <v>0</v>
      </c>
      <c r="K711" s="23" t="b">
        <v>1</v>
      </c>
      <c r="L711" s="23"/>
      <c r="M711" s="23" t="s">
        <v>5686</v>
      </c>
      <c r="N711" s="23" t="str">
        <f>_xlfn.IFNA(VLOOKUP($M711,Buff.CM!$A:$O,13,FALSE),"")</f>
        <v>icon_battle_brynhild_evildestroy</v>
      </c>
      <c r="O711" s="23" t="str">
        <f>_xlfn.IFNA(VLOOKUP($M711,Buff.CM!$A:$O,14,FALSE),"")</f>
        <v>info.brynhild.buff.evildestroy</v>
      </c>
      <c r="P711" s="23" t="str">
        <f>_xlfn.IFNA(VLOOKUP($M711,Buff.CM!$A:$O,15,FALSE),"")</f>
        <v>Desc.info.brynhild.buff.evildestroy</v>
      </c>
      <c r="Q711" s="23" t="b">
        <v>0</v>
      </c>
      <c r="R711" s="23" t="b">
        <v>0</v>
      </c>
    </row>
    <row r="712" spans="1:18" ht="49.5">
      <c r="A712" s="23" t="s">
        <v>1873</v>
      </c>
      <c r="B712" s="23"/>
      <c r="C712" s="23"/>
      <c r="D712" s="23">
        <v>0</v>
      </c>
      <c r="E712" s="23">
        <v>0</v>
      </c>
      <c r="F712" s="23">
        <v>0</v>
      </c>
      <c r="G712" s="39" t="s">
        <v>6725</v>
      </c>
      <c r="H712" s="23"/>
      <c r="I712" s="24" t="b">
        <v>1</v>
      </c>
      <c r="J712" s="23" t="b">
        <v>0</v>
      </c>
      <c r="K712" s="23" t="b">
        <v>1</v>
      </c>
      <c r="L712" s="23"/>
      <c r="M712" s="23" t="s">
        <v>5686</v>
      </c>
      <c r="N712" s="23" t="str">
        <f>_xlfn.IFNA(VLOOKUP($M712,Buff.CM!$A:$O,13,FALSE),"")</f>
        <v>icon_battle_brynhild_evildestroy</v>
      </c>
      <c r="O712" s="23" t="str">
        <f>_xlfn.IFNA(VLOOKUP($M712,Buff.CM!$A:$O,14,FALSE),"")</f>
        <v>info.brynhild.buff.evildestroy</v>
      </c>
      <c r="P712" s="23" t="str">
        <f>_xlfn.IFNA(VLOOKUP($M712,Buff.CM!$A:$O,15,FALSE),"")</f>
        <v>Desc.info.brynhild.buff.evildestroy</v>
      </c>
      <c r="Q712" s="23" t="b">
        <v>0</v>
      </c>
      <c r="R712" s="23" t="b">
        <v>0</v>
      </c>
    </row>
    <row r="713" spans="1:18" ht="49.5">
      <c r="A713" s="23" t="s">
        <v>1874</v>
      </c>
      <c r="B713" s="23"/>
      <c r="C713" s="23"/>
      <c r="D713" s="23">
        <v>0</v>
      </c>
      <c r="E713" s="23">
        <v>0</v>
      </c>
      <c r="F713" s="23">
        <v>0</v>
      </c>
      <c r="G713" s="39" t="s">
        <v>6726</v>
      </c>
      <c r="H713" s="23"/>
      <c r="I713" s="24" t="b">
        <v>1</v>
      </c>
      <c r="J713" s="23" t="b">
        <v>0</v>
      </c>
      <c r="K713" s="23" t="b">
        <v>1</v>
      </c>
      <c r="L713" s="23"/>
      <c r="M713" s="23" t="s">
        <v>5686</v>
      </c>
      <c r="N713" s="23" t="str">
        <f>_xlfn.IFNA(VLOOKUP($M713,Buff.CM!$A:$O,13,FALSE),"")</f>
        <v>icon_battle_brynhild_evildestroy</v>
      </c>
      <c r="O713" s="23" t="str">
        <f>_xlfn.IFNA(VLOOKUP($M713,Buff.CM!$A:$O,14,FALSE),"")</f>
        <v>info.brynhild.buff.evildestroy</v>
      </c>
      <c r="P713" s="23" t="str">
        <f>_xlfn.IFNA(VLOOKUP($M713,Buff.CM!$A:$O,15,FALSE),"")</f>
        <v>Desc.info.brynhild.buff.evildestroy</v>
      </c>
      <c r="Q713" s="23" t="b">
        <v>0</v>
      </c>
      <c r="R713" s="23" t="b">
        <v>0</v>
      </c>
    </row>
    <row r="714" spans="1:18" ht="49.5">
      <c r="A714" s="23" t="s">
        <v>1875</v>
      </c>
      <c r="B714" s="23"/>
      <c r="C714" s="23"/>
      <c r="D714" s="23">
        <v>0</v>
      </c>
      <c r="E714" s="23">
        <v>0</v>
      </c>
      <c r="F714" s="23">
        <v>0</v>
      </c>
      <c r="G714" s="39" t="s">
        <v>6727</v>
      </c>
      <c r="H714" s="23"/>
      <c r="I714" s="24" t="b">
        <v>1</v>
      </c>
      <c r="J714" s="23" t="b">
        <v>0</v>
      </c>
      <c r="K714" s="23" t="b">
        <v>1</v>
      </c>
      <c r="L714" s="23"/>
      <c r="M714" s="23" t="s">
        <v>5686</v>
      </c>
      <c r="N714" s="23" t="str">
        <f>_xlfn.IFNA(VLOOKUP($M714,Buff.CM!$A:$O,13,FALSE),"")</f>
        <v>icon_battle_brynhild_evildestroy</v>
      </c>
      <c r="O714" s="23" t="str">
        <f>_xlfn.IFNA(VLOOKUP($M714,Buff.CM!$A:$O,14,FALSE),"")</f>
        <v>info.brynhild.buff.evildestroy</v>
      </c>
      <c r="P714" s="23" t="str">
        <f>_xlfn.IFNA(VLOOKUP($M714,Buff.CM!$A:$O,15,FALSE),"")</f>
        <v>Desc.info.brynhild.buff.evildestroy</v>
      </c>
      <c r="Q714" s="23" t="b">
        <v>0</v>
      </c>
      <c r="R714" s="23" t="b">
        <v>0</v>
      </c>
    </row>
    <row r="715" spans="1:18" ht="49.5">
      <c r="A715" s="23" t="s">
        <v>1876</v>
      </c>
      <c r="B715" s="23"/>
      <c r="C715" s="23"/>
      <c r="D715" s="23">
        <v>0</v>
      </c>
      <c r="E715" s="23">
        <v>0</v>
      </c>
      <c r="F715" s="23">
        <v>0</v>
      </c>
      <c r="G715" s="39" t="s">
        <v>6728</v>
      </c>
      <c r="H715" s="23"/>
      <c r="I715" s="24" t="b">
        <v>1</v>
      </c>
      <c r="J715" s="23" t="b">
        <v>0</v>
      </c>
      <c r="K715" s="23" t="b">
        <v>1</v>
      </c>
      <c r="L715" s="23"/>
      <c r="M715" s="23" t="s">
        <v>5686</v>
      </c>
      <c r="N715" s="23" t="str">
        <f>_xlfn.IFNA(VLOOKUP($M715,Buff.CM!$A:$O,13,FALSE),"")</f>
        <v>icon_battle_brynhild_evildestroy</v>
      </c>
      <c r="O715" s="23" t="str">
        <f>_xlfn.IFNA(VLOOKUP($M715,Buff.CM!$A:$O,14,FALSE),"")</f>
        <v>info.brynhild.buff.evildestroy</v>
      </c>
      <c r="P715" s="23" t="str">
        <f>_xlfn.IFNA(VLOOKUP($M715,Buff.CM!$A:$O,15,FALSE),"")</f>
        <v>Desc.info.brynhild.buff.evildestroy</v>
      </c>
      <c r="Q715" s="23" t="b">
        <v>0</v>
      </c>
      <c r="R715" s="23" t="b">
        <v>0</v>
      </c>
    </row>
    <row r="716" spans="1:18" s="13" customFormat="1" ht="49.5">
      <c r="A716" s="34" t="s">
        <v>1877</v>
      </c>
      <c r="B716" s="34"/>
      <c r="C716" s="34"/>
      <c r="D716" s="34">
        <v>0</v>
      </c>
      <c r="E716" s="34">
        <v>0</v>
      </c>
      <c r="F716" s="34">
        <v>0</v>
      </c>
      <c r="G716" s="40" t="s">
        <v>6729</v>
      </c>
      <c r="H716" s="34"/>
      <c r="I716" s="24" t="b">
        <v>1</v>
      </c>
      <c r="J716" s="34" t="b">
        <v>0</v>
      </c>
      <c r="K716" s="34" t="b">
        <v>1</v>
      </c>
      <c r="L716" s="34"/>
      <c r="M716" s="34" t="s">
        <v>5686</v>
      </c>
      <c r="N716" s="34" t="str">
        <f>_xlfn.IFNA(VLOOKUP($M716,Buff.CM!$A:$O,13,FALSE),"")</f>
        <v>icon_battle_brynhild_evildestroy</v>
      </c>
      <c r="O716" s="34" t="str">
        <f>_xlfn.IFNA(VLOOKUP($M716,Buff.CM!$A:$O,14,FALSE),"")</f>
        <v>info.brynhild.buff.evildestroy</v>
      </c>
      <c r="P716" s="34" t="str">
        <f>_xlfn.IFNA(VLOOKUP($M716,Buff.CM!$A:$O,15,FALSE),"")</f>
        <v>Desc.info.brynhild.buff.evildestroy</v>
      </c>
      <c r="Q716" s="34" t="b">
        <v>0</v>
      </c>
      <c r="R716" s="34" t="b">
        <v>0</v>
      </c>
    </row>
    <row r="717" spans="1:18" s="13" customFormat="1" ht="49.5">
      <c r="A717" s="34" t="s">
        <v>1878</v>
      </c>
      <c r="B717" s="34"/>
      <c r="C717" s="34"/>
      <c r="D717" s="34">
        <v>0</v>
      </c>
      <c r="E717" s="34">
        <v>0</v>
      </c>
      <c r="F717" s="34">
        <v>0</v>
      </c>
      <c r="G717" s="40" t="s">
        <v>6730</v>
      </c>
      <c r="H717" s="34"/>
      <c r="I717" s="24" t="b">
        <v>1</v>
      </c>
      <c r="J717" s="34" t="b">
        <v>0</v>
      </c>
      <c r="K717" s="34" t="b">
        <v>1</v>
      </c>
      <c r="L717" s="34"/>
      <c r="M717" s="34" t="s">
        <v>5686</v>
      </c>
      <c r="N717" s="34" t="str">
        <f>_xlfn.IFNA(VLOOKUP($M717,Buff.CM!$A:$O,13,FALSE),"")</f>
        <v>icon_battle_brynhild_evildestroy</v>
      </c>
      <c r="O717" s="34" t="str">
        <f>_xlfn.IFNA(VLOOKUP($M717,Buff.CM!$A:$O,14,FALSE),"")</f>
        <v>info.brynhild.buff.evildestroy</v>
      </c>
      <c r="P717" s="34" t="str">
        <f>_xlfn.IFNA(VLOOKUP($M717,Buff.CM!$A:$O,15,FALSE),"")</f>
        <v>Desc.info.brynhild.buff.evildestroy</v>
      </c>
      <c r="Q717" s="34" t="b">
        <v>0</v>
      </c>
      <c r="R717" s="34" t="b">
        <v>0</v>
      </c>
    </row>
    <row r="718" spans="1:18" s="13" customFormat="1">
      <c r="A718" s="24" t="s">
        <v>6731</v>
      </c>
      <c r="B718" s="24"/>
      <c r="C718" s="24"/>
      <c r="D718" s="24">
        <v>6000</v>
      </c>
      <c r="E718" s="24">
        <v>0</v>
      </c>
      <c r="F718" s="24">
        <v>0</v>
      </c>
      <c r="G718" s="24" t="s">
        <v>1889</v>
      </c>
      <c r="H718" s="24"/>
      <c r="I718" s="24" t="b">
        <v>0</v>
      </c>
      <c r="J718" s="24" t="b">
        <v>0</v>
      </c>
      <c r="K718" s="24" t="b">
        <v>1</v>
      </c>
      <c r="L718" s="24" t="s">
        <v>66</v>
      </c>
      <c r="M718" s="24" t="s">
        <v>5543</v>
      </c>
      <c r="N718" s="24" t="str">
        <f>_xlfn.IFNA(VLOOKUP($M718,Buff.CM!$A:$O,13,FALSE),"")</f>
        <v>icon_battle_attack</v>
      </c>
      <c r="O718" s="24" t="str">
        <f>_xlfn.IFNA(VLOOKUP($M718,Buff.CM!$A:$O,14,FALSE),"")</f>
        <v>Buff.Name.Atk.Up.00</v>
      </c>
      <c r="P718" s="24" t="str">
        <f>_xlfn.IFNA(VLOOKUP($M718,Buff.CM!$A:$O,15,FALSE),"")</f>
        <v>Buff.Desc.Atk.Up.00</v>
      </c>
      <c r="Q718" s="24" t="b">
        <v>0</v>
      </c>
      <c r="R718" s="24" t="b">
        <v>0</v>
      </c>
    </row>
    <row r="719" spans="1:18" s="13" customFormat="1">
      <c r="A719" s="24" t="s">
        <v>1884</v>
      </c>
      <c r="B719" s="24"/>
      <c r="C719" s="24"/>
      <c r="D719" s="24">
        <v>6000</v>
      </c>
      <c r="E719" s="24">
        <v>0</v>
      </c>
      <c r="F719" s="24">
        <v>0</v>
      </c>
      <c r="G719" s="24" t="s">
        <v>1890</v>
      </c>
      <c r="H719" s="24"/>
      <c r="I719" s="24" t="b">
        <v>0</v>
      </c>
      <c r="J719" s="24" t="b">
        <v>0</v>
      </c>
      <c r="K719" s="24" t="b">
        <v>1</v>
      </c>
      <c r="L719" s="24" t="s">
        <v>66</v>
      </c>
      <c r="M719" s="24" t="s">
        <v>5543</v>
      </c>
      <c r="N719" s="24" t="str">
        <f>_xlfn.IFNA(VLOOKUP($M719,Buff.CM!$A:$O,13,FALSE),"")</f>
        <v>icon_battle_attack</v>
      </c>
      <c r="O719" s="24" t="str">
        <f>_xlfn.IFNA(VLOOKUP($M719,Buff.CM!$A:$O,14,FALSE),"")</f>
        <v>Buff.Name.Atk.Up.00</v>
      </c>
      <c r="P719" s="24" t="str">
        <f>_xlfn.IFNA(VLOOKUP($M719,Buff.CM!$A:$O,15,FALSE),"")</f>
        <v>Buff.Desc.Atk.Up.00</v>
      </c>
      <c r="Q719" s="24" t="b">
        <v>0</v>
      </c>
      <c r="R719" s="24" t="b">
        <v>0</v>
      </c>
    </row>
    <row r="720" spans="1:18" s="13" customFormat="1">
      <c r="A720" s="24" t="s">
        <v>1885</v>
      </c>
      <c r="B720" s="24"/>
      <c r="C720" s="24"/>
      <c r="D720" s="24">
        <v>6000</v>
      </c>
      <c r="E720" s="24">
        <v>0</v>
      </c>
      <c r="F720" s="24">
        <v>0</v>
      </c>
      <c r="G720" s="24" t="s">
        <v>1891</v>
      </c>
      <c r="H720" s="24"/>
      <c r="I720" s="24" t="b">
        <v>0</v>
      </c>
      <c r="J720" s="24" t="b">
        <v>0</v>
      </c>
      <c r="K720" s="24" t="b">
        <v>1</v>
      </c>
      <c r="L720" s="24" t="s">
        <v>66</v>
      </c>
      <c r="M720" s="24" t="s">
        <v>5543</v>
      </c>
      <c r="N720" s="24" t="str">
        <f>_xlfn.IFNA(VLOOKUP($M720,Buff.CM!$A:$O,13,FALSE),"")</f>
        <v>icon_battle_attack</v>
      </c>
      <c r="O720" s="24" t="str">
        <f>_xlfn.IFNA(VLOOKUP($M720,Buff.CM!$A:$O,14,FALSE),"")</f>
        <v>Buff.Name.Atk.Up.00</v>
      </c>
      <c r="P720" s="24" t="str">
        <f>_xlfn.IFNA(VLOOKUP($M720,Buff.CM!$A:$O,15,FALSE),"")</f>
        <v>Buff.Desc.Atk.Up.00</v>
      </c>
      <c r="Q720" s="24" t="b">
        <v>0</v>
      </c>
      <c r="R720" s="24" t="b">
        <v>0</v>
      </c>
    </row>
    <row r="721" spans="1:18" s="13" customFormat="1">
      <c r="A721" s="34" t="s">
        <v>1886</v>
      </c>
      <c r="B721" s="34"/>
      <c r="C721" s="34"/>
      <c r="D721" s="34">
        <v>6000</v>
      </c>
      <c r="E721" s="34">
        <v>0</v>
      </c>
      <c r="F721" s="34">
        <v>0</v>
      </c>
      <c r="G721" s="34" t="s">
        <v>1892</v>
      </c>
      <c r="H721" s="34"/>
      <c r="I721" s="34" t="b">
        <v>0</v>
      </c>
      <c r="J721" s="34" t="b">
        <v>0</v>
      </c>
      <c r="K721" s="34" t="b">
        <v>1</v>
      </c>
      <c r="L721" s="34" t="s">
        <v>66</v>
      </c>
      <c r="M721" s="34" t="s">
        <v>5543</v>
      </c>
      <c r="N721" s="34" t="str">
        <f>_xlfn.IFNA(VLOOKUP($M721,Buff.CM!$A:$O,13,FALSE),"")</f>
        <v>icon_battle_attack</v>
      </c>
      <c r="O721" s="34" t="str">
        <f>_xlfn.IFNA(VLOOKUP($M721,Buff.CM!$A:$O,14,FALSE),"")</f>
        <v>Buff.Name.Atk.Up.00</v>
      </c>
      <c r="P721" s="34" t="str">
        <f>_xlfn.IFNA(VLOOKUP($M721,Buff.CM!$A:$O,15,FALSE),"")</f>
        <v>Buff.Desc.Atk.Up.00</v>
      </c>
      <c r="Q721" s="34" t="b">
        <v>0</v>
      </c>
      <c r="R721" s="34" t="b">
        <v>0</v>
      </c>
    </row>
    <row r="722" spans="1:18" s="13" customFormat="1">
      <c r="A722" s="34" t="s">
        <v>1887</v>
      </c>
      <c r="B722" s="34"/>
      <c r="C722" s="34"/>
      <c r="D722" s="34">
        <v>8000</v>
      </c>
      <c r="E722" s="34">
        <v>0</v>
      </c>
      <c r="F722" s="34">
        <v>0</v>
      </c>
      <c r="G722" s="34" t="s">
        <v>1893</v>
      </c>
      <c r="H722" s="34"/>
      <c r="I722" s="34" t="b">
        <v>0</v>
      </c>
      <c r="J722" s="34" t="b">
        <v>0</v>
      </c>
      <c r="K722" s="34" t="b">
        <v>1</v>
      </c>
      <c r="L722" s="34" t="s">
        <v>66</v>
      </c>
      <c r="M722" s="34" t="s">
        <v>5543</v>
      </c>
      <c r="N722" s="34" t="str">
        <f>_xlfn.IFNA(VLOOKUP($M722,Buff.CM!$A:$O,13,FALSE),"")</f>
        <v>icon_battle_attack</v>
      </c>
      <c r="O722" s="34" t="str">
        <f>_xlfn.IFNA(VLOOKUP($M722,Buff.CM!$A:$O,14,FALSE),"")</f>
        <v>Buff.Name.Atk.Up.00</v>
      </c>
      <c r="P722" s="34" t="str">
        <f>_xlfn.IFNA(VLOOKUP($M722,Buff.CM!$A:$O,15,FALSE),"")</f>
        <v>Buff.Desc.Atk.Up.00</v>
      </c>
      <c r="Q722" s="34" t="b">
        <v>0</v>
      </c>
      <c r="R722" s="34" t="b">
        <v>0</v>
      </c>
    </row>
    <row r="723" spans="1:18" s="13" customFormat="1">
      <c r="A723" s="34" t="s">
        <v>1888</v>
      </c>
      <c r="B723" s="34"/>
      <c r="C723" s="34"/>
      <c r="D723" s="34">
        <v>8000</v>
      </c>
      <c r="E723" s="34">
        <v>0</v>
      </c>
      <c r="F723" s="34">
        <v>0</v>
      </c>
      <c r="G723" s="34" t="s">
        <v>1894</v>
      </c>
      <c r="H723" s="34"/>
      <c r="I723" s="34" t="b">
        <v>0</v>
      </c>
      <c r="J723" s="34" t="b">
        <v>0</v>
      </c>
      <c r="K723" s="34" t="b">
        <v>1</v>
      </c>
      <c r="L723" s="34" t="s">
        <v>66</v>
      </c>
      <c r="M723" s="34" t="s">
        <v>5543</v>
      </c>
      <c r="N723" s="34" t="str">
        <f>_xlfn.IFNA(VLOOKUP($M723,Buff.CM!$A:$O,13,FALSE),"")</f>
        <v>icon_battle_attack</v>
      </c>
      <c r="O723" s="34" t="str">
        <f>_xlfn.IFNA(VLOOKUP($M723,Buff.CM!$A:$O,14,FALSE),"")</f>
        <v>Buff.Name.Atk.Up.00</v>
      </c>
      <c r="P723" s="34" t="str">
        <f>_xlfn.IFNA(VLOOKUP($M723,Buff.CM!$A:$O,15,FALSE),"")</f>
        <v>Buff.Desc.Atk.Up.00</v>
      </c>
      <c r="Q723" s="34" t="b">
        <v>0</v>
      </c>
      <c r="R723" s="34" t="b">
        <v>0</v>
      </c>
    </row>
    <row r="724" spans="1:18">
      <c r="A724" s="23" t="s">
        <v>542</v>
      </c>
      <c r="B724" s="23"/>
      <c r="C724" s="23"/>
      <c r="D724" s="23">
        <v>0</v>
      </c>
      <c r="E724" s="23">
        <v>0</v>
      </c>
      <c r="F724" s="23">
        <v>0</v>
      </c>
      <c r="G724" s="23" t="s">
        <v>543</v>
      </c>
      <c r="H724" s="23"/>
      <c r="I724" s="23" t="b">
        <v>0</v>
      </c>
      <c r="J724" s="23" t="b">
        <v>1</v>
      </c>
      <c r="K724" s="23" t="b">
        <v>1</v>
      </c>
      <c r="L724" s="23"/>
      <c r="M724" s="23"/>
      <c r="N724" s="23" t="str">
        <f>_xlfn.IFNA(VLOOKUP($M724,Buff.CM!$A:$O,13,FALSE),"")</f>
        <v/>
      </c>
      <c r="O724" s="23" t="str">
        <f>_xlfn.IFNA(VLOOKUP($M724,Buff.CM!$A:$O,14,FALSE),"")</f>
        <v/>
      </c>
      <c r="P724" s="23" t="str">
        <f>_xlfn.IFNA(VLOOKUP($M724,Buff.CM!$A:$O,15,FALSE),"")</f>
        <v/>
      </c>
      <c r="Q724" s="23" t="b">
        <v>0</v>
      </c>
      <c r="R724" s="23" t="b">
        <v>0</v>
      </c>
    </row>
    <row r="725" spans="1:18">
      <c r="A725" s="23" t="s">
        <v>544</v>
      </c>
      <c r="B725" s="23"/>
      <c r="C725" s="23"/>
      <c r="D725" s="23">
        <v>0</v>
      </c>
      <c r="E725" s="23">
        <v>0</v>
      </c>
      <c r="F725" s="23">
        <v>0</v>
      </c>
      <c r="G725" s="23" t="s">
        <v>545</v>
      </c>
      <c r="H725" s="23"/>
      <c r="I725" s="23" t="b">
        <v>0</v>
      </c>
      <c r="J725" s="23" t="b">
        <v>1</v>
      </c>
      <c r="K725" s="23" t="b">
        <v>1</v>
      </c>
      <c r="L725" s="23"/>
      <c r="M725" s="23"/>
      <c r="N725" s="23" t="str">
        <f>_xlfn.IFNA(VLOOKUP($M725,Buff.CM!$A:$O,13,FALSE),"")</f>
        <v/>
      </c>
      <c r="O725" s="23" t="str">
        <f>_xlfn.IFNA(VLOOKUP($M725,Buff.CM!$A:$O,14,FALSE),"")</f>
        <v/>
      </c>
      <c r="P725" s="23" t="str">
        <f>_xlfn.IFNA(VLOOKUP($M725,Buff.CM!$A:$O,15,FALSE),"")</f>
        <v/>
      </c>
      <c r="Q725" s="23" t="b">
        <v>0</v>
      </c>
      <c r="R725" s="23" t="b">
        <v>0</v>
      </c>
    </row>
    <row r="726" spans="1:18">
      <c r="A726" s="23" t="s">
        <v>546</v>
      </c>
      <c r="B726" s="23"/>
      <c r="C726" s="23"/>
      <c r="D726" s="23">
        <v>0</v>
      </c>
      <c r="E726" s="23">
        <v>0</v>
      </c>
      <c r="F726" s="23">
        <v>0</v>
      </c>
      <c r="G726" s="23" t="s">
        <v>547</v>
      </c>
      <c r="H726" s="23"/>
      <c r="I726" s="23" t="b">
        <v>0</v>
      </c>
      <c r="J726" s="23" t="b">
        <v>1</v>
      </c>
      <c r="K726" s="23" t="b">
        <v>1</v>
      </c>
      <c r="L726" s="23"/>
      <c r="M726" s="23"/>
      <c r="N726" s="23" t="str">
        <f>_xlfn.IFNA(VLOOKUP($M726,Buff.CM!$A:$O,13,FALSE),"")</f>
        <v/>
      </c>
      <c r="O726" s="23" t="str">
        <f>_xlfn.IFNA(VLOOKUP($M726,Buff.CM!$A:$O,14,FALSE),"")</f>
        <v/>
      </c>
      <c r="P726" s="23" t="str">
        <f>_xlfn.IFNA(VLOOKUP($M726,Buff.CM!$A:$O,15,FALSE),"")</f>
        <v/>
      </c>
      <c r="Q726" s="23" t="b">
        <v>0</v>
      </c>
      <c r="R726" s="23" t="b">
        <v>0</v>
      </c>
    </row>
    <row r="727" spans="1:18">
      <c r="A727" s="34" t="s">
        <v>548</v>
      </c>
      <c r="B727" s="34"/>
      <c r="C727" s="34"/>
      <c r="D727" s="34">
        <v>0</v>
      </c>
      <c r="E727" s="34">
        <v>0</v>
      </c>
      <c r="F727" s="34">
        <v>0</v>
      </c>
      <c r="G727" s="34" t="s">
        <v>549</v>
      </c>
      <c r="H727" s="34"/>
      <c r="I727" s="34" t="b">
        <v>0</v>
      </c>
      <c r="J727" s="23" t="b">
        <v>1</v>
      </c>
      <c r="K727" s="34" t="b">
        <v>1</v>
      </c>
      <c r="L727" s="34"/>
      <c r="M727" s="34"/>
      <c r="N727" s="34" t="str">
        <f>_xlfn.IFNA(VLOOKUP($M727,Buff.CM!$A:$O,13,FALSE),"")</f>
        <v/>
      </c>
      <c r="O727" s="34" t="str">
        <f>_xlfn.IFNA(VLOOKUP($M727,Buff.CM!$A:$O,14,FALSE),"")</f>
        <v/>
      </c>
      <c r="P727" s="34" t="str">
        <f>_xlfn.IFNA(VLOOKUP($M727,Buff.CM!$A:$O,15,FALSE),"")</f>
        <v/>
      </c>
      <c r="Q727" s="34" t="b">
        <v>0</v>
      </c>
      <c r="R727" s="34" t="b">
        <v>0</v>
      </c>
    </row>
    <row r="728" spans="1:18">
      <c r="A728" s="34" t="s">
        <v>550</v>
      </c>
      <c r="B728" s="34"/>
      <c r="C728" s="34"/>
      <c r="D728" s="34">
        <v>0</v>
      </c>
      <c r="E728" s="34">
        <v>0</v>
      </c>
      <c r="F728" s="34">
        <v>0</v>
      </c>
      <c r="G728" s="34" t="s">
        <v>551</v>
      </c>
      <c r="H728" s="34"/>
      <c r="I728" s="34" t="b">
        <v>0</v>
      </c>
      <c r="J728" s="23" t="b">
        <v>1</v>
      </c>
      <c r="K728" s="34" t="b">
        <v>1</v>
      </c>
      <c r="L728" s="34"/>
      <c r="M728" s="34"/>
      <c r="N728" s="34" t="str">
        <f>_xlfn.IFNA(VLOOKUP($M728,Buff.CM!$A:$O,13,FALSE),"")</f>
        <v/>
      </c>
      <c r="O728" s="34" t="str">
        <f>_xlfn.IFNA(VLOOKUP($M728,Buff.CM!$A:$O,14,FALSE),"")</f>
        <v/>
      </c>
      <c r="P728" s="34" t="str">
        <f>_xlfn.IFNA(VLOOKUP($M728,Buff.CM!$A:$O,15,FALSE),"")</f>
        <v/>
      </c>
      <c r="Q728" s="34" t="b">
        <v>0</v>
      </c>
      <c r="R728" s="34" t="b">
        <v>0</v>
      </c>
    </row>
    <row r="729" spans="1:18" s="13" customFormat="1">
      <c r="A729" s="34" t="s">
        <v>552</v>
      </c>
      <c r="B729" s="34"/>
      <c r="C729" s="34"/>
      <c r="D729" s="34">
        <v>0</v>
      </c>
      <c r="E729" s="34">
        <v>0</v>
      </c>
      <c r="F729" s="34">
        <v>0</v>
      </c>
      <c r="G729" s="34" t="s">
        <v>553</v>
      </c>
      <c r="H729" s="34"/>
      <c r="I729" s="34" t="b">
        <v>0</v>
      </c>
      <c r="J729" s="23" t="b">
        <v>1</v>
      </c>
      <c r="K729" s="34" t="b">
        <v>1</v>
      </c>
      <c r="L729" s="34"/>
      <c r="M729" s="34"/>
      <c r="N729" s="34" t="str">
        <f>_xlfn.IFNA(VLOOKUP($M729,Buff.CM!$A:$O,13,FALSE),"")</f>
        <v/>
      </c>
      <c r="O729" s="34" t="str">
        <f>_xlfn.IFNA(VLOOKUP($M729,Buff.CM!$A:$O,14,FALSE),"")</f>
        <v/>
      </c>
      <c r="P729" s="34" t="str">
        <f>_xlfn.IFNA(VLOOKUP($M729,Buff.CM!$A:$O,15,FALSE),"")</f>
        <v/>
      </c>
      <c r="Q729" s="34" t="b">
        <v>0</v>
      </c>
      <c r="R729" s="34" t="b">
        <v>0</v>
      </c>
    </row>
    <row r="730" spans="1:18">
      <c r="A730" s="24" t="s">
        <v>1895</v>
      </c>
      <c r="B730" s="24"/>
      <c r="C730" s="24"/>
      <c r="D730" s="24">
        <v>0</v>
      </c>
      <c r="E730" s="24">
        <v>10</v>
      </c>
      <c r="F730" s="24">
        <v>1</v>
      </c>
      <c r="G730" s="24" t="s">
        <v>1901</v>
      </c>
      <c r="H730" s="24"/>
      <c r="I730" s="24" t="b">
        <v>1</v>
      </c>
      <c r="J730" s="23" t="b">
        <v>1</v>
      </c>
      <c r="K730" s="24" t="b">
        <v>1</v>
      </c>
      <c r="L730" s="24" t="s">
        <v>66</v>
      </c>
      <c r="M730" s="24" t="s">
        <v>5547</v>
      </c>
      <c r="N730" s="24" t="str">
        <f>_xlfn.IFNA(VLOOKUP($M730,Buff.CM!$A:$O,13,FALSE),"")</f>
        <v>icon_battle_attackspeed</v>
      </c>
      <c r="O730" s="24" t="str">
        <f>_xlfn.IFNA(VLOOKUP($M730,Buff.CM!$A:$O,14,FALSE),"")</f>
        <v>Buff.Name.AtkSpeed.Up.00</v>
      </c>
      <c r="P730" s="24" t="str">
        <f>_xlfn.IFNA(VLOOKUP($M730,Buff.CM!$A:$O,15,FALSE),"")</f>
        <v>Buff.Desc.AtkSpeed.Up.00</v>
      </c>
      <c r="Q730" s="24" t="b">
        <v>0</v>
      </c>
      <c r="R730" s="24" t="b">
        <v>0</v>
      </c>
    </row>
    <row r="731" spans="1:18">
      <c r="A731" s="24" t="s">
        <v>1896</v>
      </c>
      <c r="B731" s="24"/>
      <c r="C731" s="24"/>
      <c r="D731" s="24">
        <v>0</v>
      </c>
      <c r="E731" s="24">
        <v>10</v>
      </c>
      <c r="F731" s="24">
        <v>1</v>
      </c>
      <c r="G731" s="24" t="s">
        <v>1902</v>
      </c>
      <c r="H731" s="24"/>
      <c r="I731" s="24" t="b">
        <v>1</v>
      </c>
      <c r="J731" s="23" t="b">
        <v>1</v>
      </c>
      <c r="K731" s="24" t="b">
        <v>1</v>
      </c>
      <c r="L731" s="24" t="s">
        <v>66</v>
      </c>
      <c r="M731" s="24" t="s">
        <v>5547</v>
      </c>
      <c r="N731" s="24" t="str">
        <f>_xlfn.IFNA(VLOOKUP($M731,Buff.CM!$A:$O,13,FALSE),"")</f>
        <v>icon_battle_attackspeed</v>
      </c>
      <c r="O731" s="24" t="str">
        <f>_xlfn.IFNA(VLOOKUP($M731,Buff.CM!$A:$O,14,FALSE),"")</f>
        <v>Buff.Name.AtkSpeed.Up.00</v>
      </c>
      <c r="P731" s="24" t="str">
        <f>_xlfn.IFNA(VLOOKUP($M731,Buff.CM!$A:$O,15,FALSE),"")</f>
        <v>Buff.Desc.AtkSpeed.Up.00</v>
      </c>
      <c r="Q731" s="24" t="b">
        <v>0</v>
      </c>
      <c r="R731" s="24" t="b">
        <v>0</v>
      </c>
    </row>
    <row r="732" spans="1:18">
      <c r="A732" s="24" t="s">
        <v>1897</v>
      </c>
      <c r="B732" s="24"/>
      <c r="C732" s="24"/>
      <c r="D732" s="24">
        <v>0</v>
      </c>
      <c r="E732" s="24">
        <v>10</v>
      </c>
      <c r="F732" s="24">
        <v>1</v>
      </c>
      <c r="G732" s="24" t="s">
        <v>1903</v>
      </c>
      <c r="H732" s="24"/>
      <c r="I732" s="24" t="b">
        <v>1</v>
      </c>
      <c r="J732" s="23" t="b">
        <v>1</v>
      </c>
      <c r="K732" s="24" t="b">
        <v>1</v>
      </c>
      <c r="L732" s="24" t="s">
        <v>66</v>
      </c>
      <c r="M732" s="24" t="s">
        <v>5547</v>
      </c>
      <c r="N732" s="24" t="str">
        <f>_xlfn.IFNA(VLOOKUP($M732,Buff.CM!$A:$O,13,FALSE),"")</f>
        <v>icon_battle_attackspeed</v>
      </c>
      <c r="O732" s="24" t="str">
        <f>_xlfn.IFNA(VLOOKUP($M732,Buff.CM!$A:$O,14,FALSE),"")</f>
        <v>Buff.Name.AtkSpeed.Up.00</v>
      </c>
      <c r="P732" s="24" t="str">
        <f>_xlfn.IFNA(VLOOKUP($M732,Buff.CM!$A:$O,15,FALSE),"")</f>
        <v>Buff.Desc.AtkSpeed.Up.00</v>
      </c>
      <c r="Q732" s="24" t="b">
        <v>0</v>
      </c>
      <c r="R732" s="24" t="b">
        <v>0</v>
      </c>
    </row>
    <row r="733" spans="1:18">
      <c r="A733" s="34" t="s">
        <v>1898</v>
      </c>
      <c r="B733" s="34"/>
      <c r="C733" s="34"/>
      <c r="D733" s="34">
        <v>0</v>
      </c>
      <c r="E733" s="34">
        <v>10</v>
      </c>
      <c r="F733" s="34">
        <v>1</v>
      </c>
      <c r="G733" s="34" t="s">
        <v>1904</v>
      </c>
      <c r="H733" s="34"/>
      <c r="I733" s="34" t="b">
        <v>1</v>
      </c>
      <c r="J733" s="23" t="b">
        <v>1</v>
      </c>
      <c r="K733" s="34" t="b">
        <v>1</v>
      </c>
      <c r="L733" s="34" t="s">
        <v>66</v>
      </c>
      <c r="M733" s="34" t="s">
        <v>5547</v>
      </c>
      <c r="N733" s="34" t="str">
        <f>_xlfn.IFNA(VLOOKUP($M733,Buff.CM!$A:$O,13,FALSE),"")</f>
        <v>icon_battle_attackspeed</v>
      </c>
      <c r="O733" s="34" t="str">
        <f>_xlfn.IFNA(VLOOKUP($M733,Buff.CM!$A:$O,14,FALSE),"")</f>
        <v>Buff.Name.AtkSpeed.Up.00</v>
      </c>
      <c r="P733" s="34" t="str">
        <f>_xlfn.IFNA(VLOOKUP($M733,Buff.CM!$A:$O,15,FALSE),"")</f>
        <v>Buff.Desc.AtkSpeed.Up.00</v>
      </c>
      <c r="Q733" s="34" t="b">
        <v>0</v>
      </c>
      <c r="R733" s="34" t="b">
        <v>0</v>
      </c>
    </row>
    <row r="734" spans="1:18">
      <c r="A734" s="34" t="s">
        <v>1899</v>
      </c>
      <c r="B734" s="34"/>
      <c r="C734" s="34"/>
      <c r="D734" s="34">
        <v>0</v>
      </c>
      <c r="E734" s="34">
        <v>10</v>
      </c>
      <c r="F734" s="34">
        <v>1</v>
      </c>
      <c r="G734" s="34" t="s">
        <v>1905</v>
      </c>
      <c r="H734" s="34"/>
      <c r="I734" s="34" t="b">
        <v>1</v>
      </c>
      <c r="J734" s="23" t="b">
        <v>1</v>
      </c>
      <c r="K734" s="34" t="b">
        <v>1</v>
      </c>
      <c r="L734" s="34" t="s">
        <v>66</v>
      </c>
      <c r="M734" s="34" t="s">
        <v>5547</v>
      </c>
      <c r="N734" s="34" t="str">
        <f>_xlfn.IFNA(VLOOKUP($M734,Buff.CM!$A:$O,13,FALSE),"")</f>
        <v>icon_battle_attackspeed</v>
      </c>
      <c r="O734" s="34" t="str">
        <f>_xlfn.IFNA(VLOOKUP($M734,Buff.CM!$A:$O,14,FALSE),"")</f>
        <v>Buff.Name.AtkSpeed.Up.00</v>
      </c>
      <c r="P734" s="34" t="str">
        <f>_xlfn.IFNA(VLOOKUP($M734,Buff.CM!$A:$O,15,FALSE),"")</f>
        <v>Buff.Desc.AtkSpeed.Up.00</v>
      </c>
      <c r="Q734" s="34" t="b">
        <v>0</v>
      </c>
      <c r="R734" s="34" t="b">
        <v>0</v>
      </c>
    </row>
    <row r="735" spans="1:18" s="13" customFormat="1">
      <c r="A735" s="34" t="s">
        <v>1900</v>
      </c>
      <c r="B735" s="34"/>
      <c r="C735" s="34"/>
      <c r="D735" s="34">
        <v>0</v>
      </c>
      <c r="E735" s="34">
        <v>10</v>
      </c>
      <c r="F735" s="34">
        <v>1</v>
      </c>
      <c r="G735" s="34" t="s">
        <v>1906</v>
      </c>
      <c r="H735" s="34"/>
      <c r="I735" s="34" t="b">
        <v>1</v>
      </c>
      <c r="J735" s="23" t="b">
        <v>1</v>
      </c>
      <c r="K735" s="34" t="b">
        <v>1</v>
      </c>
      <c r="L735" s="34" t="s">
        <v>66</v>
      </c>
      <c r="M735" s="34" t="s">
        <v>5547</v>
      </c>
      <c r="N735" s="34" t="str">
        <f>_xlfn.IFNA(VLOOKUP($M735,Buff.CM!$A:$O,13,FALSE),"")</f>
        <v>icon_battle_attackspeed</v>
      </c>
      <c r="O735" s="34" t="str">
        <f>_xlfn.IFNA(VLOOKUP($M735,Buff.CM!$A:$O,14,FALSE),"")</f>
        <v>Buff.Name.AtkSpeed.Up.00</v>
      </c>
      <c r="P735" s="34" t="str">
        <f>_xlfn.IFNA(VLOOKUP($M735,Buff.CM!$A:$O,15,FALSE),"")</f>
        <v>Buff.Desc.AtkSpeed.Up.00</v>
      </c>
      <c r="Q735" s="34" t="b">
        <v>0</v>
      </c>
      <c r="R735" s="34" t="b">
        <v>0</v>
      </c>
    </row>
    <row r="736" spans="1:18" s="150" customFormat="1">
      <c r="A736" s="24" t="s">
        <v>6732</v>
      </c>
      <c r="B736" s="24" t="s">
        <v>1414</v>
      </c>
      <c r="C736" s="24" t="s">
        <v>1415</v>
      </c>
      <c r="D736" s="24">
        <v>0</v>
      </c>
      <c r="E736" s="24">
        <v>0</v>
      </c>
      <c r="F736" s="24">
        <v>0</v>
      </c>
      <c r="G736" s="24" t="s">
        <v>3841</v>
      </c>
      <c r="H736" s="24"/>
      <c r="I736" s="24" t="b">
        <v>0</v>
      </c>
      <c r="J736" s="24" t="b">
        <v>0</v>
      </c>
      <c r="K736" s="24" t="b">
        <v>1</v>
      </c>
      <c r="L736" s="24" t="s">
        <v>66</v>
      </c>
      <c r="M736" s="24"/>
      <c r="N736" s="24" t="str">
        <f>_xlfn.IFNA(VLOOKUP($M736,Buff.CM!$A:$O,13,FALSE),"")</f>
        <v/>
      </c>
      <c r="O736" s="24" t="str">
        <f>_xlfn.IFNA(VLOOKUP($M736,Buff.CM!$A:$O,14,FALSE),"")</f>
        <v/>
      </c>
      <c r="P736" s="24" t="str">
        <f>_xlfn.IFNA(VLOOKUP($M736,Buff.CM!$A:$O,15,FALSE),"")</f>
        <v/>
      </c>
      <c r="Q736" s="24" t="b">
        <v>0</v>
      </c>
      <c r="R736" s="24" t="b">
        <v>0</v>
      </c>
    </row>
    <row r="737" spans="1:18" s="150" customFormat="1">
      <c r="A737" s="24" t="s">
        <v>3837</v>
      </c>
      <c r="B737" s="24" t="s">
        <v>1414</v>
      </c>
      <c r="C737" s="24" t="s">
        <v>1415</v>
      </c>
      <c r="D737" s="24">
        <v>0</v>
      </c>
      <c r="E737" s="24">
        <v>0</v>
      </c>
      <c r="F737" s="24">
        <v>0</v>
      </c>
      <c r="G737" s="24" t="s">
        <v>3842</v>
      </c>
      <c r="H737" s="24"/>
      <c r="I737" s="24" t="b">
        <v>0</v>
      </c>
      <c r="J737" s="24" t="b">
        <v>0</v>
      </c>
      <c r="K737" s="24" t="b">
        <v>1</v>
      </c>
      <c r="L737" s="24" t="s">
        <v>66</v>
      </c>
      <c r="M737" s="24"/>
      <c r="N737" s="24" t="str">
        <f>_xlfn.IFNA(VLOOKUP($M737,Buff.CM!$A:$O,13,FALSE),"")</f>
        <v/>
      </c>
      <c r="O737" s="24" t="str">
        <f>_xlfn.IFNA(VLOOKUP($M737,Buff.CM!$A:$O,14,FALSE),"")</f>
        <v/>
      </c>
      <c r="P737" s="24" t="str">
        <f>_xlfn.IFNA(VLOOKUP($M737,Buff.CM!$A:$O,15,FALSE),"")</f>
        <v/>
      </c>
      <c r="Q737" s="24" t="b">
        <v>0</v>
      </c>
      <c r="R737" s="24" t="b">
        <v>0</v>
      </c>
    </row>
    <row r="738" spans="1:18" s="150" customFormat="1">
      <c r="A738" s="24" t="s">
        <v>3838</v>
      </c>
      <c r="B738" s="24" t="s">
        <v>1414</v>
      </c>
      <c r="C738" s="24" t="s">
        <v>1415</v>
      </c>
      <c r="D738" s="24">
        <v>0</v>
      </c>
      <c r="E738" s="24">
        <v>0</v>
      </c>
      <c r="F738" s="24">
        <v>0</v>
      </c>
      <c r="G738" s="24" t="s">
        <v>3843</v>
      </c>
      <c r="H738" s="24"/>
      <c r="I738" s="24" t="b">
        <v>0</v>
      </c>
      <c r="J738" s="24" t="b">
        <v>0</v>
      </c>
      <c r="K738" s="24" t="b">
        <v>1</v>
      </c>
      <c r="L738" s="24" t="s">
        <v>66</v>
      </c>
      <c r="M738" s="24"/>
      <c r="N738" s="24" t="str">
        <f>_xlfn.IFNA(VLOOKUP($M738,Buff.CM!$A:$O,13,FALSE),"")</f>
        <v/>
      </c>
      <c r="O738" s="24" t="str">
        <f>_xlfn.IFNA(VLOOKUP($M738,Buff.CM!$A:$O,14,FALSE),"")</f>
        <v/>
      </c>
      <c r="P738" s="24" t="str">
        <f>_xlfn.IFNA(VLOOKUP($M738,Buff.CM!$A:$O,15,FALSE),"")</f>
        <v/>
      </c>
      <c r="Q738" s="24" t="b">
        <v>0</v>
      </c>
      <c r="R738" s="24" t="b">
        <v>0</v>
      </c>
    </row>
    <row r="739" spans="1:18" s="150" customFormat="1">
      <c r="A739" s="24" t="s">
        <v>3839</v>
      </c>
      <c r="B739" s="24" t="s">
        <v>1414</v>
      </c>
      <c r="C739" s="24" t="s">
        <v>1415</v>
      </c>
      <c r="D739" s="24">
        <v>0</v>
      </c>
      <c r="E739" s="24">
        <v>0</v>
      </c>
      <c r="F739" s="24">
        <v>0</v>
      </c>
      <c r="G739" s="24" t="s">
        <v>3844</v>
      </c>
      <c r="H739" s="24"/>
      <c r="I739" s="24" t="b">
        <v>0</v>
      </c>
      <c r="J739" s="24" t="b">
        <v>0</v>
      </c>
      <c r="K739" s="24" t="b">
        <v>1</v>
      </c>
      <c r="L739" s="24" t="s">
        <v>66</v>
      </c>
      <c r="M739" s="24"/>
      <c r="N739" s="24" t="str">
        <f>_xlfn.IFNA(VLOOKUP($M739,Buff.CM!$A:$O,13,FALSE),"")</f>
        <v/>
      </c>
      <c r="O739" s="24" t="str">
        <f>_xlfn.IFNA(VLOOKUP($M739,Buff.CM!$A:$O,14,FALSE),"")</f>
        <v/>
      </c>
      <c r="P739" s="24" t="str">
        <f>_xlfn.IFNA(VLOOKUP($M739,Buff.CM!$A:$O,15,FALSE),"")</f>
        <v/>
      </c>
      <c r="Q739" s="24" t="b">
        <v>0</v>
      </c>
      <c r="R739" s="24" t="b">
        <v>0</v>
      </c>
    </row>
    <row r="740" spans="1:18" s="150" customFormat="1">
      <c r="A740" s="24" t="s">
        <v>3840</v>
      </c>
      <c r="B740" s="24" t="s">
        <v>1414</v>
      </c>
      <c r="C740" s="24" t="s">
        <v>1415</v>
      </c>
      <c r="D740" s="24">
        <v>0</v>
      </c>
      <c r="E740" s="24">
        <v>0</v>
      </c>
      <c r="F740" s="24">
        <v>0</v>
      </c>
      <c r="G740" s="24" t="s">
        <v>3845</v>
      </c>
      <c r="H740" s="24"/>
      <c r="I740" s="24" t="b">
        <v>0</v>
      </c>
      <c r="J740" s="24" t="b">
        <v>0</v>
      </c>
      <c r="K740" s="24" t="b">
        <v>1</v>
      </c>
      <c r="L740" s="24" t="s">
        <v>66</v>
      </c>
      <c r="M740" s="24"/>
      <c r="N740" s="24" t="str">
        <f>_xlfn.IFNA(VLOOKUP($M740,Buff.CM!$A:$O,13,FALSE),"")</f>
        <v/>
      </c>
      <c r="O740" s="24" t="str">
        <f>_xlfn.IFNA(VLOOKUP($M740,Buff.CM!$A:$O,14,FALSE),"")</f>
        <v/>
      </c>
      <c r="P740" s="24" t="str">
        <f>_xlfn.IFNA(VLOOKUP($M740,Buff.CM!$A:$O,15,FALSE),"")</f>
        <v/>
      </c>
      <c r="Q740" s="24" t="b">
        <v>0</v>
      </c>
      <c r="R740" s="24" t="b">
        <v>0</v>
      </c>
    </row>
    <row r="741" spans="1:18" s="150" customFormat="1">
      <c r="A741" s="24" t="s">
        <v>6733</v>
      </c>
      <c r="B741" s="24" t="s">
        <v>1414</v>
      </c>
      <c r="C741" s="24" t="s">
        <v>1415</v>
      </c>
      <c r="D741" s="24">
        <v>0</v>
      </c>
      <c r="E741" s="24">
        <v>0</v>
      </c>
      <c r="F741" s="24">
        <v>0</v>
      </c>
      <c r="G741" s="24" t="s">
        <v>6734</v>
      </c>
      <c r="H741" s="24"/>
      <c r="I741" s="24" t="b">
        <v>0</v>
      </c>
      <c r="J741" s="24" t="b">
        <v>0</v>
      </c>
      <c r="K741" s="24" t="b">
        <v>1</v>
      </c>
      <c r="L741" s="24" t="s">
        <v>66</v>
      </c>
      <c r="M741" s="24"/>
      <c r="N741" s="24" t="str">
        <f>_xlfn.IFNA(VLOOKUP($M741,Buff.CM!$A:$O,13,FALSE),"")</f>
        <v/>
      </c>
      <c r="O741" s="24" t="str">
        <f>_xlfn.IFNA(VLOOKUP($M741,Buff.CM!$A:$O,14,FALSE),"")</f>
        <v/>
      </c>
      <c r="P741" s="24" t="str">
        <f>_xlfn.IFNA(VLOOKUP($M741,Buff.CM!$A:$O,15,FALSE),"")</f>
        <v/>
      </c>
      <c r="Q741" s="24" t="b">
        <v>0</v>
      </c>
      <c r="R741" s="24" t="b">
        <v>0</v>
      </c>
    </row>
    <row r="742" spans="1:18" s="150" customFormat="1">
      <c r="A742" s="24" t="s">
        <v>2649</v>
      </c>
      <c r="B742" s="24" t="s">
        <v>1414</v>
      </c>
      <c r="C742" s="24" t="s">
        <v>1415</v>
      </c>
      <c r="D742" s="24">
        <v>0</v>
      </c>
      <c r="E742" s="24">
        <v>0</v>
      </c>
      <c r="F742" s="24">
        <v>0</v>
      </c>
      <c r="G742" s="24" t="s">
        <v>3854</v>
      </c>
      <c r="H742" s="24"/>
      <c r="I742" s="24" t="b">
        <v>0</v>
      </c>
      <c r="J742" s="24" t="b">
        <v>0</v>
      </c>
      <c r="K742" s="24" t="b">
        <v>1</v>
      </c>
      <c r="L742" s="24" t="s">
        <v>66</v>
      </c>
      <c r="M742" s="24"/>
      <c r="N742" s="24" t="str">
        <f>_xlfn.IFNA(VLOOKUP($M742,Buff.CM!$A:$O,13,FALSE),"")</f>
        <v/>
      </c>
      <c r="O742" s="24" t="str">
        <f>_xlfn.IFNA(VLOOKUP($M742,Buff.CM!$A:$O,14,FALSE),"")</f>
        <v/>
      </c>
      <c r="P742" s="24" t="str">
        <f>_xlfn.IFNA(VLOOKUP($M742,Buff.CM!$A:$O,15,FALSE),"")</f>
        <v/>
      </c>
      <c r="Q742" s="24" t="b">
        <v>0</v>
      </c>
      <c r="R742" s="24" t="b">
        <v>0</v>
      </c>
    </row>
    <row r="743" spans="1:18" s="150" customFormat="1">
      <c r="A743" s="24" t="s">
        <v>2650</v>
      </c>
      <c r="B743" s="24" t="s">
        <v>1414</v>
      </c>
      <c r="C743" s="24" t="s">
        <v>1415</v>
      </c>
      <c r="D743" s="24">
        <v>0</v>
      </c>
      <c r="E743" s="24">
        <v>0</v>
      </c>
      <c r="F743" s="24">
        <v>0</v>
      </c>
      <c r="G743" s="24" t="s">
        <v>3855</v>
      </c>
      <c r="H743" s="24"/>
      <c r="I743" s="24" t="b">
        <v>0</v>
      </c>
      <c r="J743" s="24" t="b">
        <v>0</v>
      </c>
      <c r="K743" s="24" t="b">
        <v>1</v>
      </c>
      <c r="L743" s="24" t="s">
        <v>66</v>
      </c>
      <c r="M743" s="24"/>
      <c r="N743" s="24" t="str">
        <f>_xlfn.IFNA(VLOOKUP($M743,Buff.CM!$A:$O,13,FALSE),"")</f>
        <v/>
      </c>
      <c r="O743" s="24" t="str">
        <f>_xlfn.IFNA(VLOOKUP($M743,Buff.CM!$A:$O,14,FALSE),"")</f>
        <v/>
      </c>
      <c r="P743" s="24" t="str">
        <f>_xlfn.IFNA(VLOOKUP($M743,Buff.CM!$A:$O,15,FALSE),"")</f>
        <v/>
      </c>
      <c r="Q743" s="24" t="b">
        <v>0</v>
      </c>
      <c r="R743" s="24" t="b">
        <v>0</v>
      </c>
    </row>
    <row r="744" spans="1:18" s="150" customFormat="1">
      <c r="A744" s="24" t="s">
        <v>2651</v>
      </c>
      <c r="B744" s="24" t="s">
        <v>1414</v>
      </c>
      <c r="C744" s="24" t="s">
        <v>1415</v>
      </c>
      <c r="D744" s="24">
        <v>0</v>
      </c>
      <c r="E744" s="24">
        <v>0</v>
      </c>
      <c r="F744" s="24">
        <v>0</v>
      </c>
      <c r="G744" s="24" t="s">
        <v>3856</v>
      </c>
      <c r="H744" s="24"/>
      <c r="I744" s="24" t="b">
        <v>0</v>
      </c>
      <c r="J744" s="24" t="b">
        <v>0</v>
      </c>
      <c r="K744" s="24" t="b">
        <v>1</v>
      </c>
      <c r="L744" s="24" t="s">
        <v>66</v>
      </c>
      <c r="M744" s="24"/>
      <c r="N744" s="24" t="str">
        <f>_xlfn.IFNA(VLOOKUP($M744,Buff.CM!$A:$O,13,FALSE),"")</f>
        <v/>
      </c>
      <c r="O744" s="24" t="str">
        <f>_xlfn.IFNA(VLOOKUP($M744,Buff.CM!$A:$O,14,FALSE),"")</f>
        <v/>
      </c>
      <c r="P744" s="24" t="str">
        <f>_xlfn.IFNA(VLOOKUP($M744,Buff.CM!$A:$O,15,FALSE),"")</f>
        <v/>
      </c>
      <c r="Q744" s="24" t="b">
        <v>0</v>
      </c>
      <c r="R744" s="24" t="b">
        <v>0</v>
      </c>
    </row>
    <row r="745" spans="1:18" s="150" customFormat="1">
      <c r="A745" s="24" t="s">
        <v>2652</v>
      </c>
      <c r="B745" s="24" t="s">
        <v>1414</v>
      </c>
      <c r="C745" s="24" t="s">
        <v>1415</v>
      </c>
      <c r="D745" s="24">
        <v>0</v>
      </c>
      <c r="E745" s="24">
        <v>0</v>
      </c>
      <c r="F745" s="24">
        <v>0</v>
      </c>
      <c r="G745" s="24" t="s">
        <v>3857</v>
      </c>
      <c r="H745" s="24"/>
      <c r="I745" s="24" t="b">
        <v>0</v>
      </c>
      <c r="J745" s="24" t="b">
        <v>0</v>
      </c>
      <c r="K745" s="24" t="b">
        <v>1</v>
      </c>
      <c r="L745" s="24" t="s">
        <v>66</v>
      </c>
      <c r="M745" s="24"/>
      <c r="N745" s="24" t="str">
        <f>_xlfn.IFNA(VLOOKUP($M745,Buff.CM!$A:$O,13,FALSE),"")</f>
        <v/>
      </c>
      <c r="O745" s="24" t="str">
        <f>_xlfn.IFNA(VLOOKUP($M745,Buff.CM!$A:$O,14,FALSE),"")</f>
        <v/>
      </c>
      <c r="P745" s="24" t="str">
        <f>_xlfn.IFNA(VLOOKUP($M745,Buff.CM!$A:$O,15,FALSE),"")</f>
        <v/>
      </c>
      <c r="Q745" s="24" t="b">
        <v>0</v>
      </c>
      <c r="R745" s="24" t="b">
        <v>0</v>
      </c>
    </row>
    <row r="746" spans="1:18">
      <c r="A746" s="23" t="s">
        <v>6735</v>
      </c>
      <c r="B746" s="23"/>
      <c r="C746" s="23"/>
      <c r="D746" s="23">
        <v>5000</v>
      </c>
      <c r="E746" s="23">
        <v>0</v>
      </c>
      <c r="F746" s="23">
        <v>0</v>
      </c>
      <c r="G746" s="39" t="s">
        <v>2653</v>
      </c>
      <c r="H746" s="23"/>
      <c r="I746" s="23" t="b">
        <v>0</v>
      </c>
      <c r="J746" s="23" t="b">
        <v>0</v>
      </c>
      <c r="K746" s="23" t="b">
        <v>1</v>
      </c>
      <c r="L746" s="23" t="s">
        <v>66</v>
      </c>
      <c r="M746" s="23" t="s">
        <v>5549</v>
      </c>
      <c r="N746" s="34" t="str">
        <f>_xlfn.IFNA(VLOOKUP($M746,Buff.CM!$A:$O,13,FALSE),"")</f>
        <v>icon_battle_evasion</v>
      </c>
      <c r="O746" s="34" t="str">
        <f>_xlfn.IFNA(VLOOKUP($M746,Buff.CM!$A:$O,14,FALSE),"")</f>
        <v>Buff.Name.Evasion.Up.00</v>
      </c>
      <c r="P746" s="34" t="str">
        <f>_xlfn.IFNA(VLOOKUP($M746,Buff.CM!$A:$O,15,FALSE),"")</f>
        <v>Buff.Desc.Evasion.Up.00</v>
      </c>
      <c r="Q746" s="23" t="b">
        <v>0</v>
      </c>
      <c r="R746" s="23" t="b">
        <v>0</v>
      </c>
    </row>
    <row r="747" spans="1:18">
      <c r="A747" s="23" t="s">
        <v>3850</v>
      </c>
      <c r="B747" s="23"/>
      <c r="C747" s="23"/>
      <c r="D747" s="23">
        <v>5500</v>
      </c>
      <c r="E747" s="23">
        <v>0</v>
      </c>
      <c r="F747" s="23">
        <v>0</v>
      </c>
      <c r="G747" s="39" t="s">
        <v>2654</v>
      </c>
      <c r="H747" s="23"/>
      <c r="I747" s="23" t="b">
        <v>0</v>
      </c>
      <c r="J747" s="23" t="b">
        <v>0</v>
      </c>
      <c r="K747" s="23" t="b">
        <v>1</v>
      </c>
      <c r="L747" s="23" t="s">
        <v>66</v>
      </c>
      <c r="M747" s="23" t="s">
        <v>5549</v>
      </c>
      <c r="N747" s="34" t="str">
        <f>_xlfn.IFNA(VLOOKUP($M747,Buff.CM!$A:$O,13,FALSE),"")</f>
        <v>icon_battle_evasion</v>
      </c>
      <c r="O747" s="34" t="str">
        <f>_xlfn.IFNA(VLOOKUP($M747,Buff.CM!$A:$O,14,FALSE),"")</f>
        <v>Buff.Name.Evasion.Up.00</v>
      </c>
      <c r="P747" s="34" t="str">
        <f>_xlfn.IFNA(VLOOKUP($M747,Buff.CM!$A:$O,15,FALSE),"")</f>
        <v>Buff.Desc.Evasion.Up.00</v>
      </c>
      <c r="Q747" s="23" t="b">
        <v>0</v>
      </c>
      <c r="R747" s="23" t="b">
        <v>0</v>
      </c>
    </row>
    <row r="748" spans="1:18">
      <c r="A748" s="23" t="s">
        <v>3851</v>
      </c>
      <c r="B748" s="23"/>
      <c r="C748" s="23"/>
      <c r="D748" s="23">
        <v>6000</v>
      </c>
      <c r="E748" s="23">
        <v>0</v>
      </c>
      <c r="F748" s="23">
        <v>0</v>
      </c>
      <c r="G748" s="39" t="s">
        <v>2655</v>
      </c>
      <c r="H748" s="23"/>
      <c r="I748" s="23" t="b">
        <v>0</v>
      </c>
      <c r="J748" s="23" t="b">
        <v>0</v>
      </c>
      <c r="K748" s="23" t="b">
        <v>1</v>
      </c>
      <c r="L748" s="23" t="s">
        <v>66</v>
      </c>
      <c r="M748" s="23" t="s">
        <v>5549</v>
      </c>
      <c r="N748" s="34" t="str">
        <f>_xlfn.IFNA(VLOOKUP($M748,Buff.CM!$A:$O,13,FALSE),"")</f>
        <v>icon_battle_evasion</v>
      </c>
      <c r="O748" s="34" t="str">
        <f>_xlfn.IFNA(VLOOKUP($M748,Buff.CM!$A:$O,14,FALSE),"")</f>
        <v>Buff.Name.Evasion.Up.00</v>
      </c>
      <c r="P748" s="34" t="str">
        <f>_xlfn.IFNA(VLOOKUP($M748,Buff.CM!$A:$O,15,FALSE),"")</f>
        <v>Buff.Desc.Evasion.Up.00</v>
      </c>
      <c r="Q748" s="23" t="b">
        <v>0</v>
      </c>
      <c r="R748" s="23" t="b">
        <v>0</v>
      </c>
    </row>
    <row r="749" spans="1:18">
      <c r="A749" s="23" t="s">
        <v>3852</v>
      </c>
      <c r="B749" s="23"/>
      <c r="C749" s="23"/>
      <c r="D749" s="23">
        <v>6500</v>
      </c>
      <c r="E749" s="23">
        <v>0</v>
      </c>
      <c r="F749" s="23">
        <v>0</v>
      </c>
      <c r="G749" s="39" t="s">
        <v>2656</v>
      </c>
      <c r="H749" s="23"/>
      <c r="I749" s="23" t="b">
        <v>0</v>
      </c>
      <c r="J749" s="23" t="b">
        <v>0</v>
      </c>
      <c r="K749" s="23" t="b">
        <v>1</v>
      </c>
      <c r="L749" s="23" t="s">
        <v>66</v>
      </c>
      <c r="M749" s="23" t="s">
        <v>5549</v>
      </c>
      <c r="N749" s="34" t="str">
        <f>_xlfn.IFNA(VLOOKUP($M749,Buff.CM!$A:$O,13,FALSE),"")</f>
        <v>icon_battle_evasion</v>
      </c>
      <c r="O749" s="34" t="str">
        <f>_xlfn.IFNA(VLOOKUP($M749,Buff.CM!$A:$O,14,FALSE),"")</f>
        <v>Buff.Name.Evasion.Up.00</v>
      </c>
      <c r="P749" s="34" t="str">
        <f>_xlfn.IFNA(VLOOKUP($M749,Buff.CM!$A:$O,15,FALSE),"")</f>
        <v>Buff.Desc.Evasion.Up.00</v>
      </c>
      <c r="Q749" s="23" t="b">
        <v>0</v>
      </c>
      <c r="R749" s="23" t="b">
        <v>0</v>
      </c>
    </row>
    <row r="750" spans="1:18">
      <c r="A750" s="23" t="s">
        <v>3853</v>
      </c>
      <c r="B750" s="23"/>
      <c r="C750" s="23"/>
      <c r="D750" s="23">
        <v>7000</v>
      </c>
      <c r="E750" s="23">
        <v>0</v>
      </c>
      <c r="F750" s="23">
        <v>0</v>
      </c>
      <c r="G750" s="39" t="s">
        <v>2657</v>
      </c>
      <c r="H750" s="23"/>
      <c r="I750" s="23" t="b">
        <v>0</v>
      </c>
      <c r="J750" s="23" t="b">
        <v>0</v>
      </c>
      <c r="K750" s="23" t="b">
        <v>1</v>
      </c>
      <c r="L750" s="23" t="s">
        <v>66</v>
      </c>
      <c r="M750" s="23" t="s">
        <v>5549</v>
      </c>
      <c r="N750" s="34" t="str">
        <f>_xlfn.IFNA(VLOOKUP($M750,Buff.CM!$A:$O,13,FALSE),"")</f>
        <v>icon_battle_evasion</v>
      </c>
      <c r="O750" s="34" t="str">
        <f>_xlfn.IFNA(VLOOKUP($M750,Buff.CM!$A:$O,14,FALSE),"")</f>
        <v>Buff.Name.Evasion.Up.00</v>
      </c>
      <c r="P750" s="34" t="str">
        <f>_xlfn.IFNA(VLOOKUP($M750,Buff.CM!$A:$O,15,FALSE),"")</f>
        <v>Buff.Desc.Evasion.Up.00</v>
      </c>
      <c r="Q750" s="23" t="b">
        <v>0</v>
      </c>
      <c r="R750" s="23" t="b">
        <v>0</v>
      </c>
    </row>
    <row r="751" spans="1:18">
      <c r="A751" s="25" t="s">
        <v>3866</v>
      </c>
      <c r="B751" s="25" t="s">
        <v>1414</v>
      </c>
      <c r="C751" s="25" t="s">
        <v>1415</v>
      </c>
      <c r="D751" s="25">
        <v>0</v>
      </c>
      <c r="E751" s="25">
        <v>0</v>
      </c>
      <c r="F751" s="25">
        <v>0</v>
      </c>
      <c r="G751" s="25" t="s">
        <v>6736</v>
      </c>
      <c r="H751" s="25"/>
      <c r="I751" s="25" t="b">
        <v>0</v>
      </c>
      <c r="J751" s="25" t="b">
        <v>0</v>
      </c>
      <c r="K751" s="25" t="b">
        <v>1</v>
      </c>
      <c r="L751" s="25" t="s">
        <v>66</v>
      </c>
      <c r="M751" s="25"/>
      <c r="N751" s="25" t="str">
        <f>_xlfn.IFNA(VLOOKUP($M751,Buff.CM!$A:$O,13,FALSE),"")</f>
        <v/>
      </c>
      <c r="O751" s="25" t="str">
        <f>_xlfn.IFNA(VLOOKUP($M751,Buff.CM!$A:$O,14,FALSE),"")</f>
        <v/>
      </c>
      <c r="P751" s="25" t="str">
        <f>_xlfn.IFNA(VLOOKUP($M751,Buff.CM!$A:$O,15,FALSE),"")</f>
        <v/>
      </c>
      <c r="Q751" s="25" t="b">
        <v>0</v>
      </c>
      <c r="R751" s="23" t="b">
        <v>0</v>
      </c>
    </row>
    <row r="752" spans="1:18">
      <c r="A752" s="25" t="s">
        <v>3862</v>
      </c>
      <c r="B752" s="25" t="s">
        <v>1414</v>
      </c>
      <c r="C752" s="25" t="s">
        <v>1415</v>
      </c>
      <c r="D752" s="25">
        <v>0</v>
      </c>
      <c r="E752" s="25">
        <v>0</v>
      </c>
      <c r="F752" s="25">
        <v>0</v>
      </c>
      <c r="G752" s="25" t="s">
        <v>3867</v>
      </c>
      <c r="H752" s="25"/>
      <c r="I752" s="25" t="b">
        <v>0</v>
      </c>
      <c r="J752" s="25" t="b">
        <v>0</v>
      </c>
      <c r="K752" s="25" t="b">
        <v>1</v>
      </c>
      <c r="L752" s="25" t="s">
        <v>66</v>
      </c>
      <c r="M752" s="25"/>
      <c r="N752" s="25" t="str">
        <f>_xlfn.IFNA(VLOOKUP($M752,Buff.CM!$A:$O,13,FALSE),"")</f>
        <v/>
      </c>
      <c r="O752" s="25" t="str">
        <f>_xlfn.IFNA(VLOOKUP($M752,Buff.CM!$A:$O,14,FALSE),"")</f>
        <v/>
      </c>
      <c r="P752" s="25" t="str">
        <f>_xlfn.IFNA(VLOOKUP($M752,Buff.CM!$A:$O,15,FALSE),"")</f>
        <v/>
      </c>
      <c r="Q752" s="25" t="b">
        <v>0</v>
      </c>
      <c r="R752" s="23" t="b">
        <v>0</v>
      </c>
    </row>
    <row r="753" spans="1:18">
      <c r="A753" s="25" t="s">
        <v>3863</v>
      </c>
      <c r="B753" s="25" t="s">
        <v>1414</v>
      </c>
      <c r="C753" s="25" t="s">
        <v>1415</v>
      </c>
      <c r="D753" s="25">
        <v>0</v>
      </c>
      <c r="E753" s="25">
        <v>0</v>
      </c>
      <c r="F753" s="25">
        <v>0</v>
      </c>
      <c r="G753" s="25" t="s">
        <v>3868</v>
      </c>
      <c r="H753" s="25"/>
      <c r="I753" s="25" t="b">
        <v>0</v>
      </c>
      <c r="J753" s="25" t="b">
        <v>0</v>
      </c>
      <c r="K753" s="25" t="b">
        <v>1</v>
      </c>
      <c r="L753" s="25" t="s">
        <v>66</v>
      </c>
      <c r="M753" s="25"/>
      <c r="N753" s="25" t="str">
        <f>_xlfn.IFNA(VLOOKUP($M753,Buff.CM!$A:$O,13,FALSE),"")</f>
        <v/>
      </c>
      <c r="O753" s="25" t="str">
        <f>_xlfn.IFNA(VLOOKUP($M753,Buff.CM!$A:$O,14,FALSE),"")</f>
        <v/>
      </c>
      <c r="P753" s="25" t="str">
        <f>_xlfn.IFNA(VLOOKUP($M753,Buff.CM!$A:$O,15,FALSE),"")</f>
        <v/>
      </c>
      <c r="Q753" s="25" t="b">
        <v>0</v>
      </c>
      <c r="R753" s="23" t="b">
        <v>0</v>
      </c>
    </row>
    <row r="754" spans="1:18">
      <c r="A754" s="26" t="s">
        <v>3864</v>
      </c>
      <c r="B754" s="26" t="s">
        <v>1414</v>
      </c>
      <c r="C754" s="26" t="s">
        <v>1415</v>
      </c>
      <c r="D754" s="26">
        <v>0</v>
      </c>
      <c r="E754" s="26">
        <v>0</v>
      </c>
      <c r="F754" s="26">
        <v>0</v>
      </c>
      <c r="G754" s="26" t="s">
        <v>3869</v>
      </c>
      <c r="H754" s="26"/>
      <c r="I754" s="26" t="b">
        <v>0</v>
      </c>
      <c r="J754" s="26" t="b">
        <v>0</v>
      </c>
      <c r="K754" s="26" t="b">
        <v>1</v>
      </c>
      <c r="L754" s="26" t="s">
        <v>66</v>
      </c>
      <c r="M754" s="26"/>
      <c r="N754" s="26" t="str">
        <f>_xlfn.IFNA(VLOOKUP($M754,Buff.CM!$A:$O,13,FALSE),"")</f>
        <v/>
      </c>
      <c r="O754" s="26" t="str">
        <f>_xlfn.IFNA(VLOOKUP($M754,Buff.CM!$A:$O,14,FALSE),"")</f>
        <v/>
      </c>
      <c r="P754" s="26" t="str">
        <f>_xlfn.IFNA(VLOOKUP($M754,Buff.CM!$A:$O,15,FALSE),"")</f>
        <v/>
      </c>
      <c r="Q754" s="26" t="b">
        <v>0</v>
      </c>
      <c r="R754" s="23" t="b">
        <v>0</v>
      </c>
    </row>
    <row r="755" spans="1:18">
      <c r="A755" s="26" t="s">
        <v>3865</v>
      </c>
      <c r="B755" s="26" t="s">
        <v>1414</v>
      </c>
      <c r="C755" s="26" t="s">
        <v>1415</v>
      </c>
      <c r="D755" s="26">
        <v>0</v>
      </c>
      <c r="E755" s="26">
        <v>0</v>
      </c>
      <c r="F755" s="26">
        <v>0</v>
      </c>
      <c r="G755" s="26" t="s">
        <v>3870</v>
      </c>
      <c r="H755" s="26"/>
      <c r="I755" s="26" t="b">
        <v>0</v>
      </c>
      <c r="J755" s="26" t="b">
        <v>0</v>
      </c>
      <c r="K755" s="26" t="b">
        <v>1</v>
      </c>
      <c r="L755" s="26" t="s">
        <v>66</v>
      </c>
      <c r="M755" s="26"/>
      <c r="N755" s="26" t="str">
        <f>_xlfn.IFNA(VLOOKUP($M755,Buff.CM!$A:$O,13,FALSE),"")</f>
        <v/>
      </c>
      <c r="O755" s="26" t="str">
        <f>_xlfn.IFNA(VLOOKUP($M755,Buff.CM!$A:$O,14,FALSE),"")</f>
        <v/>
      </c>
      <c r="P755" s="26" t="str">
        <f>_xlfn.IFNA(VLOOKUP($M755,Buff.CM!$A:$O,15,FALSE),"")</f>
        <v/>
      </c>
      <c r="Q755" s="26" t="b">
        <v>0</v>
      </c>
      <c r="R755" s="23" t="b">
        <v>0</v>
      </c>
    </row>
    <row r="756" spans="1:18">
      <c r="A756" s="25" t="s">
        <v>6737</v>
      </c>
      <c r="B756" s="25" t="s">
        <v>1414</v>
      </c>
      <c r="C756" s="25" t="s">
        <v>1415</v>
      </c>
      <c r="D756" s="25">
        <v>0</v>
      </c>
      <c r="E756" s="25">
        <v>0</v>
      </c>
      <c r="F756" s="25">
        <v>0</v>
      </c>
      <c r="G756" s="25" t="s">
        <v>6738</v>
      </c>
      <c r="H756" s="25"/>
      <c r="I756" s="25" t="b">
        <v>0</v>
      </c>
      <c r="J756" s="25" t="b">
        <v>0</v>
      </c>
      <c r="K756" s="25" t="b">
        <v>1</v>
      </c>
      <c r="L756" s="25" t="s">
        <v>66</v>
      </c>
      <c r="M756" s="25"/>
      <c r="N756" s="25" t="str">
        <f>_xlfn.IFNA(VLOOKUP($M756,Buff.CM!$A:$O,13,FALSE),"")</f>
        <v/>
      </c>
      <c r="O756" s="25" t="str">
        <f>_xlfn.IFNA(VLOOKUP($M756,Buff.CM!$A:$O,14,FALSE),"")</f>
        <v/>
      </c>
      <c r="P756" s="25" t="str">
        <f>_xlfn.IFNA(VLOOKUP($M756,Buff.CM!$A:$O,15,FALSE),"")</f>
        <v/>
      </c>
      <c r="Q756" s="25" t="b">
        <v>0</v>
      </c>
      <c r="R756" s="23" t="b">
        <v>0</v>
      </c>
    </row>
    <row r="757" spans="1:18">
      <c r="A757" s="25" t="s">
        <v>3875</v>
      </c>
      <c r="B757" s="25" t="s">
        <v>1414</v>
      </c>
      <c r="C757" s="25" t="s">
        <v>1415</v>
      </c>
      <c r="D757" s="25">
        <v>0</v>
      </c>
      <c r="E757" s="25">
        <v>0</v>
      </c>
      <c r="F757" s="25">
        <v>0</v>
      </c>
      <c r="G757" s="25" t="s">
        <v>3879</v>
      </c>
      <c r="H757" s="25"/>
      <c r="I757" s="25" t="b">
        <v>0</v>
      </c>
      <c r="J757" s="25" t="b">
        <v>0</v>
      </c>
      <c r="K757" s="25" t="b">
        <v>1</v>
      </c>
      <c r="L757" s="25" t="s">
        <v>66</v>
      </c>
      <c r="M757" s="25"/>
      <c r="N757" s="25" t="str">
        <f>_xlfn.IFNA(VLOOKUP($M757,Buff.CM!$A:$O,13,FALSE),"")</f>
        <v/>
      </c>
      <c r="O757" s="25" t="str">
        <f>_xlfn.IFNA(VLOOKUP($M757,Buff.CM!$A:$O,14,FALSE),"")</f>
        <v/>
      </c>
      <c r="P757" s="25" t="str">
        <f>_xlfn.IFNA(VLOOKUP($M757,Buff.CM!$A:$O,15,FALSE),"")</f>
        <v/>
      </c>
      <c r="Q757" s="25" t="b">
        <v>0</v>
      </c>
      <c r="R757" s="23" t="b">
        <v>0</v>
      </c>
    </row>
    <row r="758" spans="1:18">
      <c r="A758" s="25" t="s">
        <v>3876</v>
      </c>
      <c r="B758" s="25" t="s">
        <v>1414</v>
      </c>
      <c r="C758" s="25" t="s">
        <v>1415</v>
      </c>
      <c r="D758" s="25">
        <v>0</v>
      </c>
      <c r="E758" s="25">
        <v>0</v>
      </c>
      <c r="F758" s="25">
        <v>0</v>
      </c>
      <c r="G758" s="25" t="s">
        <v>3880</v>
      </c>
      <c r="H758" s="25"/>
      <c r="I758" s="25" t="b">
        <v>0</v>
      </c>
      <c r="J758" s="25" t="b">
        <v>0</v>
      </c>
      <c r="K758" s="25" t="b">
        <v>1</v>
      </c>
      <c r="L758" s="25" t="s">
        <v>66</v>
      </c>
      <c r="M758" s="25"/>
      <c r="N758" s="25" t="str">
        <f>_xlfn.IFNA(VLOOKUP($M758,Buff.CM!$A:$O,13,FALSE),"")</f>
        <v/>
      </c>
      <c r="O758" s="25" t="str">
        <f>_xlfn.IFNA(VLOOKUP($M758,Buff.CM!$A:$O,14,FALSE),"")</f>
        <v/>
      </c>
      <c r="P758" s="25" t="str">
        <f>_xlfn.IFNA(VLOOKUP($M758,Buff.CM!$A:$O,15,FALSE),"")</f>
        <v/>
      </c>
      <c r="Q758" s="25" t="b">
        <v>0</v>
      </c>
      <c r="R758" s="23" t="b">
        <v>0</v>
      </c>
    </row>
    <row r="759" spans="1:18">
      <c r="A759" s="26" t="s">
        <v>3877</v>
      </c>
      <c r="B759" s="26" t="s">
        <v>1414</v>
      </c>
      <c r="C759" s="26" t="s">
        <v>1415</v>
      </c>
      <c r="D759" s="26">
        <v>0</v>
      </c>
      <c r="E759" s="26">
        <v>0</v>
      </c>
      <c r="F759" s="26">
        <v>0</v>
      </c>
      <c r="G759" s="26" t="s">
        <v>3881</v>
      </c>
      <c r="H759" s="26"/>
      <c r="I759" s="26" t="b">
        <v>0</v>
      </c>
      <c r="J759" s="26" t="b">
        <v>0</v>
      </c>
      <c r="K759" s="26" t="b">
        <v>1</v>
      </c>
      <c r="L759" s="26" t="s">
        <v>66</v>
      </c>
      <c r="M759" s="26"/>
      <c r="N759" s="26" t="str">
        <f>_xlfn.IFNA(VLOOKUP($M759,Buff.CM!$A:$O,13,FALSE),"")</f>
        <v/>
      </c>
      <c r="O759" s="26" t="str">
        <f>_xlfn.IFNA(VLOOKUP($M759,Buff.CM!$A:$O,14,FALSE),"")</f>
        <v/>
      </c>
      <c r="P759" s="26" t="str">
        <f>_xlfn.IFNA(VLOOKUP($M759,Buff.CM!$A:$O,15,FALSE),"")</f>
        <v/>
      </c>
      <c r="Q759" s="26" t="b">
        <v>0</v>
      </c>
      <c r="R759" s="23" t="b">
        <v>0</v>
      </c>
    </row>
    <row r="760" spans="1:18">
      <c r="A760" s="26" t="s">
        <v>3878</v>
      </c>
      <c r="B760" s="26" t="s">
        <v>1414</v>
      </c>
      <c r="C760" s="26" t="s">
        <v>1415</v>
      </c>
      <c r="D760" s="26">
        <v>0</v>
      </c>
      <c r="E760" s="26">
        <v>0</v>
      </c>
      <c r="F760" s="26">
        <v>0</v>
      </c>
      <c r="G760" s="26" t="s">
        <v>3882</v>
      </c>
      <c r="H760" s="26"/>
      <c r="I760" s="26" t="b">
        <v>0</v>
      </c>
      <c r="J760" s="26" t="b">
        <v>0</v>
      </c>
      <c r="K760" s="26" t="b">
        <v>1</v>
      </c>
      <c r="L760" s="26" t="s">
        <v>66</v>
      </c>
      <c r="M760" s="26"/>
      <c r="N760" s="26" t="str">
        <f>_xlfn.IFNA(VLOOKUP($M760,Buff.CM!$A:$O,13,FALSE),"")</f>
        <v/>
      </c>
      <c r="O760" s="26" t="str">
        <f>_xlfn.IFNA(VLOOKUP($M760,Buff.CM!$A:$O,14,FALSE),"")</f>
        <v/>
      </c>
      <c r="P760" s="26" t="str">
        <f>_xlfn.IFNA(VLOOKUP($M760,Buff.CM!$A:$O,15,FALSE),"")</f>
        <v/>
      </c>
      <c r="Q760" s="26" t="b">
        <v>0</v>
      </c>
      <c r="R760" s="23" t="b">
        <v>0</v>
      </c>
    </row>
    <row r="761" spans="1:18">
      <c r="A761" s="25" t="s">
        <v>3891</v>
      </c>
      <c r="B761" s="25"/>
      <c r="C761" s="25"/>
      <c r="D761" s="25">
        <v>6000</v>
      </c>
      <c r="E761" s="25">
        <v>0</v>
      </c>
      <c r="F761" s="25">
        <v>0</v>
      </c>
      <c r="G761" s="25" t="s">
        <v>6739</v>
      </c>
      <c r="H761" s="25"/>
      <c r="I761" s="25" t="b">
        <v>0</v>
      </c>
      <c r="J761" s="25" t="b">
        <v>0</v>
      </c>
      <c r="K761" s="25" t="b">
        <v>0</v>
      </c>
      <c r="L761" s="23" t="s">
        <v>175</v>
      </c>
      <c r="M761" s="25" t="s">
        <v>5594</v>
      </c>
      <c r="N761" s="25" t="str">
        <f>_xlfn.IFNA(VLOOKUP($M761,Buff.CM!$A:$O,13,FALSE),"")</f>
        <v>icon_battle_guardreduce</v>
      </c>
      <c r="O761" s="25" t="str">
        <f>_xlfn.IFNA(VLOOKUP($M761,Buff.CM!$A:$O,14,FALSE),"")</f>
        <v>Buff.Name.GuardRate.Down.00</v>
      </c>
      <c r="P761" s="25" t="str">
        <f>_xlfn.IFNA(VLOOKUP($M761,Buff.CM!$A:$O,15,FALSE),"")</f>
        <v>Buff.Desc.GuardRate.Down.00</v>
      </c>
      <c r="Q761" s="25" t="b">
        <v>0</v>
      </c>
      <c r="R761" s="23" t="b">
        <v>0</v>
      </c>
    </row>
    <row r="762" spans="1:18">
      <c r="A762" s="25" t="s">
        <v>3887</v>
      </c>
      <c r="B762" s="25"/>
      <c r="C762" s="25"/>
      <c r="D762" s="25">
        <v>6000</v>
      </c>
      <c r="E762" s="25">
        <v>0</v>
      </c>
      <c r="F762" s="25">
        <v>0</v>
      </c>
      <c r="G762" s="25" t="s">
        <v>3892</v>
      </c>
      <c r="H762" s="25"/>
      <c r="I762" s="25" t="b">
        <v>0</v>
      </c>
      <c r="J762" s="25" t="b">
        <v>0</v>
      </c>
      <c r="K762" s="25" t="b">
        <v>0</v>
      </c>
      <c r="L762" s="23" t="s">
        <v>175</v>
      </c>
      <c r="M762" s="25" t="s">
        <v>5594</v>
      </c>
      <c r="N762" s="25" t="str">
        <f>_xlfn.IFNA(VLOOKUP($M762,Buff.CM!$A:$O,13,FALSE),"")</f>
        <v>icon_battle_guardreduce</v>
      </c>
      <c r="O762" s="25" t="str">
        <f>_xlfn.IFNA(VLOOKUP($M762,Buff.CM!$A:$O,14,FALSE),"")</f>
        <v>Buff.Name.GuardRate.Down.00</v>
      </c>
      <c r="P762" s="25" t="str">
        <f>_xlfn.IFNA(VLOOKUP($M762,Buff.CM!$A:$O,15,FALSE),"")</f>
        <v>Buff.Desc.GuardRate.Down.00</v>
      </c>
      <c r="Q762" s="25" t="b">
        <v>0</v>
      </c>
      <c r="R762" s="23" t="b">
        <v>0</v>
      </c>
    </row>
    <row r="763" spans="1:18">
      <c r="A763" s="25" t="s">
        <v>3888</v>
      </c>
      <c r="B763" s="25"/>
      <c r="C763" s="25"/>
      <c r="D763" s="25">
        <v>6000</v>
      </c>
      <c r="E763" s="25">
        <v>0</v>
      </c>
      <c r="F763" s="25">
        <v>0</v>
      </c>
      <c r="G763" s="25" t="s">
        <v>3893</v>
      </c>
      <c r="H763" s="25"/>
      <c r="I763" s="25" t="b">
        <v>0</v>
      </c>
      <c r="J763" s="25" t="b">
        <v>0</v>
      </c>
      <c r="K763" s="25" t="b">
        <v>0</v>
      </c>
      <c r="L763" s="23" t="s">
        <v>175</v>
      </c>
      <c r="M763" s="25" t="s">
        <v>5594</v>
      </c>
      <c r="N763" s="25" t="str">
        <f>_xlfn.IFNA(VLOOKUP($M763,Buff.CM!$A:$O,13,FALSE),"")</f>
        <v>icon_battle_guardreduce</v>
      </c>
      <c r="O763" s="25" t="str">
        <f>_xlfn.IFNA(VLOOKUP($M763,Buff.CM!$A:$O,14,FALSE),"")</f>
        <v>Buff.Name.GuardRate.Down.00</v>
      </c>
      <c r="P763" s="25" t="str">
        <f>_xlfn.IFNA(VLOOKUP($M763,Buff.CM!$A:$O,15,FALSE),"")</f>
        <v>Buff.Desc.GuardRate.Down.00</v>
      </c>
      <c r="Q763" s="25" t="b">
        <v>0</v>
      </c>
      <c r="R763" s="23" t="b">
        <v>0</v>
      </c>
    </row>
    <row r="764" spans="1:18">
      <c r="A764" s="26" t="s">
        <v>3889</v>
      </c>
      <c r="B764" s="26"/>
      <c r="C764" s="26"/>
      <c r="D764" s="26">
        <v>6000</v>
      </c>
      <c r="E764" s="26">
        <v>0</v>
      </c>
      <c r="F764" s="26">
        <v>0</v>
      </c>
      <c r="G764" s="26" t="s">
        <v>3894</v>
      </c>
      <c r="H764" s="26"/>
      <c r="I764" s="26" t="b">
        <v>0</v>
      </c>
      <c r="J764" s="26" t="b">
        <v>0</v>
      </c>
      <c r="K764" s="26" t="b">
        <v>0</v>
      </c>
      <c r="L764" s="23" t="s">
        <v>175</v>
      </c>
      <c r="M764" s="26" t="s">
        <v>5594</v>
      </c>
      <c r="N764" s="26" t="str">
        <f>_xlfn.IFNA(VLOOKUP($M764,Buff.CM!$A:$O,13,FALSE),"")</f>
        <v>icon_battle_guardreduce</v>
      </c>
      <c r="O764" s="26" t="str">
        <f>_xlfn.IFNA(VLOOKUP($M764,Buff.CM!$A:$O,14,FALSE),"")</f>
        <v>Buff.Name.GuardRate.Down.00</v>
      </c>
      <c r="P764" s="26" t="str">
        <f>_xlfn.IFNA(VLOOKUP($M764,Buff.CM!$A:$O,15,FALSE),"")</f>
        <v>Buff.Desc.GuardRate.Down.00</v>
      </c>
      <c r="Q764" s="26" t="b">
        <v>0</v>
      </c>
      <c r="R764" s="23" t="b">
        <v>0</v>
      </c>
    </row>
    <row r="765" spans="1:18">
      <c r="A765" s="26" t="s">
        <v>3890</v>
      </c>
      <c r="B765" s="26"/>
      <c r="C765" s="26"/>
      <c r="D765" s="26">
        <v>6000</v>
      </c>
      <c r="E765" s="26">
        <v>0</v>
      </c>
      <c r="F765" s="26">
        <v>0</v>
      </c>
      <c r="G765" s="26" t="s">
        <v>3895</v>
      </c>
      <c r="H765" s="26"/>
      <c r="I765" s="26" t="b">
        <v>0</v>
      </c>
      <c r="J765" s="26" t="b">
        <v>0</v>
      </c>
      <c r="K765" s="26" t="b">
        <v>0</v>
      </c>
      <c r="L765" s="23" t="s">
        <v>175</v>
      </c>
      <c r="M765" s="26" t="s">
        <v>5594</v>
      </c>
      <c r="N765" s="26" t="str">
        <f>_xlfn.IFNA(VLOOKUP($M765,Buff.CM!$A:$O,13,FALSE),"")</f>
        <v>icon_battle_guardreduce</v>
      </c>
      <c r="O765" s="26" t="str">
        <f>_xlfn.IFNA(VLOOKUP($M765,Buff.CM!$A:$O,14,FALSE),"")</f>
        <v>Buff.Name.GuardRate.Down.00</v>
      </c>
      <c r="P765" s="26" t="str">
        <f>_xlfn.IFNA(VLOOKUP($M765,Buff.CM!$A:$O,15,FALSE),"")</f>
        <v>Buff.Desc.GuardRate.Down.00</v>
      </c>
      <c r="Q765" s="26" t="b">
        <v>0</v>
      </c>
      <c r="R765" s="23" t="b">
        <v>0</v>
      </c>
    </row>
    <row r="766" spans="1:18" ht="33">
      <c r="A766" s="25" t="s">
        <v>554</v>
      </c>
      <c r="B766" s="25"/>
      <c r="C766" s="25"/>
      <c r="D766" s="25">
        <v>0</v>
      </c>
      <c r="E766" s="25">
        <v>0</v>
      </c>
      <c r="F766" s="25">
        <v>0</v>
      </c>
      <c r="G766" s="43" t="s">
        <v>6740</v>
      </c>
      <c r="H766" s="25"/>
      <c r="I766" s="25" t="b">
        <v>0</v>
      </c>
      <c r="J766" s="23" t="b">
        <v>1</v>
      </c>
      <c r="K766" s="25" t="b">
        <v>1</v>
      </c>
      <c r="L766" s="25"/>
      <c r="M766" s="25"/>
      <c r="N766" s="25" t="str">
        <f>_xlfn.IFNA(VLOOKUP($M766,Buff.CM!$A:$O,13,FALSE),"")</f>
        <v/>
      </c>
      <c r="O766" s="25" t="str">
        <f>_xlfn.IFNA(VLOOKUP($M766,Buff.CM!$A:$O,14,FALSE),"")</f>
        <v/>
      </c>
      <c r="P766" s="25" t="str">
        <f>_xlfn.IFNA(VLOOKUP($M766,Buff.CM!$A:$O,15,FALSE),"")</f>
        <v/>
      </c>
      <c r="Q766" s="25" t="b">
        <v>0</v>
      </c>
      <c r="R766" s="25" t="b">
        <v>0</v>
      </c>
    </row>
    <row r="767" spans="1:18" ht="33">
      <c r="A767" s="25" t="s">
        <v>555</v>
      </c>
      <c r="B767" s="25"/>
      <c r="C767" s="25"/>
      <c r="D767" s="25">
        <v>0</v>
      </c>
      <c r="E767" s="25">
        <v>0</v>
      </c>
      <c r="F767" s="25">
        <v>0</v>
      </c>
      <c r="G767" s="43" t="s">
        <v>6741</v>
      </c>
      <c r="H767" s="25"/>
      <c r="I767" s="25" t="b">
        <v>0</v>
      </c>
      <c r="J767" s="23" t="b">
        <v>1</v>
      </c>
      <c r="K767" s="25" t="b">
        <v>1</v>
      </c>
      <c r="L767" s="25"/>
      <c r="M767" s="25"/>
      <c r="N767" s="25" t="str">
        <f>_xlfn.IFNA(VLOOKUP($M767,Buff.CM!$A:$O,13,FALSE),"")</f>
        <v/>
      </c>
      <c r="O767" s="25" t="str">
        <f>_xlfn.IFNA(VLOOKUP($M767,Buff.CM!$A:$O,14,FALSE),"")</f>
        <v/>
      </c>
      <c r="P767" s="25" t="str">
        <f>_xlfn.IFNA(VLOOKUP($M767,Buff.CM!$A:$O,15,FALSE),"")</f>
        <v/>
      </c>
      <c r="Q767" s="25" t="b">
        <v>0</v>
      </c>
      <c r="R767" s="25" t="b">
        <v>0</v>
      </c>
    </row>
    <row r="768" spans="1:18" ht="33">
      <c r="A768" s="25" t="s">
        <v>556</v>
      </c>
      <c r="B768" s="25"/>
      <c r="C768" s="25"/>
      <c r="D768" s="25">
        <v>0</v>
      </c>
      <c r="E768" s="25">
        <v>0</v>
      </c>
      <c r="F768" s="25">
        <v>0</v>
      </c>
      <c r="G768" s="43" t="s">
        <v>6742</v>
      </c>
      <c r="H768" s="25"/>
      <c r="I768" s="25" t="b">
        <v>0</v>
      </c>
      <c r="J768" s="23" t="b">
        <v>1</v>
      </c>
      <c r="K768" s="25" t="b">
        <v>1</v>
      </c>
      <c r="L768" s="25"/>
      <c r="M768" s="25"/>
      <c r="N768" s="25" t="str">
        <f>_xlfn.IFNA(VLOOKUP($M768,Buff.CM!$A:$O,13,FALSE),"")</f>
        <v/>
      </c>
      <c r="O768" s="25" t="str">
        <f>_xlfn.IFNA(VLOOKUP($M768,Buff.CM!$A:$O,14,FALSE),"")</f>
        <v/>
      </c>
      <c r="P768" s="25" t="str">
        <f>_xlfn.IFNA(VLOOKUP($M768,Buff.CM!$A:$O,15,FALSE),"")</f>
        <v/>
      </c>
      <c r="Q768" s="25" t="b">
        <v>0</v>
      </c>
      <c r="R768" s="25" t="b">
        <v>0</v>
      </c>
    </row>
    <row r="769" spans="1:18" ht="33">
      <c r="A769" s="25" t="s">
        <v>557</v>
      </c>
      <c r="B769" s="25"/>
      <c r="C769" s="25"/>
      <c r="D769" s="25">
        <v>0</v>
      </c>
      <c r="E769" s="25">
        <v>0</v>
      </c>
      <c r="F769" s="25">
        <v>0</v>
      </c>
      <c r="G769" s="43" t="s">
        <v>6743</v>
      </c>
      <c r="H769" s="25"/>
      <c r="I769" s="25" t="b">
        <v>0</v>
      </c>
      <c r="J769" s="23" t="b">
        <v>1</v>
      </c>
      <c r="K769" s="25" t="b">
        <v>1</v>
      </c>
      <c r="L769" s="25"/>
      <c r="M769" s="25"/>
      <c r="N769" s="25" t="str">
        <f>_xlfn.IFNA(VLOOKUP($M769,Buff.CM!$A:$O,13,FALSE),"")</f>
        <v/>
      </c>
      <c r="O769" s="25" t="str">
        <f>_xlfn.IFNA(VLOOKUP($M769,Buff.CM!$A:$O,14,FALSE),"")</f>
        <v/>
      </c>
      <c r="P769" s="25" t="str">
        <f>_xlfn.IFNA(VLOOKUP($M769,Buff.CM!$A:$O,15,FALSE),"")</f>
        <v/>
      </c>
      <c r="Q769" s="25" t="b">
        <v>0</v>
      </c>
      <c r="R769" s="25" t="b">
        <v>0</v>
      </c>
    </row>
    <row r="770" spans="1:18" ht="33">
      <c r="A770" s="34" t="s">
        <v>558</v>
      </c>
      <c r="B770" s="34"/>
      <c r="C770" s="34"/>
      <c r="D770" s="34">
        <v>0</v>
      </c>
      <c r="E770" s="34">
        <v>0</v>
      </c>
      <c r="F770" s="34">
        <v>0</v>
      </c>
      <c r="G770" s="40" t="s">
        <v>6744</v>
      </c>
      <c r="H770" s="34"/>
      <c r="I770" s="34" t="b">
        <v>0</v>
      </c>
      <c r="J770" s="23" t="b">
        <v>1</v>
      </c>
      <c r="K770" s="34" t="b">
        <v>1</v>
      </c>
      <c r="L770" s="34"/>
      <c r="M770" s="34"/>
      <c r="N770" s="34" t="str">
        <f>_xlfn.IFNA(VLOOKUP($M770,Buff.CM!$A:$O,13,FALSE),"")</f>
        <v/>
      </c>
      <c r="O770" s="34" t="str">
        <f>_xlfn.IFNA(VLOOKUP($M770,Buff.CM!$A:$O,14,FALSE),"")</f>
        <v/>
      </c>
      <c r="P770" s="34" t="str">
        <f>_xlfn.IFNA(VLOOKUP($M770,Buff.CM!$A:$O,15,FALSE),"")</f>
        <v/>
      </c>
      <c r="Q770" s="34" t="b">
        <v>0</v>
      </c>
      <c r="R770" s="34" t="b">
        <v>0</v>
      </c>
    </row>
    <row r="771" spans="1:18" ht="33">
      <c r="A771" s="34" t="s">
        <v>559</v>
      </c>
      <c r="B771" s="34"/>
      <c r="C771" s="34"/>
      <c r="D771" s="34">
        <v>0</v>
      </c>
      <c r="E771" s="34">
        <v>0</v>
      </c>
      <c r="F771" s="34">
        <v>0</v>
      </c>
      <c r="G771" s="40" t="s">
        <v>6745</v>
      </c>
      <c r="H771" s="34"/>
      <c r="I771" s="34" t="b">
        <v>0</v>
      </c>
      <c r="J771" s="23" t="b">
        <v>1</v>
      </c>
      <c r="K771" s="34" t="b">
        <v>1</v>
      </c>
      <c r="L771" s="34"/>
      <c r="M771" s="34"/>
      <c r="N771" s="34" t="str">
        <f>_xlfn.IFNA(VLOOKUP($M771,Buff.CM!$A:$O,13,FALSE),"")</f>
        <v/>
      </c>
      <c r="O771" s="34" t="str">
        <f>_xlfn.IFNA(VLOOKUP($M771,Buff.CM!$A:$O,14,FALSE),"")</f>
        <v/>
      </c>
      <c r="P771" s="34" t="str">
        <f>_xlfn.IFNA(VLOOKUP($M771,Buff.CM!$A:$O,15,FALSE),"")</f>
        <v/>
      </c>
      <c r="Q771" s="34" t="b">
        <v>0</v>
      </c>
      <c r="R771" s="34" t="b">
        <v>0</v>
      </c>
    </row>
    <row r="772" spans="1:18" ht="49.5">
      <c r="A772" s="24" t="s">
        <v>6746</v>
      </c>
      <c r="B772" s="24"/>
      <c r="C772" s="24"/>
      <c r="D772" s="24">
        <v>4000</v>
      </c>
      <c r="E772" s="24">
        <v>0</v>
      </c>
      <c r="F772" s="24">
        <v>0</v>
      </c>
      <c r="G772" s="38" t="s">
        <v>6747</v>
      </c>
      <c r="H772" s="24"/>
      <c r="I772" s="24" t="b">
        <v>1</v>
      </c>
      <c r="J772" s="24" t="b">
        <v>0</v>
      </c>
      <c r="K772" s="24" t="b">
        <v>1</v>
      </c>
      <c r="L772" s="24" t="s">
        <v>66</v>
      </c>
      <c r="M772" s="24" t="s">
        <v>5683</v>
      </c>
      <c r="N772" s="24" t="str">
        <f>_xlfn.IFNA(VLOOKUP($M772,Buff.CM!$A:$O,13,FALSE),"")</f>
        <v>icon_battle_yuna_buff_01</v>
      </c>
      <c r="O772" s="24" t="str">
        <f>_xlfn.IFNA(VLOOKUP($M772,Buff.CM!$A:$O,14,FALSE),"")</f>
        <v>info.yuna.buff.clearmind</v>
      </c>
      <c r="P772" s="24" t="str">
        <f>_xlfn.IFNA(VLOOKUP($M772,Buff.CM!$A:$O,15,FALSE),"")</f>
        <v>Desc.info.yuna.buff.clearmind</v>
      </c>
      <c r="Q772" s="24" t="b">
        <v>0</v>
      </c>
      <c r="R772" s="24" t="b">
        <v>0</v>
      </c>
    </row>
    <row r="773" spans="1:18" ht="49.5">
      <c r="A773" s="24" t="s">
        <v>1409</v>
      </c>
      <c r="B773" s="24"/>
      <c r="C773" s="24"/>
      <c r="D773" s="24">
        <v>4000</v>
      </c>
      <c r="E773" s="24">
        <v>0</v>
      </c>
      <c r="F773" s="24">
        <v>0</v>
      </c>
      <c r="G773" s="38" t="s">
        <v>6748</v>
      </c>
      <c r="H773" s="24"/>
      <c r="I773" s="24" t="b">
        <v>1</v>
      </c>
      <c r="J773" s="24" t="b">
        <v>0</v>
      </c>
      <c r="K773" s="24" t="b">
        <v>1</v>
      </c>
      <c r="L773" s="24" t="s">
        <v>66</v>
      </c>
      <c r="M773" s="24" t="s">
        <v>5683</v>
      </c>
      <c r="N773" s="24" t="str">
        <f>_xlfn.IFNA(VLOOKUP($M773,Buff.CM!$A:$O,13,FALSE),"")</f>
        <v>icon_battle_yuna_buff_01</v>
      </c>
      <c r="O773" s="24" t="str">
        <f>_xlfn.IFNA(VLOOKUP($M773,Buff.CM!$A:$O,14,FALSE),"")</f>
        <v>info.yuna.buff.clearmind</v>
      </c>
      <c r="P773" s="24" t="str">
        <f>_xlfn.IFNA(VLOOKUP($M773,Buff.CM!$A:$O,15,FALSE),"")</f>
        <v>Desc.info.yuna.buff.clearmind</v>
      </c>
      <c r="Q773" s="24" t="b">
        <v>0</v>
      </c>
      <c r="R773" s="24" t="b">
        <v>0</v>
      </c>
    </row>
    <row r="774" spans="1:18" ht="49.5">
      <c r="A774" s="24" t="s">
        <v>1410</v>
      </c>
      <c r="B774" s="24"/>
      <c r="C774" s="24"/>
      <c r="D774" s="24">
        <v>4000</v>
      </c>
      <c r="E774" s="24">
        <v>0</v>
      </c>
      <c r="F774" s="24">
        <v>0</v>
      </c>
      <c r="G774" s="38" t="s">
        <v>6749</v>
      </c>
      <c r="H774" s="24"/>
      <c r="I774" s="24" t="b">
        <v>1</v>
      </c>
      <c r="J774" s="24" t="b">
        <v>0</v>
      </c>
      <c r="K774" s="24" t="b">
        <v>1</v>
      </c>
      <c r="L774" s="24" t="s">
        <v>66</v>
      </c>
      <c r="M774" s="24" t="s">
        <v>5683</v>
      </c>
      <c r="N774" s="24" t="str">
        <f>_xlfn.IFNA(VLOOKUP($M774,Buff.CM!$A:$O,13,FALSE),"")</f>
        <v>icon_battle_yuna_buff_01</v>
      </c>
      <c r="O774" s="24" t="str">
        <f>_xlfn.IFNA(VLOOKUP($M774,Buff.CM!$A:$O,14,FALSE),"")</f>
        <v>info.yuna.buff.clearmind</v>
      </c>
      <c r="P774" s="24" t="str">
        <f>_xlfn.IFNA(VLOOKUP($M774,Buff.CM!$A:$O,15,FALSE),"")</f>
        <v>Desc.info.yuna.buff.clearmind</v>
      </c>
      <c r="Q774" s="24" t="b">
        <v>0</v>
      </c>
      <c r="R774" s="24" t="b">
        <v>0</v>
      </c>
    </row>
    <row r="775" spans="1:18" ht="49.5">
      <c r="A775" s="34" t="s">
        <v>1411</v>
      </c>
      <c r="B775" s="34"/>
      <c r="C775" s="34"/>
      <c r="D775" s="34">
        <v>4000</v>
      </c>
      <c r="E775" s="34">
        <v>0</v>
      </c>
      <c r="F775" s="34">
        <v>0</v>
      </c>
      <c r="G775" s="40" t="s">
        <v>6750</v>
      </c>
      <c r="H775" s="34"/>
      <c r="I775" s="34" t="b">
        <v>1</v>
      </c>
      <c r="J775" s="34" t="b">
        <v>0</v>
      </c>
      <c r="K775" s="34" t="b">
        <v>1</v>
      </c>
      <c r="L775" s="34" t="s">
        <v>66</v>
      </c>
      <c r="M775" s="34" t="s">
        <v>5683</v>
      </c>
      <c r="N775" s="34" t="str">
        <f>_xlfn.IFNA(VLOOKUP($M775,Buff.CM!$A:$O,13,FALSE),"")</f>
        <v>icon_battle_yuna_buff_01</v>
      </c>
      <c r="O775" s="34" t="str">
        <f>_xlfn.IFNA(VLOOKUP($M775,Buff.CM!$A:$O,14,FALSE),"")</f>
        <v>info.yuna.buff.clearmind</v>
      </c>
      <c r="P775" s="34" t="str">
        <f>_xlfn.IFNA(VLOOKUP($M775,Buff.CM!$A:$O,15,FALSE),"")</f>
        <v>Desc.info.yuna.buff.clearmind</v>
      </c>
      <c r="Q775" s="34" t="b">
        <v>0</v>
      </c>
      <c r="R775" s="34" t="b">
        <v>0</v>
      </c>
    </row>
    <row r="776" spans="1:18" ht="49.5">
      <c r="A776" s="34" t="s">
        <v>1412</v>
      </c>
      <c r="B776" s="34"/>
      <c r="C776" s="34"/>
      <c r="D776" s="34">
        <v>4000</v>
      </c>
      <c r="E776" s="34">
        <v>0</v>
      </c>
      <c r="F776" s="34">
        <v>0</v>
      </c>
      <c r="G776" s="40" t="s">
        <v>6751</v>
      </c>
      <c r="H776" s="34"/>
      <c r="I776" s="34" t="b">
        <v>1</v>
      </c>
      <c r="J776" s="34" t="b">
        <v>0</v>
      </c>
      <c r="K776" s="34" t="b">
        <v>1</v>
      </c>
      <c r="L776" s="34" t="s">
        <v>66</v>
      </c>
      <c r="M776" s="34" t="s">
        <v>5683</v>
      </c>
      <c r="N776" s="34" t="str">
        <f>_xlfn.IFNA(VLOOKUP($M776,Buff.CM!$A:$O,13,FALSE),"")</f>
        <v>icon_battle_yuna_buff_01</v>
      </c>
      <c r="O776" s="34" t="str">
        <f>_xlfn.IFNA(VLOOKUP($M776,Buff.CM!$A:$O,14,FALSE),"")</f>
        <v>info.yuna.buff.clearmind</v>
      </c>
      <c r="P776" s="34" t="str">
        <f>_xlfn.IFNA(VLOOKUP($M776,Buff.CM!$A:$O,15,FALSE),"")</f>
        <v>Desc.info.yuna.buff.clearmind</v>
      </c>
      <c r="Q776" s="34" t="b">
        <v>0</v>
      </c>
      <c r="R776" s="34" t="b">
        <v>0</v>
      </c>
    </row>
    <row r="777" spans="1:18" ht="49.5">
      <c r="A777" s="34" t="s">
        <v>1413</v>
      </c>
      <c r="B777" s="34"/>
      <c r="C777" s="34"/>
      <c r="D777" s="34">
        <v>4000</v>
      </c>
      <c r="E777" s="34">
        <v>0</v>
      </c>
      <c r="F777" s="34">
        <v>0</v>
      </c>
      <c r="G777" s="40" t="s">
        <v>6752</v>
      </c>
      <c r="H777" s="34"/>
      <c r="I777" s="34" t="b">
        <v>1</v>
      </c>
      <c r="J777" s="34" t="b">
        <v>0</v>
      </c>
      <c r="K777" s="34" t="b">
        <v>1</v>
      </c>
      <c r="L777" s="34" t="s">
        <v>66</v>
      </c>
      <c r="M777" s="34" t="s">
        <v>5683</v>
      </c>
      <c r="N777" s="34" t="str">
        <f>_xlfn.IFNA(VLOOKUP($M777,Buff.CM!$A:$O,13,FALSE),"")</f>
        <v>icon_battle_yuna_buff_01</v>
      </c>
      <c r="O777" s="34" t="str">
        <f>_xlfn.IFNA(VLOOKUP($M777,Buff.CM!$A:$O,14,FALSE),"")</f>
        <v>info.yuna.buff.clearmind</v>
      </c>
      <c r="P777" s="34" t="str">
        <f>_xlfn.IFNA(VLOOKUP($M777,Buff.CM!$A:$O,15,FALSE),"")</f>
        <v>Desc.info.yuna.buff.clearmind</v>
      </c>
      <c r="Q777" s="34" t="b">
        <v>0</v>
      </c>
      <c r="R777" s="34" t="b">
        <v>0</v>
      </c>
    </row>
    <row r="778" spans="1:18" ht="49.5">
      <c r="A778" s="25" t="s">
        <v>6753</v>
      </c>
      <c r="B778" s="25"/>
      <c r="C778" s="25"/>
      <c r="D778" s="25">
        <v>0</v>
      </c>
      <c r="E778" s="25">
        <v>0</v>
      </c>
      <c r="F778" s="25">
        <v>0</v>
      </c>
      <c r="G778" s="43" t="s">
        <v>6754</v>
      </c>
      <c r="H778" s="25"/>
      <c r="I778" s="25" t="b">
        <v>1</v>
      </c>
      <c r="J778" s="23" t="b">
        <v>1</v>
      </c>
      <c r="K778" s="25" t="b">
        <v>1</v>
      </c>
      <c r="L778" s="25"/>
      <c r="M778" s="25"/>
      <c r="N778" s="25" t="str">
        <f>_xlfn.IFNA(VLOOKUP($M778,Buff.CM!$A:$O,13,FALSE),"")</f>
        <v/>
      </c>
      <c r="O778" s="25" t="str">
        <f>_xlfn.IFNA(VLOOKUP($M778,Buff.CM!$A:$O,14,FALSE),"")</f>
        <v/>
      </c>
      <c r="P778" s="25" t="str">
        <f>_xlfn.IFNA(VLOOKUP($M778,Buff.CM!$A:$O,15,FALSE),"")</f>
        <v/>
      </c>
      <c r="Q778" s="25" t="b">
        <v>0</v>
      </c>
      <c r="R778" s="25" t="b">
        <v>0</v>
      </c>
    </row>
    <row r="779" spans="1:18" ht="49.5">
      <c r="A779" s="25" t="s">
        <v>2991</v>
      </c>
      <c r="B779" s="25"/>
      <c r="C779" s="25"/>
      <c r="D779" s="25">
        <v>0</v>
      </c>
      <c r="E779" s="25">
        <v>0</v>
      </c>
      <c r="F779" s="25">
        <v>0</v>
      </c>
      <c r="G779" s="43" t="s">
        <v>6755</v>
      </c>
      <c r="H779" s="25"/>
      <c r="I779" s="25" t="b">
        <v>1</v>
      </c>
      <c r="J779" s="23" t="b">
        <v>1</v>
      </c>
      <c r="K779" s="25" t="b">
        <v>1</v>
      </c>
      <c r="L779" s="25"/>
      <c r="M779" s="25"/>
      <c r="N779" s="25" t="str">
        <f>_xlfn.IFNA(VLOOKUP($M779,Buff.CM!$A:$O,13,FALSE),"")</f>
        <v/>
      </c>
      <c r="O779" s="25" t="str">
        <f>_xlfn.IFNA(VLOOKUP($M779,Buff.CM!$A:$O,14,FALSE),"")</f>
        <v/>
      </c>
      <c r="P779" s="25" t="str">
        <f>_xlfn.IFNA(VLOOKUP($M779,Buff.CM!$A:$O,15,FALSE),"")</f>
        <v/>
      </c>
      <c r="Q779" s="25" t="b">
        <v>0</v>
      </c>
      <c r="R779" s="25" t="b">
        <v>0</v>
      </c>
    </row>
    <row r="780" spans="1:18" ht="49.5">
      <c r="A780" s="25" t="s">
        <v>2992</v>
      </c>
      <c r="B780" s="25"/>
      <c r="C780" s="25"/>
      <c r="D780" s="25">
        <v>0</v>
      </c>
      <c r="E780" s="25">
        <v>0</v>
      </c>
      <c r="F780" s="25">
        <v>0</v>
      </c>
      <c r="G780" s="43" t="s">
        <v>6756</v>
      </c>
      <c r="H780" s="25"/>
      <c r="I780" s="25" t="b">
        <v>1</v>
      </c>
      <c r="J780" s="23" t="b">
        <v>1</v>
      </c>
      <c r="K780" s="25" t="b">
        <v>1</v>
      </c>
      <c r="L780" s="25"/>
      <c r="M780" s="25"/>
      <c r="N780" s="25" t="str">
        <f>_xlfn.IFNA(VLOOKUP($M780,Buff.CM!$A:$O,13,FALSE),"")</f>
        <v/>
      </c>
      <c r="O780" s="25" t="str">
        <f>_xlfn.IFNA(VLOOKUP($M780,Buff.CM!$A:$O,14,FALSE),"")</f>
        <v/>
      </c>
      <c r="P780" s="25" t="str">
        <f>_xlfn.IFNA(VLOOKUP($M780,Buff.CM!$A:$O,15,FALSE),"")</f>
        <v/>
      </c>
      <c r="Q780" s="25" t="b">
        <v>0</v>
      </c>
      <c r="R780" s="25" t="b">
        <v>0</v>
      </c>
    </row>
    <row r="781" spans="1:18" ht="49.5">
      <c r="A781" s="25" t="s">
        <v>2993</v>
      </c>
      <c r="B781" s="25"/>
      <c r="C781" s="25"/>
      <c r="D781" s="25">
        <v>0</v>
      </c>
      <c r="E781" s="25">
        <v>0</v>
      </c>
      <c r="F781" s="25">
        <v>0</v>
      </c>
      <c r="G781" s="43" t="s">
        <v>6757</v>
      </c>
      <c r="H781" s="25"/>
      <c r="I781" s="25" t="b">
        <v>1</v>
      </c>
      <c r="J781" s="23" t="b">
        <v>1</v>
      </c>
      <c r="K781" s="25" t="b">
        <v>1</v>
      </c>
      <c r="L781" s="25"/>
      <c r="M781" s="25"/>
      <c r="N781" s="25" t="str">
        <f>_xlfn.IFNA(VLOOKUP($M781,Buff.CM!$A:$O,13,FALSE),"")</f>
        <v/>
      </c>
      <c r="O781" s="25" t="str">
        <f>_xlfn.IFNA(VLOOKUP($M781,Buff.CM!$A:$O,14,FALSE),"")</f>
        <v/>
      </c>
      <c r="P781" s="25" t="str">
        <f>_xlfn.IFNA(VLOOKUP($M781,Buff.CM!$A:$O,15,FALSE),"")</f>
        <v/>
      </c>
      <c r="Q781" s="25" t="b">
        <v>0</v>
      </c>
      <c r="R781" s="25" t="b">
        <v>0</v>
      </c>
    </row>
    <row r="782" spans="1:18" s="144" customFormat="1" ht="49.5">
      <c r="A782" s="77" t="s">
        <v>2994</v>
      </c>
      <c r="B782" s="77"/>
      <c r="C782" s="77"/>
      <c r="D782" s="77">
        <v>0</v>
      </c>
      <c r="E782" s="77">
        <v>0</v>
      </c>
      <c r="F782" s="77">
        <v>0</v>
      </c>
      <c r="G782" s="149" t="s">
        <v>6758</v>
      </c>
      <c r="H782" s="77"/>
      <c r="I782" s="77" t="b">
        <v>1</v>
      </c>
      <c r="J782" s="23" t="b">
        <v>1</v>
      </c>
      <c r="K782" s="77" t="b">
        <v>1</v>
      </c>
      <c r="L782" s="77"/>
      <c r="M782" s="77"/>
      <c r="N782" s="77" t="str">
        <f>_xlfn.IFNA(VLOOKUP($M782,Buff.CM!$A:$O,13,FALSE),"")</f>
        <v/>
      </c>
      <c r="O782" s="77" t="str">
        <f>_xlfn.IFNA(VLOOKUP($M782,Buff.CM!$A:$O,14,FALSE),"")</f>
        <v/>
      </c>
      <c r="P782" s="77" t="str">
        <f>_xlfn.IFNA(VLOOKUP($M782,Buff.CM!$A:$O,15,FALSE),"")</f>
        <v/>
      </c>
      <c r="Q782" s="77" t="b">
        <v>0</v>
      </c>
      <c r="R782" s="77" t="b">
        <v>0</v>
      </c>
    </row>
    <row r="783" spans="1:18" s="144" customFormat="1" ht="49.5">
      <c r="A783" s="77" t="s">
        <v>2995</v>
      </c>
      <c r="B783" s="77"/>
      <c r="C783" s="77"/>
      <c r="D783" s="77">
        <v>0</v>
      </c>
      <c r="E783" s="77">
        <v>0</v>
      </c>
      <c r="F783" s="77">
        <v>0</v>
      </c>
      <c r="G783" s="149" t="s">
        <v>6759</v>
      </c>
      <c r="H783" s="77"/>
      <c r="I783" s="77" t="b">
        <v>1</v>
      </c>
      <c r="J783" s="23" t="b">
        <v>1</v>
      </c>
      <c r="K783" s="77" t="b">
        <v>1</v>
      </c>
      <c r="L783" s="77"/>
      <c r="M783" s="77"/>
      <c r="N783" s="77" t="str">
        <f>_xlfn.IFNA(VLOOKUP($M783,Buff.CM!$A:$O,13,FALSE),"")</f>
        <v/>
      </c>
      <c r="O783" s="77" t="str">
        <f>_xlfn.IFNA(VLOOKUP($M783,Buff.CM!$A:$O,14,FALSE),"")</f>
        <v/>
      </c>
      <c r="P783" s="77" t="str">
        <f>_xlfn.IFNA(VLOOKUP($M783,Buff.CM!$A:$O,15,FALSE),"")</f>
        <v/>
      </c>
      <c r="Q783" s="77" t="b">
        <v>0</v>
      </c>
      <c r="R783" s="77" t="b">
        <v>0</v>
      </c>
    </row>
    <row r="784" spans="1:18">
      <c r="A784" s="26" t="s">
        <v>6760</v>
      </c>
      <c r="B784" s="26"/>
      <c r="C784" s="26"/>
      <c r="D784" s="26">
        <v>5000</v>
      </c>
      <c r="E784" s="26">
        <v>0</v>
      </c>
      <c r="F784" s="26">
        <v>0</v>
      </c>
      <c r="G784" s="26" t="s">
        <v>4592</v>
      </c>
      <c r="H784" s="26"/>
      <c r="I784" s="26" t="b">
        <v>0</v>
      </c>
      <c r="J784" s="26" t="b">
        <v>0</v>
      </c>
      <c r="K784" s="26" t="b">
        <v>0</v>
      </c>
      <c r="L784" s="26" t="s">
        <v>6761</v>
      </c>
      <c r="M784" s="26"/>
      <c r="N784" s="26" t="str">
        <f>_xlfn.IFNA(VLOOKUP($M784,Buff.CM!$A:$O,13,FALSE),"")</f>
        <v/>
      </c>
      <c r="O784" s="26" t="str">
        <f>_xlfn.IFNA(VLOOKUP($M784,Buff.CM!$A:$O,14,FALSE),"")</f>
        <v/>
      </c>
      <c r="P784" s="26" t="str">
        <f>_xlfn.IFNA(VLOOKUP($M784,Buff.CM!$A:$O,15,FALSE),"")</f>
        <v/>
      </c>
      <c r="Q784" s="26" t="b">
        <v>0</v>
      </c>
      <c r="R784" s="26" t="b">
        <v>0</v>
      </c>
    </row>
    <row r="785" spans="1:18">
      <c r="A785" s="26" t="s">
        <v>4587</v>
      </c>
      <c r="B785" s="26"/>
      <c r="C785" s="26"/>
      <c r="D785" s="26">
        <v>5000</v>
      </c>
      <c r="E785" s="26">
        <v>0</v>
      </c>
      <c r="F785" s="26">
        <v>0</v>
      </c>
      <c r="G785" s="26" t="s">
        <v>4593</v>
      </c>
      <c r="H785" s="26"/>
      <c r="I785" s="26" t="b">
        <v>0</v>
      </c>
      <c r="J785" s="26" t="b">
        <v>0</v>
      </c>
      <c r="K785" s="26" t="b">
        <v>0</v>
      </c>
      <c r="L785" s="26" t="s">
        <v>6761</v>
      </c>
      <c r="M785" s="26"/>
      <c r="N785" s="26" t="str">
        <f>_xlfn.IFNA(VLOOKUP($M785,Buff.CM!$A:$O,13,FALSE),"")</f>
        <v/>
      </c>
      <c r="O785" s="26" t="str">
        <f>_xlfn.IFNA(VLOOKUP($M785,Buff.CM!$A:$O,14,FALSE),"")</f>
        <v/>
      </c>
      <c r="P785" s="26" t="str">
        <f>_xlfn.IFNA(VLOOKUP($M785,Buff.CM!$A:$O,15,FALSE),"")</f>
        <v/>
      </c>
      <c r="Q785" s="26" t="b">
        <v>0</v>
      </c>
      <c r="R785" s="26" t="b">
        <v>0</v>
      </c>
    </row>
    <row r="786" spans="1:18">
      <c r="A786" s="26" t="s">
        <v>4588</v>
      </c>
      <c r="B786" s="26"/>
      <c r="C786" s="26"/>
      <c r="D786" s="26">
        <v>5000</v>
      </c>
      <c r="E786" s="26">
        <v>0</v>
      </c>
      <c r="F786" s="26">
        <v>0</v>
      </c>
      <c r="G786" s="26" t="s">
        <v>4594</v>
      </c>
      <c r="H786" s="26"/>
      <c r="I786" s="26" t="b">
        <v>0</v>
      </c>
      <c r="J786" s="26" t="b">
        <v>0</v>
      </c>
      <c r="K786" s="26" t="b">
        <v>0</v>
      </c>
      <c r="L786" s="26" t="s">
        <v>6761</v>
      </c>
      <c r="M786" s="26"/>
      <c r="N786" s="26" t="str">
        <f>_xlfn.IFNA(VLOOKUP($M786,Buff.CM!$A:$O,13,FALSE),"")</f>
        <v/>
      </c>
      <c r="O786" s="26" t="str">
        <f>_xlfn.IFNA(VLOOKUP($M786,Buff.CM!$A:$O,14,FALSE),"")</f>
        <v/>
      </c>
      <c r="P786" s="26" t="str">
        <f>_xlfn.IFNA(VLOOKUP($M786,Buff.CM!$A:$O,15,FALSE),"")</f>
        <v/>
      </c>
      <c r="Q786" s="26" t="b">
        <v>0</v>
      </c>
      <c r="R786" s="26" t="b">
        <v>0</v>
      </c>
    </row>
    <row r="787" spans="1:18">
      <c r="A787" s="26" t="s">
        <v>4589</v>
      </c>
      <c r="B787" s="26"/>
      <c r="C787" s="26"/>
      <c r="D787" s="26">
        <v>5000</v>
      </c>
      <c r="E787" s="26">
        <v>0</v>
      </c>
      <c r="F787" s="26">
        <v>0</v>
      </c>
      <c r="G787" s="26" t="s">
        <v>4595</v>
      </c>
      <c r="H787" s="26"/>
      <c r="I787" s="26" t="b">
        <v>0</v>
      </c>
      <c r="J787" s="26" t="b">
        <v>0</v>
      </c>
      <c r="K787" s="26" t="b">
        <v>0</v>
      </c>
      <c r="L787" s="26" t="s">
        <v>6761</v>
      </c>
      <c r="M787" s="26"/>
      <c r="N787" s="26" t="str">
        <f>_xlfn.IFNA(VLOOKUP($M787,Buff.CM!$A:$O,13,FALSE),"")</f>
        <v/>
      </c>
      <c r="O787" s="26" t="str">
        <f>_xlfn.IFNA(VLOOKUP($M787,Buff.CM!$A:$O,14,FALSE),"")</f>
        <v/>
      </c>
      <c r="P787" s="26" t="str">
        <f>_xlfn.IFNA(VLOOKUP($M787,Buff.CM!$A:$O,15,FALSE),"")</f>
        <v/>
      </c>
      <c r="Q787" s="26" t="b">
        <v>0</v>
      </c>
      <c r="R787" s="26" t="b">
        <v>0</v>
      </c>
    </row>
    <row r="788" spans="1:18">
      <c r="A788" s="34" t="s">
        <v>4590</v>
      </c>
      <c r="B788" s="34"/>
      <c r="C788" s="34"/>
      <c r="D788" s="34">
        <v>5000</v>
      </c>
      <c r="E788" s="34">
        <v>0</v>
      </c>
      <c r="F788" s="34">
        <v>0</v>
      </c>
      <c r="G788" s="34" t="s">
        <v>4596</v>
      </c>
      <c r="H788" s="34"/>
      <c r="I788" s="34" t="b">
        <v>0</v>
      </c>
      <c r="J788" s="34" t="b">
        <v>0</v>
      </c>
      <c r="K788" s="34" t="b">
        <v>0</v>
      </c>
      <c r="L788" s="34" t="s">
        <v>6761</v>
      </c>
      <c r="M788" s="34"/>
      <c r="N788" s="34" t="str">
        <f>_xlfn.IFNA(VLOOKUP($M788,Buff.CM!$A:$O,13,FALSE),"")</f>
        <v/>
      </c>
      <c r="O788" s="34" t="str">
        <f>_xlfn.IFNA(VLOOKUP($M788,Buff.CM!$A:$O,14,FALSE),"")</f>
        <v/>
      </c>
      <c r="P788" s="34" t="str">
        <f>_xlfn.IFNA(VLOOKUP($M788,Buff.CM!$A:$O,15,FALSE),"")</f>
        <v/>
      </c>
      <c r="Q788" s="34" t="b">
        <v>0</v>
      </c>
      <c r="R788" s="34" t="b">
        <v>0</v>
      </c>
    </row>
    <row r="789" spans="1:18">
      <c r="A789" s="34" t="s">
        <v>4591</v>
      </c>
      <c r="B789" s="34"/>
      <c r="C789" s="34"/>
      <c r="D789" s="34">
        <v>5000</v>
      </c>
      <c r="E789" s="34">
        <v>0</v>
      </c>
      <c r="F789" s="34">
        <v>0</v>
      </c>
      <c r="G789" s="34" t="s">
        <v>4597</v>
      </c>
      <c r="H789" s="34"/>
      <c r="I789" s="34" t="b">
        <v>0</v>
      </c>
      <c r="J789" s="34" t="b">
        <v>0</v>
      </c>
      <c r="K789" s="34" t="b">
        <v>0</v>
      </c>
      <c r="L789" s="23" t="s">
        <v>6761</v>
      </c>
      <c r="M789" s="23"/>
      <c r="N789" s="34" t="str">
        <f>_xlfn.IFNA(VLOOKUP($M789,Buff.CM!$A:$O,13,FALSE),"")</f>
        <v/>
      </c>
      <c r="O789" s="34" t="str">
        <f>_xlfn.IFNA(VLOOKUP($M789,Buff.CM!$A:$O,14,FALSE),"")</f>
        <v/>
      </c>
      <c r="P789" s="34" t="str">
        <f>_xlfn.IFNA(VLOOKUP($M789,Buff.CM!$A:$O,15,FALSE),"")</f>
        <v/>
      </c>
      <c r="Q789" s="34" t="b">
        <v>0</v>
      </c>
      <c r="R789" s="34" t="b">
        <v>0</v>
      </c>
    </row>
    <row r="790" spans="1:18">
      <c r="A790" s="23" t="s">
        <v>1788</v>
      </c>
      <c r="B790" s="23"/>
      <c r="C790" s="23"/>
      <c r="D790" s="23">
        <v>4000</v>
      </c>
      <c r="E790" s="23">
        <v>0</v>
      </c>
      <c r="F790" s="23">
        <v>0</v>
      </c>
      <c r="G790" s="23" t="s">
        <v>1539</v>
      </c>
      <c r="H790" s="23"/>
      <c r="I790" s="23" t="b">
        <v>0</v>
      </c>
      <c r="J790" s="23" t="b">
        <v>0</v>
      </c>
      <c r="K790" s="23" t="b">
        <v>0</v>
      </c>
      <c r="L790" s="23" t="s">
        <v>175</v>
      </c>
      <c r="M790" s="23" t="s">
        <v>1539</v>
      </c>
      <c r="N790" s="23" t="str">
        <f>_xlfn.IFNA(VLOOKUP($M790,Buff.CM!$A:$O,13,FALSE),"")</f>
        <v>icon_battle_evasion</v>
      </c>
      <c r="O790" s="23" t="str">
        <f>_xlfn.IFNA(VLOOKUP($M790,Buff.CM!$A:$O,14,FALSE),"")</f>
        <v>Buff.Name.Evasion.Down.02</v>
      </c>
      <c r="P790" s="23" t="str">
        <f>_xlfn.IFNA(VLOOKUP($M790,Buff.CM!$A:$O,15,FALSE),"")</f>
        <v>Buff.Desc.Evasion.Down.02</v>
      </c>
      <c r="Q790" s="23" t="b">
        <v>0</v>
      </c>
      <c r="R790" s="23" t="b">
        <v>0</v>
      </c>
    </row>
    <row r="791" spans="1:18">
      <c r="A791" s="23" t="s">
        <v>1789</v>
      </c>
      <c r="B791" s="23"/>
      <c r="C791" s="23"/>
      <c r="D791" s="23">
        <v>5000</v>
      </c>
      <c r="E791" s="23">
        <v>0</v>
      </c>
      <c r="F791" s="23">
        <v>0</v>
      </c>
      <c r="G791" s="23" t="s">
        <v>1539</v>
      </c>
      <c r="H791" s="23"/>
      <c r="I791" s="23" t="b">
        <v>0</v>
      </c>
      <c r="J791" s="23" t="b">
        <v>0</v>
      </c>
      <c r="K791" s="23" t="b">
        <v>0</v>
      </c>
      <c r="L791" s="23" t="s">
        <v>175</v>
      </c>
      <c r="M791" s="23" t="s">
        <v>1539</v>
      </c>
      <c r="N791" s="23" t="str">
        <f>_xlfn.IFNA(VLOOKUP($M791,Buff.CM!$A:$O,13,FALSE),"")</f>
        <v>icon_battle_evasion</v>
      </c>
      <c r="O791" s="23" t="str">
        <f>_xlfn.IFNA(VLOOKUP($M791,Buff.CM!$A:$O,14,FALSE),"")</f>
        <v>Buff.Name.Evasion.Down.02</v>
      </c>
      <c r="P791" s="23" t="str">
        <f>_xlfn.IFNA(VLOOKUP($M791,Buff.CM!$A:$O,15,FALSE),"")</f>
        <v>Buff.Desc.Evasion.Down.02</v>
      </c>
      <c r="Q791" s="23" t="b">
        <v>0</v>
      </c>
      <c r="R791" s="23" t="b">
        <v>0</v>
      </c>
    </row>
    <row r="792" spans="1:18">
      <c r="A792" s="23" t="s">
        <v>1790</v>
      </c>
      <c r="B792" s="23"/>
      <c r="C792" s="23"/>
      <c r="D792" s="23">
        <v>5000</v>
      </c>
      <c r="E792" s="23">
        <v>0</v>
      </c>
      <c r="F792" s="23">
        <v>0</v>
      </c>
      <c r="G792" s="23" t="s">
        <v>1540</v>
      </c>
      <c r="H792" s="23"/>
      <c r="I792" s="23" t="b">
        <v>0</v>
      </c>
      <c r="J792" s="23" t="b">
        <v>0</v>
      </c>
      <c r="K792" s="23" t="b">
        <v>0</v>
      </c>
      <c r="L792" s="23" t="s">
        <v>175</v>
      </c>
      <c r="M792" s="23" t="s">
        <v>1540</v>
      </c>
      <c r="N792" s="23" t="str">
        <f>_xlfn.IFNA(VLOOKUP($M792,Buff.CM!$A:$O,13,FALSE),"")</f>
        <v>icon_battle_evasion</v>
      </c>
      <c r="O792" s="23" t="str">
        <f>_xlfn.IFNA(VLOOKUP($M792,Buff.CM!$A:$O,14,FALSE),"")</f>
        <v>Buff.Name.Evasion.Down.03</v>
      </c>
      <c r="P792" s="23" t="str">
        <f>_xlfn.IFNA(VLOOKUP($M792,Buff.CM!$A:$O,15,FALSE),"")</f>
        <v>Buff.Desc.Evasion.Down.03</v>
      </c>
      <c r="Q792" s="23" t="b">
        <v>0</v>
      </c>
      <c r="R792" s="23" t="b">
        <v>0</v>
      </c>
    </row>
    <row r="793" spans="1:18">
      <c r="A793" s="23" t="s">
        <v>1791</v>
      </c>
      <c r="B793" s="23"/>
      <c r="C793" s="23"/>
      <c r="D793" s="23">
        <v>6000</v>
      </c>
      <c r="E793" s="23">
        <v>0</v>
      </c>
      <c r="F793" s="23">
        <v>0</v>
      </c>
      <c r="G793" s="23" t="s">
        <v>1540</v>
      </c>
      <c r="H793" s="23"/>
      <c r="I793" s="23" t="b">
        <v>0</v>
      </c>
      <c r="J793" s="23" t="b">
        <v>0</v>
      </c>
      <c r="K793" s="23" t="b">
        <v>0</v>
      </c>
      <c r="L793" s="23" t="s">
        <v>175</v>
      </c>
      <c r="M793" s="23" t="s">
        <v>1540</v>
      </c>
      <c r="N793" s="23" t="str">
        <f>_xlfn.IFNA(VLOOKUP($M793,Buff.CM!$A:$O,13,FALSE),"")</f>
        <v>icon_battle_evasion</v>
      </c>
      <c r="O793" s="23" t="str">
        <f>_xlfn.IFNA(VLOOKUP($M793,Buff.CM!$A:$O,14,FALSE),"")</f>
        <v>Buff.Name.Evasion.Down.03</v>
      </c>
      <c r="P793" s="23" t="str">
        <f>_xlfn.IFNA(VLOOKUP($M793,Buff.CM!$A:$O,15,FALSE),"")</f>
        <v>Buff.Desc.Evasion.Down.03</v>
      </c>
      <c r="Q793" s="23" t="b">
        <v>0</v>
      </c>
      <c r="R793" s="23" t="b">
        <v>0</v>
      </c>
    </row>
    <row r="794" spans="1:18">
      <c r="A794" s="23" t="s">
        <v>1792</v>
      </c>
      <c r="B794" s="23"/>
      <c r="C794" s="23"/>
      <c r="D794" s="23">
        <v>6000</v>
      </c>
      <c r="E794" s="23">
        <v>0</v>
      </c>
      <c r="F794" s="23">
        <v>0</v>
      </c>
      <c r="G794" s="23" t="s">
        <v>1541</v>
      </c>
      <c r="H794" s="23"/>
      <c r="I794" s="23" t="b">
        <v>0</v>
      </c>
      <c r="J794" s="23" t="b">
        <v>0</v>
      </c>
      <c r="K794" s="23" t="b">
        <v>0</v>
      </c>
      <c r="L794" s="23" t="s">
        <v>175</v>
      </c>
      <c r="M794" s="23" t="s">
        <v>1541</v>
      </c>
      <c r="N794" s="23" t="str">
        <f>_xlfn.IFNA(VLOOKUP($M794,Buff.CM!$A:$O,13,FALSE),"")</f>
        <v>icon_battle_evasion</v>
      </c>
      <c r="O794" s="23" t="str">
        <f>_xlfn.IFNA(VLOOKUP($M794,Buff.CM!$A:$O,14,FALSE),"")</f>
        <v>Buff.Name.Evasion.Down.04</v>
      </c>
      <c r="P794" s="23" t="str">
        <f>_xlfn.IFNA(VLOOKUP($M794,Buff.CM!$A:$O,15,FALSE),"")</f>
        <v>Buff.Desc.Evasion.Down.04</v>
      </c>
      <c r="Q794" s="23" t="b">
        <v>0</v>
      </c>
      <c r="R794" s="23" t="b">
        <v>0</v>
      </c>
    </row>
    <row r="795" spans="1:18">
      <c r="A795" s="34" t="s">
        <v>2564</v>
      </c>
      <c r="B795" s="34"/>
      <c r="C795" s="34"/>
      <c r="D795" s="34">
        <v>7000</v>
      </c>
      <c r="E795" s="34">
        <v>0</v>
      </c>
      <c r="F795" s="34">
        <v>0</v>
      </c>
      <c r="G795" s="34" t="s">
        <v>1541</v>
      </c>
      <c r="H795" s="34"/>
      <c r="I795" s="34" t="b">
        <v>0</v>
      </c>
      <c r="J795" s="34" t="b">
        <v>0</v>
      </c>
      <c r="K795" s="34" t="b">
        <v>0</v>
      </c>
      <c r="L795" s="34" t="s">
        <v>175</v>
      </c>
      <c r="M795" s="34" t="s">
        <v>1541</v>
      </c>
      <c r="N795" s="34" t="str">
        <f>_xlfn.IFNA(VLOOKUP($M795,Buff.CM!$A:$O,13,FALSE),"")</f>
        <v>icon_battle_evasion</v>
      </c>
      <c r="O795" s="34" t="str">
        <f>_xlfn.IFNA(VLOOKUP($M795,Buff.CM!$A:$O,14,FALSE),"")</f>
        <v>Buff.Name.Evasion.Down.04</v>
      </c>
      <c r="P795" s="34" t="str">
        <f>_xlfn.IFNA(VLOOKUP($M795,Buff.CM!$A:$O,15,FALSE),"")</f>
        <v>Buff.Desc.Evasion.Down.04</v>
      </c>
      <c r="Q795" s="34" t="b">
        <v>0</v>
      </c>
      <c r="R795" s="34" t="b">
        <v>0</v>
      </c>
    </row>
    <row r="796" spans="1:18">
      <c r="A796" s="34" t="s">
        <v>2565</v>
      </c>
      <c r="B796" s="34"/>
      <c r="C796" s="34"/>
      <c r="D796" s="34">
        <v>7000</v>
      </c>
      <c r="E796" s="34">
        <v>0</v>
      </c>
      <c r="F796" s="34">
        <v>0</v>
      </c>
      <c r="G796" s="34" t="s">
        <v>1541</v>
      </c>
      <c r="H796" s="34"/>
      <c r="I796" s="34" t="b">
        <v>0</v>
      </c>
      <c r="J796" s="34" t="b">
        <v>0</v>
      </c>
      <c r="K796" s="34" t="b">
        <v>0</v>
      </c>
      <c r="L796" s="34" t="s">
        <v>175</v>
      </c>
      <c r="M796" s="34" t="s">
        <v>1541</v>
      </c>
      <c r="N796" s="34" t="str">
        <f>_xlfn.IFNA(VLOOKUP($M796,Buff.CM!$A:$O,13,FALSE),"")</f>
        <v>icon_battle_evasion</v>
      </c>
      <c r="O796" s="34" t="str">
        <f>_xlfn.IFNA(VLOOKUP($M796,Buff.CM!$A:$O,14,FALSE),"")</f>
        <v>Buff.Name.Evasion.Down.04</v>
      </c>
      <c r="P796" s="34" t="str">
        <f>_xlfn.IFNA(VLOOKUP($M796,Buff.CM!$A:$O,15,FALSE),"")</f>
        <v>Buff.Desc.Evasion.Down.04</v>
      </c>
      <c r="Q796" s="34" t="b">
        <v>0</v>
      </c>
      <c r="R796" s="34" t="b">
        <v>0</v>
      </c>
    </row>
    <row r="797" spans="1:18">
      <c r="A797" s="24" t="s">
        <v>8680</v>
      </c>
      <c r="B797" s="24"/>
      <c r="C797" s="24"/>
      <c r="D797" s="24">
        <v>4000</v>
      </c>
      <c r="E797" s="24">
        <v>0</v>
      </c>
      <c r="F797" s="24">
        <v>0</v>
      </c>
      <c r="G797" s="24" t="s">
        <v>1678</v>
      </c>
      <c r="H797" s="24"/>
      <c r="I797" s="24" t="b">
        <v>0</v>
      </c>
      <c r="J797" s="24" t="b">
        <v>0</v>
      </c>
      <c r="K797" s="24" t="b">
        <v>1</v>
      </c>
      <c r="L797" s="24" t="s">
        <v>66</v>
      </c>
      <c r="M797" s="24" t="s">
        <v>8710</v>
      </c>
      <c r="N797" s="24" t="str">
        <f>_xlfn.IFNA(VLOOKUP($M797,Buff.CM!$A:$O,13,FALSE),"")</f>
        <v>icon_battle_evasion</v>
      </c>
      <c r="O797" s="24" t="str">
        <f>_xlfn.IFNA(VLOOKUP($M797,Buff.CM!$A:$O,14,FALSE),"")</f>
        <v>Buff.Name.Evasion.Up.01</v>
      </c>
      <c r="P797" s="24" t="str">
        <f>_xlfn.IFNA(VLOOKUP($M797,Buff.CM!$A:$O,15,FALSE),"")</f>
        <v>Buff.Desc.Evasion.Up.01</v>
      </c>
      <c r="Q797" s="24" t="b">
        <v>0</v>
      </c>
      <c r="R797" s="24" t="b">
        <v>0</v>
      </c>
    </row>
    <row r="798" spans="1:18">
      <c r="A798" s="24" t="s">
        <v>8681</v>
      </c>
      <c r="B798" s="24"/>
      <c r="C798" s="24"/>
      <c r="D798" s="24">
        <v>5000</v>
      </c>
      <c r="E798" s="24">
        <v>0</v>
      </c>
      <c r="F798" s="24">
        <v>0</v>
      </c>
      <c r="G798" s="24" t="s">
        <v>1678</v>
      </c>
      <c r="H798" s="24"/>
      <c r="I798" s="24" t="b">
        <v>0</v>
      </c>
      <c r="J798" s="24" t="b">
        <v>0</v>
      </c>
      <c r="K798" s="24" t="b">
        <v>1</v>
      </c>
      <c r="L798" s="24" t="s">
        <v>66</v>
      </c>
      <c r="M798" s="24" t="s">
        <v>8711</v>
      </c>
      <c r="N798" s="24" t="str">
        <f>_xlfn.IFNA(VLOOKUP($M798,Buff.CM!$A:$O,13,FALSE),"")</f>
        <v>icon_battle_evasion</v>
      </c>
      <c r="O798" s="24" t="str">
        <f>_xlfn.IFNA(VLOOKUP($M798,Buff.CM!$A:$O,14,FALSE),"")</f>
        <v>Buff.Name.Evasion.Up.01</v>
      </c>
      <c r="P798" s="24" t="str">
        <f>_xlfn.IFNA(VLOOKUP($M798,Buff.CM!$A:$O,15,FALSE),"")</f>
        <v>Buff.Desc.Evasion.Up.01</v>
      </c>
      <c r="Q798" s="24" t="b">
        <v>0</v>
      </c>
      <c r="R798" s="24" t="b">
        <v>0</v>
      </c>
    </row>
    <row r="799" spans="1:18">
      <c r="A799" s="24" t="s">
        <v>8682</v>
      </c>
      <c r="B799" s="24"/>
      <c r="C799" s="24"/>
      <c r="D799" s="24">
        <v>5000</v>
      </c>
      <c r="E799" s="24">
        <v>0</v>
      </c>
      <c r="F799" s="24">
        <v>0</v>
      </c>
      <c r="G799" s="24" t="s">
        <v>1439</v>
      </c>
      <c r="H799" s="24"/>
      <c r="I799" s="24" t="b">
        <v>0</v>
      </c>
      <c r="J799" s="24" t="b">
        <v>0</v>
      </c>
      <c r="K799" s="24" t="b">
        <v>1</v>
      </c>
      <c r="L799" s="24" t="s">
        <v>66</v>
      </c>
      <c r="M799" s="24" t="s">
        <v>8712</v>
      </c>
      <c r="N799" s="24" t="str">
        <f>_xlfn.IFNA(VLOOKUP($M799,Buff.CM!$A:$O,13,FALSE),"")</f>
        <v>icon_battle_evasion</v>
      </c>
      <c r="O799" s="24" t="str">
        <f>_xlfn.IFNA(VLOOKUP($M799,Buff.CM!$A:$O,14,FALSE),"")</f>
        <v>Buff.Name.Evasion.Up.02</v>
      </c>
      <c r="P799" s="24" t="str">
        <f>_xlfn.IFNA(VLOOKUP($M799,Buff.CM!$A:$O,15,FALSE),"")</f>
        <v>Buff.Desc.Evasion.Up.02</v>
      </c>
      <c r="Q799" s="24" t="b">
        <v>0</v>
      </c>
      <c r="R799" s="24" t="b">
        <v>0</v>
      </c>
    </row>
    <row r="800" spans="1:18">
      <c r="A800" s="24" t="s">
        <v>8683</v>
      </c>
      <c r="B800" s="24"/>
      <c r="C800" s="24"/>
      <c r="D800" s="24">
        <v>6000</v>
      </c>
      <c r="E800" s="24">
        <v>0</v>
      </c>
      <c r="F800" s="24">
        <v>0</v>
      </c>
      <c r="G800" s="24" t="s">
        <v>1439</v>
      </c>
      <c r="H800" s="24"/>
      <c r="I800" s="24" t="b">
        <v>0</v>
      </c>
      <c r="J800" s="24" t="b">
        <v>0</v>
      </c>
      <c r="K800" s="24" t="b">
        <v>1</v>
      </c>
      <c r="L800" s="24" t="s">
        <v>66</v>
      </c>
      <c r="M800" s="24" t="s">
        <v>8712</v>
      </c>
      <c r="N800" s="24" t="str">
        <f>_xlfn.IFNA(VLOOKUP($M800,Buff.CM!$A:$O,13,FALSE),"")</f>
        <v>icon_battle_evasion</v>
      </c>
      <c r="O800" s="24" t="str">
        <f>_xlfn.IFNA(VLOOKUP($M800,Buff.CM!$A:$O,14,FALSE),"")</f>
        <v>Buff.Name.Evasion.Up.02</v>
      </c>
      <c r="P800" s="24" t="str">
        <f>_xlfn.IFNA(VLOOKUP($M800,Buff.CM!$A:$O,15,FALSE),"")</f>
        <v>Buff.Desc.Evasion.Up.02</v>
      </c>
      <c r="Q800" s="24" t="b">
        <v>0</v>
      </c>
      <c r="R800" s="24" t="b">
        <v>0</v>
      </c>
    </row>
    <row r="801" spans="1:18">
      <c r="A801" s="24" t="s">
        <v>8684</v>
      </c>
      <c r="B801" s="24"/>
      <c r="C801" s="24"/>
      <c r="D801" s="24">
        <v>6000</v>
      </c>
      <c r="E801" s="24">
        <v>0</v>
      </c>
      <c r="F801" s="24">
        <v>0</v>
      </c>
      <c r="G801" s="24" t="s">
        <v>1440</v>
      </c>
      <c r="H801" s="24"/>
      <c r="I801" s="24" t="b">
        <v>0</v>
      </c>
      <c r="J801" s="24" t="b">
        <v>0</v>
      </c>
      <c r="K801" s="24" t="b">
        <v>1</v>
      </c>
      <c r="L801" s="24" t="s">
        <v>66</v>
      </c>
      <c r="M801" s="24" t="s">
        <v>8713</v>
      </c>
      <c r="N801" s="24" t="str">
        <f>_xlfn.IFNA(VLOOKUP($M801,Buff.CM!$A:$O,13,FALSE),"")</f>
        <v>icon_battle_evasion</v>
      </c>
      <c r="O801" s="24" t="str">
        <f>_xlfn.IFNA(VLOOKUP($M801,Buff.CM!$A:$O,14,FALSE),"")</f>
        <v>Buff.Name.Evasion.Up.03</v>
      </c>
      <c r="P801" s="24" t="str">
        <f>_xlfn.IFNA(VLOOKUP($M801,Buff.CM!$A:$O,15,FALSE),"")</f>
        <v>Buff.Desc.Evasion.Up.03</v>
      </c>
      <c r="Q801" s="24" t="b">
        <v>0</v>
      </c>
      <c r="R801" s="24" t="b">
        <v>0</v>
      </c>
    </row>
    <row r="802" spans="1:18">
      <c r="A802" s="34" t="s">
        <v>8686</v>
      </c>
      <c r="B802" s="34"/>
      <c r="C802" s="34"/>
      <c r="D802" s="34">
        <v>7000</v>
      </c>
      <c r="E802" s="34">
        <v>0</v>
      </c>
      <c r="F802" s="34">
        <v>0</v>
      </c>
      <c r="G802" s="34" t="s">
        <v>1440</v>
      </c>
      <c r="H802" s="34"/>
      <c r="I802" s="34" t="b">
        <v>0</v>
      </c>
      <c r="J802" s="34" t="b">
        <v>0</v>
      </c>
      <c r="K802" s="34" t="b">
        <v>1</v>
      </c>
      <c r="L802" s="34" t="s">
        <v>66</v>
      </c>
      <c r="M802" s="34" t="s">
        <v>8685</v>
      </c>
      <c r="N802" s="34" t="str">
        <f>_xlfn.IFNA(VLOOKUP($M802,Buff.CM!$A:$O,13,FALSE),"")</f>
        <v>icon_battle_evasion</v>
      </c>
      <c r="O802" s="34" t="str">
        <f>_xlfn.IFNA(VLOOKUP($M802,Buff.CM!$A:$O,14,FALSE),"")</f>
        <v>Buff.Name.Evasion.Up.03</v>
      </c>
      <c r="P802" s="34" t="str">
        <f>_xlfn.IFNA(VLOOKUP($M802,Buff.CM!$A:$O,15,FALSE),"")</f>
        <v>Buff.Desc.Evasion.Up.03</v>
      </c>
      <c r="Q802" s="34" t="b">
        <v>0</v>
      </c>
      <c r="R802" s="34" t="b">
        <v>0</v>
      </c>
    </row>
    <row r="803" spans="1:18">
      <c r="A803" s="34" t="s">
        <v>8687</v>
      </c>
      <c r="B803" s="34"/>
      <c r="C803" s="34"/>
      <c r="D803" s="34">
        <v>7000</v>
      </c>
      <c r="E803" s="34">
        <v>0</v>
      </c>
      <c r="F803" s="34">
        <v>0</v>
      </c>
      <c r="G803" s="34" t="s">
        <v>1440</v>
      </c>
      <c r="H803" s="34"/>
      <c r="I803" s="34" t="b">
        <v>0</v>
      </c>
      <c r="J803" s="34" t="b">
        <v>0</v>
      </c>
      <c r="K803" s="34" t="b">
        <v>1</v>
      </c>
      <c r="L803" s="34" t="s">
        <v>66</v>
      </c>
      <c r="M803" s="34" t="s">
        <v>8685</v>
      </c>
      <c r="N803" s="34" t="str">
        <f>_xlfn.IFNA(VLOOKUP($M803,Buff.CM!$A:$O,13,FALSE),"")</f>
        <v>icon_battle_evasion</v>
      </c>
      <c r="O803" s="34" t="str">
        <f>_xlfn.IFNA(VLOOKUP($M803,Buff.CM!$A:$O,14,FALSE),"")</f>
        <v>Buff.Name.Evasion.Up.03</v>
      </c>
      <c r="P803" s="34" t="str">
        <f>_xlfn.IFNA(VLOOKUP($M803,Buff.CM!$A:$O,15,FALSE),"")</f>
        <v>Buff.Desc.Evasion.Up.03</v>
      </c>
      <c r="Q803" s="34" t="b">
        <v>0</v>
      </c>
      <c r="R803" s="34" t="b">
        <v>0</v>
      </c>
    </row>
    <row r="804" spans="1:18">
      <c r="A804" s="23" t="s">
        <v>3689</v>
      </c>
      <c r="B804" s="23"/>
      <c r="C804" s="23"/>
      <c r="D804" s="23">
        <v>4000</v>
      </c>
      <c r="E804" s="23">
        <v>0</v>
      </c>
      <c r="F804" s="23">
        <v>0</v>
      </c>
      <c r="G804" s="23" t="s">
        <v>1532</v>
      </c>
      <c r="H804" s="23"/>
      <c r="I804" s="23" t="b">
        <v>0</v>
      </c>
      <c r="J804" s="23" t="b">
        <v>0</v>
      </c>
      <c r="K804" s="23" t="b">
        <v>0</v>
      </c>
      <c r="L804" s="23" t="s">
        <v>175</v>
      </c>
      <c r="M804" s="23" t="s">
        <v>1532</v>
      </c>
      <c r="N804" s="23" t="str">
        <f>_xlfn.IFNA(VLOOKUP($M804,Buff.CM!$A:$O,13,FALSE),"")</f>
        <v>icon_battle_attackspeed</v>
      </c>
      <c r="O804" s="23" t="str">
        <f>_xlfn.IFNA(VLOOKUP($M804,Buff.CM!$A:$O,14,FALSE),"")</f>
        <v>Buff.Name.AtkSpeed.Down.03</v>
      </c>
      <c r="P804" s="23" t="str">
        <f>_xlfn.IFNA(VLOOKUP($M804,Buff.CM!$A:$O,15,FALSE),"")</f>
        <v>Buff.Desc.AtkSpeed.Down.03</v>
      </c>
      <c r="Q804" s="23" t="b">
        <v>0</v>
      </c>
      <c r="R804" s="23" t="b">
        <v>0</v>
      </c>
    </row>
    <row r="805" spans="1:18">
      <c r="A805" s="23" t="s">
        <v>3683</v>
      </c>
      <c r="B805" s="23"/>
      <c r="C805" s="23"/>
      <c r="D805" s="23">
        <v>5000</v>
      </c>
      <c r="E805" s="23">
        <v>0</v>
      </c>
      <c r="F805" s="23">
        <v>0</v>
      </c>
      <c r="G805" s="23" t="s">
        <v>1532</v>
      </c>
      <c r="H805" s="23"/>
      <c r="I805" s="23" t="b">
        <v>0</v>
      </c>
      <c r="J805" s="23" t="b">
        <v>0</v>
      </c>
      <c r="K805" s="23" t="b">
        <v>0</v>
      </c>
      <c r="L805" s="23" t="s">
        <v>175</v>
      </c>
      <c r="M805" s="23" t="s">
        <v>1532</v>
      </c>
      <c r="N805" s="23" t="str">
        <f>_xlfn.IFNA(VLOOKUP($M805,Buff.CM!$A:$O,13,FALSE),"")</f>
        <v>icon_battle_attackspeed</v>
      </c>
      <c r="O805" s="23" t="str">
        <f>_xlfn.IFNA(VLOOKUP($M805,Buff.CM!$A:$O,14,FALSE),"")</f>
        <v>Buff.Name.AtkSpeed.Down.03</v>
      </c>
      <c r="P805" s="23" t="str">
        <f>_xlfn.IFNA(VLOOKUP($M805,Buff.CM!$A:$O,15,FALSE),"")</f>
        <v>Buff.Desc.AtkSpeed.Down.03</v>
      </c>
      <c r="Q805" s="23" t="b">
        <v>0</v>
      </c>
      <c r="R805" s="23" t="b">
        <v>0</v>
      </c>
    </row>
    <row r="806" spans="1:18">
      <c r="A806" s="23" t="s">
        <v>3684</v>
      </c>
      <c r="B806" s="23"/>
      <c r="C806" s="23"/>
      <c r="D806" s="23">
        <v>5000</v>
      </c>
      <c r="E806" s="23">
        <v>0</v>
      </c>
      <c r="F806" s="23">
        <v>0</v>
      </c>
      <c r="G806" s="23" t="s">
        <v>1533</v>
      </c>
      <c r="H806" s="23"/>
      <c r="I806" s="23" t="b">
        <v>0</v>
      </c>
      <c r="J806" s="23" t="b">
        <v>0</v>
      </c>
      <c r="K806" s="23" t="b">
        <v>0</v>
      </c>
      <c r="L806" s="23" t="s">
        <v>175</v>
      </c>
      <c r="M806" s="23" t="s">
        <v>1533</v>
      </c>
      <c r="N806" s="23" t="str">
        <f>_xlfn.IFNA(VLOOKUP($M806,Buff.CM!$A:$O,13,FALSE),"")</f>
        <v>icon_battle_attackspeed</v>
      </c>
      <c r="O806" s="23" t="str">
        <f>_xlfn.IFNA(VLOOKUP($M806,Buff.CM!$A:$O,14,FALSE),"")</f>
        <v>Buff.Name.AtkSpeed.Down.04</v>
      </c>
      <c r="P806" s="23" t="str">
        <f>_xlfn.IFNA(VLOOKUP($M806,Buff.CM!$A:$O,15,FALSE),"")</f>
        <v>Buff.Desc.AtkSpeed.Down.04</v>
      </c>
      <c r="Q806" s="23" t="b">
        <v>0</v>
      </c>
      <c r="R806" s="23" t="b">
        <v>0</v>
      </c>
    </row>
    <row r="807" spans="1:18">
      <c r="A807" s="23" t="s">
        <v>3685</v>
      </c>
      <c r="B807" s="23"/>
      <c r="C807" s="23"/>
      <c r="D807" s="23">
        <v>6000</v>
      </c>
      <c r="E807" s="23">
        <v>0</v>
      </c>
      <c r="F807" s="23">
        <v>0</v>
      </c>
      <c r="G807" s="23" t="s">
        <v>1533</v>
      </c>
      <c r="H807" s="23"/>
      <c r="I807" s="23" t="b">
        <v>0</v>
      </c>
      <c r="J807" s="23" t="b">
        <v>0</v>
      </c>
      <c r="K807" s="23" t="b">
        <v>0</v>
      </c>
      <c r="L807" s="23" t="s">
        <v>175</v>
      </c>
      <c r="M807" s="23" t="s">
        <v>1533</v>
      </c>
      <c r="N807" s="23" t="str">
        <f>_xlfn.IFNA(VLOOKUP($M807,Buff.CM!$A:$O,13,FALSE),"")</f>
        <v>icon_battle_attackspeed</v>
      </c>
      <c r="O807" s="23" t="str">
        <f>_xlfn.IFNA(VLOOKUP($M807,Buff.CM!$A:$O,14,FALSE),"")</f>
        <v>Buff.Name.AtkSpeed.Down.04</v>
      </c>
      <c r="P807" s="23" t="str">
        <f>_xlfn.IFNA(VLOOKUP($M807,Buff.CM!$A:$O,15,FALSE),"")</f>
        <v>Buff.Desc.AtkSpeed.Down.04</v>
      </c>
      <c r="Q807" s="23" t="b">
        <v>0</v>
      </c>
      <c r="R807" s="23" t="b">
        <v>0</v>
      </c>
    </row>
    <row r="808" spans="1:18">
      <c r="A808" s="23" t="s">
        <v>3686</v>
      </c>
      <c r="B808" s="23"/>
      <c r="C808" s="23"/>
      <c r="D808" s="23">
        <v>6000</v>
      </c>
      <c r="E808" s="23">
        <v>0</v>
      </c>
      <c r="F808" s="23">
        <v>0</v>
      </c>
      <c r="G808" s="23" t="s">
        <v>1534</v>
      </c>
      <c r="H808" s="23"/>
      <c r="I808" s="23" t="b">
        <v>0</v>
      </c>
      <c r="J808" s="23" t="b">
        <v>0</v>
      </c>
      <c r="K808" s="23" t="b">
        <v>0</v>
      </c>
      <c r="L808" s="23" t="s">
        <v>175</v>
      </c>
      <c r="M808" s="23" t="s">
        <v>1534</v>
      </c>
      <c r="N808" s="23" t="str">
        <f>_xlfn.IFNA(VLOOKUP($M808,Buff.CM!$A:$O,13,FALSE),"")</f>
        <v>icon_battle_attackspeed</v>
      </c>
      <c r="O808" s="23" t="str">
        <f>_xlfn.IFNA(VLOOKUP($M808,Buff.CM!$A:$O,14,FALSE),"")</f>
        <v>Buff.Name.AtkSpeed.Down.05</v>
      </c>
      <c r="P808" s="23" t="str">
        <f>_xlfn.IFNA(VLOOKUP($M808,Buff.CM!$A:$O,15,FALSE),"")</f>
        <v>Buff.Desc.AtkSpeed.Down.05</v>
      </c>
      <c r="Q808" s="23" t="b">
        <v>0</v>
      </c>
      <c r="R808" s="23" t="b">
        <v>0</v>
      </c>
    </row>
    <row r="809" spans="1:18">
      <c r="A809" s="34" t="s">
        <v>3687</v>
      </c>
      <c r="B809" s="34"/>
      <c r="C809" s="34"/>
      <c r="D809" s="34">
        <v>7000</v>
      </c>
      <c r="E809" s="34">
        <v>0</v>
      </c>
      <c r="F809" s="34">
        <v>0</v>
      </c>
      <c r="G809" s="34" t="s">
        <v>1534</v>
      </c>
      <c r="H809" s="34"/>
      <c r="I809" s="34" t="b">
        <v>0</v>
      </c>
      <c r="J809" s="34" t="b">
        <v>0</v>
      </c>
      <c r="K809" s="34" t="b">
        <v>0</v>
      </c>
      <c r="L809" s="34" t="s">
        <v>175</v>
      </c>
      <c r="M809" s="34" t="s">
        <v>1534</v>
      </c>
      <c r="N809" s="34" t="str">
        <f>_xlfn.IFNA(VLOOKUP($M809,Buff.CM!$A:$O,13,FALSE),"")</f>
        <v>icon_battle_attackspeed</v>
      </c>
      <c r="O809" s="34" t="str">
        <f>_xlfn.IFNA(VLOOKUP($M809,Buff.CM!$A:$O,14,FALSE),"")</f>
        <v>Buff.Name.AtkSpeed.Down.05</v>
      </c>
      <c r="P809" s="34" t="str">
        <f>_xlfn.IFNA(VLOOKUP($M809,Buff.CM!$A:$O,15,FALSE),"")</f>
        <v>Buff.Desc.AtkSpeed.Down.05</v>
      </c>
      <c r="Q809" s="34" t="b">
        <v>0</v>
      </c>
      <c r="R809" s="34" t="b">
        <v>0</v>
      </c>
    </row>
    <row r="810" spans="1:18">
      <c r="A810" s="34" t="s">
        <v>3688</v>
      </c>
      <c r="B810" s="34"/>
      <c r="C810" s="34"/>
      <c r="D810" s="34">
        <v>7000</v>
      </c>
      <c r="E810" s="34">
        <v>0</v>
      </c>
      <c r="F810" s="34">
        <v>0</v>
      </c>
      <c r="G810" s="34" t="s">
        <v>1534</v>
      </c>
      <c r="H810" s="34"/>
      <c r="I810" s="34" t="b">
        <v>0</v>
      </c>
      <c r="J810" s="34" t="b">
        <v>0</v>
      </c>
      <c r="K810" s="34" t="b">
        <v>0</v>
      </c>
      <c r="L810" s="34" t="s">
        <v>175</v>
      </c>
      <c r="M810" s="34" t="s">
        <v>1534</v>
      </c>
      <c r="N810" s="34" t="str">
        <f>_xlfn.IFNA(VLOOKUP($M810,Buff.CM!$A:$O,13,FALSE),"")</f>
        <v>icon_battle_attackspeed</v>
      </c>
      <c r="O810" s="34" t="str">
        <f>_xlfn.IFNA(VLOOKUP($M810,Buff.CM!$A:$O,14,FALSE),"")</f>
        <v>Buff.Name.AtkSpeed.Down.05</v>
      </c>
      <c r="P810" s="34" t="str">
        <f>_xlfn.IFNA(VLOOKUP($M810,Buff.CM!$A:$O,15,FALSE),"")</f>
        <v>Buff.Desc.AtkSpeed.Down.05</v>
      </c>
      <c r="Q810" s="34" t="b">
        <v>0</v>
      </c>
      <c r="R810" s="34" t="b">
        <v>0</v>
      </c>
    </row>
    <row r="811" spans="1:18">
      <c r="A811" s="65" t="s">
        <v>6762</v>
      </c>
      <c r="B811" s="65"/>
      <c r="C811" s="65"/>
      <c r="D811" s="65">
        <v>100</v>
      </c>
      <c r="E811" s="65">
        <v>0</v>
      </c>
      <c r="F811" s="65">
        <v>0</v>
      </c>
      <c r="G811" s="67" t="s">
        <v>118</v>
      </c>
      <c r="H811" s="65"/>
      <c r="I811" s="65" t="b">
        <v>0</v>
      </c>
      <c r="J811" s="65" t="b">
        <v>0</v>
      </c>
      <c r="K811" s="65" t="b">
        <v>1</v>
      </c>
      <c r="L811" s="65"/>
      <c r="M811" s="65"/>
      <c r="N811" s="65" t="str">
        <f>_xlfn.IFNA(VLOOKUP($M811,Buff.CM!$A:$O,13,FALSE),"")</f>
        <v/>
      </c>
      <c r="O811" s="65" t="str">
        <f>_xlfn.IFNA(VLOOKUP($M811,Buff.CM!$A:$O,14,FALSE),"")</f>
        <v/>
      </c>
      <c r="P811" s="65" t="str">
        <f>_xlfn.IFNA(VLOOKUP($M811,Buff.CM!$A:$O,15,FALSE),"")</f>
        <v/>
      </c>
      <c r="Q811" s="65" t="b">
        <v>0</v>
      </c>
      <c r="R811" s="65" t="b">
        <v>0</v>
      </c>
    </row>
    <row r="812" spans="1:18">
      <c r="A812" s="24" t="s">
        <v>1793</v>
      </c>
      <c r="B812" s="24"/>
      <c r="C812" s="24"/>
      <c r="D812" s="24">
        <v>8000</v>
      </c>
      <c r="E812" s="24">
        <v>0</v>
      </c>
      <c r="F812" s="24">
        <v>0</v>
      </c>
      <c r="G812" s="24" t="s">
        <v>1425</v>
      </c>
      <c r="H812" s="24"/>
      <c r="I812" s="24" t="b">
        <v>0</v>
      </c>
      <c r="J812" s="24" t="b">
        <v>0</v>
      </c>
      <c r="K812" s="24" t="b">
        <v>1</v>
      </c>
      <c r="L812" s="24" t="s">
        <v>5473</v>
      </c>
      <c r="M812" s="24" t="s">
        <v>1425</v>
      </c>
      <c r="N812" s="24" t="str">
        <f>_xlfn.IFNA(VLOOKUP($M812,Buff.CM!$A:$O,13,FALSE),"")</f>
        <v>icon_battle_critical</v>
      </c>
      <c r="O812" s="24" t="str">
        <f>_xlfn.IFNA(VLOOKUP($M812,Buff.CM!$A:$O,14,FALSE),"")</f>
        <v>Buff.Name.Critical.Up.03</v>
      </c>
      <c r="P812" s="24" t="str">
        <f>_xlfn.IFNA(VLOOKUP($M812,Buff.CM!$A:$O,15,FALSE),"")</f>
        <v>Buff.Desc.Critical.Up.03</v>
      </c>
      <c r="Q812" s="24" t="b">
        <v>0</v>
      </c>
      <c r="R812" s="24" t="b">
        <v>0</v>
      </c>
    </row>
    <row r="813" spans="1:18">
      <c r="A813" s="24" t="s">
        <v>1794</v>
      </c>
      <c r="B813" s="24"/>
      <c r="C813" s="24"/>
      <c r="D813" s="24">
        <v>9000</v>
      </c>
      <c r="E813" s="24">
        <v>0</v>
      </c>
      <c r="F813" s="24">
        <v>0</v>
      </c>
      <c r="G813" s="24" t="s">
        <v>1425</v>
      </c>
      <c r="H813" s="24"/>
      <c r="I813" s="24" t="b">
        <v>0</v>
      </c>
      <c r="J813" s="24" t="b">
        <v>0</v>
      </c>
      <c r="K813" s="24" t="b">
        <v>1</v>
      </c>
      <c r="L813" s="24" t="s">
        <v>5473</v>
      </c>
      <c r="M813" s="24" t="s">
        <v>1425</v>
      </c>
      <c r="N813" s="24" t="str">
        <f>_xlfn.IFNA(VLOOKUP($M813,Buff.CM!$A:$O,13,FALSE),"")</f>
        <v>icon_battle_critical</v>
      </c>
      <c r="O813" s="24" t="str">
        <f>_xlfn.IFNA(VLOOKUP($M813,Buff.CM!$A:$O,14,FALSE),"")</f>
        <v>Buff.Name.Critical.Up.03</v>
      </c>
      <c r="P813" s="24" t="str">
        <f>_xlfn.IFNA(VLOOKUP($M813,Buff.CM!$A:$O,15,FALSE),"")</f>
        <v>Buff.Desc.Critical.Up.03</v>
      </c>
      <c r="Q813" s="24" t="b">
        <v>0</v>
      </c>
      <c r="R813" s="24" t="b">
        <v>0</v>
      </c>
    </row>
    <row r="814" spans="1:18">
      <c r="A814" s="24" t="s">
        <v>1795</v>
      </c>
      <c r="B814" s="24"/>
      <c r="C814" s="24"/>
      <c r="D814" s="24">
        <v>10000</v>
      </c>
      <c r="E814" s="24">
        <v>0</v>
      </c>
      <c r="F814" s="24">
        <v>0</v>
      </c>
      <c r="G814" s="24" t="s">
        <v>1425</v>
      </c>
      <c r="H814" s="24"/>
      <c r="I814" s="24" t="b">
        <v>0</v>
      </c>
      <c r="J814" s="24" t="b">
        <v>0</v>
      </c>
      <c r="K814" s="24" t="b">
        <v>1</v>
      </c>
      <c r="L814" s="24" t="s">
        <v>5473</v>
      </c>
      <c r="M814" s="24" t="s">
        <v>1425</v>
      </c>
      <c r="N814" s="24" t="str">
        <f>_xlfn.IFNA(VLOOKUP($M814,Buff.CM!$A:$O,13,FALSE),"")</f>
        <v>icon_battle_critical</v>
      </c>
      <c r="O814" s="24" t="str">
        <f>_xlfn.IFNA(VLOOKUP($M814,Buff.CM!$A:$O,14,FALSE),"")</f>
        <v>Buff.Name.Critical.Up.03</v>
      </c>
      <c r="P814" s="24" t="str">
        <f>_xlfn.IFNA(VLOOKUP($M814,Buff.CM!$A:$O,15,FALSE),"")</f>
        <v>Buff.Desc.Critical.Up.03</v>
      </c>
      <c r="Q814" s="24" t="b">
        <v>0</v>
      </c>
      <c r="R814" s="24" t="b">
        <v>0</v>
      </c>
    </row>
    <row r="815" spans="1:18">
      <c r="A815" s="24" t="s">
        <v>1796</v>
      </c>
      <c r="B815" s="24"/>
      <c r="C815" s="24"/>
      <c r="D815" s="24">
        <v>11000</v>
      </c>
      <c r="E815" s="24">
        <v>0</v>
      </c>
      <c r="F815" s="24">
        <v>0</v>
      </c>
      <c r="G815" s="24" t="s">
        <v>1426</v>
      </c>
      <c r="H815" s="24"/>
      <c r="I815" s="24" t="b">
        <v>0</v>
      </c>
      <c r="J815" s="24" t="b">
        <v>0</v>
      </c>
      <c r="K815" s="24" t="b">
        <v>1</v>
      </c>
      <c r="L815" s="24" t="s">
        <v>5473</v>
      </c>
      <c r="M815" s="24" t="s">
        <v>1426</v>
      </c>
      <c r="N815" s="24" t="str">
        <f>_xlfn.IFNA(VLOOKUP($M815,Buff.CM!$A:$O,13,FALSE),"")</f>
        <v>icon_battle_critical</v>
      </c>
      <c r="O815" s="24" t="str">
        <f>_xlfn.IFNA(VLOOKUP($M815,Buff.CM!$A:$O,14,FALSE),"")</f>
        <v>Buff.Name.Critical.Up.04</v>
      </c>
      <c r="P815" s="24" t="str">
        <f>_xlfn.IFNA(VLOOKUP($M815,Buff.CM!$A:$O,15,FALSE),"")</f>
        <v>Buff.Desc.Critical.Up.04</v>
      </c>
      <c r="Q815" s="24" t="b">
        <v>0</v>
      </c>
      <c r="R815" s="24" t="b">
        <v>0</v>
      </c>
    </row>
    <row r="816" spans="1:18">
      <c r="A816" s="34" t="s">
        <v>1797</v>
      </c>
      <c r="B816" s="34"/>
      <c r="C816" s="34"/>
      <c r="D816" s="34">
        <v>11000</v>
      </c>
      <c r="E816" s="34">
        <v>0</v>
      </c>
      <c r="F816" s="34">
        <v>0</v>
      </c>
      <c r="G816" s="34" t="s">
        <v>1427</v>
      </c>
      <c r="H816" s="34"/>
      <c r="I816" s="34" t="b">
        <v>0</v>
      </c>
      <c r="J816" s="34" t="b">
        <v>0</v>
      </c>
      <c r="K816" s="34" t="b">
        <v>1</v>
      </c>
      <c r="L816" s="34" t="s">
        <v>5473</v>
      </c>
      <c r="M816" s="34" t="s">
        <v>1427</v>
      </c>
      <c r="N816" s="34" t="str">
        <f>_xlfn.IFNA(VLOOKUP($M816,Buff.CM!$A:$O,13,FALSE),"")</f>
        <v>icon_battle_critical</v>
      </c>
      <c r="O816" s="34" t="str">
        <f>_xlfn.IFNA(VLOOKUP($M816,Buff.CM!$A:$O,14,FALSE),"")</f>
        <v>Buff.Name.Critical.Up.05</v>
      </c>
      <c r="P816" s="34" t="str">
        <f>_xlfn.IFNA(VLOOKUP($M816,Buff.CM!$A:$O,15,FALSE),"")</f>
        <v>Buff.Desc.Critical.Up.05</v>
      </c>
      <c r="Q816" s="34" t="b">
        <v>0</v>
      </c>
      <c r="R816" s="34" t="b">
        <v>0</v>
      </c>
    </row>
    <row r="817" spans="1:18">
      <c r="A817" s="34" t="s">
        <v>1798</v>
      </c>
      <c r="B817" s="34"/>
      <c r="C817" s="34"/>
      <c r="D817" s="34">
        <v>11000</v>
      </c>
      <c r="E817" s="34">
        <v>0</v>
      </c>
      <c r="F817" s="34">
        <v>0</v>
      </c>
      <c r="G817" s="34" t="s">
        <v>1427</v>
      </c>
      <c r="H817" s="34"/>
      <c r="I817" s="34" t="b">
        <v>0</v>
      </c>
      <c r="J817" s="34" t="b">
        <v>0</v>
      </c>
      <c r="K817" s="34" t="b">
        <v>1</v>
      </c>
      <c r="L817" s="34" t="s">
        <v>5473</v>
      </c>
      <c r="M817" s="34" t="s">
        <v>1427</v>
      </c>
      <c r="N817" s="34" t="str">
        <f>_xlfn.IFNA(VLOOKUP($M817,Buff.CM!$A:$O,13,FALSE),"")</f>
        <v>icon_battle_critical</v>
      </c>
      <c r="O817" s="34" t="str">
        <f>_xlfn.IFNA(VLOOKUP($M817,Buff.CM!$A:$O,14,FALSE),"")</f>
        <v>Buff.Name.Critical.Up.05</v>
      </c>
      <c r="P817" s="34" t="str">
        <f>_xlfn.IFNA(VLOOKUP($M817,Buff.CM!$A:$O,15,FALSE),"")</f>
        <v>Buff.Desc.Critical.Up.05</v>
      </c>
      <c r="Q817" s="34" t="b">
        <v>0</v>
      </c>
      <c r="R817" s="34" t="b">
        <v>0</v>
      </c>
    </row>
    <row r="818" spans="1:18">
      <c r="A818" s="23" t="s">
        <v>8688</v>
      </c>
      <c r="B818" s="23"/>
      <c r="C818" s="23"/>
      <c r="D818" s="23">
        <v>5000</v>
      </c>
      <c r="E818" s="23">
        <v>0</v>
      </c>
      <c r="F818" s="23">
        <v>0</v>
      </c>
      <c r="G818" s="23" t="s">
        <v>8689</v>
      </c>
      <c r="H818" s="23"/>
      <c r="I818" s="23" t="b">
        <v>0</v>
      </c>
      <c r="J818" s="23" t="b">
        <v>0</v>
      </c>
      <c r="K818" s="23" t="b">
        <v>1</v>
      </c>
      <c r="L818" s="23" t="s">
        <v>317</v>
      </c>
      <c r="M818" s="23" t="s">
        <v>5461</v>
      </c>
      <c r="N818" s="23" t="str">
        <f>_xlfn.IFNA(VLOOKUP($M818,Buff.CM!$A:$O,13,FALSE),"")</f>
        <v>icon_battle_shield</v>
      </c>
      <c r="O818" s="23" t="str">
        <f>_xlfn.IFNA(VLOOKUP($M818,Buff.CM!$A:$O,14,FALSE),"")</f>
        <v>Buff.Name.Shield</v>
      </c>
      <c r="P818" s="23" t="str">
        <f>_xlfn.IFNA(VLOOKUP($M818,Buff.CM!$A:$O,15,FALSE),"")</f>
        <v>Buff.Desc.Shield</v>
      </c>
      <c r="Q818" s="23" t="b">
        <v>0</v>
      </c>
      <c r="R818" s="23" t="b">
        <v>0</v>
      </c>
    </row>
    <row r="819" spans="1:18">
      <c r="A819" s="23" t="s">
        <v>8690</v>
      </c>
      <c r="B819" s="23"/>
      <c r="C819" s="23"/>
      <c r="D819" s="23">
        <v>6000</v>
      </c>
      <c r="E819" s="23">
        <v>0</v>
      </c>
      <c r="F819" s="23">
        <v>0</v>
      </c>
      <c r="G819" s="23" t="s">
        <v>8691</v>
      </c>
      <c r="H819" s="23"/>
      <c r="I819" s="23" t="b">
        <v>0</v>
      </c>
      <c r="J819" s="23" t="b">
        <v>0</v>
      </c>
      <c r="K819" s="23" t="b">
        <v>1</v>
      </c>
      <c r="L819" s="23" t="s">
        <v>317</v>
      </c>
      <c r="M819" s="23" t="s">
        <v>5461</v>
      </c>
      <c r="N819" s="23" t="str">
        <f>_xlfn.IFNA(VLOOKUP($M819,Buff.CM!$A:$O,13,FALSE),"")</f>
        <v>icon_battle_shield</v>
      </c>
      <c r="O819" s="23" t="str">
        <f>_xlfn.IFNA(VLOOKUP($M819,Buff.CM!$A:$O,14,FALSE),"")</f>
        <v>Buff.Name.Shield</v>
      </c>
      <c r="P819" s="23" t="str">
        <f>_xlfn.IFNA(VLOOKUP($M819,Buff.CM!$A:$O,15,FALSE),"")</f>
        <v>Buff.Desc.Shield</v>
      </c>
      <c r="Q819" s="23" t="b">
        <v>0</v>
      </c>
      <c r="R819" s="23" t="b">
        <v>0</v>
      </c>
    </row>
    <row r="820" spans="1:18">
      <c r="A820" s="23" t="s">
        <v>8692</v>
      </c>
      <c r="B820" s="23"/>
      <c r="C820" s="23"/>
      <c r="D820" s="23">
        <v>6000</v>
      </c>
      <c r="E820" s="23">
        <v>0</v>
      </c>
      <c r="F820" s="23">
        <v>0</v>
      </c>
      <c r="G820" s="23" t="s">
        <v>8693</v>
      </c>
      <c r="H820" s="23"/>
      <c r="I820" s="23" t="b">
        <v>0</v>
      </c>
      <c r="J820" s="23" t="b">
        <v>0</v>
      </c>
      <c r="K820" s="23" t="b">
        <v>1</v>
      </c>
      <c r="L820" s="23" t="s">
        <v>317</v>
      </c>
      <c r="M820" s="23" t="s">
        <v>5461</v>
      </c>
      <c r="N820" s="23" t="str">
        <f>_xlfn.IFNA(VLOOKUP($M820,Buff.CM!$A:$O,13,FALSE),"")</f>
        <v>icon_battle_shield</v>
      </c>
      <c r="O820" s="23" t="str">
        <f>_xlfn.IFNA(VLOOKUP($M820,Buff.CM!$A:$O,14,FALSE),"")</f>
        <v>Buff.Name.Shield</v>
      </c>
      <c r="P820" s="23" t="str">
        <f>_xlfn.IFNA(VLOOKUP($M820,Buff.CM!$A:$O,15,FALSE),"")</f>
        <v>Buff.Desc.Shield</v>
      </c>
      <c r="Q820" s="23" t="b">
        <v>0</v>
      </c>
      <c r="R820" s="23" t="b">
        <v>0</v>
      </c>
    </row>
    <row r="821" spans="1:18">
      <c r="A821" s="23" t="s">
        <v>8694</v>
      </c>
      <c r="B821" s="23"/>
      <c r="C821" s="23"/>
      <c r="D821" s="23">
        <v>7000</v>
      </c>
      <c r="E821" s="23">
        <v>0</v>
      </c>
      <c r="F821" s="23">
        <v>0</v>
      </c>
      <c r="G821" s="23" t="s">
        <v>8695</v>
      </c>
      <c r="H821" s="23"/>
      <c r="I821" s="23" t="b">
        <v>0</v>
      </c>
      <c r="J821" s="23" t="b">
        <v>0</v>
      </c>
      <c r="K821" s="23" t="b">
        <v>1</v>
      </c>
      <c r="L821" s="23" t="s">
        <v>317</v>
      </c>
      <c r="M821" s="23" t="s">
        <v>5461</v>
      </c>
      <c r="N821" s="23" t="str">
        <f>_xlfn.IFNA(VLOOKUP($M821,Buff.CM!$A:$O,13,FALSE),"")</f>
        <v>icon_battle_shield</v>
      </c>
      <c r="O821" s="23" t="str">
        <f>_xlfn.IFNA(VLOOKUP($M821,Buff.CM!$A:$O,14,FALSE),"")</f>
        <v>Buff.Name.Shield</v>
      </c>
      <c r="P821" s="23" t="str">
        <f>_xlfn.IFNA(VLOOKUP($M821,Buff.CM!$A:$O,15,FALSE),"")</f>
        <v>Buff.Desc.Shield</v>
      </c>
      <c r="Q821" s="23" t="b">
        <v>0</v>
      </c>
      <c r="R821" s="23" t="b">
        <v>0</v>
      </c>
    </row>
    <row r="822" spans="1:18">
      <c r="A822" s="34" t="s">
        <v>8696</v>
      </c>
      <c r="B822" s="34"/>
      <c r="C822" s="34"/>
      <c r="D822" s="34">
        <v>7000</v>
      </c>
      <c r="E822" s="34">
        <v>0</v>
      </c>
      <c r="F822" s="34">
        <v>0</v>
      </c>
      <c r="G822" s="34" t="s">
        <v>8697</v>
      </c>
      <c r="H822" s="34"/>
      <c r="I822" s="34" t="b">
        <v>0</v>
      </c>
      <c r="J822" s="34" t="b">
        <v>0</v>
      </c>
      <c r="K822" s="34" t="b">
        <v>1</v>
      </c>
      <c r="L822" s="34" t="s">
        <v>317</v>
      </c>
      <c r="M822" s="34" t="s">
        <v>5461</v>
      </c>
      <c r="N822" s="34" t="str">
        <f>_xlfn.IFNA(VLOOKUP($M822,Buff.CM!$A:$O,13,FALSE),"")</f>
        <v>icon_battle_shield</v>
      </c>
      <c r="O822" s="34" t="str">
        <f>_xlfn.IFNA(VLOOKUP($M822,Buff.CM!$A:$O,14,FALSE),"")</f>
        <v>Buff.Name.Shield</v>
      </c>
      <c r="P822" s="34" t="str">
        <f>_xlfn.IFNA(VLOOKUP($M822,Buff.CM!$A:$O,15,FALSE),"")</f>
        <v>Buff.Desc.Shield</v>
      </c>
      <c r="Q822" s="34" t="b">
        <v>0</v>
      </c>
      <c r="R822" s="34" t="b">
        <v>0</v>
      </c>
    </row>
    <row r="823" spans="1:18">
      <c r="A823" s="34" t="s">
        <v>8698</v>
      </c>
      <c r="B823" s="34"/>
      <c r="C823" s="34"/>
      <c r="D823" s="34">
        <v>7000</v>
      </c>
      <c r="E823" s="34">
        <v>0</v>
      </c>
      <c r="F823" s="34">
        <v>0</v>
      </c>
      <c r="G823" s="34" t="s">
        <v>8699</v>
      </c>
      <c r="H823" s="34"/>
      <c r="I823" s="34" t="b">
        <v>0</v>
      </c>
      <c r="J823" s="34" t="b">
        <v>0</v>
      </c>
      <c r="K823" s="34" t="b">
        <v>1</v>
      </c>
      <c r="L823" s="34" t="s">
        <v>317</v>
      </c>
      <c r="M823" s="34" t="s">
        <v>5461</v>
      </c>
      <c r="N823" s="34" t="str">
        <f>_xlfn.IFNA(VLOOKUP($M823,Buff.CM!$A:$O,13,FALSE),"")</f>
        <v>icon_battle_shield</v>
      </c>
      <c r="O823" s="34" t="str">
        <f>_xlfn.IFNA(VLOOKUP($M823,Buff.CM!$A:$O,14,FALSE),"")</f>
        <v>Buff.Name.Shield</v>
      </c>
      <c r="P823" s="34" t="str">
        <f>_xlfn.IFNA(VLOOKUP($M823,Buff.CM!$A:$O,15,FALSE),"")</f>
        <v>Buff.Desc.Shield</v>
      </c>
      <c r="Q823" s="34" t="b">
        <v>0</v>
      </c>
      <c r="R823" s="34" t="b">
        <v>0</v>
      </c>
    </row>
    <row r="824" spans="1:18" ht="33">
      <c r="A824" s="24" t="s">
        <v>561</v>
      </c>
      <c r="B824" s="24"/>
      <c r="C824" s="24"/>
      <c r="D824" s="24">
        <v>0</v>
      </c>
      <c r="E824" s="24">
        <v>0</v>
      </c>
      <c r="F824" s="24">
        <v>0</v>
      </c>
      <c r="G824" s="38" t="s">
        <v>8714</v>
      </c>
      <c r="H824" s="24"/>
      <c r="I824" s="24" t="b">
        <v>0</v>
      </c>
      <c r="J824" s="24" t="b">
        <v>1</v>
      </c>
      <c r="K824" s="24" t="b">
        <v>1</v>
      </c>
      <c r="L824" s="24"/>
      <c r="M824" s="24"/>
      <c r="N824" s="24" t="str">
        <f>_xlfn.IFNA(VLOOKUP($M824,Buff.CM!$A:$O,13,FALSE),"")</f>
        <v/>
      </c>
      <c r="O824" s="24" t="str">
        <f>_xlfn.IFNA(VLOOKUP($M824,Buff.CM!$A:$O,14,FALSE),"")</f>
        <v/>
      </c>
      <c r="P824" s="24" t="str">
        <f>_xlfn.IFNA(VLOOKUP($M824,Buff.CM!$A:$O,15,FALSE),"")</f>
        <v/>
      </c>
      <c r="Q824" s="24" t="b">
        <v>0</v>
      </c>
      <c r="R824" s="24" t="b">
        <v>0</v>
      </c>
    </row>
    <row r="825" spans="1:18" ht="33">
      <c r="A825" s="24" t="s">
        <v>563</v>
      </c>
      <c r="B825" s="24"/>
      <c r="C825" s="24"/>
      <c r="D825" s="24">
        <v>0</v>
      </c>
      <c r="E825" s="24">
        <v>0</v>
      </c>
      <c r="F825" s="24">
        <v>0</v>
      </c>
      <c r="G825" s="38" t="s">
        <v>8715</v>
      </c>
      <c r="H825" s="24"/>
      <c r="I825" s="24" t="b">
        <v>0</v>
      </c>
      <c r="J825" s="24" t="b">
        <v>1</v>
      </c>
      <c r="K825" s="24" t="b">
        <v>1</v>
      </c>
      <c r="L825" s="24"/>
      <c r="M825" s="24"/>
      <c r="N825" s="24" t="str">
        <f>_xlfn.IFNA(VLOOKUP($M825,Buff.CM!$A:$O,13,FALSE),"")</f>
        <v/>
      </c>
      <c r="O825" s="24" t="str">
        <f>_xlfn.IFNA(VLOOKUP($M825,Buff.CM!$A:$O,14,FALSE),"")</f>
        <v/>
      </c>
      <c r="P825" s="24" t="str">
        <f>_xlfn.IFNA(VLOOKUP($M825,Buff.CM!$A:$O,15,FALSE),"")</f>
        <v/>
      </c>
      <c r="Q825" s="24" t="b">
        <v>0</v>
      </c>
      <c r="R825" s="24" t="b">
        <v>0</v>
      </c>
    </row>
    <row r="826" spans="1:18" ht="33">
      <c r="A826" s="24" t="s">
        <v>565</v>
      </c>
      <c r="B826" s="24"/>
      <c r="C826" s="24"/>
      <c r="D826" s="24">
        <v>0</v>
      </c>
      <c r="E826" s="24">
        <v>0</v>
      </c>
      <c r="F826" s="24">
        <v>0</v>
      </c>
      <c r="G826" s="38" t="s">
        <v>8716</v>
      </c>
      <c r="H826" s="24"/>
      <c r="I826" s="24" t="b">
        <v>0</v>
      </c>
      <c r="J826" s="24" t="b">
        <v>1</v>
      </c>
      <c r="K826" s="24" t="b">
        <v>1</v>
      </c>
      <c r="L826" s="24"/>
      <c r="M826" s="24"/>
      <c r="N826" s="24" t="str">
        <f>_xlfn.IFNA(VLOOKUP($M826,Buff.CM!$A:$O,13,FALSE),"")</f>
        <v/>
      </c>
      <c r="O826" s="24" t="str">
        <f>_xlfn.IFNA(VLOOKUP($M826,Buff.CM!$A:$O,14,FALSE),"")</f>
        <v/>
      </c>
      <c r="P826" s="24" t="str">
        <f>_xlfn.IFNA(VLOOKUP($M826,Buff.CM!$A:$O,15,FALSE),"")</f>
        <v/>
      </c>
      <c r="Q826" s="24" t="b">
        <v>0</v>
      </c>
      <c r="R826" s="24" t="b">
        <v>0</v>
      </c>
    </row>
    <row r="827" spans="1:18" ht="33">
      <c r="A827" s="34" t="s">
        <v>567</v>
      </c>
      <c r="B827" s="34"/>
      <c r="C827" s="34"/>
      <c r="D827" s="34">
        <v>0</v>
      </c>
      <c r="E827" s="34">
        <v>0</v>
      </c>
      <c r="F827" s="34">
        <v>0</v>
      </c>
      <c r="G827" s="40" t="s">
        <v>8717</v>
      </c>
      <c r="H827" s="34"/>
      <c r="I827" s="34" t="b">
        <v>0</v>
      </c>
      <c r="J827" s="34" t="b">
        <v>1</v>
      </c>
      <c r="K827" s="34" t="b">
        <v>1</v>
      </c>
      <c r="L827" s="34"/>
      <c r="M827" s="34"/>
      <c r="N827" s="34" t="str">
        <f>_xlfn.IFNA(VLOOKUP($M827,Buff.CM!$A:$O,13,FALSE),"")</f>
        <v/>
      </c>
      <c r="O827" s="34" t="str">
        <f>_xlfn.IFNA(VLOOKUP($M827,Buff.CM!$A:$O,14,FALSE),"")</f>
        <v/>
      </c>
      <c r="P827" s="34" t="str">
        <f>_xlfn.IFNA(VLOOKUP($M827,Buff.CM!$A:$O,15,FALSE),"")</f>
        <v/>
      </c>
      <c r="Q827" s="34" t="b">
        <v>0</v>
      </c>
      <c r="R827" s="34" t="b">
        <v>0</v>
      </c>
    </row>
    <row r="828" spans="1:18" ht="33">
      <c r="A828" s="34" t="s">
        <v>3338</v>
      </c>
      <c r="B828" s="34"/>
      <c r="C828" s="34"/>
      <c r="D828" s="34">
        <v>0</v>
      </c>
      <c r="E828" s="34">
        <v>0</v>
      </c>
      <c r="F828" s="34">
        <v>0</v>
      </c>
      <c r="G828" s="40" t="s">
        <v>8718</v>
      </c>
      <c r="H828" s="34"/>
      <c r="I828" s="34" t="b">
        <v>0</v>
      </c>
      <c r="J828" s="34" t="b">
        <v>1</v>
      </c>
      <c r="K828" s="34" t="b">
        <v>1</v>
      </c>
      <c r="L828" s="34"/>
      <c r="M828" s="34"/>
      <c r="N828" s="34" t="str">
        <f>_xlfn.IFNA(VLOOKUP($M828,Buff.CM!$A:$O,13,FALSE),"")</f>
        <v/>
      </c>
      <c r="O828" s="34" t="str">
        <f>_xlfn.IFNA(VLOOKUP($M828,Buff.CM!$A:$O,14,FALSE),"")</f>
        <v/>
      </c>
      <c r="P828" s="34" t="str">
        <f>_xlfn.IFNA(VLOOKUP($M828,Buff.CM!$A:$O,15,FALSE),"")</f>
        <v/>
      </c>
      <c r="Q828" s="34" t="b">
        <v>0</v>
      </c>
      <c r="R828" s="34" t="b">
        <v>0</v>
      </c>
    </row>
    <row r="829" spans="1:18">
      <c r="A829" s="23" t="s">
        <v>1810</v>
      </c>
      <c r="B829" s="23"/>
      <c r="C829" s="23"/>
      <c r="D829" s="23">
        <v>0</v>
      </c>
      <c r="E829" s="23">
        <v>0</v>
      </c>
      <c r="F829" s="23">
        <v>0</v>
      </c>
      <c r="G829" s="23" t="s">
        <v>1814</v>
      </c>
      <c r="H829" s="23"/>
      <c r="I829" s="23" t="b">
        <v>0</v>
      </c>
      <c r="J829" s="23" t="b">
        <v>1</v>
      </c>
      <c r="K829" s="23" t="b">
        <v>1</v>
      </c>
      <c r="L829" s="23"/>
      <c r="M829" s="23"/>
      <c r="N829" s="23" t="str">
        <f>_xlfn.IFNA(VLOOKUP($M829,Buff.CM!$A:$O,13,FALSE),"")</f>
        <v/>
      </c>
      <c r="O829" s="23" t="str">
        <f>_xlfn.IFNA(VLOOKUP($M829,Buff.CM!$A:$O,14,FALSE),"")</f>
        <v/>
      </c>
      <c r="P829" s="23" t="str">
        <f>_xlfn.IFNA(VLOOKUP($M829,Buff.CM!$A:$O,15,FALSE),"")</f>
        <v/>
      </c>
      <c r="Q829" s="23" t="b">
        <v>0</v>
      </c>
      <c r="R829" s="23" t="b">
        <v>0</v>
      </c>
    </row>
    <row r="830" spans="1:18">
      <c r="A830" s="23" t="s">
        <v>1811</v>
      </c>
      <c r="B830" s="23"/>
      <c r="C830" s="23"/>
      <c r="D830" s="23">
        <v>0</v>
      </c>
      <c r="E830" s="23">
        <v>0</v>
      </c>
      <c r="F830" s="23">
        <v>0</v>
      </c>
      <c r="G830" s="23" t="s">
        <v>1815</v>
      </c>
      <c r="H830" s="23"/>
      <c r="I830" s="23" t="b">
        <v>0</v>
      </c>
      <c r="J830" s="23" t="b">
        <v>1</v>
      </c>
      <c r="K830" s="23" t="b">
        <v>1</v>
      </c>
      <c r="L830" s="23"/>
      <c r="M830" s="23"/>
      <c r="N830" s="23" t="str">
        <f>_xlfn.IFNA(VLOOKUP($M830,Buff.CM!$A:$O,13,FALSE),"")</f>
        <v/>
      </c>
      <c r="O830" s="23" t="str">
        <f>_xlfn.IFNA(VLOOKUP($M830,Buff.CM!$A:$O,14,FALSE),"")</f>
        <v/>
      </c>
      <c r="P830" s="23" t="str">
        <f>_xlfn.IFNA(VLOOKUP($M830,Buff.CM!$A:$O,15,FALSE),"")</f>
        <v/>
      </c>
      <c r="Q830" s="23" t="b">
        <v>0</v>
      </c>
      <c r="R830" s="23" t="b">
        <v>0</v>
      </c>
    </row>
    <row r="831" spans="1:18">
      <c r="A831" s="23" t="s">
        <v>1812</v>
      </c>
      <c r="B831" s="23"/>
      <c r="C831" s="23"/>
      <c r="D831" s="23">
        <v>0</v>
      </c>
      <c r="E831" s="23">
        <v>0</v>
      </c>
      <c r="F831" s="23">
        <v>0</v>
      </c>
      <c r="G831" s="23" t="s">
        <v>1816</v>
      </c>
      <c r="H831" s="23"/>
      <c r="I831" s="23" t="b">
        <v>0</v>
      </c>
      <c r="J831" s="23" t="b">
        <v>1</v>
      </c>
      <c r="K831" s="23" t="b">
        <v>1</v>
      </c>
      <c r="L831" s="23"/>
      <c r="M831" s="23"/>
      <c r="N831" s="23" t="str">
        <f>_xlfn.IFNA(VLOOKUP($M831,Buff.CM!$A:$O,13,FALSE),"")</f>
        <v/>
      </c>
      <c r="O831" s="23" t="str">
        <f>_xlfn.IFNA(VLOOKUP($M831,Buff.CM!$A:$O,14,FALSE),"")</f>
        <v/>
      </c>
      <c r="P831" s="23" t="str">
        <f>_xlfn.IFNA(VLOOKUP($M831,Buff.CM!$A:$O,15,FALSE),"")</f>
        <v/>
      </c>
      <c r="Q831" s="23" t="b">
        <v>0</v>
      </c>
      <c r="R831" s="23" t="b">
        <v>0</v>
      </c>
    </row>
    <row r="832" spans="1:18">
      <c r="A832" s="34" t="s">
        <v>1813</v>
      </c>
      <c r="B832" s="34"/>
      <c r="C832" s="34"/>
      <c r="D832" s="34">
        <v>0</v>
      </c>
      <c r="E832" s="34">
        <v>0</v>
      </c>
      <c r="F832" s="34">
        <v>0</v>
      </c>
      <c r="G832" s="34" t="s">
        <v>1817</v>
      </c>
      <c r="H832" s="34"/>
      <c r="I832" s="34" t="b">
        <v>0</v>
      </c>
      <c r="J832" s="34" t="b">
        <v>1</v>
      </c>
      <c r="K832" s="34" t="b">
        <v>1</v>
      </c>
      <c r="L832" s="34"/>
      <c r="M832" s="34"/>
      <c r="N832" s="34" t="str">
        <f>_xlfn.IFNA(VLOOKUP($M832,Buff.CM!$A:$O,13,FALSE),"")</f>
        <v/>
      </c>
      <c r="O832" s="34" t="str">
        <f>_xlfn.IFNA(VLOOKUP($M832,Buff.CM!$A:$O,14,FALSE),"")</f>
        <v/>
      </c>
      <c r="P832" s="34" t="str">
        <f>_xlfn.IFNA(VLOOKUP($M832,Buff.CM!$A:$O,15,FALSE),"")</f>
        <v/>
      </c>
      <c r="Q832" s="34" t="b">
        <v>0</v>
      </c>
      <c r="R832" s="34" t="b">
        <v>0</v>
      </c>
    </row>
    <row r="833" spans="1:18">
      <c r="A833" s="34" t="s">
        <v>3333</v>
      </c>
      <c r="B833" s="34"/>
      <c r="C833" s="34"/>
      <c r="D833" s="34">
        <v>0</v>
      </c>
      <c r="E833" s="34">
        <v>0</v>
      </c>
      <c r="F833" s="34">
        <v>0</v>
      </c>
      <c r="G833" s="34" t="s">
        <v>3334</v>
      </c>
      <c r="H833" s="34"/>
      <c r="I833" s="34" t="b">
        <v>0</v>
      </c>
      <c r="J833" s="34" t="b">
        <v>1</v>
      </c>
      <c r="K833" s="34" t="b">
        <v>1</v>
      </c>
      <c r="L833" s="34"/>
      <c r="M833" s="34"/>
      <c r="N833" s="34" t="str">
        <f>_xlfn.IFNA(VLOOKUP($M833,Buff.CM!$A:$O,13,FALSE),"")</f>
        <v/>
      </c>
      <c r="O833" s="34" t="str">
        <f>_xlfn.IFNA(VLOOKUP($M833,Buff.CM!$A:$O,14,FALSE),"")</f>
        <v/>
      </c>
      <c r="P833" s="34" t="str">
        <f>_xlfn.IFNA(VLOOKUP($M833,Buff.CM!$A:$O,15,FALSE),"")</f>
        <v/>
      </c>
      <c r="Q833" s="34" t="b">
        <v>0</v>
      </c>
      <c r="R833" s="34" t="b">
        <v>0</v>
      </c>
    </row>
    <row r="834" spans="1:18">
      <c r="A834" s="24" t="s">
        <v>1799</v>
      </c>
      <c r="B834" s="24"/>
      <c r="C834" s="24"/>
      <c r="D834" s="24">
        <v>0</v>
      </c>
      <c r="E834" s="24">
        <v>10</v>
      </c>
      <c r="F834" s="24">
        <v>1</v>
      </c>
      <c r="G834" s="24" t="s">
        <v>1803</v>
      </c>
      <c r="H834" s="24"/>
      <c r="I834" s="24" t="b">
        <v>1</v>
      </c>
      <c r="J834" s="24" t="b">
        <v>1</v>
      </c>
      <c r="K834" s="24" t="b">
        <v>1</v>
      </c>
      <c r="L834" s="24"/>
      <c r="M834" s="24"/>
      <c r="N834" s="24" t="str">
        <f>_xlfn.IFNA(VLOOKUP($M834,Buff.CM!$A:$O,13,FALSE),"")</f>
        <v/>
      </c>
      <c r="O834" s="24" t="str">
        <f>_xlfn.IFNA(VLOOKUP($M834,Buff.CM!$A:$O,14,FALSE),"")</f>
        <v/>
      </c>
      <c r="P834" s="24" t="str">
        <f>_xlfn.IFNA(VLOOKUP($M834,Buff.CM!$A:$O,15,FALSE),"")</f>
        <v/>
      </c>
      <c r="Q834" s="24" t="b">
        <v>0</v>
      </c>
      <c r="R834" s="24" t="b">
        <v>0</v>
      </c>
    </row>
    <row r="835" spans="1:18">
      <c r="A835" s="24" t="s">
        <v>1800</v>
      </c>
      <c r="B835" s="24"/>
      <c r="C835" s="24"/>
      <c r="D835" s="24">
        <v>0</v>
      </c>
      <c r="E835" s="24">
        <v>10</v>
      </c>
      <c r="F835" s="24">
        <v>1</v>
      </c>
      <c r="G835" s="24" t="s">
        <v>1804</v>
      </c>
      <c r="H835" s="24"/>
      <c r="I835" s="24" t="b">
        <v>1</v>
      </c>
      <c r="J835" s="24" t="b">
        <v>1</v>
      </c>
      <c r="K835" s="24" t="b">
        <v>1</v>
      </c>
      <c r="L835" s="24"/>
      <c r="M835" s="24"/>
      <c r="N835" s="24" t="str">
        <f>_xlfn.IFNA(VLOOKUP($M835,Buff.CM!$A:$O,13,FALSE),"")</f>
        <v/>
      </c>
      <c r="O835" s="24" t="str">
        <f>_xlfn.IFNA(VLOOKUP($M835,Buff.CM!$A:$O,14,FALSE),"")</f>
        <v/>
      </c>
      <c r="P835" s="24" t="str">
        <f>_xlfn.IFNA(VLOOKUP($M835,Buff.CM!$A:$O,15,FALSE),"")</f>
        <v/>
      </c>
      <c r="Q835" s="24" t="b">
        <v>0</v>
      </c>
      <c r="R835" s="24" t="b">
        <v>0</v>
      </c>
    </row>
    <row r="836" spans="1:18">
      <c r="A836" s="24" t="s">
        <v>1801</v>
      </c>
      <c r="B836" s="24"/>
      <c r="C836" s="24"/>
      <c r="D836" s="24">
        <v>0</v>
      </c>
      <c r="E836" s="24">
        <v>10</v>
      </c>
      <c r="F836" s="24">
        <v>1</v>
      </c>
      <c r="G836" s="24" t="s">
        <v>1805</v>
      </c>
      <c r="H836" s="24"/>
      <c r="I836" s="24" t="b">
        <v>1</v>
      </c>
      <c r="J836" s="24" t="b">
        <v>1</v>
      </c>
      <c r="K836" s="24" t="b">
        <v>1</v>
      </c>
      <c r="L836" s="24"/>
      <c r="M836" s="24"/>
      <c r="N836" s="24" t="str">
        <f>_xlfn.IFNA(VLOOKUP($M836,Buff.CM!$A:$O,13,FALSE),"")</f>
        <v/>
      </c>
      <c r="O836" s="24" t="str">
        <f>_xlfn.IFNA(VLOOKUP($M836,Buff.CM!$A:$O,14,FALSE),"")</f>
        <v/>
      </c>
      <c r="P836" s="24" t="str">
        <f>_xlfn.IFNA(VLOOKUP($M836,Buff.CM!$A:$O,15,FALSE),"")</f>
        <v/>
      </c>
      <c r="Q836" s="24" t="b">
        <v>0</v>
      </c>
      <c r="R836" s="24" t="b">
        <v>0</v>
      </c>
    </row>
    <row r="837" spans="1:18">
      <c r="A837" s="34" t="s">
        <v>1802</v>
      </c>
      <c r="B837" s="34"/>
      <c r="C837" s="34"/>
      <c r="D837" s="34">
        <v>0</v>
      </c>
      <c r="E837" s="34">
        <v>10</v>
      </c>
      <c r="F837" s="34">
        <v>1</v>
      </c>
      <c r="G837" s="34" t="s">
        <v>1806</v>
      </c>
      <c r="H837" s="34"/>
      <c r="I837" s="34" t="b">
        <v>1</v>
      </c>
      <c r="J837" s="34" t="b">
        <v>1</v>
      </c>
      <c r="K837" s="34" t="b">
        <v>1</v>
      </c>
      <c r="L837" s="34"/>
      <c r="M837" s="34"/>
      <c r="N837" s="34" t="str">
        <f>_xlfn.IFNA(VLOOKUP($M837,Buff.CM!$A:$O,13,FALSE),"")</f>
        <v/>
      </c>
      <c r="O837" s="34" t="str">
        <f>_xlfn.IFNA(VLOOKUP($M837,Buff.CM!$A:$O,14,FALSE),"")</f>
        <v/>
      </c>
      <c r="P837" s="34" t="str">
        <f>_xlfn.IFNA(VLOOKUP($M837,Buff.CM!$A:$O,15,FALSE),"")</f>
        <v/>
      </c>
      <c r="Q837" s="34" t="b">
        <v>0</v>
      </c>
      <c r="R837" s="34" t="b">
        <v>0</v>
      </c>
    </row>
    <row r="838" spans="1:18">
      <c r="A838" s="34" t="s">
        <v>3339</v>
      </c>
      <c r="B838" s="34"/>
      <c r="C838" s="34"/>
      <c r="D838" s="34">
        <v>0</v>
      </c>
      <c r="E838" s="34">
        <v>10</v>
      </c>
      <c r="F838" s="34">
        <v>1</v>
      </c>
      <c r="G838" s="34" t="s">
        <v>3335</v>
      </c>
      <c r="H838" s="34"/>
      <c r="I838" s="34" t="b">
        <v>1</v>
      </c>
      <c r="J838" s="34" t="b">
        <v>1</v>
      </c>
      <c r="K838" s="34" t="b">
        <v>1</v>
      </c>
      <c r="L838" s="34"/>
      <c r="M838" s="34"/>
      <c r="N838" s="34" t="str">
        <f>_xlfn.IFNA(VLOOKUP($M838,Buff.CM!$A:$O,13,FALSE),"")</f>
        <v/>
      </c>
      <c r="O838" s="34" t="str">
        <f>_xlfn.IFNA(VLOOKUP($M838,Buff.CM!$A:$O,14,FALSE),"")</f>
        <v/>
      </c>
      <c r="P838" s="34" t="str">
        <f>_xlfn.IFNA(VLOOKUP($M838,Buff.CM!$A:$O,15,FALSE),"")</f>
        <v/>
      </c>
      <c r="Q838" s="34" t="b">
        <v>0</v>
      </c>
      <c r="R838" s="34" t="b">
        <v>0</v>
      </c>
    </row>
    <row r="839" spans="1:18">
      <c r="A839" s="23" t="s">
        <v>8700</v>
      </c>
      <c r="B839" s="23"/>
      <c r="C839" s="23"/>
      <c r="D839" s="23">
        <v>6000</v>
      </c>
      <c r="E839" s="23">
        <v>0</v>
      </c>
      <c r="F839" s="23">
        <v>0</v>
      </c>
      <c r="G839" s="23" t="s">
        <v>8701</v>
      </c>
      <c r="H839" s="23"/>
      <c r="I839" s="23" t="b">
        <v>0</v>
      </c>
      <c r="J839" s="23" t="b">
        <v>0</v>
      </c>
      <c r="K839" s="23" t="b">
        <v>1</v>
      </c>
      <c r="L839" s="23" t="s">
        <v>317</v>
      </c>
      <c r="M839" s="23" t="s">
        <v>5461</v>
      </c>
      <c r="N839" s="23" t="str">
        <f>_xlfn.IFNA(VLOOKUP($M839,Buff.CM!$A:$O,13,FALSE),"")</f>
        <v>icon_battle_shield</v>
      </c>
      <c r="O839" s="23" t="str">
        <f>_xlfn.IFNA(VLOOKUP($M839,Buff.CM!$A:$O,14,FALSE),"")</f>
        <v>Buff.Name.Shield</v>
      </c>
      <c r="P839" s="23" t="str">
        <f>_xlfn.IFNA(VLOOKUP($M839,Buff.CM!$A:$O,15,FALSE),"")</f>
        <v>Buff.Desc.Shield</v>
      </c>
      <c r="Q839" s="23" t="b">
        <v>0</v>
      </c>
      <c r="R839" s="23" t="b">
        <v>0</v>
      </c>
    </row>
    <row r="840" spans="1:18">
      <c r="A840" s="23" t="s">
        <v>8702</v>
      </c>
      <c r="B840" s="23"/>
      <c r="C840" s="23"/>
      <c r="D840" s="23">
        <v>7000</v>
      </c>
      <c r="E840" s="23">
        <v>0</v>
      </c>
      <c r="F840" s="23">
        <v>0</v>
      </c>
      <c r="G840" s="23" t="s">
        <v>8703</v>
      </c>
      <c r="H840" s="23"/>
      <c r="I840" s="23" t="b">
        <v>0</v>
      </c>
      <c r="J840" s="23" t="b">
        <v>0</v>
      </c>
      <c r="K840" s="23" t="b">
        <v>1</v>
      </c>
      <c r="L840" s="23" t="s">
        <v>317</v>
      </c>
      <c r="M840" s="23" t="s">
        <v>5461</v>
      </c>
      <c r="N840" s="23" t="str">
        <f>_xlfn.IFNA(VLOOKUP($M840,Buff.CM!$A:$O,13,FALSE),"")</f>
        <v>icon_battle_shield</v>
      </c>
      <c r="O840" s="23" t="str">
        <f>_xlfn.IFNA(VLOOKUP($M840,Buff.CM!$A:$O,14,FALSE),"")</f>
        <v>Buff.Name.Shield</v>
      </c>
      <c r="P840" s="23" t="str">
        <f>_xlfn.IFNA(VLOOKUP($M840,Buff.CM!$A:$O,15,FALSE),"")</f>
        <v>Buff.Desc.Shield</v>
      </c>
      <c r="Q840" s="23" t="b">
        <v>0</v>
      </c>
      <c r="R840" s="23" t="b">
        <v>0</v>
      </c>
    </row>
    <row r="841" spans="1:18">
      <c r="A841" s="23" t="s">
        <v>8704</v>
      </c>
      <c r="B841" s="23"/>
      <c r="C841" s="23"/>
      <c r="D841" s="23">
        <v>7000</v>
      </c>
      <c r="E841" s="23">
        <v>0</v>
      </c>
      <c r="F841" s="23">
        <v>0</v>
      </c>
      <c r="G841" s="23" t="s">
        <v>8705</v>
      </c>
      <c r="H841" s="23"/>
      <c r="I841" s="23" t="b">
        <v>0</v>
      </c>
      <c r="J841" s="23" t="b">
        <v>0</v>
      </c>
      <c r="K841" s="23" t="b">
        <v>1</v>
      </c>
      <c r="L841" s="23" t="s">
        <v>317</v>
      </c>
      <c r="M841" s="23" t="s">
        <v>5461</v>
      </c>
      <c r="N841" s="23" t="str">
        <f>_xlfn.IFNA(VLOOKUP($M841,Buff.CM!$A:$O,13,FALSE),"")</f>
        <v>icon_battle_shield</v>
      </c>
      <c r="O841" s="23" t="str">
        <f>_xlfn.IFNA(VLOOKUP($M841,Buff.CM!$A:$O,14,FALSE),"")</f>
        <v>Buff.Name.Shield</v>
      </c>
      <c r="P841" s="23" t="str">
        <f>_xlfn.IFNA(VLOOKUP($M841,Buff.CM!$A:$O,15,FALSE),"")</f>
        <v>Buff.Desc.Shield</v>
      </c>
      <c r="Q841" s="23" t="b">
        <v>0</v>
      </c>
      <c r="R841" s="23" t="b">
        <v>0</v>
      </c>
    </row>
    <row r="842" spans="1:18">
      <c r="A842" s="34" t="s">
        <v>8706</v>
      </c>
      <c r="B842" s="34"/>
      <c r="C842" s="34"/>
      <c r="D842" s="34">
        <v>8000</v>
      </c>
      <c r="E842" s="34">
        <v>0</v>
      </c>
      <c r="F842" s="34">
        <v>0</v>
      </c>
      <c r="G842" s="34" t="s">
        <v>8707</v>
      </c>
      <c r="H842" s="34"/>
      <c r="I842" s="34" t="b">
        <v>0</v>
      </c>
      <c r="J842" s="34" t="b">
        <v>0</v>
      </c>
      <c r="K842" s="34" t="b">
        <v>1</v>
      </c>
      <c r="L842" s="34" t="s">
        <v>317</v>
      </c>
      <c r="M842" s="34" t="s">
        <v>5461</v>
      </c>
      <c r="N842" s="34" t="str">
        <f>_xlfn.IFNA(VLOOKUP($M842,Buff.CM!$A:$O,13,FALSE),"")</f>
        <v>icon_battle_shield</v>
      </c>
      <c r="O842" s="34" t="str">
        <f>_xlfn.IFNA(VLOOKUP($M842,Buff.CM!$A:$O,14,FALSE),"")</f>
        <v>Buff.Name.Shield</v>
      </c>
      <c r="P842" s="34" t="str">
        <f>_xlfn.IFNA(VLOOKUP($M842,Buff.CM!$A:$O,15,FALSE),"")</f>
        <v>Buff.Desc.Shield</v>
      </c>
      <c r="Q842" s="34" t="b">
        <v>0</v>
      </c>
      <c r="R842" s="34" t="b">
        <v>0</v>
      </c>
    </row>
    <row r="843" spans="1:18">
      <c r="A843" s="34" t="s">
        <v>8708</v>
      </c>
      <c r="B843" s="34"/>
      <c r="C843" s="34"/>
      <c r="D843" s="34">
        <v>8000</v>
      </c>
      <c r="E843" s="34">
        <v>0</v>
      </c>
      <c r="F843" s="34">
        <v>0</v>
      </c>
      <c r="G843" s="34" t="s">
        <v>8709</v>
      </c>
      <c r="H843" s="34"/>
      <c r="I843" s="34" t="b">
        <v>0</v>
      </c>
      <c r="J843" s="34" t="b">
        <v>0</v>
      </c>
      <c r="K843" s="34" t="b">
        <v>1</v>
      </c>
      <c r="L843" s="34" t="s">
        <v>317</v>
      </c>
      <c r="M843" s="34" t="s">
        <v>5461</v>
      </c>
      <c r="N843" s="34" t="str">
        <f>_xlfn.IFNA(VLOOKUP($M843,Buff.CM!$A:$O,13,FALSE),"")</f>
        <v>icon_battle_shield</v>
      </c>
      <c r="O843" s="34" t="str">
        <f>_xlfn.IFNA(VLOOKUP($M843,Buff.CM!$A:$O,14,FALSE),"")</f>
        <v>Buff.Name.Shield</v>
      </c>
      <c r="P843" s="34" t="str">
        <f>_xlfn.IFNA(VLOOKUP($M843,Buff.CM!$A:$O,15,FALSE),"")</f>
        <v>Buff.Desc.Shield</v>
      </c>
      <c r="Q843" s="34" t="b">
        <v>0</v>
      </c>
      <c r="R843" s="34" t="b">
        <v>0</v>
      </c>
    </row>
    <row r="844" spans="1:18" ht="33">
      <c r="A844" s="24" t="s">
        <v>6763</v>
      </c>
      <c r="B844" s="24"/>
      <c r="C844" s="24"/>
      <c r="D844" s="24">
        <v>0</v>
      </c>
      <c r="E844" s="24">
        <v>0</v>
      </c>
      <c r="F844" s="24">
        <v>0</v>
      </c>
      <c r="G844" s="38" t="s">
        <v>6764</v>
      </c>
      <c r="H844" s="24"/>
      <c r="I844" s="24" t="b">
        <v>0</v>
      </c>
      <c r="J844" s="24" t="b">
        <v>1</v>
      </c>
      <c r="K844" s="24" t="b">
        <v>1</v>
      </c>
      <c r="L844" s="24"/>
      <c r="M844" s="24"/>
      <c r="N844" s="24" t="str">
        <f>_xlfn.IFNA(VLOOKUP($M844,Buff.CM!$A:$O,13,FALSE),"")</f>
        <v/>
      </c>
      <c r="O844" s="24" t="str">
        <f>_xlfn.IFNA(VLOOKUP($M844,Buff.CM!$A:$O,14,FALSE),"")</f>
        <v/>
      </c>
      <c r="P844" s="24" t="str">
        <f>_xlfn.IFNA(VLOOKUP($M844,Buff.CM!$A:$O,15,FALSE),"")</f>
        <v/>
      </c>
      <c r="Q844" s="24" t="b">
        <v>0</v>
      </c>
      <c r="R844" s="24" t="b">
        <v>0</v>
      </c>
    </row>
    <row r="845" spans="1:18" ht="33">
      <c r="A845" s="24" t="s">
        <v>3690</v>
      </c>
      <c r="B845" s="24"/>
      <c r="C845" s="24"/>
      <c r="D845" s="24">
        <v>0</v>
      </c>
      <c r="E845" s="24">
        <v>0</v>
      </c>
      <c r="F845" s="24">
        <v>0</v>
      </c>
      <c r="G845" s="38" t="s">
        <v>6765</v>
      </c>
      <c r="H845" s="24"/>
      <c r="I845" s="24" t="b">
        <v>0</v>
      </c>
      <c r="J845" s="24" t="b">
        <v>1</v>
      </c>
      <c r="K845" s="24" t="b">
        <v>1</v>
      </c>
      <c r="L845" s="24"/>
      <c r="M845" s="24"/>
      <c r="N845" s="24" t="str">
        <f>_xlfn.IFNA(VLOOKUP($M845,Buff.CM!$A:$O,13,FALSE),"")</f>
        <v/>
      </c>
      <c r="O845" s="24" t="str">
        <f>_xlfn.IFNA(VLOOKUP($M845,Buff.CM!$A:$O,14,FALSE),"")</f>
        <v/>
      </c>
      <c r="P845" s="24" t="str">
        <f>_xlfn.IFNA(VLOOKUP($M845,Buff.CM!$A:$O,15,FALSE),"")</f>
        <v/>
      </c>
      <c r="Q845" s="24" t="b">
        <v>0</v>
      </c>
      <c r="R845" s="24" t="b">
        <v>0</v>
      </c>
    </row>
    <row r="846" spans="1:18" ht="33">
      <c r="A846" s="24" t="s">
        <v>3691</v>
      </c>
      <c r="B846" s="24"/>
      <c r="C846" s="24"/>
      <c r="D846" s="24">
        <v>0</v>
      </c>
      <c r="E846" s="24">
        <v>0</v>
      </c>
      <c r="F846" s="24">
        <v>0</v>
      </c>
      <c r="G846" s="38" t="s">
        <v>6766</v>
      </c>
      <c r="H846" s="24"/>
      <c r="I846" s="24" t="b">
        <v>0</v>
      </c>
      <c r="J846" s="24" t="b">
        <v>1</v>
      </c>
      <c r="K846" s="24" t="b">
        <v>1</v>
      </c>
      <c r="L846" s="24"/>
      <c r="M846" s="24"/>
      <c r="N846" s="24" t="str">
        <f>_xlfn.IFNA(VLOOKUP($M846,Buff.CM!$A:$O,13,FALSE),"")</f>
        <v/>
      </c>
      <c r="O846" s="24" t="str">
        <f>_xlfn.IFNA(VLOOKUP($M846,Buff.CM!$A:$O,14,FALSE),"")</f>
        <v/>
      </c>
      <c r="P846" s="24" t="str">
        <f>_xlfn.IFNA(VLOOKUP($M846,Buff.CM!$A:$O,15,FALSE),"")</f>
        <v/>
      </c>
      <c r="Q846" s="24" t="b">
        <v>0</v>
      </c>
      <c r="R846" s="24" t="b">
        <v>0</v>
      </c>
    </row>
    <row r="847" spans="1:18" ht="33">
      <c r="A847" s="34" t="s">
        <v>3692</v>
      </c>
      <c r="B847" s="34"/>
      <c r="C847" s="34"/>
      <c r="D847" s="34">
        <v>0</v>
      </c>
      <c r="E847" s="34">
        <v>0</v>
      </c>
      <c r="F847" s="34">
        <v>0</v>
      </c>
      <c r="G847" s="40" t="s">
        <v>6767</v>
      </c>
      <c r="H847" s="34"/>
      <c r="I847" s="34" t="b">
        <v>0</v>
      </c>
      <c r="J847" s="34" t="b">
        <v>1</v>
      </c>
      <c r="K847" s="34" t="b">
        <v>1</v>
      </c>
      <c r="L847" s="34"/>
      <c r="M847" s="34"/>
      <c r="N847" s="34" t="str">
        <f>_xlfn.IFNA(VLOOKUP($M847,Buff.CM!$A:$O,13,FALSE),"")</f>
        <v/>
      </c>
      <c r="O847" s="34" t="str">
        <f>_xlfn.IFNA(VLOOKUP($M847,Buff.CM!$A:$O,14,FALSE),"")</f>
        <v/>
      </c>
      <c r="P847" s="34" t="str">
        <f>_xlfn.IFNA(VLOOKUP($M847,Buff.CM!$A:$O,15,FALSE),"")</f>
        <v/>
      </c>
      <c r="Q847" s="34" t="b">
        <v>0</v>
      </c>
      <c r="R847" s="34" t="b">
        <v>0</v>
      </c>
    </row>
    <row r="848" spans="1:18" ht="33">
      <c r="A848" s="34" t="s">
        <v>3693</v>
      </c>
      <c r="B848" s="34"/>
      <c r="C848" s="34"/>
      <c r="D848" s="34">
        <v>0</v>
      </c>
      <c r="E848" s="34">
        <v>0</v>
      </c>
      <c r="F848" s="34">
        <v>0</v>
      </c>
      <c r="G848" s="40" t="s">
        <v>6768</v>
      </c>
      <c r="H848" s="34"/>
      <c r="I848" s="34" t="b">
        <v>0</v>
      </c>
      <c r="J848" s="34" t="b">
        <v>1</v>
      </c>
      <c r="K848" s="34" t="b">
        <v>1</v>
      </c>
      <c r="L848" s="34"/>
      <c r="M848" s="34"/>
      <c r="N848" s="34" t="str">
        <f>_xlfn.IFNA(VLOOKUP($M848,Buff.CM!$A:$O,13,FALSE),"")</f>
        <v/>
      </c>
      <c r="O848" s="34" t="str">
        <f>_xlfn.IFNA(VLOOKUP($M848,Buff.CM!$A:$O,14,FALSE),"")</f>
        <v/>
      </c>
      <c r="P848" s="34" t="str">
        <f>_xlfn.IFNA(VLOOKUP($M848,Buff.CM!$A:$O,15,FALSE),"")</f>
        <v/>
      </c>
      <c r="Q848" s="34" t="b">
        <v>0</v>
      </c>
      <c r="R848" s="34" t="b">
        <v>0</v>
      </c>
    </row>
    <row r="849" spans="1:18">
      <c r="A849" s="23" t="s">
        <v>6769</v>
      </c>
      <c r="B849" s="23"/>
      <c r="C849" s="23"/>
      <c r="D849" s="23">
        <v>8000</v>
      </c>
      <c r="E849" s="23">
        <v>0</v>
      </c>
      <c r="F849" s="23">
        <v>0</v>
      </c>
      <c r="G849" s="23" t="s">
        <v>4624</v>
      </c>
      <c r="H849" s="23"/>
      <c r="I849" s="23" t="b">
        <v>0</v>
      </c>
      <c r="J849" s="23" t="b">
        <v>0</v>
      </c>
      <c r="K849" s="23" t="b">
        <v>1</v>
      </c>
      <c r="L849" s="23" t="s">
        <v>5473</v>
      </c>
      <c r="M849" s="23" t="s">
        <v>4624</v>
      </c>
      <c r="N849" s="23" t="str">
        <f>_xlfn.IFNA(VLOOKUP($M849,Buff.CM!$A:$O,13,FALSE),"")</f>
        <v>icon_battle_criticaldamage</v>
      </c>
      <c r="O849" s="23" t="str">
        <f>_xlfn.IFNA(VLOOKUP($M849,Buff.CM!$A:$O,14,FALSE),"")</f>
        <v>Buff.Name.CriticalDamage.Up.01</v>
      </c>
      <c r="P849" s="23" t="str">
        <f>_xlfn.IFNA(VLOOKUP($M849,Buff.CM!$A:$O,15,FALSE),"")</f>
        <v>Buff.Desc.CriticalDamage.Up.01</v>
      </c>
      <c r="Q849" s="23" t="b">
        <v>0</v>
      </c>
      <c r="R849" s="23" t="b">
        <v>0</v>
      </c>
    </row>
    <row r="850" spans="1:18">
      <c r="A850" s="23" t="s">
        <v>3703</v>
      </c>
      <c r="B850" s="23"/>
      <c r="C850" s="23"/>
      <c r="D850" s="23">
        <v>9000</v>
      </c>
      <c r="E850" s="23">
        <v>0</v>
      </c>
      <c r="F850" s="23">
        <v>0</v>
      </c>
      <c r="G850" s="23" t="s">
        <v>4624</v>
      </c>
      <c r="H850" s="23"/>
      <c r="I850" s="23" t="b">
        <v>0</v>
      </c>
      <c r="J850" s="23" t="b">
        <v>0</v>
      </c>
      <c r="K850" s="23" t="b">
        <v>1</v>
      </c>
      <c r="L850" s="23" t="s">
        <v>5473</v>
      </c>
      <c r="M850" s="23" t="s">
        <v>4624</v>
      </c>
      <c r="N850" s="23" t="str">
        <f>_xlfn.IFNA(VLOOKUP($M850,Buff.CM!$A:$O,13,FALSE),"")</f>
        <v>icon_battle_criticaldamage</v>
      </c>
      <c r="O850" s="23" t="str">
        <f>_xlfn.IFNA(VLOOKUP($M850,Buff.CM!$A:$O,14,FALSE),"")</f>
        <v>Buff.Name.CriticalDamage.Up.01</v>
      </c>
      <c r="P850" s="23" t="str">
        <f>_xlfn.IFNA(VLOOKUP($M850,Buff.CM!$A:$O,15,FALSE),"")</f>
        <v>Buff.Desc.CriticalDamage.Up.01</v>
      </c>
      <c r="Q850" s="23" t="b">
        <v>0</v>
      </c>
      <c r="R850" s="23" t="b">
        <v>0</v>
      </c>
    </row>
    <row r="851" spans="1:18">
      <c r="A851" s="23" t="s">
        <v>3704</v>
      </c>
      <c r="B851" s="23"/>
      <c r="C851" s="23"/>
      <c r="D851" s="23">
        <v>10000</v>
      </c>
      <c r="E851" s="23">
        <v>0</v>
      </c>
      <c r="F851" s="23">
        <v>0</v>
      </c>
      <c r="G851" s="23" t="s">
        <v>4624</v>
      </c>
      <c r="H851" s="23"/>
      <c r="I851" s="23" t="b">
        <v>0</v>
      </c>
      <c r="J851" s="23" t="b">
        <v>0</v>
      </c>
      <c r="K851" s="23" t="b">
        <v>1</v>
      </c>
      <c r="L851" s="23" t="s">
        <v>5473</v>
      </c>
      <c r="M851" s="23" t="s">
        <v>4624</v>
      </c>
      <c r="N851" s="23" t="str">
        <f>_xlfn.IFNA(VLOOKUP($M851,Buff.CM!$A:$O,13,FALSE),"")</f>
        <v>icon_battle_criticaldamage</v>
      </c>
      <c r="O851" s="23" t="str">
        <f>_xlfn.IFNA(VLOOKUP($M851,Buff.CM!$A:$O,14,FALSE),"")</f>
        <v>Buff.Name.CriticalDamage.Up.01</v>
      </c>
      <c r="P851" s="23" t="str">
        <f>_xlfn.IFNA(VLOOKUP($M851,Buff.CM!$A:$O,15,FALSE),"")</f>
        <v>Buff.Desc.CriticalDamage.Up.01</v>
      </c>
      <c r="Q851" s="23" t="b">
        <v>0</v>
      </c>
      <c r="R851" s="23" t="b">
        <v>0</v>
      </c>
    </row>
    <row r="852" spans="1:18">
      <c r="A852" s="34" t="s">
        <v>3705</v>
      </c>
      <c r="B852" s="34"/>
      <c r="C852" s="34"/>
      <c r="D852" s="34">
        <v>11000</v>
      </c>
      <c r="E852" s="34">
        <v>0</v>
      </c>
      <c r="F852" s="34">
        <v>0</v>
      </c>
      <c r="G852" s="34" t="s">
        <v>4624</v>
      </c>
      <c r="H852" s="34"/>
      <c r="I852" s="34" t="b">
        <v>0</v>
      </c>
      <c r="J852" s="34" t="b">
        <v>0</v>
      </c>
      <c r="K852" s="34" t="b">
        <v>1</v>
      </c>
      <c r="L852" s="34" t="s">
        <v>5473</v>
      </c>
      <c r="M852" s="34" t="s">
        <v>4624</v>
      </c>
      <c r="N852" s="34" t="str">
        <f>_xlfn.IFNA(VLOOKUP($M852,Buff.CM!$A:$O,13,FALSE),"")</f>
        <v>icon_battle_criticaldamage</v>
      </c>
      <c r="O852" s="34" t="str">
        <f>_xlfn.IFNA(VLOOKUP($M852,Buff.CM!$A:$O,14,FALSE),"")</f>
        <v>Buff.Name.CriticalDamage.Up.01</v>
      </c>
      <c r="P852" s="34" t="str">
        <f>_xlfn.IFNA(VLOOKUP($M852,Buff.CM!$A:$O,15,FALSE),"")</f>
        <v>Buff.Desc.CriticalDamage.Up.01</v>
      </c>
      <c r="Q852" s="34" t="b">
        <v>0</v>
      </c>
      <c r="R852" s="34" t="b">
        <v>0</v>
      </c>
    </row>
    <row r="853" spans="1:18">
      <c r="A853" s="34" t="s">
        <v>3706</v>
      </c>
      <c r="B853" s="34"/>
      <c r="C853" s="34"/>
      <c r="D853" s="34">
        <v>11000</v>
      </c>
      <c r="E853" s="34">
        <v>0</v>
      </c>
      <c r="F853" s="34">
        <v>0</v>
      </c>
      <c r="G853" s="34" t="s">
        <v>4624</v>
      </c>
      <c r="H853" s="34"/>
      <c r="I853" s="34" t="b">
        <v>0</v>
      </c>
      <c r="J853" s="34" t="b">
        <v>0</v>
      </c>
      <c r="K853" s="34" t="b">
        <v>1</v>
      </c>
      <c r="L853" s="34" t="s">
        <v>5473</v>
      </c>
      <c r="M853" s="34" t="s">
        <v>4624</v>
      </c>
      <c r="N853" s="34" t="str">
        <f>_xlfn.IFNA(VLOOKUP($M853,Buff.CM!$A:$O,13,FALSE),"")</f>
        <v>icon_battle_criticaldamage</v>
      </c>
      <c r="O853" s="34" t="str">
        <f>_xlfn.IFNA(VLOOKUP($M853,Buff.CM!$A:$O,14,FALSE),"")</f>
        <v>Buff.Name.CriticalDamage.Up.01</v>
      </c>
      <c r="P853" s="34" t="str">
        <f>_xlfn.IFNA(VLOOKUP($M853,Buff.CM!$A:$O,15,FALSE),"")</f>
        <v>Buff.Desc.CriticalDamage.Up.01</v>
      </c>
      <c r="Q853" s="34" t="b">
        <v>0</v>
      </c>
      <c r="R853" s="34" t="b">
        <v>0</v>
      </c>
    </row>
    <row r="854" spans="1:18">
      <c r="A854" s="25" t="s">
        <v>6770</v>
      </c>
      <c r="B854" s="25"/>
      <c r="C854" s="25"/>
      <c r="D854" s="25">
        <v>0</v>
      </c>
      <c r="E854" s="25">
        <v>0</v>
      </c>
      <c r="F854" s="25">
        <v>0</v>
      </c>
      <c r="G854" s="43" t="s">
        <v>122</v>
      </c>
      <c r="H854" s="25"/>
      <c r="I854" s="25" t="b">
        <v>0</v>
      </c>
      <c r="J854" s="25" t="b">
        <v>0</v>
      </c>
      <c r="K854" s="25" t="b">
        <v>1</v>
      </c>
      <c r="L854" s="25"/>
      <c r="M854" s="25"/>
      <c r="N854" s="25" t="str">
        <f>_xlfn.IFNA(VLOOKUP($M854,Buff.CM!$A:$O,13,FALSE),"")</f>
        <v/>
      </c>
      <c r="O854" s="25" t="str">
        <f>_xlfn.IFNA(VLOOKUP($M854,Buff.CM!$A:$O,14,FALSE),"")</f>
        <v/>
      </c>
      <c r="P854" s="25" t="str">
        <f>_xlfn.IFNA(VLOOKUP($M854,Buff.CM!$A:$O,15,FALSE),"")</f>
        <v/>
      </c>
      <c r="Q854" s="25" t="b">
        <v>0</v>
      </c>
      <c r="R854" s="25" t="b">
        <v>1</v>
      </c>
    </row>
    <row r="855" spans="1:18">
      <c r="A855" s="26" t="s">
        <v>1822</v>
      </c>
      <c r="B855" s="26"/>
      <c r="C855" s="26"/>
      <c r="D855" s="26">
        <v>9000</v>
      </c>
      <c r="E855" s="26">
        <v>0</v>
      </c>
      <c r="F855" s="26">
        <v>0</v>
      </c>
      <c r="G855" s="26" t="s">
        <v>1600</v>
      </c>
      <c r="H855" s="26"/>
      <c r="I855" s="26" t="b">
        <v>0</v>
      </c>
      <c r="J855" s="26" t="b">
        <v>0</v>
      </c>
      <c r="K855" s="26" t="b">
        <v>0</v>
      </c>
      <c r="L855" s="26" t="s">
        <v>175</v>
      </c>
      <c r="M855" s="26" t="s">
        <v>1600</v>
      </c>
      <c r="N855" s="26" t="str">
        <f>_xlfn.IFNA(VLOOKUP($M855,Buff.CM!$A:$O,13,FALSE),"")</f>
        <v>icon_battle_critical</v>
      </c>
      <c r="O855" s="26" t="str">
        <f>_xlfn.IFNA(VLOOKUP($M855,Buff.CM!$A:$O,14,FALSE),"")</f>
        <v>Buff.Name.CriticalResist.Down.03</v>
      </c>
      <c r="P855" s="26" t="str">
        <f>_xlfn.IFNA(VLOOKUP($M855,Buff.CM!$A:$O,15,FALSE),"")</f>
        <v>Buff.Desc.CriticalResist.Down.03</v>
      </c>
      <c r="Q855" s="26" t="b">
        <v>0</v>
      </c>
      <c r="R855" s="26" t="b">
        <v>1</v>
      </c>
    </row>
    <row r="856" spans="1:18">
      <c r="A856" s="26" t="s">
        <v>1823</v>
      </c>
      <c r="B856" s="26"/>
      <c r="C856" s="26"/>
      <c r="D856" s="26">
        <v>9000</v>
      </c>
      <c r="E856" s="26">
        <v>0</v>
      </c>
      <c r="F856" s="26">
        <v>0</v>
      </c>
      <c r="G856" s="26" t="s">
        <v>1600</v>
      </c>
      <c r="H856" s="26"/>
      <c r="I856" s="26" t="b">
        <v>0</v>
      </c>
      <c r="J856" s="26" t="b">
        <v>0</v>
      </c>
      <c r="K856" s="26" t="b">
        <v>0</v>
      </c>
      <c r="L856" s="26" t="s">
        <v>175</v>
      </c>
      <c r="M856" s="26" t="s">
        <v>1600</v>
      </c>
      <c r="N856" s="26" t="str">
        <f>_xlfn.IFNA(VLOOKUP($M856,Buff.CM!$A:$O,13,FALSE),"")</f>
        <v>icon_battle_critical</v>
      </c>
      <c r="O856" s="26" t="str">
        <f>_xlfn.IFNA(VLOOKUP($M856,Buff.CM!$A:$O,14,FALSE),"")</f>
        <v>Buff.Name.CriticalResist.Down.03</v>
      </c>
      <c r="P856" s="26" t="str">
        <f>_xlfn.IFNA(VLOOKUP($M856,Buff.CM!$A:$O,15,FALSE),"")</f>
        <v>Buff.Desc.CriticalResist.Down.03</v>
      </c>
      <c r="Q856" s="26" t="b">
        <v>0</v>
      </c>
      <c r="R856" s="26" t="b">
        <v>1</v>
      </c>
    </row>
    <row r="857" spans="1:18">
      <c r="A857" s="26" t="s">
        <v>1824</v>
      </c>
      <c r="B857" s="26"/>
      <c r="C857" s="26"/>
      <c r="D857" s="26">
        <v>9000</v>
      </c>
      <c r="E857" s="26">
        <v>0</v>
      </c>
      <c r="F857" s="26">
        <v>0</v>
      </c>
      <c r="G857" s="26" t="s">
        <v>1601</v>
      </c>
      <c r="H857" s="26"/>
      <c r="I857" s="26" t="b">
        <v>0</v>
      </c>
      <c r="J857" s="26" t="b">
        <v>0</v>
      </c>
      <c r="K857" s="26" t="b">
        <v>0</v>
      </c>
      <c r="L857" s="26" t="s">
        <v>175</v>
      </c>
      <c r="M857" s="26" t="s">
        <v>1600</v>
      </c>
      <c r="N857" s="26" t="str">
        <f>_xlfn.IFNA(VLOOKUP($M857,Buff.CM!$A:$O,13,FALSE),"")</f>
        <v>icon_battle_critical</v>
      </c>
      <c r="O857" s="26" t="str">
        <f>_xlfn.IFNA(VLOOKUP($M857,Buff.CM!$A:$O,14,FALSE),"")</f>
        <v>Buff.Name.CriticalResist.Down.03</v>
      </c>
      <c r="P857" s="26" t="str">
        <f>_xlfn.IFNA(VLOOKUP($M857,Buff.CM!$A:$O,15,FALSE),"")</f>
        <v>Buff.Desc.CriticalResist.Down.03</v>
      </c>
      <c r="Q857" s="26" t="b">
        <v>0</v>
      </c>
      <c r="R857" s="26" t="b">
        <v>1</v>
      </c>
    </row>
    <row r="858" spans="1:18">
      <c r="A858" s="26" t="s">
        <v>1825</v>
      </c>
      <c r="B858" s="26"/>
      <c r="C858" s="26"/>
      <c r="D858" s="26">
        <v>9000</v>
      </c>
      <c r="E858" s="26">
        <v>0</v>
      </c>
      <c r="F858" s="26">
        <v>0</v>
      </c>
      <c r="G858" s="26" t="s">
        <v>1601</v>
      </c>
      <c r="H858" s="26"/>
      <c r="I858" s="26" t="b">
        <v>0</v>
      </c>
      <c r="J858" s="26" t="b">
        <v>0</v>
      </c>
      <c r="K858" s="26" t="b">
        <v>0</v>
      </c>
      <c r="L858" s="26" t="s">
        <v>175</v>
      </c>
      <c r="M858" s="26" t="s">
        <v>1601</v>
      </c>
      <c r="N858" s="26" t="str">
        <f>_xlfn.IFNA(VLOOKUP($M858,Buff.CM!$A:$O,13,FALSE),"")</f>
        <v>icon_battle_critical</v>
      </c>
      <c r="O858" s="26" t="str">
        <f>_xlfn.IFNA(VLOOKUP($M858,Buff.CM!$A:$O,14,FALSE),"")</f>
        <v>Buff.Name.CriticalResist.Down.04</v>
      </c>
      <c r="P858" s="26" t="str">
        <f>_xlfn.IFNA(VLOOKUP($M858,Buff.CM!$A:$O,15,FALSE),"")</f>
        <v>Buff.Desc.CriticalResist.Down.04</v>
      </c>
      <c r="Q858" s="26" t="b">
        <v>0</v>
      </c>
      <c r="R858" s="26" t="b">
        <v>1</v>
      </c>
    </row>
    <row r="859" spans="1:18">
      <c r="A859" s="26" t="s">
        <v>2550</v>
      </c>
      <c r="B859" s="26"/>
      <c r="C859" s="26"/>
      <c r="D859" s="26">
        <v>9000</v>
      </c>
      <c r="E859" s="26">
        <v>0</v>
      </c>
      <c r="F859" s="26">
        <v>0</v>
      </c>
      <c r="G859" s="26" t="s">
        <v>1602</v>
      </c>
      <c r="H859" s="26"/>
      <c r="I859" s="26" t="b">
        <v>0</v>
      </c>
      <c r="J859" s="26" t="b">
        <v>0</v>
      </c>
      <c r="K859" s="26" t="b">
        <v>0</v>
      </c>
      <c r="L859" s="26" t="s">
        <v>175</v>
      </c>
      <c r="M859" s="26" t="s">
        <v>1601</v>
      </c>
      <c r="N859" s="26" t="str">
        <f>_xlfn.IFNA(VLOOKUP($M859,Buff.CM!$A:$O,13,FALSE),"")</f>
        <v>icon_battle_critical</v>
      </c>
      <c r="O859" s="26" t="str">
        <f>_xlfn.IFNA(VLOOKUP($M859,Buff.CM!$A:$O,14,FALSE),"")</f>
        <v>Buff.Name.CriticalResist.Down.04</v>
      </c>
      <c r="P859" s="26" t="str">
        <f>_xlfn.IFNA(VLOOKUP($M859,Buff.CM!$A:$O,15,FALSE),"")</f>
        <v>Buff.Desc.CriticalResist.Down.04</v>
      </c>
      <c r="Q859" s="26" t="b">
        <v>0</v>
      </c>
      <c r="R859" s="26" t="b">
        <v>1</v>
      </c>
    </row>
    <row r="860" spans="1:18">
      <c r="A860" s="34" t="s">
        <v>2551</v>
      </c>
      <c r="B860" s="34"/>
      <c r="C860" s="34"/>
      <c r="D860" s="34">
        <v>7000</v>
      </c>
      <c r="E860" s="34">
        <v>0</v>
      </c>
      <c r="F860" s="34">
        <v>0</v>
      </c>
      <c r="G860" s="34" t="s">
        <v>1602</v>
      </c>
      <c r="H860" s="34"/>
      <c r="I860" s="34" t="b">
        <v>0</v>
      </c>
      <c r="J860" s="34" t="b">
        <v>0</v>
      </c>
      <c r="K860" s="34" t="b">
        <v>0</v>
      </c>
      <c r="L860" s="34" t="s">
        <v>175</v>
      </c>
      <c r="M860" s="34" t="s">
        <v>1602</v>
      </c>
      <c r="N860" s="34" t="str">
        <f>_xlfn.IFNA(VLOOKUP($M860,Buff.CM!$A:$O,13,FALSE),"")</f>
        <v>icon_battle_critical</v>
      </c>
      <c r="O860" s="34" t="str">
        <f>_xlfn.IFNA(VLOOKUP($M860,Buff.CM!$A:$O,14,FALSE),"")</f>
        <v>Buff.Name.CriticalResist.Down.05</v>
      </c>
      <c r="P860" s="34" t="str">
        <f>_xlfn.IFNA(VLOOKUP($M860,Buff.CM!$A:$O,15,FALSE),"")</f>
        <v>Buff.Desc.CriticalResist.Down.05</v>
      </c>
      <c r="Q860" s="34" t="b">
        <v>0</v>
      </c>
      <c r="R860" s="34" t="b">
        <v>1</v>
      </c>
    </row>
    <row r="861" spans="1:18">
      <c r="A861" s="34" t="s">
        <v>2552</v>
      </c>
      <c r="B861" s="34"/>
      <c r="C861" s="34"/>
      <c r="D861" s="34">
        <v>7000</v>
      </c>
      <c r="E861" s="34">
        <v>0</v>
      </c>
      <c r="F861" s="34">
        <v>0</v>
      </c>
      <c r="G861" s="34" t="s">
        <v>1602</v>
      </c>
      <c r="H861" s="34"/>
      <c r="I861" s="34" t="b">
        <v>0</v>
      </c>
      <c r="J861" s="34" t="b">
        <v>0</v>
      </c>
      <c r="K861" s="34" t="b">
        <v>0</v>
      </c>
      <c r="L861" s="34" t="s">
        <v>175</v>
      </c>
      <c r="M861" s="34" t="s">
        <v>1602</v>
      </c>
      <c r="N861" s="34" t="str">
        <f>_xlfn.IFNA(VLOOKUP($M861,Buff.CM!$A:$O,13,FALSE),"")</f>
        <v>icon_battle_critical</v>
      </c>
      <c r="O861" s="34" t="str">
        <f>_xlfn.IFNA(VLOOKUP($M861,Buff.CM!$A:$O,14,FALSE),"")</f>
        <v>Buff.Name.CriticalResist.Down.05</v>
      </c>
      <c r="P861" s="34" t="str">
        <f>_xlfn.IFNA(VLOOKUP($M861,Buff.CM!$A:$O,15,FALSE),"")</f>
        <v>Buff.Desc.CriticalResist.Down.05</v>
      </c>
      <c r="Q861" s="34" t="b">
        <v>0</v>
      </c>
      <c r="R861" s="34" t="b">
        <v>1</v>
      </c>
    </row>
    <row r="862" spans="1:18">
      <c r="A862" s="26" t="s">
        <v>2658</v>
      </c>
      <c r="B862" s="26"/>
      <c r="C862" s="26"/>
      <c r="D862" s="26">
        <v>9000</v>
      </c>
      <c r="E862" s="26">
        <v>0</v>
      </c>
      <c r="F862" s="26">
        <v>0</v>
      </c>
      <c r="G862" s="26" t="s">
        <v>1601</v>
      </c>
      <c r="H862" s="26"/>
      <c r="I862" s="26" t="b">
        <v>0</v>
      </c>
      <c r="J862" s="26" t="b">
        <v>0</v>
      </c>
      <c r="K862" s="26" t="b">
        <v>0</v>
      </c>
      <c r="L862" s="26" t="s">
        <v>175</v>
      </c>
      <c r="M862" s="26" t="s">
        <v>1601</v>
      </c>
      <c r="N862" s="26" t="str">
        <f>_xlfn.IFNA(VLOOKUP($M862,Buff.CM!$A:$O,13,FALSE),"")</f>
        <v>icon_battle_critical</v>
      </c>
      <c r="O862" s="26" t="str">
        <f>_xlfn.IFNA(VLOOKUP($M862,Buff.CM!$A:$O,14,FALSE),"")</f>
        <v>Buff.Name.CriticalResist.Down.04</v>
      </c>
      <c r="P862" s="26" t="str">
        <f>_xlfn.IFNA(VLOOKUP($M862,Buff.CM!$A:$O,15,FALSE),"")</f>
        <v>Buff.Desc.CriticalResist.Down.04</v>
      </c>
      <c r="Q862" s="26" t="b">
        <v>0</v>
      </c>
      <c r="R862" s="26" t="b">
        <v>1</v>
      </c>
    </row>
    <row r="863" spans="1:18">
      <c r="A863" s="26" t="s">
        <v>2659</v>
      </c>
      <c r="B863" s="26"/>
      <c r="C863" s="26"/>
      <c r="D863" s="26">
        <v>9000</v>
      </c>
      <c r="E863" s="26">
        <v>0</v>
      </c>
      <c r="F863" s="26">
        <v>0</v>
      </c>
      <c r="G863" s="26" t="s">
        <v>1601</v>
      </c>
      <c r="H863" s="26"/>
      <c r="I863" s="26" t="b">
        <v>0</v>
      </c>
      <c r="J863" s="26" t="b">
        <v>0</v>
      </c>
      <c r="K863" s="26" t="b">
        <v>0</v>
      </c>
      <c r="L863" s="26" t="s">
        <v>175</v>
      </c>
      <c r="M863" s="26" t="s">
        <v>1601</v>
      </c>
      <c r="N863" s="26" t="str">
        <f>_xlfn.IFNA(VLOOKUP($M863,Buff.CM!$A:$O,13,FALSE),"")</f>
        <v>icon_battle_critical</v>
      </c>
      <c r="O863" s="26" t="str">
        <f>_xlfn.IFNA(VLOOKUP($M863,Buff.CM!$A:$O,14,FALSE),"")</f>
        <v>Buff.Name.CriticalResist.Down.04</v>
      </c>
      <c r="P863" s="26" t="str">
        <f>_xlfn.IFNA(VLOOKUP($M863,Buff.CM!$A:$O,15,FALSE),"")</f>
        <v>Buff.Desc.CriticalResist.Down.04</v>
      </c>
      <c r="Q863" s="26" t="b">
        <v>0</v>
      </c>
      <c r="R863" s="26" t="b">
        <v>1</v>
      </c>
    </row>
    <row r="864" spans="1:18">
      <c r="A864" s="26" t="s">
        <v>2660</v>
      </c>
      <c r="B864" s="26"/>
      <c r="C864" s="26"/>
      <c r="D864" s="26">
        <v>9000</v>
      </c>
      <c r="E864" s="26">
        <v>0</v>
      </c>
      <c r="F864" s="26">
        <v>0</v>
      </c>
      <c r="G864" s="26" t="s">
        <v>1602</v>
      </c>
      <c r="H864" s="26"/>
      <c r="I864" s="26" t="b">
        <v>0</v>
      </c>
      <c r="J864" s="26" t="b">
        <v>0</v>
      </c>
      <c r="K864" s="26" t="b">
        <v>0</v>
      </c>
      <c r="L864" s="26" t="s">
        <v>175</v>
      </c>
      <c r="M864" s="26" t="s">
        <v>1601</v>
      </c>
      <c r="N864" s="26" t="str">
        <f>_xlfn.IFNA(VLOOKUP($M864,Buff.CM!$A:$O,13,FALSE),"")</f>
        <v>icon_battle_critical</v>
      </c>
      <c r="O864" s="26" t="str">
        <f>_xlfn.IFNA(VLOOKUP($M864,Buff.CM!$A:$O,14,FALSE),"")</f>
        <v>Buff.Name.CriticalResist.Down.04</v>
      </c>
      <c r="P864" s="26" t="str">
        <f>_xlfn.IFNA(VLOOKUP($M864,Buff.CM!$A:$O,15,FALSE),"")</f>
        <v>Buff.Desc.CriticalResist.Down.04</v>
      </c>
      <c r="Q864" s="26" t="b">
        <v>0</v>
      </c>
      <c r="R864" s="26" t="b">
        <v>1</v>
      </c>
    </row>
    <row r="865" spans="1:18">
      <c r="A865" s="26" t="s">
        <v>2661</v>
      </c>
      <c r="B865" s="26"/>
      <c r="C865" s="26"/>
      <c r="D865" s="26">
        <v>9000</v>
      </c>
      <c r="E865" s="26">
        <v>0</v>
      </c>
      <c r="F865" s="26">
        <v>0</v>
      </c>
      <c r="G865" s="26" t="s">
        <v>1602</v>
      </c>
      <c r="H865" s="26"/>
      <c r="I865" s="26" t="b">
        <v>0</v>
      </c>
      <c r="J865" s="26" t="b">
        <v>0</v>
      </c>
      <c r="K865" s="26" t="b">
        <v>0</v>
      </c>
      <c r="L865" s="26" t="s">
        <v>175</v>
      </c>
      <c r="M865" s="26" t="s">
        <v>1602</v>
      </c>
      <c r="N865" s="26" t="str">
        <f>_xlfn.IFNA(VLOOKUP($M865,Buff.CM!$A:$O,13,FALSE),"")</f>
        <v>icon_battle_critical</v>
      </c>
      <c r="O865" s="26" t="str">
        <f>_xlfn.IFNA(VLOOKUP($M865,Buff.CM!$A:$O,14,FALSE),"")</f>
        <v>Buff.Name.CriticalResist.Down.05</v>
      </c>
      <c r="P865" s="26" t="str">
        <f>_xlfn.IFNA(VLOOKUP($M865,Buff.CM!$A:$O,15,FALSE),"")</f>
        <v>Buff.Desc.CriticalResist.Down.05</v>
      </c>
      <c r="Q865" s="26" t="b">
        <v>0</v>
      </c>
      <c r="R865" s="26" t="b">
        <v>1</v>
      </c>
    </row>
    <row r="866" spans="1:18">
      <c r="A866" s="26" t="s">
        <v>2662</v>
      </c>
      <c r="B866" s="26"/>
      <c r="C866" s="26"/>
      <c r="D866" s="26">
        <v>9000</v>
      </c>
      <c r="E866" s="26">
        <v>0</v>
      </c>
      <c r="F866" s="26">
        <v>0</v>
      </c>
      <c r="G866" s="26" t="s">
        <v>2665</v>
      </c>
      <c r="H866" s="26"/>
      <c r="I866" s="26" t="b">
        <v>0</v>
      </c>
      <c r="J866" s="26" t="b">
        <v>0</v>
      </c>
      <c r="K866" s="26" t="b">
        <v>0</v>
      </c>
      <c r="L866" s="26" t="s">
        <v>175</v>
      </c>
      <c r="M866" s="26" t="s">
        <v>1602</v>
      </c>
      <c r="N866" s="26" t="str">
        <f>_xlfn.IFNA(VLOOKUP($M866,Buff.CM!$A:$O,13,FALSE),"")</f>
        <v>icon_battle_critical</v>
      </c>
      <c r="O866" s="26" t="str">
        <f>_xlfn.IFNA(VLOOKUP($M866,Buff.CM!$A:$O,14,FALSE),"")</f>
        <v>Buff.Name.CriticalResist.Down.05</v>
      </c>
      <c r="P866" s="26" t="str">
        <f>_xlfn.IFNA(VLOOKUP($M866,Buff.CM!$A:$O,15,FALSE),"")</f>
        <v>Buff.Desc.CriticalResist.Down.05</v>
      </c>
      <c r="Q866" s="26" t="b">
        <v>0</v>
      </c>
      <c r="R866" s="26" t="b">
        <v>1</v>
      </c>
    </row>
    <row r="867" spans="1:18">
      <c r="A867" s="34" t="s">
        <v>2663</v>
      </c>
      <c r="B867" s="34"/>
      <c r="C867" s="34"/>
      <c r="D867" s="34">
        <v>7000</v>
      </c>
      <c r="E867" s="34">
        <v>0</v>
      </c>
      <c r="F867" s="34">
        <v>0</v>
      </c>
      <c r="G867" s="34" t="s">
        <v>2667</v>
      </c>
      <c r="H867" s="34"/>
      <c r="I867" s="34" t="b">
        <v>0</v>
      </c>
      <c r="J867" s="34" t="b">
        <v>0</v>
      </c>
      <c r="K867" s="34" t="b">
        <v>0</v>
      </c>
      <c r="L867" s="34" t="s">
        <v>175</v>
      </c>
      <c r="M867" s="34" t="s">
        <v>2667</v>
      </c>
      <c r="N867" s="34" t="str">
        <f>_xlfn.IFNA(VLOOKUP($M867,Buff.CM!$A:$O,13,FALSE),"")</f>
        <v>icon_battle_critical</v>
      </c>
      <c r="O867" s="34" t="str">
        <f>_xlfn.IFNA(VLOOKUP($M867,Buff.CM!$A:$O,14,FALSE),"")</f>
        <v>Buff.Name.CriticalResist.Down.08</v>
      </c>
      <c r="P867" s="34" t="str">
        <f>_xlfn.IFNA(VLOOKUP($M867,Buff.CM!$A:$O,15,FALSE),"")</f>
        <v>Buff.Desc.CriticalResist.Down.08</v>
      </c>
      <c r="Q867" s="34" t="b">
        <v>0</v>
      </c>
      <c r="R867" s="34" t="b">
        <v>1</v>
      </c>
    </row>
    <row r="868" spans="1:18">
      <c r="A868" s="34" t="s">
        <v>2664</v>
      </c>
      <c r="B868" s="34"/>
      <c r="C868" s="34"/>
      <c r="D868" s="34">
        <v>7000</v>
      </c>
      <c r="E868" s="34">
        <v>0</v>
      </c>
      <c r="F868" s="34">
        <v>0</v>
      </c>
      <c r="G868" s="34" t="s">
        <v>2667</v>
      </c>
      <c r="H868" s="34"/>
      <c r="I868" s="34" t="b">
        <v>0</v>
      </c>
      <c r="J868" s="34" t="b">
        <v>0</v>
      </c>
      <c r="K868" s="34" t="b">
        <v>0</v>
      </c>
      <c r="L868" s="34" t="s">
        <v>175</v>
      </c>
      <c r="M868" s="34" t="s">
        <v>2667</v>
      </c>
      <c r="N868" s="34" t="str">
        <f>_xlfn.IFNA(VLOOKUP($M868,Buff.CM!$A:$O,13,FALSE),"")</f>
        <v>icon_battle_critical</v>
      </c>
      <c r="O868" s="34" t="str">
        <f>_xlfn.IFNA(VLOOKUP($M868,Buff.CM!$A:$O,14,FALSE),"")</f>
        <v>Buff.Name.CriticalResist.Down.08</v>
      </c>
      <c r="P868" s="34" t="str">
        <f>_xlfn.IFNA(VLOOKUP($M868,Buff.CM!$A:$O,15,FALSE),"")</f>
        <v>Buff.Desc.CriticalResist.Down.08</v>
      </c>
      <c r="Q868" s="34" t="b">
        <v>0</v>
      </c>
      <c r="R868" s="34" t="b">
        <v>1</v>
      </c>
    </row>
    <row r="869" spans="1:18">
      <c r="A869" s="26" t="s">
        <v>4482</v>
      </c>
      <c r="B869" s="26"/>
      <c r="C869" s="26"/>
      <c r="D869" s="26">
        <v>9000</v>
      </c>
      <c r="E869" s="26">
        <v>0</v>
      </c>
      <c r="F869" s="26">
        <v>0</v>
      </c>
      <c r="G869" s="26" t="s">
        <v>4492</v>
      </c>
      <c r="H869" s="26"/>
      <c r="I869" s="26" t="b">
        <v>0</v>
      </c>
      <c r="J869" s="26" t="b">
        <v>0</v>
      </c>
      <c r="K869" s="26" t="b">
        <v>0</v>
      </c>
      <c r="L869" s="26" t="s">
        <v>175</v>
      </c>
      <c r="M869" s="26" t="s">
        <v>4492</v>
      </c>
      <c r="N869" s="26" t="str">
        <f>_xlfn.IFNA(VLOOKUP($M869,Buff.CM!$A:$O,13,FALSE),"")</f>
        <v>icon_battle_critical</v>
      </c>
      <c r="O869" s="26" t="str">
        <f>_xlfn.IFNA(VLOOKUP($M869,Buff.CM!$A:$O,14,FALSE),"")</f>
        <v>Buff.Name.Critical.Damage.Derate.Down.01</v>
      </c>
      <c r="P869" s="26" t="str">
        <f>_xlfn.IFNA(VLOOKUP($M869,Buff.CM!$A:$O,15,FALSE),"")</f>
        <v>Buff.Desc.Critical.Damage.Derate.Down.01</v>
      </c>
      <c r="Q869" s="26" t="b">
        <v>0</v>
      </c>
      <c r="R869" s="26" t="b">
        <v>0</v>
      </c>
    </row>
    <row r="870" spans="1:18">
      <c r="A870" s="26" t="s">
        <v>4472</v>
      </c>
      <c r="B870" s="26"/>
      <c r="C870" s="26"/>
      <c r="D870" s="26">
        <v>9000</v>
      </c>
      <c r="E870" s="26">
        <v>0</v>
      </c>
      <c r="F870" s="26">
        <v>0</v>
      </c>
      <c r="G870" s="26" t="s">
        <v>4492</v>
      </c>
      <c r="H870" s="26"/>
      <c r="I870" s="26" t="b">
        <v>0</v>
      </c>
      <c r="J870" s="26" t="b">
        <v>0</v>
      </c>
      <c r="K870" s="26" t="b">
        <v>0</v>
      </c>
      <c r="L870" s="26" t="s">
        <v>175</v>
      </c>
      <c r="M870" s="26" t="s">
        <v>4492</v>
      </c>
      <c r="N870" s="26" t="str">
        <f>_xlfn.IFNA(VLOOKUP($M870,Buff.CM!$A:$O,13,FALSE),"")</f>
        <v>icon_battle_critical</v>
      </c>
      <c r="O870" s="26" t="str">
        <f>_xlfn.IFNA(VLOOKUP($M870,Buff.CM!$A:$O,14,FALSE),"")</f>
        <v>Buff.Name.Critical.Damage.Derate.Down.01</v>
      </c>
      <c r="P870" s="26" t="str">
        <f>_xlfn.IFNA(VLOOKUP($M870,Buff.CM!$A:$O,15,FALSE),"")</f>
        <v>Buff.Desc.Critical.Damage.Derate.Down.01</v>
      </c>
      <c r="Q870" s="26" t="b">
        <v>0</v>
      </c>
      <c r="R870" s="26" t="b">
        <v>0</v>
      </c>
    </row>
    <row r="871" spans="1:18">
      <c r="A871" s="26" t="s">
        <v>4473</v>
      </c>
      <c r="B871" s="26"/>
      <c r="C871" s="26"/>
      <c r="D871" s="26">
        <v>9000</v>
      </c>
      <c r="E871" s="26">
        <v>0</v>
      </c>
      <c r="F871" s="26">
        <v>0</v>
      </c>
      <c r="G871" s="26" t="s">
        <v>4288</v>
      </c>
      <c r="H871" s="26"/>
      <c r="I871" s="26" t="b">
        <v>0</v>
      </c>
      <c r="J871" s="26" t="b">
        <v>0</v>
      </c>
      <c r="K871" s="26" t="b">
        <v>0</v>
      </c>
      <c r="L871" s="26" t="s">
        <v>175</v>
      </c>
      <c r="M871" s="26" t="s">
        <v>4492</v>
      </c>
      <c r="N871" s="26" t="str">
        <f>_xlfn.IFNA(VLOOKUP($M871,Buff.CM!$A:$O,13,FALSE),"")</f>
        <v>icon_battle_critical</v>
      </c>
      <c r="O871" s="26" t="str">
        <f>_xlfn.IFNA(VLOOKUP($M871,Buff.CM!$A:$O,14,FALSE),"")</f>
        <v>Buff.Name.Critical.Damage.Derate.Down.01</v>
      </c>
      <c r="P871" s="26" t="str">
        <f>_xlfn.IFNA(VLOOKUP($M871,Buff.CM!$A:$O,15,FALSE),"")</f>
        <v>Buff.Desc.Critical.Damage.Derate.Down.01</v>
      </c>
      <c r="Q871" s="26" t="b">
        <v>0</v>
      </c>
      <c r="R871" s="26" t="b">
        <v>0</v>
      </c>
    </row>
    <row r="872" spans="1:18">
      <c r="A872" s="26" t="s">
        <v>4474</v>
      </c>
      <c r="B872" s="26"/>
      <c r="C872" s="26"/>
      <c r="D872" s="26">
        <v>9000</v>
      </c>
      <c r="E872" s="26">
        <v>0</v>
      </c>
      <c r="F872" s="26">
        <v>0</v>
      </c>
      <c r="G872" s="26" t="s">
        <v>4288</v>
      </c>
      <c r="H872" s="26"/>
      <c r="I872" s="26" t="b">
        <v>0</v>
      </c>
      <c r="J872" s="26" t="b">
        <v>0</v>
      </c>
      <c r="K872" s="26" t="b">
        <v>0</v>
      </c>
      <c r="L872" s="26" t="s">
        <v>175</v>
      </c>
      <c r="M872" s="26" t="s">
        <v>4288</v>
      </c>
      <c r="N872" s="26" t="str">
        <f>_xlfn.IFNA(VLOOKUP($M872,Buff.CM!$A:$O,13,FALSE),"")</f>
        <v>icon_battle_critical</v>
      </c>
      <c r="O872" s="26" t="str">
        <f>_xlfn.IFNA(VLOOKUP($M872,Buff.CM!$A:$O,14,FALSE),"")</f>
        <v>Buff.Name.Critical.Damage.Derate.Down.02</v>
      </c>
      <c r="P872" s="26" t="str">
        <f>_xlfn.IFNA(VLOOKUP($M872,Buff.CM!$A:$O,15,FALSE),"")</f>
        <v>Buff.Desc.Critical.Damage.Derate.Down.02</v>
      </c>
      <c r="Q872" s="26" t="b">
        <v>0</v>
      </c>
      <c r="R872" s="26" t="b">
        <v>0</v>
      </c>
    </row>
    <row r="873" spans="1:18">
      <c r="A873" s="26" t="s">
        <v>4475</v>
      </c>
      <c r="B873" s="26"/>
      <c r="C873" s="26"/>
      <c r="D873" s="26">
        <v>9000</v>
      </c>
      <c r="E873" s="26">
        <v>0</v>
      </c>
      <c r="F873" s="26">
        <v>0</v>
      </c>
      <c r="G873" s="26" t="s">
        <v>4485</v>
      </c>
      <c r="H873" s="26"/>
      <c r="I873" s="26" t="b">
        <v>0</v>
      </c>
      <c r="J873" s="26" t="b">
        <v>0</v>
      </c>
      <c r="K873" s="26" t="b">
        <v>0</v>
      </c>
      <c r="L873" s="26" t="s">
        <v>175</v>
      </c>
      <c r="M873" s="26" t="s">
        <v>4288</v>
      </c>
      <c r="N873" s="26" t="str">
        <f>_xlfn.IFNA(VLOOKUP($M873,Buff.CM!$A:$O,13,FALSE),"")</f>
        <v>icon_battle_critical</v>
      </c>
      <c r="O873" s="26" t="str">
        <f>_xlfn.IFNA(VLOOKUP($M873,Buff.CM!$A:$O,14,FALSE),"")</f>
        <v>Buff.Name.Critical.Damage.Derate.Down.02</v>
      </c>
      <c r="P873" s="26" t="str">
        <f>_xlfn.IFNA(VLOOKUP($M873,Buff.CM!$A:$O,15,FALSE),"")</f>
        <v>Buff.Desc.Critical.Damage.Derate.Down.02</v>
      </c>
      <c r="Q873" s="26" t="b">
        <v>0</v>
      </c>
      <c r="R873" s="26" t="b">
        <v>0</v>
      </c>
    </row>
    <row r="874" spans="1:18">
      <c r="A874" s="34" t="s">
        <v>4476</v>
      </c>
      <c r="B874" s="34"/>
      <c r="C874" s="34"/>
      <c r="D874" s="34">
        <v>7000</v>
      </c>
      <c r="E874" s="34">
        <v>0</v>
      </c>
      <c r="F874" s="34">
        <v>0</v>
      </c>
      <c r="G874" s="34" t="s">
        <v>4290</v>
      </c>
      <c r="H874" s="34"/>
      <c r="I874" s="34" t="b">
        <v>0</v>
      </c>
      <c r="J874" s="34" t="b">
        <v>0</v>
      </c>
      <c r="K874" s="34" t="b">
        <v>0</v>
      </c>
      <c r="L874" s="34" t="s">
        <v>175</v>
      </c>
      <c r="M874" s="34" t="s">
        <v>4290</v>
      </c>
      <c r="N874" s="34" t="str">
        <f>_xlfn.IFNA(VLOOKUP($M874,Buff.CM!$A:$O,13,FALSE),"")</f>
        <v>icon_battle_critical</v>
      </c>
      <c r="O874" s="34" t="str">
        <f>_xlfn.IFNA(VLOOKUP($M874,Buff.CM!$A:$O,14,FALSE),"")</f>
        <v>Buff.Name.Critical.Damage.Derate.Down.05</v>
      </c>
      <c r="P874" s="34" t="str">
        <f>_xlfn.IFNA(VLOOKUP($M874,Buff.CM!$A:$O,15,FALSE),"")</f>
        <v>Buff.Desc.Critical.Damage.Derate.Down.05</v>
      </c>
      <c r="Q874" s="34" t="b">
        <v>0</v>
      </c>
      <c r="R874" s="34" t="b">
        <v>0</v>
      </c>
    </row>
    <row r="875" spans="1:18">
      <c r="A875" s="34" t="s">
        <v>4477</v>
      </c>
      <c r="B875" s="34"/>
      <c r="C875" s="34"/>
      <c r="D875" s="34">
        <v>7000</v>
      </c>
      <c r="E875" s="34">
        <v>0</v>
      </c>
      <c r="F875" s="34">
        <v>0</v>
      </c>
      <c r="G875" s="34" t="s">
        <v>4290</v>
      </c>
      <c r="H875" s="34"/>
      <c r="I875" s="34" t="b">
        <v>0</v>
      </c>
      <c r="J875" s="34" t="b">
        <v>0</v>
      </c>
      <c r="K875" s="34" t="b">
        <v>0</v>
      </c>
      <c r="L875" s="34" t="s">
        <v>175</v>
      </c>
      <c r="M875" s="34" t="s">
        <v>4290</v>
      </c>
      <c r="N875" s="34" t="str">
        <f>_xlfn.IFNA(VLOOKUP($M875,Buff.CM!$A:$O,13,FALSE),"")</f>
        <v>icon_battle_critical</v>
      </c>
      <c r="O875" s="34" t="str">
        <f>_xlfn.IFNA(VLOOKUP($M875,Buff.CM!$A:$O,14,FALSE),"")</f>
        <v>Buff.Name.Critical.Damage.Derate.Down.05</v>
      </c>
      <c r="P875" s="34" t="str">
        <f>_xlfn.IFNA(VLOOKUP($M875,Buff.CM!$A:$O,15,FALSE),"")</f>
        <v>Buff.Desc.Critical.Damage.Derate.Down.05</v>
      </c>
      <c r="Q875" s="34" t="b">
        <v>0</v>
      </c>
      <c r="R875" s="34" t="b">
        <v>0</v>
      </c>
    </row>
    <row r="876" spans="1:18">
      <c r="A876" s="26" t="s">
        <v>6771</v>
      </c>
      <c r="B876" s="26"/>
      <c r="C876" s="26"/>
      <c r="D876" s="26">
        <v>9000</v>
      </c>
      <c r="E876" s="26">
        <v>0</v>
      </c>
      <c r="F876" s="26">
        <v>0</v>
      </c>
      <c r="G876" s="26" t="s">
        <v>4288</v>
      </c>
      <c r="H876" s="26"/>
      <c r="I876" s="26" t="b">
        <v>0</v>
      </c>
      <c r="J876" s="26" t="b">
        <v>0</v>
      </c>
      <c r="K876" s="26" t="b">
        <v>0</v>
      </c>
      <c r="L876" s="26" t="s">
        <v>175</v>
      </c>
      <c r="M876" s="26" t="s">
        <v>4288</v>
      </c>
      <c r="N876" s="26" t="str">
        <f>_xlfn.IFNA(VLOOKUP($M876,Buff.CM!$A:$O,13,FALSE),"")</f>
        <v>icon_battle_critical</v>
      </c>
      <c r="O876" s="26" t="str">
        <f>_xlfn.IFNA(VLOOKUP($M876,Buff.CM!$A:$O,14,FALSE),"")</f>
        <v>Buff.Name.Critical.Damage.Derate.Down.02</v>
      </c>
      <c r="P876" s="26" t="str">
        <f>_xlfn.IFNA(VLOOKUP($M876,Buff.CM!$A:$O,15,FALSE),"")</f>
        <v>Buff.Desc.Critical.Damage.Derate.Down.02</v>
      </c>
      <c r="Q876" s="26" t="b">
        <v>0</v>
      </c>
      <c r="R876" s="26" t="b">
        <v>0</v>
      </c>
    </row>
    <row r="877" spans="1:18">
      <c r="A877" s="26" t="s">
        <v>4478</v>
      </c>
      <c r="B877" s="26"/>
      <c r="C877" s="26"/>
      <c r="D877" s="26">
        <v>9000</v>
      </c>
      <c r="E877" s="26">
        <v>0</v>
      </c>
      <c r="F877" s="26">
        <v>0</v>
      </c>
      <c r="G877" s="26" t="s">
        <v>4288</v>
      </c>
      <c r="H877" s="26"/>
      <c r="I877" s="26" t="b">
        <v>0</v>
      </c>
      <c r="J877" s="26" t="b">
        <v>0</v>
      </c>
      <c r="K877" s="26" t="b">
        <v>0</v>
      </c>
      <c r="L877" s="26" t="s">
        <v>175</v>
      </c>
      <c r="M877" s="26" t="s">
        <v>4288</v>
      </c>
      <c r="N877" s="26" t="str">
        <f>_xlfn.IFNA(VLOOKUP($M877,Buff.CM!$A:$O,13,FALSE),"")</f>
        <v>icon_battle_critical</v>
      </c>
      <c r="O877" s="26" t="str">
        <f>_xlfn.IFNA(VLOOKUP($M877,Buff.CM!$A:$O,14,FALSE),"")</f>
        <v>Buff.Name.Critical.Damage.Derate.Down.02</v>
      </c>
      <c r="P877" s="26" t="str">
        <f>_xlfn.IFNA(VLOOKUP($M877,Buff.CM!$A:$O,15,FALSE),"")</f>
        <v>Buff.Desc.Critical.Damage.Derate.Down.02</v>
      </c>
      <c r="Q877" s="26" t="b">
        <v>0</v>
      </c>
      <c r="R877" s="26" t="b">
        <v>0</v>
      </c>
    </row>
    <row r="878" spans="1:18">
      <c r="A878" s="26" t="s">
        <v>4479</v>
      </c>
      <c r="B878" s="26"/>
      <c r="C878" s="26"/>
      <c r="D878" s="26">
        <v>9000</v>
      </c>
      <c r="E878" s="26">
        <v>0</v>
      </c>
      <c r="F878" s="26">
        <v>0</v>
      </c>
      <c r="G878" s="26" t="s">
        <v>4485</v>
      </c>
      <c r="H878" s="26"/>
      <c r="I878" s="26" t="b">
        <v>0</v>
      </c>
      <c r="J878" s="26" t="b">
        <v>0</v>
      </c>
      <c r="K878" s="26" t="b">
        <v>0</v>
      </c>
      <c r="L878" s="26" t="s">
        <v>175</v>
      </c>
      <c r="M878" s="26" t="s">
        <v>4288</v>
      </c>
      <c r="N878" s="26" t="str">
        <f>_xlfn.IFNA(VLOOKUP($M878,Buff.CM!$A:$O,13,FALSE),"")</f>
        <v>icon_battle_critical</v>
      </c>
      <c r="O878" s="26" t="str">
        <f>_xlfn.IFNA(VLOOKUP($M878,Buff.CM!$A:$O,14,FALSE),"")</f>
        <v>Buff.Name.Critical.Damage.Derate.Down.02</v>
      </c>
      <c r="P878" s="26" t="str">
        <f>_xlfn.IFNA(VLOOKUP($M878,Buff.CM!$A:$O,15,FALSE),"")</f>
        <v>Buff.Desc.Critical.Damage.Derate.Down.02</v>
      </c>
      <c r="Q878" s="26" t="b">
        <v>0</v>
      </c>
      <c r="R878" s="26" t="b">
        <v>0</v>
      </c>
    </row>
    <row r="879" spans="1:18">
      <c r="A879" s="26" t="s">
        <v>4480</v>
      </c>
      <c r="B879" s="26"/>
      <c r="C879" s="26"/>
      <c r="D879" s="26">
        <v>9000</v>
      </c>
      <c r="E879" s="26">
        <v>0</v>
      </c>
      <c r="F879" s="26">
        <v>0</v>
      </c>
      <c r="G879" s="26" t="s">
        <v>4485</v>
      </c>
      <c r="H879" s="26"/>
      <c r="I879" s="26" t="b">
        <v>0</v>
      </c>
      <c r="J879" s="26" t="b">
        <v>0</v>
      </c>
      <c r="K879" s="26" t="b">
        <v>0</v>
      </c>
      <c r="L879" s="26" t="s">
        <v>175</v>
      </c>
      <c r="M879" s="26" t="s">
        <v>4485</v>
      </c>
      <c r="N879" s="26" t="str">
        <f>_xlfn.IFNA(VLOOKUP($M879,Buff.CM!$A:$O,13,FALSE),"")</f>
        <v>icon_battle_critical</v>
      </c>
      <c r="O879" s="26" t="str">
        <f>_xlfn.IFNA(VLOOKUP($M879,Buff.CM!$A:$O,14,FALSE),"")</f>
        <v>Buff.Name.Critical.Damage.Derate.Down.03</v>
      </c>
      <c r="P879" s="26" t="str">
        <f>_xlfn.IFNA(VLOOKUP($M879,Buff.CM!$A:$O,15,FALSE),"")</f>
        <v>Buff.Desc.Critical.Damage.Derate.Down.03</v>
      </c>
      <c r="Q879" s="26" t="b">
        <v>0</v>
      </c>
      <c r="R879" s="26" t="b">
        <v>0</v>
      </c>
    </row>
    <row r="880" spans="1:18">
      <c r="A880" s="26" t="s">
        <v>4481</v>
      </c>
      <c r="B880" s="26"/>
      <c r="C880" s="26"/>
      <c r="D880" s="26">
        <v>9000</v>
      </c>
      <c r="E880" s="26">
        <v>0</v>
      </c>
      <c r="F880" s="26">
        <v>0</v>
      </c>
      <c r="G880" s="26" t="s">
        <v>4289</v>
      </c>
      <c r="H880" s="26"/>
      <c r="I880" s="26" t="b">
        <v>0</v>
      </c>
      <c r="J880" s="26" t="b">
        <v>0</v>
      </c>
      <c r="K880" s="26" t="b">
        <v>0</v>
      </c>
      <c r="L880" s="26" t="s">
        <v>175</v>
      </c>
      <c r="M880" s="26" t="s">
        <v>4485</v>
      </c>
      <c r="N880" s="26" t="str">
        <f>_xlfn.IFNA(VLOOKUP($M880,Buff.CM!$A:$O,13,FALSE),"")</f>
        <v>icon_battle_critical</v>
      </c>
      <c r="O880" s="26" t="str">
        <f>_xlfn.IFNA(VLOOKUP($M880,Buff.CM!$A:$O,14,FALSE),"")</f>
        <v>Buff.Name.Critical.Damage.Derate.Down.03</v>
      </c>
      <c r="P880" s="26" t="str">
        <f>_xlfn.IFNA(VLOOKUP($M880,Buff.CM!$A:$O,15,FALSE),"")</f>
        <v>Buff.Desc.Critical.Damage.Derate.Down.03</v>
      </c>
      <c r="Q880" s="26" t="b">
        <v>0</v>
      </c>
      <c r="R880" s="26" t="b">
        <v>0</v>
      </c>
    </row>
    <row r="881" spans="1:18">
      <c r="A881" s="34" t="s">
        <v>4483</v>
      </c>
      <c r="B881" s="34"/>
      <c r="C881" s="34"/>
      <c r="D881" s="34">
        <v>7000</v>
      </c>
      <c r="E881" s="34">
        <v>0</v>
      </c>
      <c r="F881" s="34">
        <v>0</v>
      </c>
      <c r="G881" s="34" t="s">
        <v>4290</v>
      </c>
      <c r="H881" s="34"/>
      <c r="I881" s="34" t="b">
        <v>0</v>
      </c>
      <c r="J881" s="34" t="b">
        <v>0</v>
      </c>
      <c r="K881" s="34" t="b">
        <v>0</v>
      </c>
      <c r="L881" s="34" t="s">
        <v>175</v>
      </c>
      <c r="M881" s="34" t="s">
        <v>4290</v>
      </c>
      <c r="N881" s="34" t="str">
        <f>_xlfn.IFNA(VLOOKUP($M881,Buff.CM!$A:$O,13,FALSE),"")</f>
        <v>icon_battle_critical</v>
      </c>
      <c r="O881" s="34" t="str">
        <f>_xlfn.IFNA(VLOOKUP($M881,Buff.CM!$A:$O,14,FALSE),"")</f>
        <v>Buff.Name.Critical.Damage.Derate.Down.05</v>
      </c>
      <c r="P881" s="34" t="str">
        <f>_xlfn.IFNA(VLOOKUP($M881,Buff.CM!$A:$O,15,FALSE),"")</f>
        <v>Buff.Desc.Critical.Damage.Derate.Down.05</v>
      </c>
      <c r="Q881" s="34" t="b">
        <v>0</v>
      </c>
      <c r="R881" s="34" t="b">
        <v>0</v>
      </c>
    </row>
    <row r="882" spans="1:18">
      <c r="A882" s="34" t="s">
        <v>4484</v>
      </c>
      <c r="B882" s="34"/>
      <c r="C882" s="34"/>
      <c r="D882" s="34">
        <v>7000</v>
      </c>
      <c r="E882" s="34">
        <v>0</v>
      </c>
      <c r="F882" s="34">
        <v>0</v>
      </c>
      <c r="G882" s="34" t="s">
        <v>4290</v>
      </c>
      <c r="H882" s="34"/>
      <c r="I882" s="34" t="b">
        <v>0</v>
      </c>
      <c r="J882" s="34" t="b">
        <v>0</v>
      </c>
      <c r="K882" s="34" t="b">
        <v>0</v>
      </c>
      <c r="L882" s="34" t="s">
        <v>175</v>
      </c>
      <c r="M882" s="34" t="s">
        <v>4290</v>
      </c>
      <c r="N882" s="34" t="str">
        <f>_xlfn.IFNA(VLOOKUP($M882,Buff.CM!$A:$O,13,FALSE),"")</f>
        <v>icon_battle_critical</v>
      </c>
      <c r="O882" s="34" t="str">
        <f>_xlfn.IFNA(VLOOKUP($M882,Buff.CM!$A:$O,14,FALSE),"")</f>
        <v>Buff.Name.Critical.Damage.Derate.Down.05</v>
      </c>
      <c r="P882" s="34" t="str">
        <f>_xlfn.IFNA(VLOOKUP($M882,Buff.CM!$A:$O,15,FALSE),"")</f>
        <v>Buff.Desc.Critical.Damage.Derate.Down.05</v>
      </c>
      <c r="Q882" s="34" t="b">
        <v>0</v>
      </c>
      <c r="R882" s="34" t="b">
        <v>0</v>
      </c>
    </row>
    <row r="883" spans="1:18" s="143" customFormat="1" ht="82.5">
      <c r="A883" s="25" t="s">
        <v>6772</v>
      </c>
      <c r="B883" s="25"/>
      <c r="C883" s="25"/>
      <c r="D883" s="25">
        <v>100</v>
      </c>
      <c r="E883" s="25">
        <v>0</v>
      </c>
      <c r="F883" s="25">
        <v>0</v>
      </c>
      <c r="G883" s="43" t="s">
        <v>4534</v>
      </c>
      <c r="H883" s="25"/>
      <c r="I883" s="25" t="b">
        <v>0</v>
      </c>
      <c r="J883" s="25" t="b">
        <v>0</v>
      </c>
      <c r="K883" s="25" t="b">
        <v>0</v>
      </c>
      <c r="L883" s="25"/>
      <c r="M883" s="25"/>
      <c r="N883" s="25" t="str">
        <f>_xlfn.IFNA(VLOOKUP($M883,Buff.CM!$A:$O,13,FALSE),"")</f>
        <v/>
      </c>
      <c r="O883" s="25" t="str">
        <f>_xlfn.IFNA(VLOOKUP($M883,Buff.CM!$A:$O,14,FALSE),"")</f>
        <v/>
      </c>
      <c r="P883" s="25" t="str">
        <f>_xlfn.IFNA(VLOOKUP($M883,Buff.CM!$A:$O,15,FALSE),"")</f>
        <v/>
      </c>
      <c r="Q883" s="25" t="b">
        <v>0</v>
      </c>
      <c r="R883" s="25" t="b">
        <v>0</v>
      </c>
    </row>
    <row r="884" spans="1:18">
      <c r="A884" s="26" t="s">
        <v>1785</v>
      </c>
      <c r="B884" s="26"/>
      <c r="C884" s="26"/>
      <c r="D884" s="26">
        <v>2000</v>
      </c>
      <c r="E884" s="26">
        <v>0</v>
      </c>
      <c r="F884" s="26">
        <v>0</v>
      </c>
      <c r="G884" s="26" t="s">
        <v>243</v>
      </c>
      <c r="H884" s="26"/>
      <c r="I884" s="26" t="b">
        <v>0</v>
      </c>
      <c r="J884" s="26" t="b">
        <v>0</v>
      </c>
      <c r="K884" s="26" t="b">
        <v>0</v>
      </c>
      <c r="L884" s="26" t="s">
        <v>314</v>
      </c>
      <c r="M884" s="26" t="s">
        <v>5468</v>
      </c>
      <c r="N884" s="26" t="str">
        <f>_xlfn.IFNA(VLOOKUP($M884,Buff.CM!$A:$O,13,FALSE),"")</f>
        <v>icon_battle_stun</v>
      </c>
      <c r="O884" s="26" t="str">
        <f>_xlfn.IFNA(VLOOKUP($M884,Buff.CM!$A:$O,14,FALSE),"")</f>
        <v>Buff.Name.Stun</v>
      </c>
      <c r="P884" s="26" t="str">
        <f>_xlfn.IFNA(VLOOKUP($M884,Buff.CM!$A:$O,15,FALSE),"")</f>
        <v>Buff.Desc.Stun</v>
      </c>
      <c r="Q884" s="26" t="b">
        <v>0</v>
      </c>
      <c r="R884" s="26" t="b">
        <v>1</v>
      </c>
    </row>
    <row r="885" spans="1:18">
      <c r="A885" s="26" t="s">
        <v>1786</v>
      </c>
      <c r="B885" s="26"/>
      <c r="C885" s="26"/>
      <c r="D885" s="26">
        <v>2000</v>
      </c>
      <c r="E885" s="26">
        <v>0</v>
      </c>
      <c r="F885" s="26">
        <v>0</v>
      </c>
      <c r="G885" s="26" t="s">
        <v>243</v>
      </c>
      <c r="H885" s="26"/>
      <c r="I885" s="26" t="b">
        <v>0</v>
      </c>
      <c r="J885" s="26" t="b">
        <v>0</v>
      </c>
      <c r="K885" s="26" t="b">
        <v>0</v>
      </c>
      <c r="L885" s="26" t="s">
        <v>314</v>
      </c>
      <c r="M885" s="26" t="s">
        <v>5468</v>
      </c>
      <c r="N885" s="26" t="str">
        <f>_xlfn.IFNA(VLOOKUP($M885,Buff.CM!$A:$O,13,FALSE),"")</f>
        <v>icon_battle_stun</v>
      </c>
      <c r="O885" s="26" t="str">
        <f>_xlfn.IFNA(VLOOKUP($M885,Buff.CM!$A:$O,14,FALSE),"")</f>
        <v>Buff.Name.Stun</v>
      </c>
      <c r="P885" s="26" t="str">
        <f>_xlfn.IFNA(VLOOKUP($M885,Buff.CM!$A:$O,15,FALSE),"")</f>
        <v>Buff.Desc.Stun</v>
      </c>
      <c r="Q885" s="26" t="b">
        <v>0</v>
      </c>
      <c r="R885" s="26" t="b">
        <v>1</v>
      </c>
    </row>
    <row r="886" spans="1:18">
      <c r="A886" s="26" t="s">
        <v>1787</v>
      </c>
      <c r="B886" s="26"/>
      <c r="C886" s="26"/>
      <c r="D886" s="26">
        <v>3000</v>
      </c>
      <c r="E886" s="26">
        <v>0</v>
      </c>
      <c r="F886" s="26">
        <v>0</v>
      </c>
      <c r="G886" s="26" t="s">
        <v>243</v>
      </c>
      <c r="H886" s="26"/>
      <c r="I886" s="26" t="b">
        <v>0</v>
      </c>
      <c r="J886" s="26" t="b">
        <v>0</v>
      </c>
      <c r="K886" s="26" t="b">
        <v>0</v>
      </c>
      <c r="L886" s="26" t="s">
        <v>314</v>
      </c>
      <c r="M886" s="26" t="s">
        <v>5468</v>
      </c>
      <c r="N886" s="26" t="str">
        <f>_xlfn.IFNA(VLOOKUP($M886,Buff.CM!$A:$O,13,FALSE),"")</f>
        <v>icon_battle_stun</v>
      </c>
      <c r="O886" s="26" t="str">
        <f>_xlfn.IFNA(VLOOKUP($M886,Buff.CM!$A:$O,14,FALSE),"")</f>
        <v>Buff.Name.Stun</v>
      </c>
      <c r="P886" s="26" t="str">
        <f>_xlfn.IFNA(VLOOKUP($M886,Buff.CM!$A:$O,15,FALSE),"")</f>
        <v>Buff.Desc.Stun</v>
      </c>
      <c r="Q886" s="26" t="b">
        <v>0</v>
      </c>
      <c r="R886" s="26" t="b">
        <v>1</v>
      </c>
    </row>
    <row r="887" spans="1:18">
      <c r="A887" s="34" t="s">
        <v>2553</v>
      </c>
      <c r="B887" s="34"/>
      <c r="C887" s="34"/>
      <c r="D887" s="34">
        <v>3000</v>
      </c>
      <c r="E887" s="34">
        <v>0</v>
      </c>
      <c r="F887" s="34">
        <v>0</v>
      </c>
      <c r="G887" s="34" t="s">
        <v>243</v>
      </c>
      <c r="H887" s="34"/>
      <c r="I887" s="34" t="b">
        <v>0</v>
      </c>
      <c r="J887" s="34" t="b">
        <v>0</v>
      </c>
      <c r="K887" s="34" t="b">
        <v>0</v>
      </c>
      <c r="L887" s="34" t="s">
        <v>314</v>
      </c>
      <c r="M887" s="34" t="s">
        <v>5468</v>
      </c>
      <c r="N887" s="34" t="str">
        <f>_xlfn.IFNA(VLOOKUP($M887,Buff.CM!$A:$O,13,FALSE),"")</f>
        <v>icon_battle_stun</v>
      </c>
      <c r="O887" s="34" t="str">
        <f>_xlfn.IFNA(VLOOKUP($M887,Buff.CM!$A:$O,14,FALSE),"")</f>
        <v>Buff.Name.Stun</v>
      </c>
      <c r="P887" s="34" t="str">
        <f>_xlfn.IFNA(VLOOKUP($M887,Buff.CM!$A:$O,15,FALSE),"")</f>
        <v>Buff.Desc.Stun</v>
      </c>
      <c r="Q887" s="34" t="b">
        <v>0</v>
      </c>
      <c r="R887" s="34" t="b">
        <v>1</v>
      </c>
    </row>
    <row r="888" spans="1:18">
      <c r="A888" s="34" t="s">
        <v>2554</v>
      </c>
      <c r="B888" s="34"/>
      <c r="C888" s="34"/>
      <c r="D888" s="34">
        <v>3000</v>
      </c>
      <c r="E888" s="34">
        <v>0</v>
      </c>
      <c r="F888" s="34">
        <v>0</v>
      </c>
      <c r="G888" s="34" t="s">
        <v>243</v>
      </c>
      <c r="H888" s="34"/>
      <c r="I888" s="34" t="b">
        <v>0</v>
      </c>
      <c r="J888" s="34" t="b">
        <v>0</v>
      </c>
      <c r="K888" s="34" t="b">
        <v>0</v>
      </c>
      <c r="L888" s="34" t="s">
        <v>314</v>
      </c>
      <c r="M888" s="34" t="s">
        <v>5468</v>
      </c>
      <c r="N888" s="34" t="str">
        <f>_xlfn.IFNA(VLOOKUP($M888,Buff.CM!$A:$O,13,FALSE),"")</f>
        <v>icon_battle_stun</v>
      </c>
      <c r="O888" s="34" t="str">
        <f>_xlfn.IFNA(VLOOKUP($M888,Buff.CM!$A:$O,14,FALSE),"")</f>
        <v>Buff.Name.Stun</v>
      </c>
      <c r="P888" s="34" t="str">
        <f>_xlfn.IFNA(VLOOKUP($M888,Buff.CM!$A:$O,15,FALSE),"")</f>
        <v>Buff.Desc.Stun</v>
      </c>
      <c r="Q888" s="34" t="b">
        <v>0</v>
      </c>
      <c r="R888" s="34" t="b">
        <v>1</v>
      </c>
    </row>
    <row r="889" spans="1:18">
      <c r="A889" s="34" t="s">
        <v>2555</v>
      </c>
      <c r="B889" s="34"/>
      <c r="C889" s="34"/>
      <c r="D889" s="34">
        <v>3000</v>
      </c>
      <c r="E889" s="34">
        <v>0</v>
      </c>
      <c r="F889" s="34">
        <v>0</v>
      </c>
      <c r="G889" s="34" t="s">
        <v>243</v>
      </c>
      <c r="H889" s="34"/>
      <c r="I889" s="34" t="b">
        <v>0</v>
      </c>
      <c r="J889" s="34" t="b">
        <v>0</v>
      </c>
      <c r="K889" s="34" t="b">
        <v>0</v>
      </c>
      <c r="L889" s="34" t="s">
        <v>314</v>
      </c>
      <c r="M889" s="34" t="s">
        <v>5468</v>
      </c>
      <c r="N889" s="34" t="str">
        <f>_xlfn.IFNA(VLOOKUP($M889,Buff.CM!$A:$O,13,FALSE),"")</f>
        <v>icon_battle_stun</v>
      </c>
      <c r="O889" s="34" t="str">
        <f>_xlfn.IFNA(VLOOKUP($M889,Buff.CM!$A:$O,14,FALSE),"")</f>
        <v>Buff.Name.Stun</v>
      </c>
      <c r="P889" s="34" t="str">
        <f>_xlfn.IFNA(VLOOKUP($M889,Buff.CM!$A:$O,15,FALSE),"")</f>
        <v>Buff.Desc.Stun</v>
      </c>
      <c r="Q889" s="34" t="b">
        <v>0</v>
      </c>
      <c r="R889" s="34" t="b">
        <v>1</v>
      </c>
    </row>
    <row r="890" spans="1:18">
      <c r="A890" s="26" t="s">
        <v>3941</v>
      </c>
      <c r="B890" s="26"/>
      <c r="C890" s="26"/>
      <c r="D890" s="26">
        <v>6000</v>
      </c>
      <c r="E890" s="26">
        <v>0</v>
      </c>
      <c r="F890" s="26">
        <v>0</v>
      </c>
      <c r="G890" s="26" t="s">
        <v>1711</v>
      </c>
      <c r="H890" s="26"/>
      <c r="I890" s="26" t="b">
        <v>0</v>
      </c>
      <c r="J890" s="26" t="b">
        <v>0</v>
      </c>
      <c r="K890" s="26" t="b">
        <v>0</v>
      </c>
      <c r="L890" s="26" t="s">
        <v>175</v>
      </c>
      <c r="M890" s="26" t="s">
        <v>1711</v>
      </c>
      <c r="N890" s="26" t="str">
        <f>_xlfn.IFNA(VLOOKUP($M890,Buff.CM!$A:$O,13,FALSE),"")</f>
        <v>icon_battle_guardreduce</v>
      </c>
      <c r="O890" s="26" t="str">
        <f>_xlfn.IFNA(VLOOKUP($M890,Buff.CM!$A:$O,14,FALSE),"")</f>
        <v>Buff.Name.GuardRate.Down.01</v>
      </c>
      <c r="P890" s="26" t="str">
        <f>_xlfn.IFNA(VLOOKUP($M890,Buff.CM!$A:$O,15,FALSE),"")</f>
        <v>Buff.Desc.GuardRate.Down.01</v>
      </c>
      <c r="Q890" s="26" t="b">
        <v>0</v>
      </c>
      <c r="R890" s="26" t="b">
        <v>1</v>
      </c>
    </row>
    <row r="891" spans="1:18">
      <c r="A891" s="26" t="s">
        <v>3936</v>
      </c>
      <c r="B891" s="26"/>
      <c r="C891" s="26"/>
      <c r="D891" s="26">
        <v>6000</v>
      </c>
      <c r="E891" s="26">
        <v>0</v>
      </c>
      <c r="F891" s="26">
        <v>0</v>
      </c>
      <c r="G891" s="26" t="s">
        <v>1711</v>
      </c>
      <c r="H891" s="26"/>
      <c r="I891" s="26" t="b">
        <v>0</v>
      </c>
      <c r="J891" s="26" t="b">
        <v>0</v>
      </c>
      <c r="K891" s="26" t="b">
        <v>0</v>
      </c>
      <c r="L891" s="26" t="s">
        <v>175</v>
      </c>
      <c r="M891" s="26" t="s">
        <v>1711</v>
      </c>
      <c r="N891" s="26" t="str">
        <f>_xlfn.IFNA(VLOOKUP($M891,Buff.CM!$A:$O,13,FALSE),"")</f>
        <v>icon_battle_guardreduce</v>
      </c>
      <c r="O891" s="26" t="str">
        <f>_xlfn.IFNA(VLOOKUP($M891,Buff.CM!$A:$O,14,FALSE),"")</f>
        <v>Buff.Name.GuardRate.Down.01</v>
      </c>
      <c r="P891" s="26" t="str">
        <f>_xlfn.IFNA(VLOOKUP($M891,Buff.CM!$A:$O,15,FALSE),"")</f>
        <v>Buff.Desc.GuardRate.Down.01</v>
      </c>
      <c r="Q891" s="26" t="b">
        <v>0</v>
      </c>
      <c r="R891" s="26" t="b">
        <v>1</v>
      </c>
    </row>
    <row r="892" spans="1:18">
      <c r="A892" s="26" t="s">
        <v>3937</v>
      </c>
      <c r="B892" s="26"/>
      <c r="C892" s="26"/>
      <c r="D892" s="26">
        <v>6000</v>
      </c>
      <c r="E892" s="26">
        <v>0</v>
      </c>
      <c r="F892" s="26">
        <v>0</v>
      </c>
      <c r="G892" s="26" t="s">
        <v>1591</v>
      </c>
      <c r="H892" s="26"/>
      <c r="I892" s="26" t="b">
        <v>0</v>
      </c>
      <c r="J892" s="26" t="b">
        <v>0</v>
      </c>
      <c r="K892" s="26" t="b">
        <v>0</v>
      </c>
      <c r="L892" s="26" t="s">
        <v>175</v>
      </c>
      <c r="M892" s="26" t="s">
        <v>1591</v>
      </c>
      <c r="N892" s="26" t="str">
        <f>_xlfn.IFNA(VLOOKUP($M892,Buff.CM!$A:$O,13,FALSE),"")</f>
        <v>icon_battle_guardreduce</v>
      </c>
      <c r="O892" s="26" t="str">
        <f>_xlfn.IFNA(VLOOKUP($M892,Buff.CM!$A:$O,14,FALSE),"")</f>
        <v>Buff.Name.GuardRate.Down.02</v>
      </c>
      <c r="P892" s="26" t="str">
        <f>_xlfn.IFNA(VLOOKUP($M892,Buff.CM!$A:$O,15,FALSE),"")</f>
        <v>Buff.Desc.GuardRate.Down.02</v>
      </c>
      <c r="Q892" s="26" t="b">
        <v>0</v>
      </c>
      <c r="R892" s="26" t="b">
        <v>1</v>
      </c>
    </row>
    <row r="893" spans="1:18">
      <c r="A893" s="34" t="s">
        <v>3938</v>
      </c>
      <c r="B893" s="34"/>
      <c r="C893" s="34"/>
      <c r="D893" s="34">
        <v>6000</v>
      </c>
      <c r="E893" s="34">
        <v>0</v>
      </c>
      <c r="F893" s="34">
        <v>0</v>
      </c>
      <c r="G893" s="34" t="s">
        <v>1591</v>
      </c>
      <c r="H893" s="34"/>
      <c r="I893" s="34" t="b">
        <v>0</v>
      </c>
      <c r="J893" s="34" t="b">
        <v>0</v>
      </c>
      <c r="K893" s="34" t="b">
        <v>0</v>
      </c>
      <c r="L893" s="26" t="s">
        <v>175</v>
      </c>
      <c r="M893" s="26" t="s">
        <v>1591</v>
      </c>
      <c r="N893" s="34" t="str">
        <f>_xlfn.IFNA(VLOOKUP($M893,Buff.CM!$A:$O,13,FALSE),"")</f>
        <v>icon_battle_guardreduce</v>
      </c>
      <c r="O893" s="34" t="str">
        <f>_xlfn.IFNA(VLOOKUP($M893,Buff.CM!$A:$O,14,FALSE),"")</f>
        <v>Buff.Name.GuardRate.Down.02</v>
      </c>
      <c r="P893" s="34" t="str">
        <f>_xlfn.IFNA(VLOOKUP($M893,Buff.CM!$A:$O,15,FALSE),"")</f>
        <v>Buff.Desc.GuardRate.Down.02</v>
      </c>
      <c r="Q893" s="34" t="b">
        <v>0</v>
      </c>
      <c r="R893" s="34" t="b">
        <v>1</v>
      </c>
    </row>
    <row r="894" spans="1:18">
      <c r="A894" s="34" t="s">
        <v>3939</v>
      </c>
      <c r="B894" s="34"/>
      <c r="C894" s="34"/>
      <c r="D894" s="34">
        <v>3000</v>
      </c>
      <c r="E894" s="34">
        <v>0</v>
      </c>
      <c r="F894" s="34">
        <v>0</v>
      </c>
      <c r="G894" s="34" t="s">
        <v>1592</v>
      </c>
      <c r="H894" s="34"/>
      <c r="I894" s="34" t="b">
        <v>0</v>
      </c>
      <c r="J894" s="34" t="b">
        <v>0</v>
      </c>
      <c r="K894" s="34" t="b">
        <v>0</v>
      </c>
      <c r="L894" s="26" t="s">
        <v>175</v>
      </c>
      <c r="M894" s="26" t="s">
        <v>1592</v>
      </c>
      <c r="N894" s="34" t="str">
        <f>_xlfn.IFNA(VLOOKUP($M894,Buff.CM!$A:$O,13,FALSE),"")</f>
        <v>icon_battle_guardreduce</v>
      </c>
      <c r="O894" s="34" t="str">
        <f>_xlfn.IFNA(VLOOKUP($M894,Buff.CM!$A:$O,14,FALSE),"")</f>
        <v>Buff.Name.GuardRate.Down.03</v>
      </c>
      <c r="P894" s="34" t="str">
        <f>_xlfn.IFNA(VLOOKUP($M894,Buff.CM!$A:$O,15,FALSE),"")</f>
        <v>Buff.Desc.GuardRate.Down.03</v>
      </c>
      <c r="Q894" s="34" t="b">
        <v>0</v>
      </c>
      <c r="R894" s="34" t="b">
        <v>1</v>
      </c>
    </row>
    <row r="895" spans="1:18">
      <c r="A895" s="34" t="s">
        <v>3940</v>
      </c>
      <c r="B895" s="34"/>
      <c r="C895" s="34"/>
      <c r="D895" s="34">
        <v>3000</v>
      </c>
      <c r="E895" s="34">
        <v>0</v>
      </c>
      <c r="F895" s="34">
        <v>0</v>
      </c>
      <c r="G895" s="34" t="s">
        <v>1592</v>
      </c>
      <c r="H895" s="34"/>
      <c r="I895" s="34" t="b">
        <v>0</v>
      </c>
      <c r="J895" s="34" t="b">
        <v>0</v>
      </c>
      <c r="K895" s="34" t="b">
        <v>0</v>
      </c>
      <c r="L895" s="26" t="s">
        <v>175</v>
      </c>
      <c r="M895" s="26" t="s">
        <v>1592</v>
      </c>
      <c r="N895" s="34" t="str">
        <f>_xlfn.IFNA(VLOOKUP($M895,Buff.CM!$A:$O,13,FALSE),"")</f>
        <v>icon_battle_guardreduce</v>
      </c>
      <c r="O895" s="34" t="str">
        <f>_xlfn.IFNA(VLOOKUP($M895,Buff.CM!$A:$O,14,FALSE),"")</f>
        <v>Buff.Name.GuardRate.Down.03</v>
      </c>
      <c r="P895" s="34" t="str">
        <f>_xlfn.IFNA(VLOOKUP($M895,Buff.CM!$A:$O,15,FALSE),"")</f>
        <v>Buff.Desc.GuardRate.Down.03</v>
      </c>
      <c r="Q895" s="34" t="b">
        <v>0</v>
      </c>
      <c r="R895" s="34" t="b">
        <v>1</v>
      </c>
    </row>
    <row r="896" spans="1:18">
      <c r="A896" s="26" t="s">
        <v>6773</v>
      </c>
      <c r="B896" s="26"/>
      <c r="C896" s="26"/>
      <c r="D896" s="26">
        <v>0</v>
      </c>
      <c r="E896" s="26">
        <v>0</v>
      </c>
      <c r="F896" s="26">
        <v>0</v>
      </c>
      <c r="G896" s="45" t="s">
        <v>7655</v>
      </c>
      <c r="H896" s="26"/>
      <c r="I896" s="26" t="b">
        <v>0</v>
      </c>
      <c r="J896" s="23" t="b">
        <v>1</v>
      </c>
      <c r="K896" s="26" t="b">
        <v>1</v>
      </c>
      <c r="L896" s="26"/>
      <c r="M896" s="26"/>
      <c r="N896" s="26" t="str">
        <f>_xlfn.IFNA(VLOOKUP($M896,Buff.CM!$A:$O,13,FALSE),"")</f>
        <v/>
      </c>
      <c r="O896" s="26" t="str">
        <f>_xlfn.IFNA(VLOOKUP($M896,Buff.CM!$A:$O,14,FALSE),"")</f>
        <v/>
      </c>
      <c r="P896" s="26" t="str">
        <f>_xlfn.IFNA(VLOOKUP($M896,Buff.CM!$A:$O,15,FALSE),"")</f>
        <v/>
      </c>
      <c r="Q896" s="26" t="b">
        <v>0</v>
      </c>
      <c r="R896" s="26" t="b">
        <v>0</v>
      </c>
    </row>
    <row r="897" spans="1:18" ht="33">
      <c r="A897" s="34" t="s">
        <v>6774</v>
      </c>
      <c r="B897" s="34"/>
      <c r="C897" s="34"/>
      <c r="D897" s="26">
        <v>0</v>
      </c>
      <c r="E897" s="34">
        <v>0</v>
      </c>
      <c r="F897" s="34">
        <v>0</v>
      </c>
      <c r="G897" s="40" t="s">
        <v>6775</v>
      </c>
      <c r="H897" s="34"/>
      <c r="I897" s="34" t="b">
        <v>0</v>
      </c>
      <c r="J897" s="23" t="b">
        <v>1</v>
      </c>
      <c r="K897" s="26" t="b">
        <v>1</v>
      </c>
      <c r="L897" s="34"/>
      <c r="M897" s="34"/>
      <c r="N897" s="34" t="str">
        <f>_xlfn.IFNA(VLOOKUP($M897,Buff.CM!$A:$O,13,FALSE),"")</f>
        <v/>
      </c>
      <c r="O897" s="34" t="str">
        <f>_xlfn.IFNA(VLOOKUP($M897,Buff.CM!$A:$O,14,FALSE),"")</f>
        <v/>
      </c>
      <c r="P897" s="34" t="str">
        <f>_xlfn.IFNA(VLOOKUP($M897,Buff.CM!$A:$O,15,FALSE),"")</f>
        <v/>
      </c>
      <c r="Q897" s="34" t="b">
        <v>0</v>
      </c>
      <c r="R897" s="26" t="b">
        <v>0</v>
      </c>
    </row>
    <row r="898" spans="1:18">
      <c r="A898" s="26" t="s">
        <v>3977</v>
      </c>
      <c r="B898" s="26"/>
      <c r="C898" s="26"/>
      <c r="D898" s="26">
        <v>0</v>
      </c>
      <c r="E898" s="26">
        <v>0</v>
      </c>
      <c r="F898" s="26">
        <v>0</v>
      </c>
      <c r="G898" s="45" t="s">
        <v>6916</v>
      </c>
      <c r="H898" s="26"/>
      <c r="I898" s="26" t="b">
        <v>0</v>
      </c>
      <c r="J898" s="23" t="b">
        <v>1</v>
      </c>
      <c r="K898" s="26" t="b">
        <v>1</v>
      </c>
      <c r="L898" s="26"/>
      <c r="M898" s="26" t="s">
        <v>7681</v>
      </c>
      <c r="N898" s="26" t="str">
        <f>_xlfn.IFNA(VLOOKUP($M898,Buff.CM!$A:$O,13,FALSE),"")</f>
        <v>icon_class_ranger</v>
      </c>
      <c r="O898" s="26" t="str">
        <f>_xlfn.IFNA(VLOOKUP($M898,Buff.CM!$A:$O,14,FALSE),"")</f>
        <v>info.fei.ranger.buff</v>
      </c>
      <c r="P898" s="26" t="str">
        <f>_xlfn.IFNA(VLOOKUP($M898,Buff.CM!$A:$O,15,FALSE),"")</f>
        <v>Desc.info.fei.ranger.buff</v>
      </c>
      <c r="Q898" s="26" t="b">
        <v>0</v>
      </c>
      <c r="R898" s="26" t="b">
        <v>0</v>
      </c>
    </row>
    <row r="899" spans="1:18">
      <c r="A899" s="26" t="s">
        <v>3978</v>
      </c>
      <c r="B899" s="26"/>
      <c r="C899" s="26"/>
      <c r="D899" s="26">
        <v>0</v>
      </c>
      <c r="E899" s="26">
        <v>0</v>
      </c>
      <c r="F899" s="26">
        <v>0</v>
      </c>
      <c r="G899" s="45" t="s">
        <v>6916</v>
      </c>
      <c r="H899" s="26"/>
      <c r="I899" s="26" t="b">
        <v>0</v>
      </c>
      <c r="J899" s="23" t="b">
        <v>1</v>
      </c>
      <c r="K899" s="26" t="b">
        <v>1</v>
      </c>
      <c r="L899" s="26"/>
      <c r="M899" s="26" t="s">
        <v>7680</v>
      </c>
      <c r="N899" s="26" t="str">
        <f>_xlfn.IFNA(VLOOKUP($M899,Buff.CM!$A:$O,13,FALSE),"")</f>
        <v>icon_class_attacker</v>
      </c>
      <c r="O899" s="26" t="str">
        <f>_xlfn.IFNA(VLOOKUP($M899,Buff.CM!$A:$O,14,FALSE),"")</f>
        <v>info.fei.attacker.buff</v>
      </c>
      <c r="P899" s="26" t="str">
        <f>_xlfn.IFNA(VLOOKUP($M899,Buff.CM!$A:$O,15,FALSE),"")</f>
        <v>Desc.info.fei.attacker.buff</v>
      </c>
      <c r="Q899" s="26" t="b">
        <v>0</v>
      </c>
      <c r="R899" s="26" t="b">
        <v>0</v>
      </c>
    </row>
    <row r="900" spans="1:18" ht="33">
      <c r="A900" s="25" t="s">
        <v>569</v>
      </c>
      <c r="B900" s="25"/>
      <c r="C900" s="25"/>
      <c r="D900" s="25">
        <v>0</v>
      </c>
      <c r="E900" s="25">
        <v>0</v>
      </c>
      <c r="F900" s="25">
        <v>0</v>
      </c>
      <c r="G900" s="43" t="s">
        <v>6776</v>
      </c>
      <c r="H900" s="25"/>
      <c r="I900" s="25" t="b">
        <v>0</v>
      </c>
      <c r="J900" s="23" t="b">
        <v>1</v>
      </c>
      <c r="K900" s="25" t="b">
        <v>1</v>
      </c>
      <c r="L900" s="25"/>
      <c r="M900" s="25"/>
      <c r="N900" s="25" t="str">
        <f>_xlfn.IFNA(VLOOKUP($M900,Buff.CM!$A:$O,13,FALSE),"")</f>
        <v/>
      </c>
      <c r="O900" s="25" t="str">
        <f>_xlfn.IFNA(VLOOKUP($M900,Buff.CM!$A:$O,14,FALSE),"")</f>
        <v/>
      </c>
      <c r="P900" s="25" t="str">
        <f>_xlfn.IFNA(VLOOKUP($M900,Buff.CM!$A:$O,15,FALSE),"")</f>
        <v/>
      </c>
      <c r="Q900" s="25" t="b">
        <v>0</v>
      </c>
      <c r="R900" s="25" t="b">
        <v>0</v>
      </c>
    </row>
    <row r="901" spans="1:18" ht="33">
      <c r="A901" s="25" t="s">
        <v>570</v>
      </c>
      <c r="B901" s="25"/>
      <c r="C901" s="25"/>
      <c r="D901" s="25">
        <v>0</v>
      </c>
      <c r="E901" s="25">
        <v>0</v>
      </c>
      <c r="F901" s="25">
        <v>0</v>
      </c>
      <c r="G901" s="43" t="s">
        <v>6777</v>
      </c>
      <c r="H901" s="25"/>
      <c r="I901" s="25" t="b">
        <v>0</v>
      </c>
      <c r="J901" s="23" t="b">
        <v>1</v>
      </c>
      <c r="K901" s="25" t="b">
        <v>1</v>
      </c>
      <c r="L901" s="25"/>
      <c r="M901" s="25"/>
      <c r="N901" s="25" t="str">
        <f>_xlfn.IFNA(VLOOKUP($M901,Buff.CM!$A:$O,13,FALSE),"")</f>
        <v/>
      </c>
      <c r="O901" s="25" t="str">
        <f>_xlfn.IFNA(VLOOKUP($M901,Buff.CM!$A:$O,14,FALSE),"")</f>
        <v/>
      </c>
      <c r="P901" s="25" t="str">
        <f>_xlfn.IFNA(VLOOKUP($M901,Buff.CM!$A:$O,15,FALSE),"")</f>
        <v/>
      </c>
      <c r="Q901" s="25" t="b">
        <v>0</v>
      </c>
      <c r="R901" s="25" t="b">
        <v>0</v>
      </c>
    </row>
    <row r="902" spans="1:18" ht="33">
      <c r="A902" s="25" t="s">
        <v>571</v>
      </c>
      <c r="B902" s="25"/>
      <c r="C902" s="25"/>
      <c r="D902" s="25">
        <v>0</v>
      </c>
      <c r="E902" s="25">
        <v>0</v>
      </c>
      <c r="F902" s="25">
        <v>0</v>
      </c>
      <c r="G902" s="43" t="s">
        <v>6778</v>
      </c>
      <c r="H902" s="25"/>
      <c r="I902" s="25" t="b">
        <v>0</v>
      </c>
      <c r="J902" s="23" t="b">
        <v>1</v>
      </c>
      <c r="K902" s="25" t="b">
        <v>1</v>
      </c>
      <c r="L902" s="25"/>
      <c r="M902" s="25"/>
      <c r="N902" s="25" t="str">
        <f>_xlfn.IFNA(VLOOKUP($M902,Buff.CM!$A:$O,13,FALSE),"")</f>
        <v/>
      </c>
      <c r="O902" s="25" t="str">
        <f>_xlfn.IFNA(VLOOKUP($M902,Buff.CM!$A:$O,14,FALSE),"")</f>
        <v/>
      </c>
      <c r="P902" s="25" t="str">
        <f>_xlfn.IFNA(VLOOKUP($M902,Buff.CM!$A:$O,15,FALSE),"")</f>
        <v/>
      </c>
      <c r="Q902" s="25" t="b">
        <v>0</v>
      </c>
      <c r="R902" s="25" t="b">
        <v>0</v>
      </c>
    </row>
    <row r="903" spans="1:18" ht="33">
      <c r="A903" s="26" t="s">
        <v>572</v>
      </c>
      <c r="B903" s="26"/>
      <c r="C903" s="26"/>
      <c r="D903" s="26">
        <v>0</v>
      </c>
      <c r="E903" s="26">
        <v>0</v>
      </c>
      <c r="F903" s="26">
        <v>0</v>
      </c>
      <c r="G903" s="45" t="s">
        <v>6779</v>
      </c>
      <c r="H903" s="26"/>
      <c r="I903" s="26" t="b">
        <v>0</v>
      </c>
      <c r="J903" s="23" t="b">
        <v>1</v>
      </c>
      <c r="K903" s="26" t="b">
        <v>1</v>
      </c>
      <c r="L903" s="26"/>
      <c r="M903" s="26"/>
      <c r="N903" s="26" t="str">
        <f>_xlfn.IFNA(VLOOKUP($M903,Buff.CM!$A:$O,13,FALSE),"")</f>
        <v/>
      </c>
      <c r="O903" s="26" t="str">
        <f>_xlfn.IFNA(VLOOKUP($M903,Buff.CM!$A:$O,14,FALSE),"")</f>
        <v/>
      </c>
      <c r="P903" s="26" t="str">
        <f>_xlfn.IFNA(VLOOKUP($M903,Buff.CM!$A:$O,15,FALSE),"")</f>
        <v/>
      </c>
      <c r="Q903" s="26" t="b">
        <v>0</v>
      </c>
      <c r="R903" s="26" t="b">
        <v>0</v>
      </c>
    </row>
    <row r="904" spans="1:18" ht="33">
      <c r="A904" s="26" t="s">
        <v>573</v>
      </c>
      <c r="B904" s="26"/>
      <c r="C904" s="26"/>
      <c r="D904" s="26">
        <v>0</v>
      </c>
      <c r="E904" s="26">
        <v>0</v>
      </c>
      <c r="F904" s="26">
        <v>0</v>
      </c>
      <c r="G904" s="45" t="s">
        <v>6780</v>
      </c>
      <c r="H904" s="26"/>
      <c r="I904" s="26" t="b">
        <v>0</v>
      </c>
      <c r="J904" s="23" t="b">
        <v>1</v>
      </c>
      <c r="K904" s="26" t="b">
        <v>1</v>
      </c>
      <c r="L904" s="26"/>
      <c r="M904" s="26"/>
      <c r="N904" s="26" t="str">
        <f>_xlfn.IFNA(VLOOKUP($M904,Buff.CM!$A:$O,13,FALSE),"")</f>
        <v/>
      </c>
      <c r="O904" s="26" t="str">
        <f>_xlfn.IFNA(VLOOKUP($M904,Buff.CM!$A:$O,14,FALSE),"")</f>
        <v/>
      </c>
      <c r="P904" s="26" t="str">
        <f>_xlfn.IFNA(VLOOKUP($M904,Buff.CM!$A:$O,15,FALSE),"")</f>
        <v/>
      </c>
      <c r="Q904" s="26" t="b">
        <v>0</v>
      </c>
      <c r="R904" s="26" t="b">
        <v>0</v>
      </c>
    </row>
    <row r="905" spans="1:18" ht="33">
      <c r="A905" s="26" t="s">
        <v>574</v>
      </c>
      <c r="B905" s="26"/>
      <c r="C905" s="26"/>
      <c r="D905" s="26">
        <v>0</v>
      </c>
      <c r="E905" s="26">
        <v>0</v>
      </c>
      <c r="F905" s="26">
        <v>0</v>
      </c>
      <c r="G905" s="45" t="s">
        <v>6781</v>
      </c>
      <c r="H905" s="26"/>
      <c r="I905" s="26" t="b">
        <v>0</v>
      </c>
      <c r="J905" s="23" t="b">
        <v>1</v>
      </c>
      <c r="K905" s="26" t="b">
        <v>1</v>
      </c>
      <c r="L905" s="26"/>
      <c r="M905" s="26"/>
      <c r="N905" s="26" t="str">
        <f>_xlfn.IFNA(VLOOKUP($M905,Buff.CM!$A:$O,13,FALSE),"")</f>
        <v/>
      </c>
      <c r="O905" s="26" t="str">
        <f>_xlfn.IFNA(VLOOKUP($M905,Buff.CM!$A:$O,14,FALSE),"")</f>
        <v/>
      </c>
      <c r="P905" s="26" t="str">
        <f>_xlfn.IFNA(VLOOKUP($M905,Buff.CM!$A:$O,15,FALSE),"")</f>
        <v/>
      </c>
      <c r="Q905" s="26" t="b">
        <v>0</v>
      </c>
      <c r="R905" s="26" t="b">
        <v>0</v>
      </c>
    </row>
    <row r="906" spans="1:18">
      <c r="A906" s="25" t="s">
        <v>3964</v>
      </c>
      <c r="B906" s="25"/>
      <c r="C906" s="25"/>
      <c r="D906" s="25">
        <v>0</v>
      </c>
      <c r="E906" s="25">
        <v>0</v>
      </c>
      <c r="F906" s="25">
        <v>0</v>
      </c>
      <c r="G906" s="25" t="s">
        <v>6782</v>
      </c>
      <c r="H906" s="25"/>
      <c r="I906" s="25" t="b">
        <v>0</v>
      </c>
      <c r="J906" s="23" t="b">
        <v>1</v>
      </c>
      <c r="K906" s="25" t="b">
        <v>1</v>
      </c>
      <c r="L906" s="25"/>
      <c r="M906" s="25"/>
      <c r="N906" s="25" t="str">
        <f>_xlfn.IFNA(VLOOKUP($M906,Buff.CM!$A:$O,13,FALSE),"")</f>
        <v/>
      </c>
      <c r="O906" s="25" t="str">
        <f>_xlfn.IFNA(VLOOKUP($M906,Buff.CM!$A:$O,14,FALSE),"")</f>
        <v/>
      </c>
      <c r="P906" s="25" t="str">
        <f>_xlfn.IFNA(VLOOKUP($M906,Buff.CM!$A:$O,15,FALSE),"")</f>
        <v/>
      </c>
      <c r="Q906" s="25" t="b">
        <v>0</v>
      </c>
      <c r="R906" s="25" t="b">
        <v>0</v>
      </c>
    </row>
    <row r="907" spans="1:18">
      <c r="A907" s="25" t="s">
        <v>3965</v>
      </c>
      <c r="B907" s="25"/>
      <c r="C907" s="25"/>
      <c r="D907" s="25">
        <v>0</v>
      </c>
      <c r="E907" s="25">
        <v>0</v>
      </c>
      <c r="F907" s="25">
        <v>0</v>
      </c>
      <c r="G907" s="25" t="s">
        <v>3954</v>
      </c>
      <c r="H907" s="25"/>
      <c r="I907" s="25" t="b">
        <v>0</v>
      </c>
      <c r="J907" s="23" t="b">
        <v>1</v>
      </c>
      <c r="K907" s="25" t="b">
        <v>1</v>
      </c>
      <c r="L907" s="25"/>
      <c r="M907" s="25"/>
      <c r="N907" s="25" t="str">
        <f>_xlfn.IFNA(VLOOKUP($M907,Buff.CM!$A:$O,13,FALSE),"")</f>
        <v/>
      </c>
      <c r="O907" s="25" t="str">
        <f>_xlfn.IFNA(VLOOKUP($M907,Buff.CM!$A:$O,14,FALSE),"")</f>
        <v/>
      </c>
      <c r="P907" s="25" t="str">
        <f>_xlfn.IFNA(VLOOKUP($M907,Buff.CM!$A:$O,15,FALSE),"")</f>
        <v/>
      </c>
      <c r="Q907" s="25" t="b">
        <v>0</v>
      </c>
      <c r="R907" s="25" t="b">
        <v>0</v>
      </c>
    </row>
    <row r="908" spans="1:18">
      <c r="A908" s="25" t="s">
        <v>3966</v>
      </c>
      <c r="B908" s="25"/>
      <c r="C908" s="25"/>
      <c r="D908" s="25">
        <v>0</v>
      </c>
      <c r="E908" s="25">
        <v>0</v>
      </c>
      <c r="F908" s="25">
        <v>0</v>
      </c>
      <c r="G908" s="25" t="s">
        <v>3955</v>
      </c>
      <c r="H908" s="25"/>
      <c r="I908" s="25" t="b">
        <v>0</v>
      </c>
      <c r="J908" s="23" t="b">
        <v>1</v>
      </c>
      <c r="K908" s="25" t="b">
        <v>1</v>
      </c>
      <c r="L908" s="25"/>
      <c r="M908" s="25"/>
      <c r="N908" s="25" t="str">
        <f>_xlfn.IFNA(VLOOKUP($M908,Buff.CM!$A:$O,13,FALSE),"")</f>
        <v/>
      </c>
      <c r="O908" s="25" t="str">
        <f>_xlfn.IFNA(VLOOKUP($M908,Buff.CM!$A:$O,14,FALSE),"")</f>
        <v/>
      </c>
      <c r="P908" s="25" t="str">
        <f>_xlfn.IFNA(VLOOKUP($M908,Buff.CM!$A:$O,15,FALSE),"")</f>
        <v/>
      </c>
      <c r="Q908" s="25" t="b">
        <v>0</v>
      </c>
      <c r="R908" s="25" t="b">
        <v>0</v>
      </c>
    </row>
    <row r="909" spans="1:18">
      <c r="A909" s="26" t="s">
        <v>3967</v>
      </c>
      <c r="B909" s="26"/>
      <c r="C909" s="26"/>
      <c r="D909" s="26">
        <v>0</v>
      </c>
      <c r="E909" s="26">
        <v>0</v>
      </c>
      <c r="F909" s="26">
        <v>0</v>
      </c>
      <c r="G909" s="26" t="s">
        <v>3956</v>
      </c>
      <c r="H909" s="26"/>
      <c r="I909" s="26" t="b">
        <v>0</v>
      </c>
      <c r="J909" s="23" t="b">
        <v>1</v>
      </c>
      <c r="K909" s="26" t="b">
        <v>1</v>
      </c>
      <c r="L909" s="26"/>
      <c r="M909" s="26"/>
      <c r="N909" s="26" t="str">
        <f>_xlfn.IFNA(VLOOKUP($M909,Buff.CM!$A:$O,13,FALSE),"")</f>
        <v/>
      </c>
      <c r="O909" s="26" t="str">
        <f>_xlfn.IFNA(VLOOKUP($M909,Buff.CM!$A:$O,14,FALSE),"")</f>
        <v/>
      </c>
      <c r="P909" s="26" t="str">
        <f>_xlfn.IFNA(VLOOKUP($M909,Buff.CM!$A:$O,15,FALSE),"")</f>
        <v/>
      </c>
      <c r="Q909" s="26" t="b">
        <v>0</v>
      </c>
      <c r="R909" s="26" t="b">
        <v>0</v>
      </c>
    </row>
    <row r="910" spans="1:18">
      <c r="A910" s="26" t="s">
        <v>3968</v>
      </c>
      <c r="B910" s="26"/>
      <c r="C910" s="26"/>
      <c r="D910" s="26">
        <v>0</v>
      </c>
      <c r="E910" s="26">
        <v>0</v>
      </c>
      <c r="F910" s="26">
        <v>0</v>
      </c>
      <c r="G910" s="26" t="s">
        <v>3957</v>
      </c>
      <c r="H910" s="26"/>
      <c r="I910" s="26" t="b">
        <v>0</v>
      </c>
      <c r="J910" s="23" t="b">
        <v>1</v>
      </c>
      <c r="K910" s="26" t="b">
        <v>1</v>
      </c>
      <c r="L910" s="26"/>
      <c r="M910" s="26"/>
      <c r="N910" s="26" t="str">
        <f>_xlfn.IFNA(VLOOKUP($M910,Buff.CM!$A:$O,13,FALSE),"")</f>
        <v/>
      </c>
      <c r="O910" s="26" t="str">
        <f>_xlfn.IFNA(VLOOKUP($M910,Buff.CM!$A:$O,14,FALSE),"")</f>
        <v/>
      </c>
      <c r="P910" s="26" t="str">
        <f>_xlfn.IFNA(VLOOKUP($M910,Buff.CM!$A:$O,15,FALSE),"")</f>
        <v/>
      </c>
      <c r="Q910" s="26" t="b">
        <v>0</v>
      </c>
      <c r="R910" s="26" t="b">
        <v>0</v>
      </c>
    </row>
    <row r="911" spans="1:18">
      <c r="A911" s="26" t="s">
        <v>3969</v>
      </c>
      <c r="B911" s="26"/>
      <c r="C911" s="26"/>
      <c r="D911" s="26">
        <v>0</v>
      </c>
      <c r="E911" s="26">
        <v>0</v>
      </c>
      <c r="F911" s="26">
        <v>0</v>
      </c>
      <c r="G911" s="26" t="s">
        <v>3958</v>
      </c>
      <c r="H911" s="26"/>
      <c r="I911" s="26" t="b">
        <v>0</v>
      </c>
      <c r="J911" s="23" t="b">
        <v>1</v>
      </c>
      <c r="K911" s="26" t="b">
        <v>1</v>
      </c>
      <c r="L911" s="26"/>
      <c r="M911" s="26"/>
      <c r="N911" s="26" t="str">
        <f>_xlfn.IFNA(VLOOKUP($M911,Buff.CM!$A:$O,13,FALSE),"")</f>
        <v/>
      </c>
      <c r="O911" s="26" t="str">
        <f>_xlfn.IFNA(VLOOKUP($M911,Buff.CM!$A:$O,14,FALSE),"")</f>
        <v/>
      </c>
      <c r="P911" s="26" t="str">
        <f>_xlfn.IFNA(VLOOKUP($M911,Buff.CM!$A:$O,15,FALSE),"")</f>
        <v/>
      </c>
      <c r="Q911" s="26" t="b">
        <v>0</v>
      </c>
      <c r="R911" s="26" t="b">
        <v>0</v>
      </c>
    </row>
    <row r="912" spans="1:18">
      <c r="A912" s="25" t="s">
        <v>3970</v>
      </c>
      <c r="B912" s="25"/>
      <c r="C912" s="25"/>
      <c r="D912" s="25">
        <v>0</v>
      </c>
      <c r="E912" s="25">
        <v>0</v>
      </c>
      <c r="F912" s="25">
        <v>0</v>
      </c>
      <c r="G912" s="25" t="s">
        <v>6783</v>
      </c>
      <c r="H912" s="25"/>
      <c r="I912" s="25" t="b">
        <v>0</v>
      </c>
      <c r="J912" s="23" t="b">
        <v>1</v>
      </c>
      <c r="K912" s="25" t="b">
        <v>1</v>
      </c>
      <c r="L912" s="25"/>
      <c r="M912" s="25"/>
      <c r="N912" s="25" t="str">
        <f>_xlfn.IFNA(VLOOKUP($M912,Buff.CM!$A:$O,13,FALSE),"")</f>
        <v/>
      </c>
      <c r="O912" s="25" t="str">
        <f>_xlfn.IFNA(VLOOKUP($M912,Buff.CM!$A:$O,14,FALSE),"")</f>
        <v/>
      </c>
      <c r="P912" s="25" t="str">
        <f>_xlfn.IFNA(VLOOKUP($M912,Buff.CM!$A:$O,15,FALSE),"")</f>
        <v/>
      </c>
      <c r="Q912" s="25" t="b">
        <v>0</v>
      </c>
      <c r="R912" s="25" t="b">
        <v>0</v>
      </c>
    </row>
    <row r="913" spans="1:18">
      <c r="A913" s="25" t="s">
        <v>3971</v>
      </c>
      <c r="B913" s="25"/>
      <c r="C913" s="25"/>
      <c r="D913" s="25">
        <v>0</v>
      </c>
      <c r="E913" s="25">
        <v>0</v>
      </c>
      <c r="F913" s="25">
        <v>0</v>
      </c>
      <c r="G913" s="25" t="s">
        <v>3959</v>
      </c>
      <c r="H913" s="25"/>
      <c r="I913" s="25" t="b">
        <v>0</v>
      </c>
      <c r="J913" s="23" t="b">
        <v>1</v>
      </c>
      <c r="K913" s="25" t="b">
        <v>1</v>
      </c>
      <c r="L913" s="25"/>
      <c r="M913" s="25"/>
      <c r="N913" s="25" t="str">
        <f>_xlfn.IFNA(VLOOKUP($M913,Buff.CM!$A:$O,13,FALSE),"")</f>
        <v/>
      </c>
      <c r="O913" s="25" t="str">
        <f>_xlfn.IFNA(VLOOKUP($M913,Buff.CM!$A:$O,14,FALSE),"")</f>
        <v/>
      </c>
      <c r="P913" s="25" t="str">
        <f>_xlfn.IFNA(VLOOKUP($M913,Buff.CM!$A:$O,15,FALSE),"")</f>
        <v/>
      </c>
      <c r="Q913" s="25" t="b">
        <v>0</v>
      </c>
      <c r="R913" s="25" t="b">
        <v>0</v>
      </c>
    </row>
    <row r="914" spans="1:18">
      <c r="A914" s="25" t="s">
        <v>3972</v>
      </c>
      <c r="B914" s="25"/>
      <c r="C914" s="25"/>
      <c r="D914" s="25">
        <v>0</v>
      </c>
      <c r="E914" s="25">
        <v>0</v>
      </c>
      <c r="F914" s="25">
        <v>0</v>
      </c>
      <c r="G914" s="25" t="s">
        <v>3960</v>
      </c>
      <c r="H914" s="25"/>
      <c r="I914" s="25" t="b">
        <v>0</v>
      </c>
      <c r="J914" s="23" t="b">
        <v>1</v>
      </c>
      <c r="K914" s="25" t="b">
        <v>1</v>
      </c>
      <c r="L914" s="25"/>
      <c r="M914" s="25"/>
      <c r="N914" s="25" t="str">
        <f>_xlfn.IFNA(VLOOKUP($M914,Buff.CM!$A:$O,13,FALSE),"")</f>
        <v/>
      </c>
      <c r="O914" s="25" t="str">
        <f>_xlfn.IFNA(VLOOKUP($M914,Buff.CM!$A:$O,14,FALSE),"")</f>
        <v/>
      </c>
      <c r="P914" s="25" t="str">
        <f>_xlfn.IFNA(VLOOKUP($M914,Buff.CM!$A:$O,15,FALSE),"")</f>
        <v/>
      </c>
      <c r="Q914" s="25" t="b">
        <v>0</v>
      </c>
      <c r="R914" s="25" t="b">
        <v>0</v>
      </c>
    </row>
    <row r="915" spans="1:18">
      <c r="A915" s="26" t="s">
        <v>3973</v>
      </c>
      <c r="B915" s="26"/>
      <c r="C915" s="26"/>
      <c r="D915" s="26">
        <v>0</v>
      </c>
      <c r="E915" s="26">
        <v>0</v>
      </c>
      <c r="F915" s="26">
        <v>0</v>
      </c>
      <c r="G915" s="26" t="s">
        <v>3961</v>
      </c>
      <c r="H915" s="26"/>
      <c r="I915" s="26" t="b">
        <v>0</v>
      </c>
      <c r="J915" s="23" t="b">
        <v>1</v>
      </c>
      <c r="K915" s="26" t="b">
        <v>1</v>
      </c>
      <c r="L915" s="26"/>
      <c r="M915" s="26"/>
      <c r="N915" s="26" t="str">
        <f>_xlfn.IFNA(VLOOKUP($M915,Buff.CM!$A:$O,13,FALSE),"")</f>
        <v/>
      </c>
      <c r="O915" s="26" t="str">
        <f>_xlfn.IFNA(VLOOKUP($M915,Buff.CM!$A:$O,14,FALSE),"")</f>
        <v/>
      </c>
      <c r="P915" s="26" t="str">
        <f>_xlfn.IFNA(VLOOKUP($M915,Buff.CM!$A:$O,15,FALSE),"")</f>
        <v/>
      </c>
      <c r="Q915" s="26" t="b">
        <v>0</v>
      </c>
      <c r="R915" s="26" t="b">
        <v>0</v>
      </c>
    </row>
    <row r="916" spans="1:18">
      <c r="A916" s="26" t="s">
        <v>3974</v>
      </c>
      <c r="B916" s="26"/>
      <c r="C916" s="26"/>
      <c r="D916" s="26">
        <v>0</v>
      </c>
      <c r="E916" s="26">
        <v>0</v>
      </c>
      <c r="F916" s="26">
        <v>0</v>
      </c>
      <c r="G916" s="26" t="s">
        <v>3962</v>
      </c>
      <c r="H916" s="26"/>
      <c r="I916" s="26" t="b">
        <v>0</v>
      </c>
      <c r="J916" s="23" t="b">
        <v>1</v>
      </c>
      <c r="K916" s="26" t="b">
        <v>1</v>
      </c>
      <c r="L916" s="26"/>
      <c r="M916" s="26"/>
      <c r="N916" s="26" t="str">
        <f>_xlfn.IFNA(VLOOKUP($M916,Buff.CM!$A:$O,13,FALSE),"")</f>
        <v/>
      </c>
      <c r="O916" s="26" t="str">
        <f>_xlfn.IFNA(VLOOKUP($M916,Buff.CM!$A:$O,14,FALSE),"")</f>
        <v/>
      </c>
      <c r="P916" s="26" t="str">
        <f>_xlfn.IFNA(VLOOKUP($M916,Buff.CM!$A:$O,15,FALSE),"")</f>
        <v/>
      </c>
      <c r="Q916" s="26" t="b">
        <v>0</v>
      </c>
      <c r="R916" s="26" t="b">
        <v>0</v>
      </c>
    </row>
    <row r="917" spans="1:18">
      <c r="A917" s="26" t="s">
        <v>3975</v>
      </c>
      <c r="B917" s="26"/>
      <c r="C917" s="26"/>
      <c r="D917" s="26">
        <v>0</v>
      </c>
      <c r="E917" s="26">
        <v>0</v>
      </c>
      <c r="F917" s="26">
        <v>0</v>
      </c>
      <c r="G917" s="26" t="s">
        <v>3963</v>
      </c>
      <c r="H917" s="26"/>
      <c r="I917" s="26" t="b">
        <v>0</v>
      </c>
      <c r="J917" s="23" t="b">
        <v>1</v>
      </c>
      <c r="K917" s="26" t="b">
        <v>1</v>
      </c>
      <c r="L917" s="26"/>
      <c r="M917" s="26"/>
      <c r="N917" s="26" t="str">
        <f>_xlfn.IFNA(VLOOKUP($M917,Buff.CM!$A:$O,13,FALSE),"")</f>
        <v/>
      </c>
      <c r="O917" s="26" t="str">
        <f>_xlfn.IFNA(VLOOKUP($M917,Buff.CM!$A:$O,14,FALSE),"")</f>
        <v/>
      </c>
      <c r="P917" s="26" t="str">
        <f>_xlfn.IFNA(VLOOKUP($M917,Buff.CM!$A:$O,15,FALSE),"")</f>
        <v/>
      </c>
      <c r="Q917" s="26" t="b">
        <v>0</v>
      </c>
      <c r="R917" s="26" t="b">
        <v>0</v>
      </c>
    </row>
    <row r="918" spans="1:18" ht="33">
      <c r="A918" s="25" t="s">
        <v>4540</v>
      </c>
      <c r="B918" s="25"/>
      <c r="C918" s="25"/>
      <c r="D918" s="25">
        <v>0</v>
      </c>
      <c r="E918" s="25">
        <v>0</v>
      </c>
      <c r="F918" s="25">
        <v>0</v>
      </c>
      <c r="G918" s="43" t="s">
        <v>3930</v>
      </c>
      <c r="H918" s="25"/>
      <c r="I918" s="25" t="b">
        <v>0</v>
      </c>
      <c r="J918" s="23" t="b">
        <v>1</v>
      </c>
      <c r="K918" s="25" t="b">
        <v>1</v>
      </c>
      <c r="L918" s="25"/>
      <c r="M918" s="25"/>
      <c r="N918" s="25" t="str">
        <f>_xlfn.IFNA(VLOOKUP($M918,Buff.CM!$A:$O,13,FALSE),"")</f>
        <v/>
      </c>
      <c r="O918" s="25" t="str">
        <f>_xlfn.IFNA(VLOOKUP($M918,Buff.CM!$A:$O,14,FALSE),"")</f>
        <v/>
      </c>
      <c r="P918" s="25" t="str">
        <f>_xlfn.IFNA(VLOOKUP($M918,Buff.CM!$A:$O,15,FALSE),"")</f>
        <v/>
      </c>
      <c r="Q918" s="25" t="b">
        <v>0</v>
      </c>
      <c r="R918" s="25" t="b">
        <v>0</v>
      </c>
    </row>
    <row r="919" spans="1:18" ht="33">
      <c r="A919" s="25" t="s">
        <v>2996</v>
      </c>
      <c r="B919" s="25"/>
      <c r="C919" s="25"/>
      <c r="D919" s="25">
        <v>0</v>
      </c>
      <c r="E919" s="25">
        <v>0</v>
      </c>
      <c r="F919" s="25">
        <v>0</v>
      </c>
      <c r="G919" s="43" t="s">
        <v>3931</v>
      </c>
      <c r="H919" s="25"/>
      <c r="I919" s="25" t="b">
        <v>0</v>
      </c>
      <c r="J919" s="23" t="b">
        <v>1</v>
      </c>
      <c r="K919" s="25" t="b">
        <v>1</v>
      </c>
      <c r="L919" s="25"/>
      <c r="M919" s="25"/>
      <c r="N919" s="25" t="str">
        <f>_xlfn.IFNA(VLOOKUP($M919,Buff.CM!$A:$O,13,FALSE),"")</f>
        <v/>
      </c>
      <c r="O919" s="25" t="str">
        <f>_xlfn.IFNA(VLOOKUP($M919,Buff.CM!$A:$O,14,FALSE),"")</f>
        <v/>
      </c>
      <c r="P919" s="25" t="str">
        <f>_xlfn.IFNA(VLOOKUP($M919,Buff.CM!$A:$O,15,FALSE),"")</f>
        <v/>
      </c>
      <c r="Q919" s="25" t="b">
        <v>0</v>
      </c>
      <c r="R919" s="25" t="b">
        <v>0</v>
      </c>
    </row>
    <row r="920" spans="1:18" ht="33">
      <c r="A920" s="25" t="s">
        <v>2997</v>
      </c>
      <c r="B920" s="25"/>
      <c r="C920" s="25"/>
      <c r="D920" s="25">
        <v>0</v>
      </c>
      <c r="E920" s="25">
        <v>0</v>
      </c>
      <c r="F920" s="25">
        <v>0</v>
      </c>
      <c r="G920" s="43" t="s">
        <v>3932</v>
      </c>
      <c r="H920" s="25"/>
      <c r="I920" s="25" t="b">
        <v>0</v>
      </c>
      <c r="J920" s="23" t="b">
        <v>1</v>
      </c>
      <c r="K920" s="25" t="b">
        <v>1</v>
      </c>
      <c r="L920" s="25"/>
      <c r="M920" s="25"/>
      <c r="N920" s="25" t="str">
        <f>_xlfn.IFNA(VLOOKUP($M920,Buff.CM!$A:$O,13,FALSE),"")</f>
        <v/>
      </c>
      <c r="O920" s="25" t="str">
        <f>_xlfn.IFNA(VLOOKUP($M920,Buff.CM!$A:$O,14,FALSE),"")</f>
        <v/>
      </c>
      <c r="P920" s="25" t="str">
        <f>_xlfn.IFNA(VLOOKUP($M920,Buff.CM!$A:$O,15,FALSE),"")</f>
        <v/>
      </c>
      <c r="Q920" s="25" t="b">
        <v>0</v>
      </c>
      <c r="R920" s="25" t="b">
        <v>0</v>
      </c>
    </row>
    <row r="921" spans="1:18" ht="33">
      <c r="A921" s="26" t="s">
        <v>2998</v>
      </c>
      <c r="B921" s="26"/>
      <c r="C921" s="26"/>
      <c r="D921" s="26">
        <v>0</v>
      </c>
      <c r="E921" s="26">
        <v>0</v>
      </c>
      <c r="F921" s="26">
        <v>0</v>
      </c>
      <c r="G921" s="45" t="s">
        <v>3933</v>
      </c>
      <c r="H921" s="26"/>
      <c r="I921" s="26" t="b">
        <v>0</v>
      </c>
      <c r="J921" s="23" t="b">
        <v>1</v>
      </c>
      <c r="K921" s="26" t="b">
        <v>1</v>
      </c>
      <c r="L921" s="26"/>
      <c r="M921" s="26"/>
      <c r="N921" s="26" t="str">
        <f>_xlfn.IFNA(VLOOKUP($M921,Buff.CM!$A:$O,13,FALSE),"")</f>
        <v/>
      </c>
      <c r="O921" s="26" t="str">
        <f>_xlfn.IFNA(VLOOKUP($M921,Buff.CM!$A:$O,14,FALSE),"")</f>
        <v/>
      </c>
      <c r="P921" s="26" t="str">
        <f>_xlfn.IFNA(VLOOKUP($M921,Buff.CM!$A:$O,15,FALSE),"")</f>
        <v/>
      </c>
      <c r="Q921" s="26" t="b">
        <v>0</v>
      </c>
      <c r="R921" s="26" t="b">
        <v>0</v>
      </c>
    </row>
    <row r="922" spans="1:18" ht="33">
      <c r="A922" s="26" t="s">
        <v>2999</v>
      </c>
      <c r="B922" s="26"/>
      <c r="C922" s="26"/>
      <c r="D922" s="26">
        <v>0</v>
      </c>
      <c r="E922" s="26">
        <v>0</v>
      </c>
      <c r="F922" s="26">
        <v>0</v>
      </c>
      <c r="G922" s="45" t="s">
        <v>3934</v>
      </c>
      <c r="H922" s="26"/>
      <c r="I922" s="26" t="b">
        <v>0</v>
      </c>
      <c r="J922" s="23" t="b">
        <v>1</v>
      </c>
      <c r="K922" s="26" t="b">
        <v>1</v>
      </c>
      <c r="L922" s="26"/>
      <c r="M922" s="26"/>
      <c r="N922" s="26" t="str">
        <f>_xlfn.IFNA(VLOOKUP($M922,Buff.CM!$A:$O,13,FALSE),"")</f>
        <v/>
      </c>
      <c r="O922" s="26" t="str">
        <f>_xlfn.IFNA(VLOOKUP($M922,Buff.CM!$A:$O,14,FALSE),"")</f>
        <v/>
      </c>
      <c r="P922" s="26" t="str">
        <f>_xlfn.IFNA(VLOOKUP($M922,Buff.CM!$A:$O,15,FALSE),"")</f>
        <v/>
      </c>
      <c r="Q922" s="26" t="b">
        <v>0</v>
      </c>
      <c r="R922" s="26" t="b">
        <v>0</v>
      </c>
    </row>
    <row r="923" spans="1:18" ht="33">
      <c r="A923" s="26" t="s">
        <v>3000</v>
      </c>
      <c r="B923" s="26"/>
      <c r="C923" s="26"/>
      <c r="D923" s="26">
        <v>0</v>
      </c>
      <c r="E923" s="26">
        <v>0</v>
      </c>
      <c r="F923" s="26">
        <v>0</v>
      </c>
      <c r="G923" s="45" t="s">
        <v>3935</v>
      </c>
      <c r="H923" s="26"/>
      <c r="I923" s="26" t="b">
        <v>0</v>
      </c>
      <c r="J923" s="23" t="b">
        <v>1</v>
      </c>
      <c r="K923" s="26" t="b">
        <v>1</v>
      </c>
      <c r="L923" s="26"/>
      <c r="M923" s="26"/>
      <c r="N923" s="26" t="str">
        <f>_xlfn.IFNA(VLOOKUP($M923,Buff.CM!$A:$O,13,FALSE),"")</f>
        <v/>
      </c>
      <c r="O923" s="26" t="str">
        <f>_xlfn.IFNA(VLOOKUP($M923,Buff.CM!$A:$O,14,FALSE),"")</f>
        <v/>
      </c>
      <c r="P923" s="26" t="str">
        <f>_xlfn.IFNA(VLOOKUP($M923,Buff.CM!$A:$O,15,FALSE),"")</f>
        <v/>
      </c>
      <c r="Q923" s="26" t="b">
        <v>0</v>
      </c>
      <c r="R923" s="26" t="b">
        <v>0</v>
      </c>
    </row>
    <row r="924" spans="1:18" s="143" customFormat="1">
      <c r="A924" s="25" t="s">
        <v>6784</v>
      </c>
      <c r="B924" s="25"/>
      <c r="C924" s="25"/>
      <c r="D924" s="25">
        <v>8000</v>
      </c>
      <c r="E924" s="26">
        <v>0</v>
      </c>
      <c r="F924" s="26">
        <v>0</v>
      </c>
      <c r="G924" s="43" t="s">
        <v>4502</v>
      </c>
      <c r="H924" s="25"/>
      <c r="I924" s="25" t="b">
        <v>0</v>
      </c>
      <c r="J924" s="24" t="b">
        <v>0</v>
      </c>
      <c r="K924" s="25" t="b">
        <v>1</v>
      </c>
      <c r="L924" s="34" t="s">
        <v>66</v>
      </c>
      <c r="M924" s="34" t="s">
        <v>4502</v>
      </c>
      <c r="N924" s="25" t="str">
        <f>_xlfn.IFNA(VLOOKUP($M924,Buff.CM!$A:$O,13,FALSE),"")</f>
        <v>icon_battle_skill_damage</v>
      </c>
      <c r="O924" s="25" t="str">
        <f>_xlfn.IFNA(VLOOKUP($M924,Buff.CM!$A:$O,14,FALSE),"")</f>
        <v>Buff.Name.ActiveDamage.Up.02</v>
      </c>
      <c r="P924" s="25" t="str">
        <f>_xlfn.IFNA(VLOOKUP($M924,Buff.CM!$A:$O,15,FALSE),"")</f>
        <v>Buff.Desc.ActiveDamage.Up.02</v>
      </c>
      <c r="Q924" s="25" t="b">
        <v>0</v>
      </c>
      <c r="R924" s="25" t="b">
        <v>0</v>
      </c>
    </row>
    <row r="925" spans="1:18" s="143" customFormat="1">
      <c r="A925" s="25" t="s">
        <v>5477</v>
      </c>
      <c r="B925" s="25"/>
      <c r="C925" s="25"/>
      <c r="D925" s="25">
        <v>10000</v>
      </c>
      <c r="E925" s="26">
        <v>0</v>
      </c>
      <c r="F925" s="26">
        <v>0</v>
      </c>
      <c r="G925" s="43" t="s">
        <v>4502</v>
      </c>
      <c r="H925" s="25"/>
      <c r="I925" s="25" t="b">
        <v>0</v>
      </c>
      <c r="J925" s="24" t="b">
        <v>0</v>
      </c>
      <c r="K925" s="25" t="b">
        <v>1</v>
      </c>
      <c r="L925" s="34" t="s">
        <v>66</v>
      </c>
      <c r="M925" s="34" t="s">
        <v>4502</v>
      </c>
      <c r="N925" s="25" t="str">
        <f>_xlfn.IFNA(VLOOKUP($M925,Buff.CM!$A:$O,13,FALSE),"")</f>
        <v>icon_battle_skill_damage</v>
      </c>
      <c r="O925" s="25" t="str">
        <f>_xlfn.IFNA(VLOOKUP($M925,Buff.CM!$A:$O,14,FALSE),"")</f>
        <v>Buff.Name.ActiveDamage.Up.02</v>
      </c>
      <c r="P925" s="25" t="str">
        <f>_xlfn.IFNA(VLOOKUP($M925,Buff.CM!$A:$O,15,FALSE),"")</f>
        <v>Buff.Desc.ActiveDamage.Up.02</v>
      </c>
      <c r="Q925" s="25" t="b">
        <v>0</v>
      </c>
      <c r="R925" s="25" t="b">
        <v>0</v>
      </c>
    </row>
    <row r="926" spans="1:18" s="143" customFormat="1">
      <c r="A926" s="25" t="s">
        <v>5478</v>
      </c>
      <c r="B926" s="25"/>
      <c r="C926" s="25"/>
      <c r="D926" s="25">
        <v>10000</v>
      </c>
      <c r="E926" s="26">
        <v>0</v>
      </c>
      <c r="F926" s="26">
        <v>0</v>
      </c>
      <c r="G926" s="43" t="s">
        <v>4503</v>
      </c>
      <c r="H926" s="25"/>
      <c r="I926" s="25" t="b">
        <v>0</v>
      </c>
      <c r="J926" s="24" t="b">
        <v>0</v>
      </c>
      <c r="K926" s="25" t="b">
        <v>1</v>
      </c>
      <c r="L926" s="34" t="s">
        <v>66</v>
      </c>
      <c r="M926" s="34" t="s">
        <v>4503</v>
      </c>
      <c r="N926" s="25" t="str">
        <f>_xlfn.IFNA(VLOOKUP($M926,Buff.CM!$A:$O,13,FALSE),"")</f>
        <v>icon_battle_skill_damage</v>
      </c>
      <c r="O926" s="25" t="str">
        <f>_xlfn.IFNA(VLOOKUP($M926,Buff.CM!$A:$O,14,FALSE),"")</f>
        <v>Buff.Name.ActiveDamage.Up.03</v>
      </c>
      <c r="P926" s="25" t="str">
        <f>_xlfn.IFNA(VLOOKUP($M926,Buff.CM!$A:$O,15,FALSE),"")</f>
        <v>Buff.Desc.ActiveDamage.Up.03</v>
      </c>
      <c r="Q926" s="25" t="b">
        <v>0</v>
      </c>
      <c r="R926" s="25" t="b">
        <v>0</v>
      </c>
    </row>
    <row r="927" spans="1:18" s="143" customFormat="1">
      <c r="A927" s="25" t="s">
        <v>5479</v>
      </c>
      <c r="B927" s="25"/>
      <c r="C927" s="25"/>
      <c r="D927" s="25">
        <v>10000</v>
      </c>
      <c r="E927" s="26">
        <v>0</v>
      </c>
      <c r="F927" s="26">
        <v>0</v>
      </c>
      <c r="G927" s="43" t="s">
        <v>4504</v>
      </c>
      <c r="H927" s="25"/>
      <c r="I927" s="25" t="b">
        <v>0</v>
      </c>
      <c r="J927" s="24" t="b">
        <v>0</v>
      </c>
      <c r="K927" s="25" t="b">
        <v>1</v>
      </c>
      <c r="L927" s="34" t="s">
        <v>66</v>
      </c>
      <c r="M927" s="34" t="s">
        <v>4504</v>
      </c>
      <c r="N927" s="25" t="str">
        <f>_xlfn.IFNA(VLOOKUP($M927,Buff.CM!$A:$O,13,FALSE),"")</f>
        <v>icon_battle_skill_damage</v>
      </c>
      <c r="O927" s="25" t="str">
        <f>_xlfn.IFNA(VLOOKUP($M927,Buff.CM!$A:$O,14,FALSE),"")</f>
        <v>Buff.Name.ActiveDamage.Up.04</v>
      </c>
      <c r="P927" s="25" t="str">
        <f>_xlfn.IFNA(VLOOKUP($M927,Buff.CM!$A:$O,15,FALSE),"")</f>
        <v>Buff.Desc.ActiveDamage.Up.04</v>
      </c>
      <c r="Q927" s="25" t="b">
        <v>0</v>
      </c>
      <c r="R927" s="25" t="b">
        <v>0</v>
      </c>
    </row>
    <row r="928" spans="1:18" s="143" customFormat="1">
      <c r="A928" s="25" t="s">
        <v>5480</v>
      </c>
      <c r="B928" s="25"/>
      <c r="C928" s="25"/>
      <c r="D928" s="25">
        <v>10000</v>
      </c>
      <c r="E928" s="26">
        <v>0</v>
      </c>
      <c r="F928" s="26">
        <v>0</v>
      </c>
      <c r="G928" s="43" t="s">
        <v>4504</v>
      </c>
      <c r="H928" s="25"/>
      <c r="I928" s="25" t="b">
        <v>0</v>
      </c>
      <c r="J928" s="24" t="b">
        <v>0</v>
      </c>
      <c r="K928" s="25" t="b">
        <v>1</v>
      </c>
      <c r="L928" s="34" t="s">
        <v>66</v>
      </c>
      <c r="M928" s="34" t="s">
        <v>4504</v>
      </c>
      <c r="N928" s="25" t="str">
        <f>_xlfn.IFNA(VLOOKUP($M928,Buff.CM!$A:$O,13,FALSE),"")</f>
        <v>icon_battle_skill_damage</v>
      </c>
      <c r="O928" s="25" t="str">
        <f>_xlfn.IFNA(VLOOKUP($M928,Buff.CM!$A:$O,14,FALSE),"")</f>
        <v>Buff.Name.ActiveDamage.Up.04</v>
      </c>
      <c r="P928" s="25" t="str">
        <f>_xlfn.IFNA(VLOOKUP($M928,Buff.CM!$A:$O,15,FALSE),"")</f>
        <v>Buff.Desc.ActiveDamage.Up.04</v>
      </c>
      <c r="Q928" s="25" t="b">
        <v>0</v>
      </c>
      <c r="R928" s="25" t="b">
        <v>0</v>
      </c>
    </row>
    <row r="929" spans="1:18" s="143" customFormat="1">
      <c r="A929" s="25" t="s">
        <v>5481</v>
      </c>
      <c r="B929" s="25"/>
      <c r="C929" s="25"/>
      <c r="D929" s="25">
        <v>10000</v>
      </c>
      <c r="E929" s="26">
        <v>0</v>
      </c>
      <c r="F929" s="26">
        <v>0</v>
      </c>
      <c r="G929" s="43" t="s">
        <v>4504</v>
      </c>
      <c r="H929" s="25"/>
      <c r="I929" s="25" t="b">
        <v>0</v>
      </c>
      <c r="J929" s="24" t="b">
        <v>0</v>
      </c>
      <c r="K929" s="25" t="b">
        <v>1</v>
      </c>
      <c r="L929" s="34" t="s">
        <v>66</v>
      </c>
      <c r="M929" s="34" t="s">
        <v>4504</v>
      </c>
      <c r="N929" s="25" t="str">
        <f>_xlfn.IFNA(VLOOKUP($M929,Buff.CM!$A:$O,13,FALSE),"")</f>
        <v>icon_battle_skill_damage</v>
      </c>
      <c r="O929" s="25" t="str">
        <f>_xlfn.IFNA(VLOOKUP($M929,Buff.CM!$A:$O,14,FALSE),"")</f>
        <v>Buff.Name.ActiveDamage.Up.04</v>
      </c>
      <c r="P929" s="25" t="str">
        <f>_xlfn.IFNA(VLOOKUP($M929,Buff.CM!$A:$O,15,FALSE),"")</f>
        <v>Buff.Desc.ActiveDamage.Up.04</v>
      </c>
      <c r="Q929" s="25" t="b">
        <v>0</v>
      </c>
      <c r="R929" s="25" t="b">
        <v>0</v>
      </c>
    </row>
    <row r="930" spans="1:18" s="153" customFormat="1">
      <c r="A930" s="26" t="s">
        <v>6785</v>
      </c>
      <c r="B930" s="26"/>
      <c r="C930" s="26"/>
      <c r="D930" s="26">
        <v>8000</v>
      </c>
      <c r="E930" s="26">
        <v>0</v>
      </c>
      <c r="F930" s="26">
        <v>0</v>
      </c>
      <c r="G930" s="45" t="s">
        <v>6349</v>
      </c>
      <c r="H930" s="26"/>
      <c r="I930" s="26" t="b">
        <v>0</v>
      </c>
      <c r="J930" s="24" t="b">
        <v>0</v>
      </c>
      <c r="K930" s="26" t="b">
        <v>1</v>
      </c>
      <c r="L930" s="26" t="s">
        <v>6786</v>
      </c>
      <c r="M930" s="26" t="s">
        <v>6349</v>
      </c>
      <c r="N930" s="26" t="str">
        <f>_xlfn.IFNA(VLOOKUP($M930,Buff.CM!$A:$O,13,FALSE),"")</f>
        <v>icon_battle_skill_damage</v>
      </c>
      <c r="O930" s="26" t="str">
        <f>_xlfn.IFNA(VLOOKUP($M930,Buff.CM!$A:$O,14,FALSE),"")</f>
        <v>Buff.Name.UltDamage.Up.01</v>
      </c>
      <c r="P930" s="26" t="str">
        <f>_xlfn.IFNA(VLOOKUP($M930,Buff.CM!$A:$O,15,FALSE),"")</f>
        <v>Buff.Desc.UltDamage.Up.01</v>
      </c>
      <c r="Q930" s="26" t="b">
        <v>0</v>
      </c>
      <c r="R930" s="26" t="b">
        <v>0</v>
      </c>
    </row>
    <row r="931" spans="1:18" s="153" customFormat="1">
      <c r="A931" s="26" t="s">
        <v>5482</v>
      </c>
      <c r="B931" s="26"/>
      <c r="C931" s="26"/>
      <c r="D931" s="26">
        <v>10000</v>
      </c>
      <c r="E931" s="26">
        <v>0</v>
      </c>
      <c r="F931" s="26">
        <v>0</v>
      </c>
      <c r="G931" s="45" t="s">
        <v>6349</v>
      </c>
      <c r="H931" s="26"/>
      <c r="I931" s="26" t="b">
        <v>0</v>
      </c>
      <c r="J931" s="24" t="b">
        <v>0</v>
      </c>
      <c r="K931" s="26" t="b">
        <v>1</v>
      </c>
      <c r="L931" s="26" t="s">
        <v>6786</v>
      </c>
      <c r="M931" s="26" t="s">
        <v>6349</v>
      </c>
      <c r="N931" s="26" t="str">
        <f>_xlfn.IFNA(VLOOKUP($M931,Buff.CM!$A:$O,13,FALSE),"")</f>
        <v>icon_battle_skill_damage</v>
      </c>
      <c r="O931" s="26" t="str">
        <f>_xlfn.IFNA(VLOOKUP($M931,Buff.CM!$A:$O,14,FALSE),"")</f>
        <v>Buff.Name.UltDamage.Up.01</v>
      </c>
      <c r="P931" s="26" t="str">
        <f>_xlfn.IFNA(VLOOKUP($M931,Buff.CM!$A:$O,15,FALSE),"")</f>
        <v>Buff.Desc.UltDamage.Up.01</v>
      </c>
      <c r="Q931" s="26" t="b">
        <v>0</v>
      </c>
      <c r="R931" s="26" t="b">
        <v>0</v>
      </c>
    </row>
    <row r="932" spans="1:18" s="153" customFormat="1">
      <c r="A932" s="26" t="s">
        <v>5483</v>
      </c>
      <c r="B932" s="26"/>
      <c r="C932" s="26"/>
      <c r="D932" s="26">
        <v>10000</v>
      </c>
      <c r="E932" s="26">
        <v>0</v>
      </c>
      <c r="F932" s="26">
        <v>0</v>
      </c>
      <c r="G932" s="45" t="s">
        <v>4495</v>
      </c>
      <c r="H932" s="26"/>
      <c r="I932" s="26" t="b">
        <v>0</v>
      </c>
      <c r="J932" s="24" t="b">
        <v>0</v>
      </c>
      <c r="K932" s="26" t="b">
        <v>1</v>
      </c>
      <c r="L932" s="26" t="s">
        <v>6786</v>
      </c>
      <c r="M932" s="26" t="s">
        <v>4495</v>
      </c>
      <c r="N932" s="26" t="str">
        <f>_xlfn.IFNA(VLOOKUP($M932,Buff.CM!$A:$O,13,FALSE),"")</f>
        <v>icon_battle_skill_damage</v>
      </c>
      <c r="O932" s="26" t="str">
        <f>_xlfn.IFNA(VLOOKUP($M932,Buff.CM!$A:$O,14,FALSE),"")</f>
        <v>Buff.Name.UltDamage.Up.02</v>
      </c>
      <c r="P932" s="26" t="str">
        <f>_xlfn.IFNA(VLOOKUP($M932,Buff.CM!$A:$O,15,FALSE),"")</f>
        <v>Buff.Desc.UltDamage.Up.02</v>
      </c>
      <c r="Q932" s="26" t="b">
        <v>0</v>
      </c>
      <c r="R932" s="26" t="b">
        <v>0</v>
      </c>
    </row>
    <row r="933" spans="1:18" s="153" customFormat="1">
      <c r="A933" s="26" t="s">
        <v>5484</v>
      </c>
      <c r="B933" s="26"/>
      <c r="C933" s="26"/>
      <c r="D933" s="26">
        <v>10000</v>
      </c>
      <c r="E933" s="26">
        <v>0</v>
      </c>
      <c r="F933" s="26">
        <v>0</v>
      </c>
      <c r="G933" s="45" t="s">
        <v>4496</v>
      </c>
      <c r="H933" s="26"/>
      <c r="I933" s="26" t="b">
        <v>0</v>
      </c>
      <c r="J933" s="24" t="b">
        <v>0</v>
      </c>
      <c r="K933" s="26" t="b">
        <v>1</v>
      </c>
      <c r="L933" s="26" t="s">
        <v>6786</v>
      </c>
      <c r="M933" s="26" t="s">
        <v>4496</v>
      </c>
      <c r="N933" s="26" t="str">
        <f>_xlfn.IFNA(VLOOKUP($M933,Buff.CM!$A:$O,13,FALSE),"")</f>
        <v>icon_battle_skill_damage</v>
      </c>
      <c r="O933" s="26" t="str">
        <f>_xlfn.IFNA(VLOOKUP($M933,Buff.CM!$A:$O,14,FALSE),"")</f>
        <v>Buff.Name.UltDamage.Up.03</v>
      </c>
      <c r="P933" s="26" t="str">
        <f>_xlfn.IFNA(VLOOKUP($M933,Buff.CM!$A:$O,15,FALSE),"")</f>
        <v>Buff.Desc.UltDamage.Up.03</v>
      </c>
      <c r="Q933" s="26" t="b">
        <v>0</v>
      </c>
      <c r="R933" s="26" t="b">
        <v>0</v>
      </c>
    </row>
    <row r="934" spans="1:18" s="153" customFormat="1">
      <c r="A934" s="26" t="s">
        <v>5485</v>
      </c>
      <c r="B934" s="26"/>
      <c r="C934" s="26"/>
      <c r="D934" s="26">
        <v>10000</v>
      </c>
      <c r="E934" s="26">
        <v>0</v>
      </c>
      <c r="F934" s="26">
        <v>0</v>
      </c>
      <c r="G934" s="45" t="s">
        <v>4496</v>
      </c>
      <c r="H934" s="26"/>
      <c r="I934" s="26" t="b">
        <v>0</v>
      </c>
      <c r="J934" s="24" t="b">
        <v>0</v>
      </c>
      <c r="K934" s="26" t="b">
        <v>1</v>
      </c>
      <c r="L934" s="26" t="s">
        <v>6786</v>
      </c>
      <c r="M934" s="26" t="s">
        <v>4496</v>
      </c>
      <c r="N934" s="26" t="str">
        <f>_xlfn.IFNA(VLOOKUP($M934,Buff.CM!$A:$O,13,FALSE),"")</f>
        <v>icon_battle_skill_damage</v>
      </c>
      <c r="O934" s="26" t="str">
        <f>_xlfn.IFNA(VLOOKUP($M934,Buff.CM!$A:$O,14,FALSE),"")</f>
        <v>Buff.Name.UltDamage.Up.03</v>
      </c>
      <c r="P934" s="26" t="str">
        <f>_xlfn.IFNA(VLOOKUP($M934,Buff.CM!$A:$O,15,FALSE),"")</f>
        <v>Buff.Desc.UltDamage.Up.03</v>
      </c>
      <c r="Q934" s="26" t="b">
        <v>0</v>
      </c>
      <c r="R934" s="26" t="b">
        <v>0</v>
      </c>
    </row>
    <row r="935" spans="1:18" s="153" customFormat="1">
      <c r="A935" s="26" t="s">
        <v>5486</v>
      </c>
      <c r="B935" s="26"/>
      <c r="C935" s="26"/>
      <c r="D935" s="26">
        <v>10000</v>
      </c>
      <c r="E935" s="26">
        <v>0</v>
      </c>
      <c r="F935" s="26">
        <v>0</v>
      </c>
      <c r="G935" s="45" t="s">
        <v>4496</v>
      </c>
      <c r="H935" s="26"/>
      <c r="I935" s="26" t="b">
        <v>0</v>
      </c>
      <c r="J935" s="24" t="b">
        <v>0</v>
      </c>
      <c r="K935" s="26" t="b">
        <v>1</v>
      </c>
      <c r="L935" s="26" t="s">
        <v>6786</v>
      </c>
      <c r="M935" s="26" t="s">
        <v>4496</v>
      </c>
      <c r="N935" s="26" t="str">
        <f>_xlfn.IFNA(VLOOKUP($M935,Buff.CM!$A:$O,13,FALSE),"")</f>
        <v>icon_battle_skill_damage</v>
      </c>
      <c r="O935" s="26" t="str">
        <f>_xlfn.IFNA(VLOOKUP($M935,Buff.CM!$A:$O,14,FALSE),"")</f>
        <v>Buff.Name.UltDamage.Up.03</v>
      </c>
      <c r="P935" s="26" t="str">
        <f>_xlfn.IFNA(VLOOKUP($M935,Buff.CM!$A:$O,15,FALSE),"")</f>
        <v>Buff.Desc.UltDamage.Up.03</v>
      </c>
      <c r="Q935" s="26" t="b">
        <v>0</v>
      </c>
      <c r="R935" s="26" t="b">
        <v>0</v>
      </c>
    </row>
    <row r="936" spans="1:18">
      <c r="A936" s="24" t="s">
        <v>6787</v>
      </c>
      <c r="B936" s="24"/>
      <c r="C936" s="24"/>
      <c r="D936" s="24">
        <v>1000</v>
      </c>
      <c r="E936" s="24">
        <v>0</v>
      </c>
      <c r="F936" s="24">
        <v>0</v>
      </c>
      <c r="G936" s="24" t="s">
        <v>122</v>
      </c>
      <c r="H936" s="24"/>
      <c r="I936" s="24" t="b">
        <v>0</v>
      </c>
      <c r="J936" s="24" t="b">
        <v>0</v>
      </c>
      <c r="K936" s="24" t="b">
        <v>1</v>
      </c>
      <c r="L936" s="34"/>
      <c r="M936" s="34"/>
      <c r="N936" s="25" t="str">
        <f>_xlfn.IFNA(VLOOKUP($M936,Buff.CM!$A:$O,13,FALSE),"")</f>
        <v/>
      </c>
      <c r="O936" s="25" t="str">
        <f>_xlfn.IFNA(VLOOKUP($M936,Buff.CM!$A:$O,14,FALSE),"")</f>
        <v/>
      </c>
      <c r="P936" s="25" t="str">
        <f>_xlfn.IFNA(VLOOKUP($M936,Buff.CM!$A:$O,15,FALSE),"")</f>
        <v/>
      </c>
      <c r="Q936" s="24" t="b">
        <v>0</v>
      </c>
      <c r="R936" s="24" t="b">
        <v>0</v>
      </c>
    </row>
    <row r="937" spans="1:18" ht="49.5">
      <c r="A937" s="24" t="s">
        <v>4565</v>
      </c>
      <c r="B937" s="24"/>
      <c r="C937" s="24"/>
      <c r="D937" s="24">
        <v>8000</v>
      </c>
      <c r="E937" s="24">
        <v>0</v>
      </c>
      <c r="F937" s="24">
        <v>0</v>
      </c>
      <c r="G937" s="38" t="s">
        <v>6788</v>
      </c>
      <c r="H937" s="24"/>
      <c r="I937" s="24" t="b">
        <v>0</v>
      </c>
      <c r="J937" s="24" t="b">
        <v>0</v>
      </c>
      <c r="K937" s="24" t="b">
        <v>1</v>
      </c>
      <c r="L937" s="24" t="s">
        <v>66</v>
      </c>
      <c r="M937" s="24" t="s">
        <v>5714</v>
      </c>
      <c r="N937" s="24" t="str">
        <f>_xlfn.IFNA(VLOOKUP($M937,Buff.CM!$A:$O,13,FALSE),"")</f>
        <v>icon_battle_effect_res</v>
      </c>
      <c r="O937" s="24" t="str">
        <f>_xlfn.IFNA(VLOOKUP($M937,Buff.CM!$A:$O,14,FALSE),"")</f>
        <v>info.airen.buff.a2</v>
      </c>
      <c r="P937" s="24" t="str">
        <f>_xlfn.IFNA(VLOOKUP($M937,Buff.CM!$A:$O,15,FALSE),"")</f>
        <v>Desc.info.airen.buff.a2</v>
      </c>
      <c r="Q937" s="24" t="b">
        <v>0</v>
      </c>
      <c r="R937" s="24" t="b">
        <v>0</v>
      </c>
    </row>
    <row r="938" spans="1:18" ht="49.5">
      <c r="A938" s="24" t="s">
        <v>4560</v>
      </c>
      <c r="B938" s="24"/>
      <c r="C938" s="24"/>
      <c r="D938" s="24">
        <v>8000</v>
      </c>
      <c r="E938" s="24">
        <v>0</v>
      </c>
      <c r="F938" s="24">
        <v>0</v>
      </c>
      <c r="G938" s="38" t="s">
        <v>6789</v>
      </c>
      <c r="H938" s="24"/>
      <c r="I938" s="24" t="b">
        <v>0</v>
      </c>
      <c r="J938" s="24" t="b">
        <v>0</v>
      </c>
      <c r="K938" s="24" t="b">
        <v>1</v>
      </c>
      <c r="L938" s="24" t="s">
        <v>66</v>
      </c>
      <c r="M938" s="24" t="s">
        <v>5714</v>
      </c>
      <c r="N938" s="24" t="str">
        <f>_xlfn.IFNA(VLOOKUP($M938,Buff.CM!$A:$O,13,FALSE),"")</f>
        <v>icon_battle_effect_res</v>
      </c>
      <c r="O938" s="24" t="str">
        <f>_xlfn.IFNA(VLOOKUP($M938,Buff.CM!$A:$O,14,FALSE),"")</f>
        <v>info.airen.buff.a2</v>
      </c>
      <c r="P938" s="24" t="str">
        <f>_xlfn.IFNA(VLOOKUP($M938,Buff.CM!$A:$O,15,FALSE),"")</f>
        <v>Desc.info.airen.buff.a2</v>
      </c>
      <c r="Q938" s="24" t="b">
        <v>0</v>
      </c>
      <c r="R938" s="24" t="b">
        <v>0</v>
      </c>
    </row>
    <row r="939" spans="1:18" ht="49.5">
      <c r="A939" s="24" t="s">
        <v>4561</v>
      </c>
      <c r="B939" s="24"/>
      <c r="C939" s="24"/>
      <c r="D939" s="24">
        <v>8000</v>
      </c>
      <c r="E939" s="24">
        <v>0</v>
      </c>
      <c r="F939" s="24">
        <v>0</v>
      </c>
      <c r="G939" s="38" t="s">
        <v>6790</v>
      </c>
      <c r="H939" s="24"/>
      <c r="I939" s="24" t="b">
        <v>0</v>
      </c>
      <c r="J939" s="24" t="b">
        <v>0</v>
      </c>
      <c r="K939" s="24" t="b">
        <v>1</v>
      </c>
      <c r="L939" s="24" t="s">
        <v>66</v>
      </c>
      <c r="M939" s="24" t="s">
        <v>5714</v>
      </c>
      <c r="N939" s="24" t="str">
        <f>_xlfn.IFNA(VLOOKUP($M939,Buff.CM!$A:$O,13,FALSE),"")</f>
        <v>icon_battle_effect_res</v>
      </c>
      <c r="O939" s="24" t="str">
        <f>_xlfn.IFNA(VLOOKUP($M939,Buff.CM!$A:$O,14,FALSE),"")</f>
        <v>info.airen.buff.a2</v>
      </c>
      <c r="P939" s="24" t="str">
        <f>_xlfn.IFNA(VLOOKUP($M939,Buff.CM!$A:$O,15,FALSE),"")</f>
        <v>Desc.info.airen.buff.a2</v>
      </c>
      <c r="Q939" s="24" t="b">
        <v>0</v>
      </c>
      <c r="R939" s="24" t="b">
        <v>0</v>
      </c>
    </row>
    <row r="940" spans="1:18" ht="49.5">
      <c r="A940" s="34" t="s">
        <v>4562</v>
      </c>
      <c r="B940" s="34"/>
      <c r="C940" s="34"/>
      <c r="D940" s="34">
        <v>8000</v>
      </c>
      <c r="E940" s="34">
        <v>0</v>
      </c>
      <c r="F940" s="34">
        <v>0</v>
      </c>
      <c r="G940" s="40" t="s">
        <v>6791</v>
      </c>
      <c r="H940" s="34"/>
      <c r="I940" s="34" t="b">
        <v>0</v>
      </c>
      <c r="J940" s="34" t="b">
        <v>0</v>
      </c>
      <c r="K940" s="34" t="b">
        <v>1</v>
      </c>
      <c r="L940" s="34" t="s">
        <v>66</v>
      </c>
      <c r="M940" s="34" t="s">
        <v>5714</v>
      </c>
      <c r="N940" s="34" t="str">
        <f>_xlfn.IFNA(VLOOKUP($M940,Buff.CM!$A:$O,13,FALSE),"")</f>
        <v>icon_battle_effect_res</v>
      </c>
      <c r="O940" s="34" t="str">
        <f>_xlfn.IFNA(VLOOKUP($M940,Buff.CM!$A:$O,14,FALSE),"")</f>
        <v>info.airen.buff.a2</v>
      </c>
      <c r="P940" s="34" t="str">
        <f>_xlfn.IFNA(VLOOKUP($M940,Buff.CM!$A:$O,15,FALSE),"")</f>
        <v>Desc.info.airen.buff.a2</v>
      </c>
      <c r="Q940" s="34" t="b">
        <v>0</v>
      </c>
      <c r="R940" s="34" t="b">
        <v>0</v>
      </c>
    </row>
    <row r="941" spans="1:18" ht="49.5">
      <c r="A941" s="34" t="s">
        <v>4563</v>
      </c>
      <c r="B941" s="34"/>
      <c r="C941" s="34"/>
      <c r="D941" s="34">
        <v>8000</v>
      </c>
      <c r="E941" s="34">
        <v>0</v>
      </c>
      <c r="F941" s="34">
        <v>0</v>
      </c>
      <c r="G941" s="40" t="s">
        <v>6792</v>
      </c>
      <c r="H941" s="34"/>
      <c r="I941" s="34" t="b">
        <v>0</v>
      </c>
      <c r="J941" s="34" t="b">
        <v>0</v>
      </c>
      <c r="K941" s="34" t="b">
        <v>1</v>
      </c>
      <c r="L941" s="34" t="s">
        <v>66</v>
      </c>
      <c r="M941" s="34" t="s">
        <v>5714</v>
      </c>
      <c r="N941" s="34" t="str">
        <f>_xlfn.IFNA(VLOOKUP($M941,Buff.CM!$A:$O,13,FALSE),"")</f>
        <v>icon_battle_effect_res</v>
      </c>
      <c r="O941" s="34" t="str">
        <f>_xlfn.IFNA(VLOOKUP($M941,Buff.CM!$A:$O,14,FALSE),"")</f>
        <v>info.airen.buff.a2</v>
      </c>
      <c r="P941" s="34" t="str">
        <f>_xlfn.IFNA(VLOOKUP($M941,Buff.CM!$A:$O,15,FALSE),"")</f>
        <v>Desc.info.airen.buff.a2</v>
      </c>
      <c r="Q941" s="34" t="b">
        <v>0</v>
      </c>
      <c r="R941" s="34" t="b">
        <v>0</v>
      </c>
    </row>
    <row r="942" spans="1:18" s="13" customFormat="1" ht="49.5">
      <c r="A942" s="34" t="s">
        <v>4564</v>
      </c>
      <c r="B942" s="34"/>
      <c r="C942" s="34"/>
      <c r="D942" s="34">
        <v>8000</v>
      </c>
      <c r="E942" s="34">
        <v>0</v>
      </c>
      <c r="F942" s="34">
        <v>0</v>
      </c>
      <c r="G942" s="40" t="s">
        <v>6793</v>
      </c>
      <c r="H942" s="34"/>
      <c r="I942" s="34" t="b">
        <v>0</v>
      </c>
      <c r="J942" s="34" t="b">
        <v>0</v>
      </c>
      <c r="K942" s="34" t="b">
        <v>1</v>
      </c>
      <c r="L942" s="34" t="s">
        <v>66</v>
      </c>
      <c r="M942" s="34" t="s">
        <v>5714</v>
      </c>
      <c r="N942" s="34" t="str">
        <f>_xlfn.IFNA(VLOOKUP($M942,Buff.CM!$A:$O,13,FALSE),"")</f>
        <v>icon_battle_effect_res</v>
      </c>
      <c r="O942" s="34" t="str">
        <f>_xlfn.IFNA(VLOOKUP($M942,Buff.CM!$A:$O,14,FALSE),"")</f>
        <v>info.airen.buff.a2</v>
      </c>
      <c r="P942" s="34" t="str">
        <f>_xlfn.IFNA(VLOOKUP($M942,Buff.CM!$A:$O,15,FALSE),"")</f>
        <v>Desc.info.airen.buff.a2</v>
      </c>
      <c r="Q942" s="34" t="b">
        <v>0</v>
      </c>
      <c r="R942" s="34" t="b">
        <v>0</v>
      </c>
    </row>
    <row r="943" spans="1:18" ht="33">
      <c r="A943" s="24" t="s">
        <v>575</v>
      </c>
      <c r="B943" s="24"/>
      <c r="C943" s="24"/>
      <c r="D943" s="24">
        <v>0</v>
      </c>
      <c r="E943" s="24">
        <v>0</v>
      </c>
      <c r="F943" s="24">
        <v>0</v>
      </c>
      <c r="G943" s="38" t="s">
        <v>6794</v>
      </c>
      <c r="H943" s="24"/>
      <c r="I943" s="24" t="b">
        <v>0</v>
      </c>
      <c r="J943" s="23" t="b">
        <v>1</v>
      </c>
      <c r="K943" s="24" t="b">
        <v>1</v>
      </c>
      <c r="L943" s="24"/>
      <c r="M943" s="24"/>
      <c r="N943" s="24" t="str">
        <f>_xlfn.IFNA(VLOOKUP($M943,Buff.CM!$A:$O,13,FALSE),"")</f>
        <v/>
      </c>
      <c r="O943" s="24" t="str">
        <f>_xlfn.IFNA(VLOOKUP($M943,Buff.CM!$A:$O,14,FALSE),"")</f>
        <v/>
      </c>
      <c r="P943" s="24" t="str">
        <f>_xlfn.IFNA(VLOOKUP($M943,Buff.CM!$A:$O,15,FALSE),"")</f>
        <v/>
      </c>
      <c r="Q943" s="24" t="b">
        <v>0</v>
      </c>
      <c r="R943" s="24" t="b">
        <v>0</v>
      </c>
    </row>
    <row r="944" spans="1:18" ht="33">
      <c r="A944" s="24" t="s">
        <v>578</v>
      </c>
      <c r="B944" s="24"/>
      <c r="C944" s="24"/>
      <c r="D944" s="24">
        <v>0</v>
      </c>
      <c r="E944" s="24">
        <v>0</v>
      </c>
      <c r="F944" s="24">
        <v>0</v>
      </c>
      <c r="G944" s="38" t="s">
        <v>6795</v>
      </c>
      <c r="H944" s="24"/>
      <c r="I944" s="24" t="b">
        <v>0</v>
      </c>
      <c r="J944" s="23" t="b">
        <v>1</v>
      </c>
      <c r="K944" s="24" t="b">
        <v>1</v>
      </c>
      <c r="L944" s="24"/>
      <c r="M944" s="24"/>
      <c r="N944" s="24" t="str">
        <f>_xlfn.IFNA(VLOOKUP($M944,Buff.CM!$A:$O,13,FALSE),"")</f>
        <v/>
      </c>
      <c r="O944" s="24" t="str">
        <f>_xlfn.IFNA(VLOOKUP($M944,Buff.CM!$A:$O,14,FALSE),"")</f>
        <v/>
      </c>
      <c r="P944" s="24" t="str">
        <f>_xlfn.IFNA(VLOOKUP($M944,Buff.CM!$A:$O,15,FALSE),"")</f>
        <v/>
      </c>
      <c r="Q944" s="24" t="b">
        <v>0</v>
      </c>
      <c r="R944" s="24" t="b">
        <v>0</v>
      </c>
    </row>
    <row r="945" spans="1:18" ht="33">
      <c r="A945" s="24" t="s">
        <v>580</v>
      </c>
      <c r="B945" s="24"/>
      <c r="C945" s="24"/>
      <c r="D945" s="24">
        <v>0</v>
      </c>
      <c r="E945" s="24">
        <v>0</v>
      </c>
      <c r="F945" s="24">
        <v>0</v>
      </c>
      <c r="G945" s="38" t="s">
        <v>6796</v>
      </c>
      <c r="H945" s="24"/>
      <c r="I945" s="24" t="b">
        <v>0</v>
      </c>
      <c r="J945" s="23" t="b">
        <v>1</v>
      </c>
      <c r="K945" s="24" t="b">
        <v>1</v>
      </c>
      <c r="L945" s="24"/>
      <c r="M945" s="24"/>
      <c r="N945" s="24" t="str">
        <f>_xlfn.IFNA(VLOOKUP($M945,Buff.CM!$A:$O,13,FALSE),"")</f>
        <v/>
      </c>
      <c r="O945" s="24" t="str">
        <f>_xlfn.IFNA(VLOOKUP($M945,Buff.CM!$A:$O,14,FALSE),"")</f>
        <v/>
      </c>
      <c r="P945" s="24" t="str">
        <f>_xlfn.IFNA(VLOOKUP($M945,Buff.CM!$A:$O,15,FALSE),"")</f>
        <v/>
      </c>
      <c r="Q945" s="24" t="b">
        <v>0</v>
      </c>
      <c r="R945" s="24" t="b">
        <v>0</v>
      </c>
    </row>
    <row r="946" spans="1:18" ht="33">
      <c r="A946" s="34" t="s">
        <v>582</v>
      </c>
      <c r="B946" s="34"/>
      <c r="C946" s="34"/>
      <c r="D946" s="34">
        <v>0</v>
      </c>
      <c r="E946" s="34">
        <v>0</v>
      </c>
      <c r="F946" s="34">
        <v>0</v>
      </c>
      <c r="G946" s="40" t="s">
        <v>6797</v>
      </c>
      <c r="H946" s="34"/>
      <c r="I946" s="34" t="b">
        <v>0</v>
      </c>
      <c r="J946" s="23" t="b">
        <v>1</v>
      </c>
      <c r="K946" s="34" t="b">
        <v>1</v>
      </c>
      <c r="L946" s="34"/>
      <c r="M946" s="34"/>
      <c r="N946" s="34" t="str">
        <f>_xlfn.IFNA(VLOOKUP($M946,Buff.CM!$A:$O,13,FALSE),"")</f>
        <v/>
      </c>
      <c r="O946" s="34" t="str">
        <f>_xlfn.IFNA(VLOOKUP($M946,Buff.CM!$A:$O,14,FALSE),"")</f>
        <v/>
      </c>
      <c r="P946" s="34" t="str">
        <f>_xlfn.IFNA(VLOOKUP($M946,Buff.CM!$A:$O,15,FALSE),"")</f>
        <v/>
      </c>
      <c r="Q946" s="34" t="b">
        <v>0</v>
      </c>
      <c r="R946" s="34" t="b">
        <v>0</v>
      </c>
    </row>
    <row r="947" spans="1:18" ht="33">
      <c r="A947" s="34" t="s">
        <v>584</v>
      </c>
      <c r="B947" s="34"/>
      <c r="C947" s="34"/>
      <c r="D947" s="34">
        <v>0</v>
      </c>
      <c r="E947" s="34">
        <v>0</v>
      </c>
      <c r="F947" s="34">
        <v>0</v>
      </c>
      <c r="G947" s="40" t="s">
        <v>6798</v>
      </c>
      <c r="H947" s="34"/>
      <c r="I947" s="34" t="b">
        <v>0</v>
      </c>
      <c r="J947" s="23" t="b">
        <v>1</v>
      </c>
      <c r="K947" s="34" t="b">
        <v>1</v>
      </c>
      <c r="L947" s="34"/>
      <c r="M947" s="34"/>
      <c r="N947" s="34" t="str">
        <f>_xlfn.IFNA(VLOOKUP($M947,Buff.CM!$A:$O,13,FALSE),"")</f>
        <v/>
      </c>
      <c r="O947" s="34" t="str">
        <f>_xlfn.IFNA(VLOOKUP($M947,Buff.CM!$A:$O,14,FALSE),"")</f>
        <v/>
      </c>
      <c r="P947" s="34" t="str">
        <f>_xlfn.IFNA(VLOOKUP($M947,Buff.CM!$A:$O,15,FALSE),"")</f>
        <v/>
      </c>
      <c r="Q947" s="34" t="b">
        <v>0</v>
      </c>
      <c r="R947" s="34" t="b">
        <v>0</v>
      </c>
    </row>
    <row r="948" spans="1:18" s="13" customFormat="1" ht="33">
      <c r="A948" s="34" t="s">
        <v>586</v>
      </c>
      <c r="B948" s="34"/>
      <c r="C948" s="34"/>
      <c r="D948" s="34">
        <v>0</v>
      </c>
      <c r="E948" s="34">
        <v>0</v>
      </c>
      <c r="F948" s="34">
        <v>0</v>
      </c>
      <c r="G948" s="40" t="s">
        <v>6799</v>
      </c>
      <c r="H948" s="34"/>
      <c r="I948" s="34" t="b">
        <v>0</v>
      </c>
      <c r="J948" s="23" t="b">
        <v>1</v>
      </c>
      <c r="K948" s="34" t="b">
        <v>1</v>
      </c>
      <c r="L948" s="34"/>
      <c r="M948" s="34"/>
      <c r="N948" s="34" t="str">
        <f>_xlfn.IFNA(VLOOKUP($M948,Buff.CM!$A:$O,13,FALSE),"")</f>
        <v/>
      </c>
      <c r="O948" s="34" t="str">
        <f>_xlfn.IFNA(VLOOKUP($M948,Buff.CM!$A:$O,14,FALSE),"")</f>
        <v/>
      </c>
      <c r="P948" s="34" t="str">
        <f>_xlfn.IFNA(VLOOKUP($M948,Buff.CM!$A:$O,15,FALSE),"")</f>
        <v/>
      </c>
      <c r="Q948" s="34" t="b">
        <v>0</v>
      </c>
      <c r="R948" s="34" t="b">
        <v>0</v>
      </c>
    </row>
    <row r="949" spans="1:18">
      <c r="A949" s="23" t="s">
        <v>1646</v>
      </c>
      <c r="B949" s="23"/>
      <c r="C949" s="23"/>
      <c r="D949" s="23">
        <v>0</v>
      </c>
      <c r="E949" s="23">
        <v>0</v>
      </c>
      <c r="F949" s="23">
        <v>0</v>
      </c>
      <c r="G949" s="23" t="s">
        <v>1652</v>
      </c>
      <c r="H949" s="23"/>
      <c r="I949" s="23" t="b">
        <v>0</v>
      </c>
      <c r="J949" s="23" t="b">
        <v>1</v>
      </c>
      <c r="K949" s="26" t="b">
        <v>1</v>
      </c>
      <c r="L949" s="23"/>
      <c r="M949" s="23"/>
      <c r="N949" s="23" t="str">
        <f>_xlfn.IFNA(VLOOKUP($M949,Buff.CM!$A:$O,13,FALSE),"")</f>
        <v/>
      </c>
      <c r="O949" s="23" t="str">
        <f>_xlfn.IFNA(VLOOKUP($M949,Buff.CM!$A:$O,14,FALSE),"")</f>
        <v/>
      </c>
      <c r="P949" s="23" t="str">
        <f>_xlfn.IFNA(VLOOKUP($M949,Buff.CM!$A:$O,15,FALSE),"")</f>
        <v/>
      </c>
      <c r="Q949" s="23" t="b">
        <v>0</v>
      </c>
      <c r="R949" s="23" t="b">
        <v>0</v>
      </c>
    </row>
    <row r="950" spans="1:18">
      <c r="A950" s="23" t="s">
        <v>1647</v>
      </c>
      <c r="B950" s="23"/>
      <c r="C950" s="23"/>
      <c r="D950" s="23">
        <v>0</v>
      </c>
      <c r="E950" s="23">
        <v>0</v>
      </c>
      <c r="F950" s="23">
        <v>0</v>
      </c>
      <c r="G950" s="23" t="s">
        <v>1653</v>
      </c>
      <c r="H950" s="23"/>
      <c r="I950" s="23" t="b">
        <v>0</v>
      </c>
      <c r="J950" s="23" t="b">
        <v>1</v>
      </c>
      <c r="K950" s="26" t="b">
        <v>1</v>
      </c>
      <c r="L950" s="23"/>
      <c r="M950" s="23"/>
      <c r="N950" s="23" t="str">
        <f>_xlfn.IFNA(VLOOKUP($M950,Buff.CM!$A:$O,13,FALSE),"")</f>
        <v/>
      </c>
      <c r="O950" s="23" t="str">
        <f>_xlfn.IFNA(VLOOKUP($M950,Buff.CM!$A:$O,14,FALSE),"")</f>
        <v/>
      </c>
      <c r="P950" s="23" t="str">
        <f>_xlfn.IFNA(VLOOKUP($M950,Buff.CM!$A:$O,15,FALSE),"")</f>
        <v/>
      </c>
      <c r="Q950" s="23" t="b">
        <v>0</v>
      </c>
      <c r="R950" s="23" t="b">
        <v>0</v>
      </c>
    </row>
    <row r="951" spans="1:18">
      <c r="A951" s="23" t="s">
        <v>1648</v>
      </c>
      <c r="B951" s="23"/>
      <c r="C951" s="23"/>
      <c r="D951" s="23">
        <v>0</v>
      </c>
      <c r="E951" s="23">
        <v>0</v>
      </c>
      <c r="F951" s="23">
        <v>0</v>
      </c>
      <c r="G951" s="23" t="s">
        <v>1654</v>
      </c>
      <c r="H951" s="23"/>
      <c r="I951" s="23" t="b">
        <v>0</v>
      </c>
      <c r="J951" s="23" t="b">
        <v>1</v>
      </c>
      <c r="K951" s="26" t="b">
        <v>1</v>
      </c>
      <c r="L951" s="23"/>
      <c r="M951" s="23"/>
      <c r="N951" s="23" t="str">
        <f>_xlfn.IFNA(VLOOKUP($M951,Buff.CM!$A:$O,13,FALSE),"")</f>
        <v/>
      </c>
      <c r="O951" s="23" t="str">
        <f>_xlfn.IFNA(VLOOKUP($M951,Buff.CM!$A:$O,14,FALSE),"")</f>
        <v/>
      </c>
      <c r="P951" s="23" t="str">
        <f>_xlfn.IFNA(VLOOKUP($M951,Buff.CM!$A:$O,15,FALSE),"")</f>
        <v/>
      </c>
      <c r="Q951" s="23" t="b">
        <v>0</v>
      </c>
      <c r="R951" s="23" t="b">
        <v>0</v>
      </c>
    </row>
    <row r="952" spans="1:18">
      <c r="A952" s="34" t="s">
        <v>1649</v>
      </c>
      <c r="B952" s="34"/>
      <c r="C952" s="34"/>
      <c r="D952" s="34">
        <v>0</v>
      </c>
      <c r="E952" s="34">
        <v>0</v>
      </c>
      <c r="F952" s="34">
        <v>0</v>
      </c>
      <c r="G952" s="34" t="s">
        <v>1655</v>
      </c>
      <c r="H952" s="34"/>
      <c r="I952" s="34" t="b">
        <v>0</v>
      </c>
      <c r="J952" s="23" t="b">
        <v>1</v>
      </c>
      <c r="K952" s="26" t="b">
        <v>1</v>
      </c>
      <c r="L952" s="34"/>
      <c r="M952" s="34"/>
      <c r="N952" s="34" t="str">
        <f>_xlfn.IFNA(VLOOKUP($M952,Buff.CM!$A:$O,13,FALSE),"")</f>
        <v/>
      </c>
      <c r="O952" s="34" t="str">
        <f>_xlfn.IFNA(VLOOKUP($M952,Buff.CM!$A:$O,14,FALSE),"")</f>
        <v/>
      </c>
      <c r="P952" s="34" t="str">
        <f>_xlfn.IFNA(VLOOKUP($M952,Buff.CM!$A:$O,15,FALSE),"")</f>
        <v/>
      </c>
      <c r="Q952" s="34" t="b">
        <v>0</v>
      </c>
      <c r="R952" s="34" t="b">
        <v>0</v>
      </c>
    </row>
    <row r="953" spans="1:18">
      <c r="A953" s="34" t="s">
        <v>1650</v>
      </c>
      <c r="B953" s="34"/>
      <c r="C953" s="34"/>
      <c r="D953" s="34">
        <v>0</v>
      </c>
      <c r="E953" s="34">
        <v>0</v>
      </c>
      <c r="F953" s="34">
        <v>0</v>
      </c>
      <c r="G953" s="34" t="s">
        <v>1656</v>
      </c>
      <c r="H953" s="34"/>
      <c r="I953" s="34" t="b">
        <v>0</v>
      </c>
      <c r="J953" s="23" t="b">
        <v>1</v>
      </c>
      <c r="K953" s="26" t="b">
        <v>1</v>
      </c>
      <c r="L953" s="34"/>
      <c r="M953" s="34"/>
      <c r="N953" s="34" t="str">
        <f>_xlfn.IFNA(VLOOKUP($M953,Buff.CM!$A:$O,13,FALSE),"")</f>
        <v/>
      </c>
      <c r="O953" s="34" t="str">
        <f>_xlfn.IFNA(VLOOKUP($M953,Buff.CM!$A:$O,14,FALSE),"")</f>
        <v/>
      </c>
      <c r="P953" s="34" t="str">
        <f>_xlfn.IFNA(VLOOKUP($M953,Buff.CM!$A:$O,15,FALSE),"")</f>
        <v/>
      </c>
      <c r="Q953" s="34" t="b">
        <v>0</v>
      </c>
      <c r="R953" s="34" t="b">
        <v>0</v>
      </c>
    </row>
    <row r="954" spans="1:18" s="13" customFormat="1">
      <c r="A954" s="34" t="s">
        <v>1651</v>
      </c>
      <c r="B954" s="34"/>
      <c r="C954" s="34"/>
      <c r="D954" s="34">
        <v>0</v>
      </c>
      <c r="E954" s="34">
        <v>0</v>
      </c>
      <c r="F954" s="34">
        <v>0</v>
      </c>
      <c r="G954" s="34" t="s">
        <v>1657</v>
      </c>
      <c r="H954" s="34"/>
      <c r="I954" s="34" t="b">
        <v>0</v>
      </c>
      <c r="J954" s="23" t="b">
        <v>1</v>
      </c>
      <c r="K954" s="26" t="b">
        <v>1</v>
      </c>
      <c r="L954" s="34"/>
      <c r="M954" s="34"/>
      <c r="N954" s="34" t="str">
        <f>_xlfn.IFNA(VLOOKUP($M954,Buff.CM!$A:$O,13,FALSE),"")</f>
        <v/>
      </c>
      <c r="O954" s="34" t="str">
        <f>_xlfn.IFNA(VLOOKUP($M954,Buff.CM!$A:$O,14,FALSE),"")</f>
        <v/>
      </c>
      <c r="P954" s="34" t="str">
        <f>_xlfn.IFNA(VLOOKUP($M954,Buff.CM!$A:$O,15,FALSE),"")</f>
        <v/>
      </c>
      <c r="Q954" s="34" t="b">
        <v>0</v>
      </c>
      <c r="R954" s="34" t="b">
        <v>0</v>
      </c>
    </row>
    <row r="955" spans="1:18">
      <c r="A955" s="23" t="s">
        <v>3746</v>
      </c>
      <c r="B955" s="23"/>
      <c r="C955" s="23"/>
      <c r="D955" s="23">
        <v>0</v>
      </c>
      <c r="E955" s="23">
        <v>0</v>
      </c>
      <c r="F955" s="23">
        <v>0</v>
      </c>
      <c r="G955" s="23" t="s">
        <v>3747</v>
      </c>
      <c r="H955" s="23"/>
      <c r="I955" s="23" t="b">
        <v>0</v>
      </c>
      <c r="J955" s="23" t="b">
        <v>1</v>
      </c>
      <c r="K955" s="23" t="b">
        <v>1</v>
      </c>
      <c r="L955" s="23"/>
      <c r="M955" s="23"/>
      <c r="N955" s="23" t="str">
        <f>_xlfn.IFNA(VLOOKUP($M955,Buff.CM!$A:$O,13,FALSE),"")</f>
        <v/>
      </c>
      <c r="O955" s="23" t="str">
        <f>_xlfn.IFNA(VLOOKUP($M955,Buff.CM!$A:$O,14,FALSE),"")</f>
        <v/>
      </c>
      <c r="P955" s="23" t="str">
        <f>_xlfn.IFNA(VLOOKUP($M955,Buff.CM!$A:$O,15,FALSE),"")</f>
        <v/>
      </c>
      <c r="Q955" s="23" t="b">
        <v>0</v>
      </c>
      <c r="R955" s="23" t="b">
        <v>0</v>
      </c>
    </row>
    <row r="956" spans="1:18">
      <c r="A956" s="23" t="s">
        <v>3748</v>
      </c>
      <c r="B956" s="23"/>
      <c r="C956" s="23"/>
      <c r="D956" s="23">
        <v>0</v>
      </c>
      <c r="E956" s="23">
        <v>0</v>
      </c>
      <c r="F956" s="23">
        <v>0</v>
      </c>
      <c r="G956" s="23" t="s">
        <v>3749</v>
      </c>
      <c r="H956" s="23"/>
      <c r="I956" s="23" t="b">
        <v>0</v>
      </c>
      <c r="J956" s="23" t="b">
        <v>1</v>
      </c>
      <c r="K956" s="23" t="b">
        <v>1</v>
      </c>
      <c r="L956" s="23"/>
      <c r="M956" s="23"/>
      <c r="N956" s="23" t="str">
        <f>_xlfn.IFNA(VLOOKUP($M956,Buff.CM!$A:$O,13,FALSE),"")</f>
        <v/>
      </c>
      <c r="O956" s="23" t="str">
        <f>_xlfn.IFNA(VLOOKUP($M956,Buff.CM!$A:$O,14,FALSE),"")</f>
        <v/>
      </c>
      <c r="P956" s="23" t="str">
        <f>_xlfn.IFNA(VLOOKUP($M956,Buff.CM!$A:$O,15,FALSE),"")</f>
        <v/>
      </c>
      <c r="Q956" s="23" t="b">
        <v>0</v>
      </c>
      <c r="R956" s="23" t="b">
        <v>0</v>
      </c>
    </row>
    <row r="957" spans="1:18">
      <c r="A957" s="23" t="s">
        <v>3750</v>
      </c>
      <c r="B957" s="23"/>
      <c r="C957" s="23"/>
      <c r="D957" s="23">
        <v>0</v>
      </c>
      <c r="E957" s="23">
        <v>0</v>
      </c>
      <c r="F957" s="23">
        <v>0</v>
      </c>
      <c r="G957" s="23" t="s">
        <v>3751</v>
      </c>
      <c r="H957" s="23"/>
      <c r="I957" s="23" t="b">
        <v>0</v>
      </c>
      <c r="J957" s="23" t="b">
        <v>1</v>
      </c>
      <c r="K957" s="23" t="b">
        <v>1</v>
      </c>
      <c r="L957" s="23"/>
      <c r="M957" s="23"/>
      <c r="N957" s="23" t="str">
        <f>_xlfn.IFNA(VLOOKUP($M957,Buff.CM!$A:$O,13,FALSE),"")</f>
        <v/>
      </c>
      <c r="O957" s="23" t="str">
        <f>_xlfn.IFNA(VLOOKUP($M957,Buff.CM!$A:$O,14,FALSE),"")</f>
        <v/>
      </c>
      <c r="P957" s="23" t="str">
        <f>_xlfn.IFNA(VLOOKUP($M957,Buff.CM!$A:$O,15,FALSE),"")</f>
        <v/>
      </c>
      <c r="Q957" s="23" t="b">
        <v>0</v>
      </c>
      <c r="R957" s="23" t="b">
        <v>0</v>
      </c>
    </row>
    <row r="958" spans="1:18">
      <c r="A958" s="23" t="s">
        <v>3752</v>
      </c>
      <c r="B958" s="23"/>
      <c r="C958" s="23"/>
      <c r="D958" s="23">
        <v>0</v>
      </c>
      <c r="E958" s="23">
        <v>0</v>
      </c>
      <c r="F958" s="23">
        <v>0</v>
      </c>
      <c r="G958" s="23" t="s">
        <v>3753</v>
      </c>
      <c r="H958" s="23"/>
      <c r="I958" s="23" t="b">
        <v>0</v>
      </c>
      <c r="J958" s="23" t="b">
        <v>1</v>
      </c>
      <c r="K958" s="23" t="b">
        <v>1</v>
      </c>
      <c r="L958" s="23"/>
      <c r="M958" s="23"/>
      <c r="N958" s="23" t="str">
        <f>_xlfn.IFNA(VLOOKUP($M958,Buff.CM!$A:$O,13,FALSE),"")</f>
        <v/>
      </c>
      <c r="O958" s="23" t="str">
        <f>_xlfn.IFNA(VLOOKUP($M958,Buff.CM!$A:$O,14,FALSE),"")</f>
        <v/>
      </c>
      <c r="P958" s="23" t="str">
        <f>_xlfn.IFNA(VLOOKUP($M958,Buff.CM!$A:$O,15,FALSE),"")</f>
        <v/>
      </c>
      <c r="Q958" s="23" t="b">
        <v>0</v>
      </c>
      <c r="R958" s="23" t="b">
        <v>0</v>
      </c>
    </row>
    <row r="959" spans="1:18">
      <c r="A959" s="23" t="s">
        <v>3754</v>
      </c>
      <c r="B959" s="23"/>
      <c r="C959" s="23"/>
      <c r="D959" s="23">
        <v>0</v>
      </c>
      <c r="E959" s="23">
        <v>0</v>
      </c>
      <c r="F959" s="23">
        <v>0</v>
      </c>
      <c r="G959" s="23" t="s">
        <v>3755</v>
      </c>
      <c r="H959" s="23"/>
      <c r="I959" s="23" t="b">
        <v>0</v>
      </c>
      <c r="J959" s="23" t="b">
        <v>1</v>
      </c>
      <c r="K959" s="23" t="b">
        <v>1</v>
      </c>
      <c r="L959" s="23"/>
      <c r="M959" s="23"/>
      <c r="N959" s="23" t="str">
        <f>_xlfn.IFNA(VLOOKUP($M959,Buff.CM!$A:$O,13,FALSE),"")</f>
        <v/>
      </c>
      <c r="O959" s="23" t="str">
        <f>_xlfn.IFNA(VLOOKUP($M959,Buff.CM!$A:$O,14,FALSE),"")</f>
        <v/>
      </c>
      <c r="P959" s="23" t="str">
        <f>_xlfn.IFNA(VLOOKUP($M959,Buff.CM!$A:$O,15,FALSE),"")</f>
        <v/>
      </c>
      <c r="Q959" s="23" t="b">
        <v>0</v>
      </c>
      <c r="R959" s="23" t="b">
        <v>0</v>
      </c>
    </row>
    <row r="960" spans="1:18">
      <c r="A960" s="24" t="s">
        <v>6800</v>
      </c>
      <c r="B960" s="24"/>
      <c r="C960" s="24"/>
      <c r="D960" s="23">
        <v>8000</v>
      </c>
      <c r="E960" s="23">
        <v>0</v>
      </c>
      <c r="F960" s="23">
        <v>0</v>
      </c>
      <c r="G960" s="24" t="s">
        <v>6801</v>
      </c>
      <c r="H960" s="24"/>
      <c r="I960" s="23" t="b">
        <v>0</v>
      </c>
      <c r="J960" s="24" t="b">
        <v>0</v>
      </c>
      <c r="K960" s="24" t="b">
        <v>1</v>
      </c>
      <c r="L960" s="24"/>
      <c r="M960" s="24" t="s">
        <v>6158</v>
      </c>
      <c r="N960" s="24" t="str">
        <f>_xlfn.IFNA(VLOOKUP($M960,Buff.CM!$A:$O,13,FALSE),"")</f>
        <v>icon_battle_ignoredefense</v>
      </c>
      <c r="O960" s="24" t="str">
        <f>_xlfn.IFNA(VLOOKUP($M960,Buff.CM!$A:$O,14,FALSE),"")</f>
        <v>Buff.Name.IgnoreDefense.Up.00</v>
      </c>
      <c r="P960" s="24" t="str">
        <f>_xlfn.IFNA(VLOOKUP($M960,Buff.CM!$A:$O,15,FALSE),"")</f>
        <v>Buff.Desc.IgnoreDefense.Up.00</v>
      </c>
      <c r="Q960" s="24" t="b">
        <v>0</v>
      </c>
      <c r="R960" s="24" t="b">
        <v>0</v>
      </c>
    </row>
    <row r="961" spans="1:18">
      <c r="A961" s="24" t="s">
        <v>3756</v>
      </c>
      <c r="B961" s="24"/>
      <c r="C961" s="24"/>
      <c r="D961" s="23">
        <v>8000</v>
      </c>
      <c r="E961" s="23">
        <v>0</v>
      </c>
      <c r="F961" s="23">
        <v>0</v>
      </c>
      <c r="G961" s="24" t="s">
        <v>4374</v>
      </c>
      <c r="H961" s="24"/>
      <c r="I961" s="23" t="b">
        <v>0</v>
      </c>
      <c r="J961" s="24" t="b">
        <v>0</v>
      </c>
      <c r="K961" s="24" t="b">
        <v>1</v>
      </c>
      <c r="L961" s="24"/>
      <c r="M961" s="24" t="s">
        <v>6158</v>
      </c>
      <c r="N961" s="24" t="str">
        <f>_xlfn.IFNA(VLOOKUP($M961,Buff.CM!$A:$O,13,FALSE),"")</f>
        <v>icon_battle_ignoredefense</v>
      </c>
      <c r="O961" s="24" t="str">
        <f>_xlfn.IFNA(VLOOKUP($M961,Buff.CM!$A:$O,14,FALSE),"")</f>
        <v>Buff.Name.IgnoreDefense.Up.00</v>
      </c>
      <c r="P961" s="24" t="str">
        <f>_xlfn.IFNA(VLOOKUP($M961,Buff.CM!$A:$O,15,FALSE),"")</f>
        <v>Buff.Desc.IgnoreDefense.Up.00</v>
      </c>
      <c r="Q961" s="24" t="b">
        <v>0</v>
      </c>
      <c r="R961" s="24" t="b">
        <v>0</v>
      </c>
    </row>
    <row r="962" spans="1:18">
      <c r="A962" s="24" t="s">
        <v>3757</v>
      </c>
      <c r="B962" s="24"/>
      <c r="C962" s="24"/>
      <c r="D962" s="23">
        <v>8000</v>
      </c>
      <c r="E962" s="23">
        <v>0</v>
      </c>
      <c r="F962" s="23">
        <v>0</v>
      </c>
      <c r="G962" s="24" t="s">
        <v>4375</v>
      </c>
      <c r="H962" s="24"/>
      <c r="I962" s="23" t="b">
        <v>0</v>
      </c>
      <c r="J962" s="24" t="b">
        <v>0</v>
      </c>
      <c r="K962" s="24" t="b">
        <v>1</v>
      </c>
      <c r="L962" s="24"/>
      <c r="M962" s="24" t="s">
        <v>6158</v>
      </c>
      <c r="N962" s="24" t="str">
        <f>_xlfn.IFNA(VLOOKUP($M962,Buff.CM!$A:$O,13,FALSE),"")</f>
        <v>icon_battle_ignoredefense</v>
      </c>
      <c r="O962" s="24" t="str">
        <f>_xlfn.IFNA(VLOOKUP($M962,Buff.CM!$A:$O,14,FALSE),"")</f>
        <v>Buff.Name.IgnoreDefense.Up.00</v>
      </c>
      <c r="P962" s="24" t="str">
        <f>_xlfn.IFNA(VLOOKUP($M962,Buff.CM!$A:$O,15,FALSE),"")</f>
        <v>Buff.Desc.IgnoreDefense.Up.00</v>
      </c>
      <c r="Q962" s="24" t="b">
        <v>0</v>
      </c>
      <c r="R962" s="24" t="b">
        <v>0</v>
      </c>
    </row>
    <row r="963" spans="1:18">
      <c r="A963" s="24" t="s">
        <v>3758</v>
      </c>
      <c r="B963" s="24"/>
      <c r="C963" s="24"/>
      <c r="D963" s="23">
        <v>8000</v>
      </c>
      <c r="E963" s="23">
        <v>0</v>
      </c>
      <c r="F963" s="23">
        <v>0</v>
      </c>
      <c r="G963" s="24" t="s">
        <v>4376</v>
      </c>
      <c r="H963" s="24"/>
      <c r="I963" s="23" t="b">
        <v>0</v>
      </c>
      <c r="J963" s="24" t="b">
        <v>0</v>
      </c>
      <c r="K963" s="24" t="b">
        <v>1</v>
      </c>
      <c r="L963" s="24"/>
      <c r="M963" s="24" t="s">
        <v>6158</v>
      </c>
      <c r="N963" s="24" t="str">
        <f>_xlfn.IFNA(VLOOKUP($M963,Buff.CM!$A:$O,13,FALSE),"")</f>
        <v>icon_battle_ignoredefense</v>
      </c>
      <c r="O963" s="24" t="str">
        <f>_xlfn.IFNA(VLOOKUP($M963,Buff.CM!$A:$O,14,FALSE),"")</f>
        <v>Buff.Name.IgnoreDefense.Up.00</v>
      </c>
      <c r="P963" s="24" t="str">
        <f>_xlfn.IFNA(VLOOKUP($M963,Buff.CM!$A:$O,15,FALSE),"")</f>
        <v>Buff.Desc.IgnoreDefense.Up.00</v>
      </c>
      <c r="Q963" s="24" t="b">
        <v>0</v>
      </c>
      <c r="R963" s="24" t="b">
        <v>0</v>
      </c>
    </row>
    <row r="964" spans="1:18">
      <c r="A964" s="24" t="s">
        <v>3759</v>
      </c>
      <c r="B964" s="24"/>
      <c r="C964" s="24"/>
      <c r="D964" s="23">
        <v>8000</v>
      </c>
      <c r="E964" s="23">
        <v>0</v>
      </c>
      <c r="F964" s="23">
        <v>0</v>
      </c>
      <c r="G964" s="24" t="s">
        <v>4377</v>
      </c>
      <c r="H964" s="24"/>
      <c r="I964" s="23" t="b">
        <v>0</v>
      </c>
      <c r="J964" s="24" t="b">
        <v>0</v>
      </c>
      <c r="K964" s="24" t="b">
        <v>1</v>
      </c>
      <c r="L964" s="24"/>
      <c r="M964" s="24" t="s">
        <v>6158</v>
      </c>
      <c r="N964" s="24" t="str">
        <f>_xlfn.IFNA(VLOOKUP($M964,Buff.CM!$A:$O,13,FALSE),"")</f>
        <v>icon_battle_ignoredefense</v>
      </c>
      <c r="O964" s="24" t="str">
        <f>_xlfn.IFNA(VLOOKUP($M964,Buff.CM!$A:$O,14,FALSE),"")</f>
        <v>Buff.Name.IgnoreDefense.Up.00</v>
      </c>
      <c r="P964" s="24" t="str">
        <f>_xlfn.IFNA(VLOOKUP($M964,Buff.CM!$A:$O,15,FALSE),"")</f>
        <v>Buff.Desc.IgnoreDefense.Up.00</v>
      </c>
      <c r="Q964" s="24" t="b">
        <v>0</v>
      </c>
      <c r="R964" s="24" t="b">
        <v>0</v>
      </c>
    </row>
    <row r="965" spans="1:18" s="13" customFormat="1">
      <c r="A965" s="26" t="s">
        <v>2193</v>
      </c>
      <c r="B965" s="26"/>
      <c r="C965" s="26"/>
      <c r="D965" s="26">
        <v>5000</v>
      </c>
      <c r="E965" s="26">
        <v>0</v>
      </c>
      <c r="F965" s="26">
        <v>0</v>
      </c>
      <c r="G965" s="26" t="s">
        <v>2197</v>
      </c>
      <c r="H965" s="26"/>
      <c r="I965" s="26" t="b">
        <v>0</v>
      </c>
      <c r="J965" s="26" t="b">
        <v>0</v>
      </c>
      <c r="K965" s="26" t="b">
        <v>0</v>
      </c>
      <c r="L965" s="26" t="s">
        <v>2075</v>
      </c>
      <c r="M965" s="26" t="s">
        <v>6120</v>
      </c>
      <c r="N965" s="26" t="str">
        <f>_xlfn.IFNA(VLOOKUP($M965,Buff.CM!$A:$O,13,FALSE),"")</f>
        <v>icon_battle_shock</v>
      </c>
      <c r="O965" s="26" t="str">
        <f>_xlfn.IFNA(VLOOKUP($M965,Buff.CM!$A:$O,14,FALSE),"")</f>
        <v>Buff.Name.Electric</v>
      </c>
      <c r="P965" s="26" t="str">
        <f>_xlfn.IFNA(VLOOKUP($M965,Buff.CM!$A:$O,15,FALSE),"")</f>
        <v>Buff.Desc.Electric</v>
      </c>
      <c r="Q965" s="26" t="b">
        <v>0</v>
      </c>
      <c r="R965" s="26" t="b">
        <v>0</v>
      </c>
    </row>
    <row r="966" spans="1:18" s="13" customFormat="1">
      <c r="A966" s="26" t="s">
        <v>2194</v>
      </c>
      <c r="B966" s="26"/>
      <c r="C966" s="26"/>
      <c r="D966" s="26">
        <v>6000</v>
      </c>
      <c r="E966" s="26">
        <v>0</v>
      </c>
      <c r="F966" s="26">
        <v>0</v>
      </c>
      <c r="G966" s="26" t="s">
        <v>2197</v>
      </c>
      <c r="H966" s="26"/>
      <c r="I966" s="26" t="b">
        <v>0</v>
      </c>
      <c r="J966" s="26" t="b">
        <v>0</v>
      </c>
      <c r="K966" s="26" t="b">
        <v>0</v>
      </c>
      <c r="L966" s="26" t="s">
        <v>2075</v>
      </c>
      <c r="M966" s="26" t="s">
        <v>6120</v>
      </c>
      <c r="N966" s="26" t="str">
        <f>_xlfn.IFNA(VLOOKUP($M966,Buff.CM!$A:$O,13,FALSE),"")</f>
        <v>icon_battle_shock</v>
      </c>
      <c r="O966" s="26" t="str">
        <f>_xlfn.IFNA(VLOOKUP($M966,Buff.CM!$A:$O,14,FALSE),"")</f>
        <v>Buff.Name.Electric</v>
      </c>
      <c r="P966" s="26" t="str">
        <f>_xlfn.IFNA(VLOOKUP($M966,Buff.CM!$A:$O,15,FALSE),"")</f>
        <v>Buff.Desc.Electric</v>
      </c>
      <c r="Q966" s="26" t="b">
        <v>0</v>
      </c>
      <c r="R966" s="26" t="b">
        <v>0</v>
      </c>
    </row>
    <row r="967" spans="1:18" s="13" customFormat="1">
      <c r="A967" s="26" t="s">
        <v>2195</v>
      </c>
      <c r="B967" s="26"/>
      <c r="C967" s="26"/>
      <c r="D967" s="26">
        <v>6000</v>
      </c>
      <c r="E967" s="26">
        <v>0</v>
      </c>
      <c r="F967" s="26">
        <v>0</v>
      </c>
      <c r="G967" s="26" t="s">
        <v>1642</v>
      </c>
      <c r="H967" s="26"/>
      <c r="I967" s="26" t="b">
        <v>0</v>
      </c>
      <c r="J967" s="26" t="b">
        <v>0</v>
      </c>
      <c r="K967" s="26" t="b">
        <v>0</v>
      </c>
      <c r="L967" s="26" t="s">
        <v>2075</v>
      </c>
      <c r="M967" s="26" t="s">
        <v>6120</v>
      </c>
      <c r="N967" s="26" t="str">
        <f>_xlfn.IFNA(VLOOKUP($M967,Buff.CM!$A:$O,13,FALSE),"")</f>
        <v>icon_battle_shock</v>
      </c>
      <c r="O967" s="26" t="str">
        <f>_xlfn.IFNA(VLOOKUP($M967,Buff.CM!$A:$O,14,FALSE),"")</f>
        <v>Buff.Name.Electric</v>
      </c>
      <c r="P967" s="26" t="str">
        <f>_xlfn.IFNA(VLOOKUP($M967,Buff.CM!$A:$O,15,FALSE),"")</f>
        <v>Buff.Desc.Electric</v>
      </c>
      <c r="Q967" s="26" t="b">
        <v>0</v>
      </c>
      <c r="R967" s="26" t="b">
        <v>0</v>
      </c>
    </row>
    <row r="968" spans="1:18" s="13" customFormat="1">
      <c r="A968" s="26" t="s">
        <v>2196</v>
      </c>
      <c r="B968" s="26"/>
      <c r="C968" s="26"/>
      <c r="D968" s="26">
        <v>7000</v>
      </c>
      <c r="E968" s="26">
        <v>0</v>
      </c>
      <c r="F968" s="26">
        <v>0</v>
      </c>
      <c r="G968" s="26" t="s">
        <v>1642</v>
      </c>
      <c r="H968" s="26"/>
      <c r="I968" s="26" t="b">
        <v>0</v>
      </c>
      <c r="J968" s="26" t="b">
        <v>0</v>
      </c>
      <c r="K968" s="26" t="b">
        <v>0</v>
      </c>
      <c r="L968" s="26" t="s">
        <v>2075</v>
      </c>
      <c r="M968" s="26" t="s">
        <v>6120</v>
      </c>
      <c r="N968" s="26" t="str">
        <f>_xlfn.IFNA(VLOOKUP($M968,Buff.CM!$A:$O,13,FALSE),"")</f>
        <v>icon_battle_shock</v>
      </c>
      <c r="O968" s="26" t="str">
        <f>_xlfn.IFNA(VLOOKUP($M968,Buff.CM!$A:$O,14,FALSE),"")</f>
        <v>Buff.Name.Electric</v>
      </c>
      <c r="P968" s="26" t="str">
        <f>_xlfn.IFNA(VLOOKUP($M968,Buff.CM!$A:$O,15,FALSE),"")</f>
        <v>Buff.Desc.Electric</v>
      </c>
      <c r="Q968" s="26" t="b">
        <v>0</v>
      </c>
      <c r="R968" s="26" t="b">
        <v>0</v>
      </c>
    </row>
    <row r="969" spans="1:18" s="13" customFormat="1">
      <c r="A969" s="26" t="s">
        <v>3345</v>
      </c>
      <c r="B969" s="26"/>
      <c r="C969" s="26"/>
      <c r="D969" s="26">
        <v>8000</v>
      </c>
      <c r="E969" s="26">
        <v>0</v>
      </c>
      <c r="F969" s="26">
        <v>0</v>
      </c>
      <c r="G969" s="26" t="s">
        <v>1642</v>
      </c>
      <c r="H969" s="26"/>
      <c r="I969" s="26" t="b">
        <v>0</v>
      </c>
      <c r="J969" s="26" t="b">
        <v>0</v>
      </c>
      <c r="K969" s="26" t="b">
        <v>0</v>
      </c>
      <c r="L969" s="26" t="s">
        <v>2075</v>
      </c>
      <c r="M969" s="26" t="s">
        <v>6120</v>
      </c>
      <c r="N969" s="26" t="str">
        <f>_xlfn.IFNA(VLOOKUP($M969,Buff.CM!$A:$O,13,FALSE),"")</f>
        <v>icon_battle_shock</v>
      </c>
      <c r="O969" s="26" t="str">
        <f>_xlfn.IFNA(VLOOKUP($M969,Buff.CM!$A:$O,14,FALSE),"")</f>
        <v>Buff.Name.Electric</v>
      </c>
      <c r="P969" s="26" t="str">
        <f>_xlfn.IFNA(VLOOKUP($M969,Buff.CM!$A:$O,15,FALSE),"")</f>
        <v>Buff.Desc.Electric</v>
      </c>
      <c r="Q969" s="26" t="b">
        <v>0</v>
      </c>
      <c r="R969" s="26" t="b">
        <v>0</v>
      </c>
    </row>
    <row r="970" spans="1:18" s="150" customFormat="1">
      <c r="A970" s="108" t="s">
        <v>6802</v>
      </c>
      <c r="B970" s="24"/>
      <c r="C970" s="24"/>
      <c r="D970" s="24">
        <v>5000</v>
      </c>
      <c r="E970" s="24">
        <v>0</v>
      </c>
      <c r="F970" s="24">
        <v>0</v>
      </c>
      <c r="G970" s="24" t="s">
        <v>1711</v>
      </c>
      <c r="H970" s="24"/>
      <c r="I970" s="24" t="b">
        <v>0</v>
      </c>
      <c r="J970" s="24" t="b">
        <v>0</v>
      </c>
      <c r="K970" s="24" t="b">
        <v>0</v>
      </c>
      <c r="L970" s="25" t="s">
        <v>175</v>
      </c>
      <c r="M970" s="25" t="s">
        <v>1711</v>
      </c>
      <c r="N970" s="24" t="str">
        <f>_xlfn.IFNA(VLOOKUP($M970,Buff.CM!$A:$O,13,FALSE),"")</f>
        <v>icon_battle_guardreduce</v>
      </c>
      <c r="O970" s="24" t="str">
        <f>_xlfn.IFNA(VLOOKUP($M970,Buff.CM!$A:$O,14,FALSE),"")</f>
        <v>Buff.Name.GuardRate.Down.01</v>
      </c>
      <c r="P970" s="24" t="str">
        <f>_xlfn.IFNA(VLOOKUP($M970,Buff.CM!$A:$O,15,FALSE),"")</f>
        <v>Buff.Desc.GuardRate.Down.01</v>
      </c>
      <c r="Q970" s="24" t="b">
        <v>0</v>
      </c>
      <c r="R970" s="24" t="b">
        <v>0</v>
      </c>
    </row>
    <row r="971" spans="1:18" s="150" customFormat="1">
      <c r="A971" s="108" t="s">
        <v>3709</v>
      </c>
      <c r="B971" s="24"/>
      <c r="C971" s="24"/>
      <c r="D971" s="24">
        <v>6000</v>
      </c>
      <c r="E971" s="24">
        <v>0</v>
      </c>
      <c r="F971" s="24">
        <v>0</v>
      </c>
      <c r="G971" s="24" t="s">
        <v>1711</v>
      </c>
      <c r="H971" s="24"/>
      <c r="I971" s="24" t="b">
        <v>0</v>
      </c>
      <c r="J971" s="24" t="b">
        <v>0</v>
      </c>
      <c r="K971" s="24" t="b">
        <v>0</v>
      </c>
      <c r="L971" s="25" t="s">
        <v>175</v>
      </c>
      <c r="M971" s="25" t="s">
        <v>1711</v>
      </c>
      <c r="N971" s="24" t="str">
        <f>_xlfn.IFNA(VLOOKUP($M971,Buff.CM!$A:$O,13,FALSE),"")</f>
        <v>icon_battle_guardreduce</v>
      </c>
      <c r="O971" s="24" t="str">
        <f>_xlfn.IFNA(VLOOKUP($M971,Buff.CM!$A:$O,14,FALSE),"")</f>
        <v>Buff.Name.GuardRate.Down.01</v>
      </c>
      <c r="P971" s="24" t="str">
        <f>_xlfn.IFNA(VLOOKUP($M971,Buff.CM!$A:$O,15,FALSE),"")</f>
        <v>Buff.Desc.GuardRate.Down.01</v>
      </c>
      <c r="Q971" s="24" t="b">
        <v>0</v>
      </c>
      <c r="R971" s="24" t="b">
        <v>0</v>
      </c>
    </row>
    <row r="972" spans="1:18" s="150" customFormat="1">
      <c r="A972" s="108" t="s">
        <v>3710</v>
      </c>
      <c r="B972" s="24"/>
      <c r="C972" s="24"/>
      <c r="D972" s="24">
        <v>6000</v>
      </c>
      <c r="E972" s="24">
        <v>0</v>
      </c>
      <c r="F972" s="24">
        <v>0</v>
      </c>
      <c r="G972" s="24" t="s">
        <v>1591</v>
      </c>
      <c r="H972" s="24"/>
      <c r="I972" s="24" t="b">
        <v>0</v>
      </c>
      <c r="J972" s="24" t="b">
        <v>0</v>
      </c>
      <c r="K972" s="24" t="b">
        <v>0</v>
      </c>
      <c r="L972" s="25" t="s">
        <v>175</v>
      </c>
      <c r="M972" s="25" t="s">
        <v>1591</v>
      </c>
      <c r="N972" s="24" t="str">
        <f>_xlfn.IFNA(VLOOKUP($M972,Buff.CM!$A:$O,13,FALSE),"")</f>
        <v>icon_battle_guardreduce</v>
      </c>
      <c r="O972" s="24" t="str">
        <f>_xlfn.IFNA(VLOOKUP($M972,Buff.CM!$A:$O,14,FALSE),"")</f>
        <v>Buff.Name.GuardRate.Down.02</v>
      </c>
      <c r="P972" s="24" t="str">
        <f>_xlfn.IFNA(VLOOKUP($M972,Buff.CM!$A:$O,15,FALSE),"")</f>
        <v>Buff.Desc.GuardRate.Down.02</v>
      </c>
      <c r="Q972" s="24" t="b">
        <v>0</v>
      </c>
      <c r="R972" s="24" t="b">
        <v>0</v>
      </c>
    </row>
    <row r="973" spans="1:18" s="150" customFormat="1">
      <c r="A973" s="108" t="s">
        <v>3711</v>
      </c>
      <c r="B973" s="24"/>
      <c r="C973" s="24"/>
      <c r="D973" s="24">
        <v>7000</v>
      </c>
      <c r="E973" s="24">
        <v>0</v>
      </c>
      <c r="F973" s="24">
        <v>0</v>
      </c>
      <c r="G973" s="24" t="s">
        <v>1591</v>
      </c>
      <c r="H973" s="24"/>
      <c r="I973" s="24" t="b">
        <v>0</v>
      </c>
      <c r="J973" s="24" t="b">
        <v>0</v>
      </c>
      <c r="K973" s="24" t="b">
        <v>0</v>
      </c>
      <c r="L973" s="25" t="s">
        <v>175</v>
      </c>
      <c r="M973" s="25" t="s">
        <v>1591</v>
      </c>
      <c r="N973" s="24" t="str">
        <f>_xlfn.IFNA(VLOOKUP($M973,Buff.CM!$A:$O,13,FALSE),"")</f>
        <v>icon_battle_guardreduce</v>
      </c>
      <c r="O973" s="24" t="str">
        <f>_xlfn.IFNA(VLOOKUP($M973,Buff.CM!$A:$O,14,FALSE),"")</f>
        <v>Buff.Name.GuardRate.Down.02</v>
      </c>
      <c r="P973" s="24" t="str">
        <f>_xlfn.IFNA(VLOOKUP($M973,Buff.CM!$A:$O,15,FALSE),"")</f>
        <v>Buff.Desc.GuardRate.Down.02</v>
      </c>
      <c r="Q973" s="24" t="b">
        <v>0</v>
      </c>
      <c r="R973" s="24" t="b">
        <v>0</v>
      </c>
    </row>
    <row r="974" spans="1:18" s="150" customFormat="1">
      <c r="A974" s="108" t="s">
        <v>3712</v>
      </c>
      <c r="B974" s="24"/>
      <c r="C974" s="24"/>
      <c r="D974" s="24">
        <v>8000</v>
      </c>
      <c r="E974" s="24">
        <v>0</v>
      </c>
      <c r="F974" s="24">
        <v>0</v>
      </c>
      <c r="G974" s="24" t="s">
        <v>1591</v>
      </c>
      <c r="H974" s="24"/>
      <c r="I974" s="24" t="b">
        <v>0</v>
      </c>
      <c r="J974" s="24" t="b">
        <v>0</v>
      </c>
      <c r="K974" s="24" t="b">
        <v>0</v>
      </c>
      <c r="L974" s="25" t="s">
        <v>175</v>
      </c>
      <c r="M974" s="25" t="s">
        <v>1591</v>
      </c>
      <c r="N974" s="24" t="str">
        <f>_xlfn.IFNA(VLOOKUP($M974,Buff.CM!$A:$O,13,FALSE),"")</f>
        <v>icon_battle_guardreduce</v>
      </c>
      <c r="O974" s="24" t="str">
        <f>_xlfn.IFNA(VLOOKUP($M974,Buff.CM!$A:$O,14,FALSE),"")</f>
        <v>Buff.Name.GuardRate.Down.02</v>
      </c>
      <c r="P974" s="24" t="str">
        <f>_xlfn.IFNA(VLOOKUP($M974,Buff.CM!$A:$O,15,FALSE),"")</f>
        <v>Buff.Desc.GuardRate.Down.02</v>
      </c>
      <c r="Q974" s="24" t="b">
        <v>0</v>
      </c>
      <c r="R974" s="24" t="b">
        <v>0</v>
      </c>
    </row>
    <row r="975" spans="1:18">
      <c r="A975" s="25" t="s">
        <v>6803</v>
      </c>
      <c r="B975" s="25"/>
      <c r="C975" s="25"/>
      <c r="D975" s="25">
        <v>4000</v>
      </c>
      <c r="E975" s="25">
        <v>0</v>
      </c>
      <c r="F975" s="25">
        <v>0</v>
      </c>
      <c r="G975" s="25" t="s">
        <v>1696</v>
      </c>
      <c r="H975" s="25"/>
      <c r="I975" s="25" t="b">
        <v>0</v>
      </c>
      <c r="J975" s="25" t="b">
        <v>0</v>
      </c>
      <c r="K975" s="25" t="b">
        <v>0</v>
      </c>
      <c r="L975" s="25" t="s">
        <v>5475</v>
      </c>
      <c r="M975" s="25" t="s">
        <v>1696</v>
      </c>
      <c r="N975" s="25" t="str">
        <f>_xlfn.IFNA(VLOOKUP($M975,Buff.CM!$A:$O,13,FALSE),"")</f>
        <v>icon_battle_attack</v>
      </c>
      <c r="O975" s="25" t="str">
        <f>_xlfn.IFNA(VLOOKUP($M975,Buff.CM!$A:$O,14,FALSE),"")</f>
        <v>Buff.Name.Atk.Down.01</v>
      </c>
      <c r="P975" s="25" t="str">
        <f>_xlfn.IFNA(VLOOKUP($M975,Buff.CM!$A:$O,15,FALSE),"")</f>
        <v>Buff.Desc.Atk.Down.01</v>
      </c>
      <c r="Q975" s="25" t="b">
        <v>0</v>
      </c>
      <c r="R975" s="25" t="b">
        <v>0</v>
      </c>
    </row>
    <row r="976" spans="1:18">
      <c r="A976" s="25" t="s">
        <v>4636</v>
      </c>
      <c r="B976" s="25"/>
      <c r="C976" s="25"/>
      <c r="D976" s="25">
        <v>4500</v>
      </c>
      <c r="E976" s="25">
        <v>0</v>
      </c>
      <c r="F976" s="25">
        <v>0</v>
      </c>
      <c r="G976" s="25" t="s">
        <v>1696</v>
      </c>
      <c r="H976" s="25"/>
      <c r="I976" s="25" t="b">
        <v>0</v>
      </c>
      <c r="J976" s="25" t="b">
        <v>0</v>
      </c>
      <c r="K976" s="25" t="b">
        <v>0</v>
      </c>
      <c r="L976" s="25" t="s">
        <v>5475</v>
      </c>
      <c r="M976" s="25" t="s">
        <v>1696</v>
      </c>
      <c r="N976" s="25" t="str">
        <f>_xlfn.IFNA(VLOOKUP($M976,Buff.CM!$A:$O,13,FALSE),"")</f>
        <v>icon_battle_attack</v>
      </c>
      <c r="O976" s="25" t="str">
        <f>_xlfn.IFNA(VLOOKUP($M976,Buff.CM!$A:$O,14,FALSE),"")</f>
        <v>Buff.Name.Atk.Down.01</v>
      </c>
      <c r="P976" s="25" t="str">
        <f>_xlfn.IFNA(VLOOKUP($M976,Buff.CM!$A:$O,15,FALSE),"")</f>
        <v>Buff.Desc.Atk.Down.01</v>
      </c>
      <c r="Q976" s="25" t="b">
        <v>0</v>
      </c>
      <c r="R976" s="25" t="b">
        <v>0</v>
      </c>
    </row>
    <row r="977" spans="1:18">
      <c r="A977" s="25" t="s">
        <v>4637</v>
      </c>
      <c r="B977" s="25"/>
      <c r="C977" s="25"/>
      <c r="D977" s="25">
        <v>5000</v>
      </c>
      <c r="E977" s="25">
        <v>0</v>
      </c>
      <c r="F977" s="25">
        <v>0</v>
      </c>
      <c r="G977" s="25" t="s">
        <v>1696</v>
      </c>
      <c r="H977" s="25"/>
      <c r="I977" s="25" t="b">
        <v>0</v>
      </c>
      <c r="J977" s="25" t="b">
        <v>0</v>
      </c>
      <c r="K977" s="25" t="b">
        <v>0</v>
      </c>
      <c r="L977" s="25" t="s">
        <v>5475</v>
      </c>
      <c r="M977" s="25" t="s">
        <v>1696</v>
      </c>
      <c r="N977" s="25" t="str">
        <f>_xlfn.IFNA(VLOOKUP($M977,Buff.CM!$A:$O,13,FALSE),"")</f>
        <v>icon_battle_attack</v>
      </c>
      <c r="O977" s="25" t="str">
        <f>_xlfn.IFNA(VLOOKUP($M977,Buff.CM!$A:$O,14,FALSE),"")</f>
        <v>Buff.Name.Atk.Down.01</v>
      </c>
      <c r="P977" s="25" t="str">
        <f>_xlfn.IFNA(VLOOKUP($M977,Buff.CM!$A:$O,15,FALSE),"")</f>
        <v>Buff.Desc.Atk.Down.01</v>
      </c>
      <c r="Q977" s="25" t="b">
        <v>0</v>
      </c>
      <c r="R977" s="25" t="b">
        <v>0</v>
      </c>
    </row>
    <row r="978" spans="1:18">
      <c r="A978" s="25" t="s">
        <v>4638</v>
      </c>
      <c r="B978" s="25"/>
      <c r="C978" s="25"/>
      <c r="D978" s="25">
        <v>5500</v>
      </c>
      <c r="E978" s="25">
        <v>0</v>
      </c>
      <c r="F978" s="25">
        <v>0</v>
      </c>
      <c r="G978" s="25" t="s">
        <v>1515</v>
      </c>
      <c r="H978" s="25"/>
      <c r="I978" s="25" t="b">
        <v>0</v>
      </c>
      <c r="J978" s="25" t="b">
        <v>0</v>
      </c>
      <c r="K978" s="25" t="b">
        <v>0</v>
      </c>
      <c r="L978" s="25" t="s">
        <v>5475</v>
      </c>
      <c r="M978" s="25" t="s">
        <v>1515</v>
      </c>
      <c r="N978" s="25" t="str">
        <f>_xlfn.IFNA(VLOOKUP($M978,Buff.CM!$A:$O,13,FALSE),"")</f>
        <v>icon_battle_attack</v>
      </c>
      <c r="O978" s="25" t="str">
        <f>_xlfn.IFNA(VLOOKUP($M978,Buff.CM!$A:$O,14,FALSE),"")</f>
        <v>Buff.Name.Atk.Down.02</v>
      </c>
      <c r="P978" s="25" t="str">
        <f>_xlfn.IFNA(VLOOKUP($M978,Buff.CM!$A:$O,15,FALSE),"")</f>
        <v>Buff.Desc.Atk.Down.02</v>
      </c>
      <c r="Q978" s="25" t="b">
        <v>0</v>
      </c>
      <c r="R978" s="25" t="b">
        <v>0</v>
      </c>
    </row>
    <row r="979" spans="1:18" s="164" customFormat="1">
      <c r="A979" s="53" t="s">
        <v>6804</v>
      </c>
      <c r="B979" s="53"/>
      <c r="C979" s="53"/>
      <c r="D979" s="53">
        <v>3000</v>
      </c>
      <c r="E979" s="53">
        <v>0</v>
      </c>
      <c r="F979" s="53">
        <v>0</v>
      </c>
      <c r="G979" s="53" t="s">
        <v>265</v>
      </c>
      <c r="H979" s="53"/>
      <c r="I979" s="53" t="b">
        <v>0</v>
      </c>
      <c r="J979" s="53" t="b">
        <v>0</v>
      </c>
      <c r="K979" s="53" t="b">
        <v>0</v>
      </c>
      <c r="L979" s="53" t="s">
        <v>286</v>
      </c>
      <c r="M979" s="53" t="s">
        <v>5462</v>
      </c>
      <c r="N979" s="53" t="str">
        <f>_xlfn.IFNA(VLOOKUP($M979,Buff.CM!$A:$O,13,FALSE),"")</f>
        <v>icon_battle_provoke</v>
      </c>
      <c r="O979" s="53" t="str">
        <f>_xlfn.IFNA(VLOOKUP($M979,Buff.CM!$A:$O,14,FALSE),"")</f>
        <v>Buff.Name.Provoke</v>
      </c>
      <c r="P979" s="53" t="str">
        <f>_xlfn.IFNA(VLOOKUP($M979,Buff.CM!$A:$O,15,FALSE),"")</f>
        <v>Buff.Desc.Provoke</v>
      </c>
      <c r="Q979" s="53" t="b">
        <v>0</v>
      </c>
      <c r="R979" s="53" t="b">
        <v>0</v>
      </c>
    </row>
    <row r="980" spans="1:18" s="164" customFormat="1">
      <c r="A980" s="53" t="s">
        <v>4633</v>
      </c>
      <c r="B980" s="53"/>
      <c r="C980" s="53"/>
      <c r="D980" s="53">
        <v>3000</v>
      </c>
      <c r="E980" s="53">
        <v>0</v>
      </c>
      <c r="F980" s="53">
        <v>0</v>
      </c>
      <c r="G980" s="53" t="s">
        <v>265</v>
      </c>
      <c r="H980" s="53"/>
      <c r="I980" s="53" t="b">
        <v>0</v>
      </c>
      <c r="J980" s="53" t="b">
        <v>0</v>
      </c>
      <c r="K980" s="53" t="b">
        <v>0</v>
      </c>
      <c r="L980" s="53" t="s">
        <v>286</v>
      </c>
      <c r="M980" s="53" t="s">
        <v>5462</v>
      </c>
      <c r="N980" s="53" t="str">
        <f>_xlfn.IFNA(VLOOKUP($M980,Buff.CM!$A:$O,13,FALSE),"")</f>
        <v>icon_battle_provoke</v>
      </c>
      <c r="O980" s="53" t="str">
        <f>_xlfn.IFNA(VLOOKUP($M980,Buff.CM!$A:$O,14,FALSE),"")</f>
        <v>Buff.Name.Provoke</v>
      </c>
      <c r="P980" s="53" t="str">
        <f>_xlfn.IFNA(VLOOKUP($M980,Buff.CM!$A:$O,15,FALSE),"")</f>
        <v>Buff.Desc.Provoke</v>
      </c>
      <c r="Q980" s="53" t="b">
        <v>0</v>
      </c>
      <c r="R980" s="53" t="b">
        <v>0</v>
      </c>
    </row>
    <row r="981" spans="1:18" s="164" customFormat="1">
      <c r="A981" s="53" t="s">
        <v>4634</v>
      </c>
      <c r="B981" s="53"/>
      <c r="C981" s="53"/>
      <c r="D981" s="53">
        <v>4000</v>
      </c>
      <c r="E981" s="53">
        <v>0</v>
      </c>
      <c r="F981" s="53">
        <v>0</v>
      </c>
      <c r="G981" s="53" t="s">
        <v>265</v>
      </c>
      <c r="H981" s="53"/>
      <c r="I981" s="53" t="b">
        <v>0</v>
      </c>
      <c r="J981" s="53" t="b">
        <v>0</v>
      </c>
      <c r="K981" s="53" t="b">
        <v>0</v>
      </c>
      <c r="L981" s="53" t="s">
        <v>286</v>
      </c>
      <c r="M981" s="53" t="s">
        <v>5462</v>
      </c>
      <c r="N981" s="53" t="str">
        <f>_xlfn.IFNA(VLOOKUP($M981,Buff.CM!$A:$O,13,FALSE),"")</f>
        <v>icon_battle_provoke</v>
      </c>
      <c r="O981" s="53" t="str">
        <f>_xlfn.IFNA(VLOOKUP($M981,Buff.CM!$A:$O,14,FALSE),"")</f>
        <v>Buff.Name.Provoke</v>
      </c>
      <c r="P981" s="53" t="str">
        <f>_xlfn.IFNA(VLOOKUP($M981,Buff.CM!$A:$O,15,FALSE),"")</f>
        <v>Buff.Desc.Provoke</v>
      </c>
      <c r="Q981" s="53" t="b">
        <v>0</v>
      </c>
      <c r="R981" s="53" t="b">
        <v>0</v>
      </c>
    </row>
    <row r="982" spans="1:18" s="164" customFormat="1">
      <c r="A982" s="53" t="s">
        <v>4635</v>
      </c>
      <c r="B982" s="53"/>
      <c r="C982" s="53"/>
      <c r="D982" s="53">
        <v>4000</v>
      </c>
      <c r="E982" s="53">
        <v>0</v>
      </c>
      <c r="F982" s="53">
        <v>0</v>
      </c>
      <c r="G982" s="53" t="s">
        <v>265</v>
      </c>
      <c r="H982" s="53"/>
      <c r="I982" s="53" t="b">
        <v>0</v>
      </c>
      <c r="J982" s="53" t="b">
        <v>0</v>
      </c>
      <c r="K982" s="53" t="b">
        <v>0</v>
      </c>
      <c r="L982" s="53" t="s">
        <v>286</v>
      </c>
      <c r="M982" s="53" t="s">
        <v>5462</v>
      </c>
      <c r="N982" s="53" t="str">
        <f>_xlfn.IFNA(VLOOKUP($M982,Buff.CM!$A:$O,13,FALSE),"")</f>
        <v>icon_battle_provoke</v>
      </c>
      <c r="O982" s="53" t="str">
        <f>_xlfn.IFNA(VLOOKUP($M982,Buff.CM!$A:$O,14,FALSE),"")</f>
        <v>Buff.Name.Provoke</v>
      </c>
      <c r="P982" s="53" t="str">
        <f>_xlfn.IFNA(VLOOKUP($M982,Buff.CM!$A:$O,15,FALSE),"")</f>
        <v>Buff.Desc.Provoke</v>
      </c>
      <c r="Q982" s="53" t="b">
        <v>0</v>
      </c>
      <c r="R982" s="53" t="b">
        <v>0</v>
      </c>
    </row>
    <row r="983" spans="1:18">
      <c r="A983" s="26" t="s">
        <v>6805</v>
      </c>
      <c r="B983" s="26"/>
      <c r="C983" s="26"/>
      <c r="D983" s="26">
        <v>0</v>
      </c>
      <c r="E983" s="26">
        <v>0</v>
      </c>
      <c r="F983" s="26">
        <v>0</v>
      </c>
      <c r="G983" s="26" t="s">
        <v>2203</v>
      </c>
      <c r="H983" s="26"/>
      <c r="I983" s="26" t="b">
        <v>0</v>
      </c>
      <c r="J983" s="23" t="b">
        <v>1</v>
      </c>
      <c r="K983" s="26" t="b">
        <v>1</v>
      </c>
      <c r="L983" s="26"/>
      <c r="M983" s="26"/>
      <c r="N983" s="26" t="str">
        <f>_xlfn.IFNA(VLOOKUP($M983,Buff.CM!$A:$O,13,FALSE),"")</f>
        <v/>
      </c>
      <c r="O983" s="26" t="str">
        <f>_xlfn.IFNA(VLOOKUP($M983,Buff.CM!$A:$O,14,FALSE),"")</f>
        <v/>
      </c>
      <c r="P983" s="26" t="str">
        <f>_xlfn.IFNA(VLOOKUP($M983,Buff.CM!$A:$O,15,FALSE),"")</f>
        <v/>
      </c>
      <c r="Q983" s="26" t="b">
        <v>0</v>
      </c>
      <c r="R983" s="26" t="b">
        <v>0</v>
      </c>
    </row>
    <row r="984" spans="1:18">
      <c r="A984" s="26" t="s">
        <v>2198</v>
      </c>
      <c r="B984" s="26"/>
      <c r="C984" s="26"/>
      <c r="D984" s="26">
        <v>0</v>
      </c>
      <c r="E984" s="26">
        <v>0</v>
      </c>
      <c r="F984" s="26">
        <v>0</v>
      </c>
      <c r="G984" s="26" t="s">
        <v>2204</v>
      </c>
      <c r="H984" s="26"/>
      <c r="I984" s="26" t="b">
        <v>0</v>
      </c>
      <c r="J984" s="23" t="b">
        <v>1</v>
      </c>
      <c r="K984" s="26" t="b">
        <v>1</v>
      </c>
      <c r="L984" s="26"/>
      <c r="M984" s="26"/>
      <c r="N984" s="26" t="str">
        <f>_xlfn.IFNA(VLOOKUP($M984,Buff.CM!$A:$O,13,FALSE),"")</f>
        <v/>
      </c>
      <c r="O984" s="26" t="str">
        <f>_xlfn.IFNA(VLOOKUP($M984,Buff.CM!$A:$O,14,FALSE),"")</f>
        <v/>
      </c>
      <c r="P984" s="26" t="str">
        <f>_xlfn.IFNA(VLOOKUP($M984,Buff.CM!$A:$O,15,FALSE),"")</f>
        <v/>
      </c>
      <c r="Q984" s="26" t="b">
        <v>0</v>
      </c>
      <c r="R984" s="26" t="b">
        <v>0</v>
      </c>
    </row>
    <row r="985" spans="1:18">
      <c r="A985" s="26" t="s">
        <v>2199</v>
      </c>
      <c r="B985" s="26"/>
      <c r="C985" s="26"/>
      <c r="D985" s="26">
        <v>0</v>
      </c>
      <c r="E985" s="26">
        <v>0</v>
      </c>
      <c r="F985" s="26">
        <v>0</v>
      </c>
      <c r="G985" s="26" t="s">
        <v>2205</v>
      </c>
      <c r="H985" s="26"/>
      <c r="I985" s="26" t="b">
        <v>0</v>
      </c>
      <c r="J985" s="23" t="b">
        <v>1</v>
      </c>
      <c r="K985" s="26" t="b">
        <v>1</v>
      </c>
      <c r="L985" s="26"/>
      <c r="M985" s="26"/>
      <c r="N985" s="26" t="str">
        <f>_xlfn.IFNA(VLOOKUP($M985,Buff.CM!$A:$O,13,FALSE),"")</f>
        <v/>
      </c>
      <c r="O985" s="26" t="str">
        <f>_xlfn.IFNA(VLOOKUP($M985,Buff.CM!$A:$O,14,FALSE),"")</f>
        <v/>
      </c>
      <c r="P985" s="26" t="str">
        <f>_xlfn.IFNA(VLOOKUP($M985,Buff.CM!$A:$O,15,FALSE),"")</f>
        <v/>
      </c>
      <c r="Q985" s="26" t="b">
        <v>0</v>
      </c>
      <c r="R985" s="26" t="b">
        <v>0</v>
      </c>
    </row>
    <row r="986" spans="1:18">
      <c r="A986" s="34" t="s">
        <v>6806</v>
      </c>
      <c r="B986" s="34"/>
      <c r="C986" s="34"/>
      <c r="D986" s="34">
        <v>0</v>
      </c>
      <c r="E986" s="34">
        <v>0</v>
      </c>
      <c r="F986" s="34">
        <v>0</v>
      </c>
      <c r="G986" s="34" t="s">
        <v>2206</v>
      </c>
      <c r="H986" s="34"/>
      <c r="I986" s="34" t="b">
        <v>0</v>
      </c>
      <c r="J986" s="23" t="b">
        <v>1</v>
      </c>
      <c r="K986" s="34" t="b">
        <v>1</v>
      </c>
      <c r="L986" s="34"/>
      <c r="M986" s="34"/>
      <c r="N986" s="34" t="str">
        <f>_xlfn.IFNA(VLOOKUP($M986,Buff.CM!$A:$O,13,FALSE),"")</f>
        <v/>
      </c>
      <c r="O986" s="34" t="str">
        <f>_xlfn.IFNA(VLOOKUP($M986,Buff.CM!$A:$O,14,FALSE),"")</f>
        <v/>
      </c>
      <c r="P986" s="34" t="str">
        <f>_xlfn.IFNA(VLOOKUP($M986,Buff.CM!$A:$O,15,FALSE),"")</f>
        <v/>
      </c>
      <c r="Q986" s="34" t="b">
        <v>0</v>
      </c>
      <c r="R986" s="34" t="b">
        <v>0</v>
      </c>
    </row>
    <row r="987" spans="1:18">
      <c r="A987" s="34" t="s">
        <v>6807</v>
      </c>
      <c r="B987" s="34"/>
      <c r="C987" s="34"/>
      <c r="D987" s="34">
        <v>0</v>
      </c>
      <c r="E987" s="34">
        <v>0</v>
      </c>
      <c r="F987" s="34">
        <v>0</v>
      </c>
      <c r="G987" s="34" t="s">
        <v>2207</v>
      </c>
      <c r="H987" s="34"/>
      <c r="I987" s="34" t="b">
        <v>0</v>
      </c>
      <c r="J987" s="23" t="b">
        <v>1</v>
      </c>
      <c r="K987" s="34" t="b">
        <v>1</v>
      </c>
      <c r="L987" s="34"/>
      <c r="M987" s="34"/>
      <c r="N987" s="34" t="str">
        <f>_xlfn.IFNA(VLOOKUP($M987,Buff.CM!$A:$O,13,FALSE),"")</f>
        <v/>
      </c>
      <c r="O987" s="34" t="str">
        <f>_xlfn.IFNA(VLOOKUP($M987,Buff.CM!$A:$O,14,FALSE),"")</f>
        <v/>
      </c>
      <c r="P987" s="34" t="str">
        <f>_xlfn.IFNA(VLOOKUP($M987,Buff.CM!$A:$O,15,FALSE),"")</f>
        <v/>
      </c>
      <c r="Q987" s="34" t="b">
        <v>0</v>
      </c>
      <c r="R987" s="34" t="b">
        <v>0</v>
      </c>
    </row>
    <row r="988" spans="1:18">
      <c r="A988" s="34" t="s">
        <v>6808</v>
      </c>
      <c r="B988" s="34"/>
      <c r="C988" s="34"/>
      <c r="D988" s="34">
        <v>0</v>
      </c>
      <c r="E988" s="34">
        <v>0</v>
      </c>
      <c r="F988" s="34">
        <v>0</v>
      </c>
      <c r="G988" s="34" t="s">
        <v>2208</v>
      </c>
      <c r="H988" s="34"/>
      <c r="I988" s="34" t="b">
        <v>0</v>
      </c>
      <c r="J988" s="23" t="b">
        <v>1</v>
      </c>
      <c r="K988" s="34" t="b">
        <v>1</v>
      </c>
      <c r="L988" s="34"/>
      <c r="M988" s="34"/>
      <c r="N988" s="34" t="str">
        <f>_xlfn.IFNA(VLOOKUP($M988,Buff.CM!$A:$O,13,FALSE),"")</f>
        <v/>
      </c>
      <c r="O988" s="34" t="str">
        <f>_xlfn.IFNA(VLOOKUP($M988,Buff.CM!$A:$O,14,FALSE),"")</f>
        <v/>
      </c>
      <c r="P988" s="34" t="str">
        <f>_xlfn.IFNA(VLOOKUP($M988,Buff.CM!$A:$O,15,FALSE),"")</f>
        <v/>
      </c>
      <c r="Q988" s="34" t="b">
        <v>0</v>
      </c>
      <c r="R988" s="34" t="b">
        <v>0</v>
      </c>
    </row>
    <row r="989" spans="1:18">
      <c r="A989" s="26" t="s">
        <v>6809</v>
      </c>
      <c r="B989" s="26"/>
      <c r="C989" s="26"/>
      <c r="D989" s="26">
        <v>6000</v>
      </c>
      <c r="E989" s="26">
        <v>0</v>
      </c>
      <c r="F989" s="26">
        <v>0</v>
      </c>
      <c r="G989" s="26" t="s">
        <v>2197</v>
      </c>
      <c r="H989" s="26"/>
      <c r="I989" s="26" t="b">
        <v>0</v>
      </c>
      <c r="J989" s="23" t="b">
        <v>1</v>
      </c>
      <c r="K989" s="26" t="b">
        <v>0</v>
      </c>
      <c r="L989" s="26" t="s">
        <v>2075</v>
      </c>
      <c r="M989" s="26" t="s">
        <v>6120</v>
      </c>
      <c r="N989" s="26" t="str">
        <f>_xlfn.IFNA(VLOOKUP($M989,Buff.CM!$A:$O,13,FALSE),"")</f>
        <v>icon_battle_shock</v>
      </c>
      <c r="O989" s="26" t="str">
        <f>_xlfn.IFNA(VLOOKUP($M989,Buff.CM!$A:$O,14,FALSE),"")</f>
        <v>Buff.Name.Electric</v>
      </c>
      <c r="P989" s="26" t="str">
        <f>_xlfn.IFNA(VLOOKUP($M989,Buff.CM!$A:$O,15,FALSE),"")</f>
        <v>Buff.Desc.Electric</v>
      </c>
      <c r="Q989" s="26" t="b">
        <v>0</v>
      </c>
      <c r="R989" s="26" t="b">
        <v>0</v>
      </c>
    </row>
    <row r="990" spans="1:18">
      <c r="A990" s="26" t="s">
        <v>2200</v>
      </c>
      <c r="B990" s="26"/>
      <c r="C990" s="26"/>
      <c r="D990" s="26">
        <v>7000</v>
      </c>
      <c r="E990" s="26">
        <v>0</v>
      </c>
      <c r="F990" s="26">
        <v>0</v>
      </c>
      <c r="G990" s="26" t="s">
        <v>2197</v>
      </c>
      <c r="H990" s="26"/>
      <c r="I990" s="26" t="b">
        <v>0</v>
      </c>
      <c r="J990" s="23" t="b">
        <v>1</v>
      </c>
      <c r="K990" s="26" t="b">
        <v>0</v>
      </c>
      <c r="L990" s="26" t="s">
        <v>2075</v>
      </c>
      <c r="M990" s="26" t="s">
        <v>6120</v>
      </c>
      <c r="N990" s="26" t="str">
        <f>_xlfn.IFNA(VLOOKUP($M990,Buff.CM!$A:$O,13,FALSE),"")</f>
        <v>icon_battle_shock</v>
      </c>
      <c r="O990" s="26" t="str">
        <f>_xlfn.IFNA(VLOOKUP($M990,Buff.CM!$A:$O,14,FALSE),"")</f>
        <v>Buff.Name.Electric</v>
      </c>
      <c r="P990" s="26" t="str">
        <f>_xlfn.IFNA(VLOOKUP($M990,Buff.CM!$A:$O,15,FALSE),"")</f>
        <v>Buff.Desc.Electric</v>
      </c>
      <c r="Q990" s="26" t="b">
        <v>0</v>
      </c>
      <c r="R990" s="26" t="b">
        <v>0</v>
      </c>
    </row>
    <row r="991" spans="1:18">
      <c r="A991" s="26" t="s">
        <v>2201</v>
      </c>
      <c r="B991" s="26"/>
      <c r="C991" s="26"/>
      <c r="D991" s="26">
        <v>7000</v>
      </c>
      <c r="E991" s="26">
        <v>0</v>
      </c>
      <c r="F991" s="26">
        <v>0</v>
      </c>
      <c r="G991" s="26" t="s">
        <v>1642</v>
      </c>
      <c r="H991" s="26"/>
      <c r="I991" s="26" t="b">
        <v>0</v>
      </c>
      <c r="J991" s="23" t="b">
        <v>1</v>
      </c>
      <c r="K991" s="26" t="b">
        <v>0</v>
      </c>
      <c r="L991" s="26" t="s">
        <v>2075</v>
      </c>
      <c r="M991" s="26" t="s">
        <v>6120</v>
      </c>
      <c r="N991" s="26" t="str">
        <f>_xlfn.IFNA(VLOOKUP($M991,Buff.CM!$A:$O,13,FALSE),"")</f>
        <v>icon_battle_shock</v>
      </c>
      <c r="O991" s="26" t="str">
        <f>_xlfn.IFNA(VLOOKUP($M991,Buff.CM!$A:$O,14,FALSE),"")</f>
        <v>Buff.Name.Electric</v>
      </c>
      <c r="P991" s="26" t="str">
        <f>_xlfn.IFNA(VLOOKUP($M991,Buff.CM!$A:$O,15,FALSE),"")</f>
        <v>Buff.Desc.Electric</v>
      </c>
      <c r="Q991" s="26" t="b">
        <v>0</v>
      </c>
      <c r="R991" s="26" t="b">
        <v>0</v>
      </c>
    </row>
    <row r="992" spans="1:18">
      <c r="A992" s="26" t="s">
        <v>2202</v>
      </c>
      <c r="B992" s="26"/>
      <c r="C992" s="26"/>
      <c r="D992" s="26">
        <v>8000</v>
      </c>
      <c r="E992" s="26">
        <v>0</v>
      </c>
      <c r="F992" s="26">
        <v>0</v>
      </c>
      <c r="G992" s="26" t="s">
        <v>1642</v>
      </c>
      <c r="H992" s="26"/>
      <c r="I992" s="26" t="b">
        <v>0</v>
      </c>
      <c r="J992" s="23" t="b">
        <v>1</v>
      </c>
      <c r="K992" s="26" t="b">
        <v>0</v>
      </c>
      <c r="L992" s="26" t="s">
        <v>2075</v>
      </c>
      <c r="M992" s="26" t="s">
        <v>6120</v>
      </c>
      <c r="N992" s="26" t="str">
        <f>_xlfn.IFNA(VLOOKUP($M992,Buff.CM!$A:$O,13,FALSE),"")</f>
        <v>icon_battle_shock</v>
      </c>
      <c r="O992" s="26" t="str">
        <f>_xlfn.IFNA(VLOOKUP($M992,Buff.CM!$A:$O,14,FALSE),"")</f>
        <v>Buff.Name.Electric</v>
      </c>
      <c r="P992" s="26" t="str">
        <f>_xlfn.IFNA(VLOOKUP($M992,Buff.CM!$A:$O,15,FALSE),"")</f>
        <v>Buff.Desc.Electric</v>
      </c>
      <c r="Q992" s="26" t="b">
        <v>0</v>
      </c>
      <c r="R992" s="26" t="b">
        <v>0</v>
      </c>
    </row>
    <row r="993" spans="1:18">
      <c r="A993" s="26" t="s">
        <v>3346</v>
      </c>
      <c r="B993" s="26"/>
      <c r="C993" s="26"/>
      <c r="D993" s="26">
        <v>8000</v>
      </c>
      <c r="E993" s="26">
        <v>0</v>
      </c>
      <c r="F993" s="26">
        <v>0</v>
      </c>
      <c r="G993" s="26" t="s">
        <v>1642</v>
      </c>
      <c r="H993" s="26"/>
      <c r="I993" s="26" t="b">
        <v>0</v>
      </c>
      <c r="J993" s="23" t="b">
        <v>1</v>
      </c>
      <c r="K993" s="26" t="b">
        <v>0</v>
      </c>
      <c r="L993" s="26" t="s">
        <v>2075</v>
      </c>
      <c r="M993" s="26" t="s">
        <v>6120</v>
      </c>
      <c r="N993" s="26" t="str">
        <f>_xlfn.IFNA(VLOOKUP($M993,Buff.CM!$A:$O,13,FALSE),"")</f>
        <v>icon_battle_shock</v>
      </c>
      <c r="O993" s="26" t="str">
        <f>_xlfn.IFNA(VLOOKUP($M993,Buff.CM!$A:$O,14,FALSE),"")</f>
        <v>Buff.Name.Electric</v>
      </c>
      <c r="P993" s="26" t="str">
        <f>_xlfn.IFNA(VLOOKUP($M993,Buff.CM!$A:$O,15,FALSE),"")</f>
        <v>Buff.Desc.Electric</v>
      </c>
      <c r="Q993" s="26" t="b">
        <v>0</v>
      </c>
      <c r="R993" s="26" t="b">
        <v>0</v>
      </c>
    </row>
    <row r="994" spans="1:18" s="150" customFormat="1">
      <c r="A994" s="24" t="s">
        <v>6810</v>
      </c>
      <c r="B994" s="24"/>
      <c r="C994" s="24"/>
      <c r="D994" s="24">
        <v>0</v>
      </c>
      <c r="E994" s="24">
        <v>0</v>
      </c>
      <c r="F994" s="24">
        <v>0</v>
      </c>
      <c r="G994" s="24" t="s">
        <v>6811</v>
      </c>
      <c r="H994" s="24"/>
      <c r="I994" s="24" t="b">
        <v>1</v>
      </c>
      <c r="J994" s="23" t="b">
        <v>1</v>
      </c>
      <c r="K994" s="24" t="b">
        <v>1</v>
      </c>
      <c r="L994" s="24"/>
      <c r="M994" s="24"/>
      <c r="N994" s="24" t="str">
        <f>_xlfn.IFNA(VLOOKUP($M994,Buff.CM!$A:$O,13,FALSE),"")</f>
        <v/>
      </c>
      <c r="O994" s="24" t="str">
        <f>_xlfn.IFNA(VLOOKUP($M994,Buff.CM!$A:$O,14,FALSE),"")</f>
        <v/>
      </c>
      <c r="P994" s="24" t="str">
        <f>_xlfn.IFNA(VLOOKUP($M994,Buff.CM!$A:$O,15,FALSE),"")</f>
        <v/>
      </c>
      <c r="Q994" s="24" t="b">
        <v>0</v>
      </c>
      <c r="R994" s="24" t="b">
        <v>0</v>
      </c>
    </row>
    <row r="995" spans="1:18" s="150" customFormat="1">
      <c r="A995" s="24" t="s">
        <v>3713</v>
      </c>
      <c r="B995" s="24"/>
      <c r="C995" s="24"/>
      <c r="D995" s="24">
        <v>0</v>
      </c>
      <c r="E995" s="24">
        <v>0</v>
      </c>
      <c r="F995" s="24">
        <v>0</v>
      </c>
      <c r="G995" s="24" t="s">
        <v>3718</v>
      </c>
      <c r="H995" s="24"/>
      <c r="I995" s="24" t="b">
        <v>1</v>
      </c>
      <c r="J995" s="23" t="b">
        <v>1</v>
      </c>
      <c r="K995" s="24" t="b">
        <v>1</v>
      </c>
      <c r="L995" s="24"/>
      <c r="M995" s="24"/>
      <c r="N995" s="24" t="str">
        <f>_xlfn.IFNA(VLOOKUP($M995,Buff.CM!$A:$O,13,FALSE),"")</f>
        <v/>
      </c>
      <c r="O995" s="24" t="str">
        <f>_xlfn.IFNA(VLOOKUP($M995,Buff.CM!$A:$O,14,FALSE),"")</f>
        <v/>
      </c>
      <c r="P995" s="24" t="str">
        <f>_xlfn.IFNA(VLOOKUP($M995,Buff.CM!$A:$O,15,FALSE),"")</f>
        <v/>
      </c>
      <c r="Q995" s="24" t="b">
        <v>0</v>
      </c>
      <c r="R995" s="24" t="b">
        <v>0</v>
      </c>
    </row>
    <row r="996" spans="1:18" s="150" customFormat="1">
      <c r="A996" s="24" t="s">
        <v>3714</v>
      </c>
      <c r="B996" s="24"/>
      <c r="C996" s="24"/>
      <c r="D996" s="24">
        <v>0</v>
      </c>
      <c r="E996" s="24">
        <v>0</v>
      </c>
      <c r="F996" s="24">
        <v>0</v>
      </c>
      <c r="G996" s="24" t="s">
        <v>3719</v>
      </c>
      <c r="H996" s="24"/>
      <c r="I996" s="24" t="b">
        <v>1</v>
      </c>
      <c r="J996" s="23" t="b">
        <v>1</v>
      </c>
      <c r="K996" s="24" t="b">
        <v>1</v>
      </c>
      <c r="L996" s="24"/>
      <c r="M996" s="24"/>
      <c r="N996" s="24" t="str">
        <f>_xlfn.IFNA(VLOOKUP($M996,Buff.CM!$A:$O,13,FALSE),"")</f>
        <v/>
      </c>
      <c r="O996" s="24" t="str">
        <f>_xlfn.IFNA(VLOOKUP($M996,Buff.CM!$A:$O,14,FALSE),"")</f>
        <v/>
      </c>
      <c r="P996" s="24" t="str">
        <f>_xlfn.IFNA(VLOOKUP($M996,Buff.CM!$A:$O,15,FALSE),"")</f>
        <v/>
      </c>
      <c r="Q996" s="24" t="b">
        <v>0</v>
      </c>
      <c r="R996" s="24" t="b">
        <v>0</v>
      </c>
    </row>
    <row r="997" spans="1:18" s="150" customFormat="1">
      <c r="A997" s="24" t="s">
        <v>3715</v>
      </c>
      <c r="B997" s="24"/>
      <c r="C997" s="24"/>
      <c r="D997" s="24">
        <v>0</v>
      </c>
      <c r="E997" s="24">
        <v>0</v>
      </c>
      <c r="F997" s="24">
        <v>0</v>
      </c>
      <c r="G997" s="24" t="s">
        <v>3720</v>
      </c>
      <c r="H997" s="24"/>
      <c r="I997" s="24" t="b">
        <v>1</v>
      </c>
      <c r="J997" s="23" t="b">
        <v>1</v>
      </c>
      <c r="K997" s="24" t="b">
        <v>1</v>
      </c>
      <c r="L997" s="24"/>
      <c r="M997" s="24"/>
      <c r="N997" s="24" t="str">
        <f>_xlfn.IFNA(VLOOKUP($M997,Buff.CM!$A:$O,13,FALSE),"")</f>
        <v/>
      </c>
      <c r="O997" s="24" t="str">
        <f>_xlfn.IFNA(VLOOKUP($M997,Buff.CM!$A:$O,14,FALSE),"")</f>
        <v/>
      </c>
      <c r="P997" s="24" t="str">
        <f>_xlfn.IFNA(VLOOKUP($M997,Buff.CM!$A:$O,15,FALSE),"")</f>
        <v/>
      </c>
      <c r="Q997" s="24" t="b">
        <v>0</v>
      </c>
      <c r="R997" s="24" t="b">
        <v>0</v>
      </c>
    </row>
    <row r="998" spans="1:18" s="150" customFormat="1">
      <c r="A998" s="24" t="s">
        <v>3716</v>
      </c>
      <c r="B998" s="24"/>
      <c r="C998" s="24"/>
      <c r="D998" s="24">
        <v>0</v>
      </c>
      <c r="E998" s="24">
        <v>0</v>
      </c>
      <c r="F998" s="24">
        <v>0</v>
      </c>
      <c r="G998" s="24" t="s">
        <v>3721</v>
      </c>
      <c r="H998" s="24"/>
      <c r="I998" s="24" t="b">
        <v>1</v>
      </c>
      <c r="J998" s="23" t="b">
        <v>1</v>
      </c>
      <c r="K998" s="24" t="b">
        <v>1</v>
      </c>
      <c r="L998" s="24"/>
      <c r="M998" s="24"/>
      <c r="N998" s="24" t="str">
        <f>_xlfn.IFNA(VLOOKUP($M998,Buff.CM!$A:$O,13,FALSE),"")</f>
        <v/>
      </c>
      <c r="O998" s="24" t="str">
        <f>_xlfn.IFNA(VLOOKUP($M998,Buff.CM!$A:$O,14,FALSE),"")</f>
        <v/>
      </c>
      <c r="P998" s="24" t="str">
        <f>_xlfn.IFNA(VLOOKUP($M998,Buff.CM!$A:$O,15,FALSE),"")</f>
        <v/>
      </c>
      <c r="Q998" s="24" t="b">
        <v>0</v>
      </c>
      <c r="R998" s="24" t="b">
        <v>0</v>
      </c>
    </row>
    <row r="999" spans="1:18" s="150" customFormat="1">
      <c r="A999" s="24" t="s">
        <v>3717</v>
      </c>
      <c r="B999" s="24"/>
      <c r="C999" s="24"/>
      <c r="D999" s="24">
        <v>0</v>
      </c>
      <c r="E999" s="24">
        <v>0</v>
      </c>
      <c r="F999" s="24">
        <v>0</v>
      </c>
      <c r="G999" s="24" t="s">
        <v>3722</v>
      </c>
      <c r="H999" s="24"/>
      <c r="I999" s="24" t="b">
        <v>1</v>
      </c>
      <c r="J999" s="23" t="b">
        <v>1</v>
      </c>
      <c r="K999" s="24" t="b">
        <v>1</v>
      </c>
      <c r="L999" s="24"/>
      <c r="M999" s="24"/>
      <c r="N999" s="24" t="str">
        <f>_xlfn.IFNA(VLOOKUP($M999,Buff.CM!$A:$O,13,FALSE),"")</f>
        <v/>
      </c>
      <c r="O999" s="24" t="str">
        <f>_xlfn.IFNA(VLOOKUP($M999,Buff.CM!$A:$O,14,FALSE),"")</f>
        <v/>
      </c>
      <c r="P999" s="24" t="str">
        <f>_xlfn.IFNA(VLOOKUP($M999,Buff.CM!$A:$O,15,FALSE),"")</f>
        <v/>
      </c>
      <c r="Q999" s="24" t="b">
        <v>0</v>
      </c>
      <c r="R999" s="24" t="b">
        <v>0</v>
      </c>
    </row>
    <row r="1000" spans="1:18" s="164" customFormat="1">
      <c r="A1000" s="53" t="s">
        <v>6812</v>
      </c>
      <c r="B1000" s="53" t="s">
        <v>8813</v>
      </c>
      <c r="C1000" s="53" t="s">
        <v>4631</v>
      </c>
      <c r="D1000" s="53">
        <v>0</v>
      </c>
      <c r="E1000" s="53">
        <v>0</v>
      </c>
      <c r="F1000" s="53">
        <v>0</v>
      </c>
      <c r="G1000" s="53" t="s">
        <v>6813</v>
      </c>
      <c r="H1000" s="53"/>
      <c r="I1000" s="24" t="b">
        <v>1</v>
      </c>
      <c r="J1000" s="23" t="b">
        <v>1</v>
      </c>
      <c r="K1000" s="26" t="b">
        <v>0</v>
      </c>
      <c r="L1000" s="53"/>
      <c r="M1000" s="53"/>
      <c r="N1000" s="53" t="str">
        <f>_xlfn.IFNA(VLOOKUP($M1000,Buff.CM!$A:$O,13,FALSE),"")</f>
        <v/>
      </c>
      <c r="O1000" s="53" t="str">
        <f>_xlfn.IFNA(VLOOKUP($M1000,Buff.CM!$A:$O,14,FALSE),"")</f>
        <v/>
      </c>
      <c r="P1000" s="53" t="str">
        <f>_xlfn.IFNA(VLOOKUP($M1000,Buff.CM!$A:$O,15,FALSE),"")</f>
        <v/>
      </c>
      <c r="Q1000" s="53" t="b">
        <v>0</v>
      </c>
      <c r="R1000" s="53" t="b">
        <v>0</v>
      </c>
    </row>
    <row r="1001" spans="1:18" s="164" customFormat="1">
      <c r="A1001" s="53" t="s">
        <v>3723</v>
      </c>
      <c r="B1001" s="53" t="s">
        <v>8813</v>
      </c>
      <c r="C1001" s="53" t="s">
        <v>4631</v>
      </c>
      <c r="D1001" s="53">
        <v>0</v>
      </c>
      <c r="E1001" s="53">
        <v>0</v>
      </c>
      <c r="F1001" s="53">
        <v>0</v>
      </c>
      <c r="G1001" s="53" t="s">
        <v>3729</v>
      </c>
      <c r="H1001" s="53"/>
      <c r="I1001" s="24" t="b">
        <v>1</v>
      </c>
      <c r="J1001" s="23" t="b">
        <v>1</v>
      </c>
      <c r="K1001" s="26" t="b">
        <v>0</v>
      </c>
      <c r="L1001" s="53"/>
      <c r="M1001" s="53"/>
      <c r="N1001" s="53" t="str">
        <f>_xlfn.IFNA(VLOOKUP($M1001,Buff.CM!$A:$O,13,FALSE),"")</f>
        <v/>
      </c>
      <c r="O1001" s="53" t="str">
        <f>_xlfn.IFNA(VLOOKUP($M1001,Buff.CM!$A:$O,14,FALSE),"")</f>
        <v/>
      </c>
      <c r="P1001" s="53" t="str">
        <f>_xlfn.IFNA(VLOOKUP($M1001,Buff.CM!$A:$O,15,FALSE),"")</f>
        <v/>
      </c>
      <c r="Q1001" s="53" t="b">
        <v>0</v>
      </c>
      <c r="R1001" s="53" t="b">
        <v>0</v>
      </c>
    </row>
    <row r="1002" spans="1:18" s="164" customFormat="1">
      <c r="A1002" s="53" t="s">
        <v>3724</v>
      </c>
      <c r="B1002" s="53" t="s">
        <v>8813</v>
      </c>
      <c r="C1002" s="53" t="s">
        <v>4631</v>
      </c>
      <c r="D1002" s="53">
        <v>0</v>
      </c>
      <c r="E1002" s="53">
        <v>0</v>
      </c>
      <c r="F1002" s="53">
        <v>0</v>
      </c>
      <c r="G1002" s="53" t="s">
        <v>3730</v>
      </c>
      <c r="H1002" s="53"/>
      <c r="I1002" s="24" t="b">
        <v>1</v>
      </c>
      <c r="J1002" s="23" t="b">
        <v>1</v>
      </c>
      <c r="K1002" s="26" t="b">
        <v>0</v>
      </c>
      <c r="L1002" s="53"/>
      <c r="M1002" s="53"/>
      <c r="N1002" s="53" t="str">
        <f>_xlfn.IFNA(VLOOKUP($M1002,Buff.CM!$A:$O,13,FALSE),"")</f>
        <v/>
      </c>
      <c r="O1002" s="53" t="str">
        <f>_xlfn.IFNA(VLOOKUP($M1002,Buff.CM!$A:$O,14,FALSE),"")</f>
        <v/>
      </c>
      <c r="P1002" s="53" t="str">
        <f>_xlfn.IFNA(VLOOKUP($M1002,Buff.CM!$A:$O,15,FALSE),"")</f>
        <v/>
      </c>
      <c r="Q1002" s="53" t="b">
        <v>0</v>
      </c>
      <c r="R1002" s="53" t="b">
        <v>0</v>
      </c>
    </row>
    <row r="1003" spans="1:18" s="164" customFormat="1">
      <c r="A1003" s="53" t="s">
        <v>3725</v>
      </c>
      <c r="B1003" s="53" t="s">
        <v>8813</v>
      </c>
      <c r="C1003" s="53" t="s">
        <v>4631</v>
      </c>
      <c r="D1003" s="53">
        <v>0</v>
      </c>
      <c r="E1003" s="53">
        <v>0</v>
      </c>
      <c r="F1003" s="53">
        <v>0</v>
      </c>
      <c r="G1003" s="53" t="s">
        <v>3731</v>
      </c>
      <c r="H1003" s="53"/>
      <c r="I1003" s="24" t="b">
        <v>1</v>
      </c>
      <c r="J1003" s="23" t="b">
        <v>1</v>
      </c>
      <c r="K1003" s="26" t="b">
        <v>0</v>
      </c>
      <c r="L1003" s="53"/>
      <c r="M1003" s="53"/>
      <c r="N1003" s="53" t="str">
        <f>_xlfn.IFNA(VLOOKUP($M1003,Buff.CM!$A:$O,13,FALSE),"")</f>
        <v/>
      </c>
      <c r="O1003" s="53" t="str">
        <f>_xlfn.IFNA(VLOOKUP($M1003,Buff.CM!$A:$O,14,FALSE),"")</f>
        <v/>
      </c>
      <c r="P1003" s="53" t="str">
        <f>_xlfn.IFNA(VLOOKUP($M1003,Buff.CM!$A:$O,15,FALSE),"")</f>
        <v/>
      </c>
      <c r="Q1003" s="53" t="b">
        <v>0</v>
      </c>
      <c r="R1003" s="53" t="b">
        <v>0</v>
      </c>
    </row>
    <row r="1004" spans="1:18" s="164" customFormat="1">
      <c r="A1004" s="53" t="s">
        <v>3726</v>
      </c>
      <c r="B1004" s="53" t="s">
        <v>8813</v>
      </c>
      <c r="C1004" s="53" t="s">
        <v>4631</v>
      </c>
      <c r="D1004" s="53">
        <v>0</v>
      </c>
      <c r="E1004" s="53">
        <v>0</v>
      </c>
      <c r="F1004" s="53">
        <v>0</v>
      </c>
      <c r="G1004" s="53" t="s">
        <v>3732</v>
      </c>
      <c r="H1004" s="53"/>
      <c r="I1004" s="24" t="b">
        <v>1</v>
      </c>
      <c r="J1004" s="23" t="b">
        <v>1</v>
      </c>
      <c r="K1004" s="26" t="b">
        <v>0</v>
      </c>
      <c r="L1004" s="53"/>
      <c r="M1004" s="53"/>
      <c r="N1004" s="53" t="str">
        <f>_xlfn.IFNA(VLOOKUP($M1004,Buff.CM!$A:$O,13,FALSE),"")</f>
        <v/>
      </c>
      <c r="O1004" s="53" t="str">
        <f>_xlfn.IFNA(VLOOKUP($M1004,Buff.CM!$A:$O,14,FALSE),"")</f>
        <v/>
      </c>
      <c r="P1004" s="53" t="str">
        <f>_xlfn.IFNA(VLOOKUP($M1004,Buff.CM!$A:$O,15,FALSE),"")</f>
        <v/>
      </c>
      <c r="Q1004" s="53" t="b">
        <v>0</v>
      </c>
      <c r="R1004" s="53" t="b">
        <v>0</v>
      </c>
    </row>
    <row r="1005" spans="1:18" s="164" customFormat="1">
      <c r="A1005" s="53" t="s">
        <v>3727</v>
      </c>
      <c r="B1005" s="53" t="s">
        <v>8813</v>
      </c>
      <c r="C1005" s="53" t="s">
        <v>4631</v>
      </c>
      <c r="D1005" s="53">
        <v>0</v>
      </c>
      <c r="E1005" s="53">
        <v>0</v>
      </c>
      <c r="F1005" s="53">
        <v>0</v>
      </c>
      <c r="G1005" s="53" t="s">
        <v>3733</v>
      </c>
      <c r="H1005" s="53"/>
      <c r="I1005" s="24" t="b">
        <v>1</v>
      </c>
      <c r="J1005" s="23" t="b">
        <v>1</v>
      </c>
      <c r="K1005" s="26" t="b">
        <v>0</v>
      </c>
      <c r="L1005" s="53"/>
      <c r="M1005" s="53"/>
      <c r="N1005" s="53" t="str">
        <f>_xlfn.IFNA(VLOOKUP($M1005,Buff.CM!$A:$O,13,FALSE),"")</f>
        <v/>
      </c>
      <c r="O1005" s="53" t="str">
        <f>_xlfn.IFNA(VLOOKUP($M1005,Buff.CM!$A:$O,14,FALSE),"")</f>
        <v/>
      </c>
      <c r="P1005" s="53" t="str">
        <f>_xlfn.IFNA(VLOOKUP($M1005,Buff.CM!$A:$O,15,FALSE),"")</f>
        <v/>
      </c>
      <c r="Q1005" s="53" t="b">
        <v>0</v>
      </c>
      <c r="R1005" s="53" t="b">
        <v>0</v>
      </c>
    </row>
  </sheetData>
  <phoneticPr fontId="3" type="noConversion"/>
  <conditionalFormatting sqref="A1:A1048576">
    <cfRule type="duplicateValues" dxfId="176" priority="221"/>
  </conditionalFormatting>
  <conditionalFormatting sqref="A1:XFD1048576">
    <cfRule type="cellIs" dxfId="175" priority="9" operator="equal">
      <formula>"Single"</formula>
    </cfRule>
    <cfRule type="cellIs" dxfId="174" priority="222" operator="equal">
      <formula>"Self"</formula>
    </cfRule>
    <cfRule type="containsText" dxfId="173" priority="223" operator="containsText" text="debuff">
      <formula>NOT(ISERROR(SEARCH("debuff",A1)))</formula>
    </cfRule>
    <cfRule type="cellIs" dxfId="172" priority="224" operator="equal">
      <formula>FALSE</formula>
    </cfRule>
    <cfRule type="cellIs" dxfId="171" priority="225" operator="equal">
      <formula>TRUE</formula>
    </cfRule>
    <cfRule type="cellIs" dxfId="170" priority="226" operator="equal">
      <formula>0</formula>
    </cfRule>
    <cfRule type="containsBlanks" dxfId="169" priority="227">
      <formula>LEN(TRIM(A1))=0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Buff.CM!$A:$A</xm:f>
          </x14:formula1>
          <xm:sqref>M1:M1048576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R912"/>
  <sheetViews>
    <sheetView zoomScale="85" zoomScaleNormal="85" workbookViewId="0">
      <pane xSplit="1" ySplit="4" topLeftCell="B888" activePane="bottomRight" state="frozen"/>
      <selection pane="topRight" activeCell="B1" sqref="B1"/>
      <selection pane="bottomLeft" activeCell="A4" sqref="A4"/>
      <selection pane="bottomRight" activeCell="A912" sqref="A912"/>
    </sheetView>
  </sheetViews>
  <sheetFormatPr defaultColWidth="82.5" defaultRowHeight="16.5"/>
  <cols>
    <col min="1" max="1" width="59.5" bestFit="1" customWidth="1"/>
    <col min="2" max="2" width="16.625" bestFit="1" customWidth="1"/>
    <col min="3" max="3" width="37.25" bestFit="1" customWidth="1"/>
    <col min="4" max="4" width="10.125" bestFit="1" customWidth="1"/>
    <col min="5" max="5" width="18.125" bestFit="1" customWidth="1"/>
    <col min="6" max="6" width="15.5" bestFit="1" customWidth="1"/>
    <col min="7" max="7" width="9.375" bestFit="1" customWidth="1"/>
    <col min="8" max="8" width="10.25" bestFit="1" customWidth="1"/>
    <col min="9" max="9" width="12.375" bestFit="1" customWidth="1"/>
    <col min="10" max="10" width="21.375" bestFit="1" customWidth="1"/>
    <col min="11" max="11" width="52.875" bestFit="1" customWidth="1"/>
    <col min="12" max="12" width="46.75" bestFit="1" customWidth="1"/>
    <col min="13" max="13" width="22.75" bestFit="1" customWidth="1"/>
    <col min="14" max="14" width="78.25" bestFit="1" customWidth="1"/>
    <col min="15" max="15" width="9.125" bestFit="1" customWidth="1"/>
    <col min="16" max="16" width="9" bestFit="1" customWidth="1"/>
    <col min="17" max="17" width="8.25" bestFit="1" customWidth="1"/>
    <col min="18" max="18" width="9" bestFit="1" customWidth="1"/>
  </cols>
  <sheetData>
    <row r="1" spans="1:18" ht="33">
      <c r="A1" s="1" t="s">
        <v>0</v>
      </c>
      <c r="B1" s="3" t="s">
        <v>1</v>
      </c>
      <c r="C1" s="3" t="s">
        <v>2</v>
      </c>
      <c r="D1" s="3" t="s">
        <v>1322</v>
      </c>
      <c r="E1" s="3" t="s">
        <v>1326</v>
      </c>
      <c r="F1" s="4" t="s">
        <v>178</v>
      </c>
      <c r="G1" s="4" t="s">
        <v>179</v>
      </c>
      <c r="H1" s="4" t="s">
        <v>180</v>
      </c>
      <c r="I1" s="4" t="s">
        <v>181</v>
      </c>
      <c r="J1" s="63" t="s">
        <v>834</v>
      </c>
      <c r="K1" s="63" t="s">
        <v>180</v>
      </c>
      <c r="L1" s="63" t="s">
        <v>835</v>
      </c>
      <c r="M1" s="63" t="s">
        <v>836</v>
      </c>
      <c r="N1" s="8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>
      <c r="A2" s="1" t="s">
        <v>17</v>
      </c>
      <c r="B2" s="3" t="s">
        <v>18</v>
      </c>
      <c r="C2" s="3" t="s">
        <v>19</v>
      </c>
      <c r="D2" s="3" t="s">
        <v>1320</v>
      </c>
      <c r="E2" s="3" t="s">
        <v>1318</v>
      </c>
      <c r="F2" s="4" t="s">
        <v>187</v>
      </c>
      <c r="G2" s="4" t="s">
        <v>188</v>
      </c>
      <c r="H2" s="4" t="s">
        <v>189</v>
      </c>
      <c r="I2" s="4" t="s">
        <v>190</v>
      </c>
      <c r="J2" s="63" t="s">
        <v>6814</v>
      </c>
      <c r="K2" s="63" t="s">
        <v>6815</v>
      </c>
      <c r="L2" s="63" t="s">
        <v>6816</v>
      </c>
      <c r="M2" s="63" t="s">
        <v>6817</v>
      </c>
      <c r="N2" s="8" t="s">
        <v>191</v>
      </c>
      <c r="O2" s="1" t="s">
        <v>192</v>
      </c>
      <c r="P2" s="1" t="s">
        <v>193</v>
      </c>
      <c r="Q2" s="1" t="s">
        <v>30</v>
      </c>
      <c r="R2" s="1" t="s">
        <v>194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3" t="s">
        <v>1324</v>
      </c>
      <c r="F3" s="4" t="s">
        <v>187</v>
      </c>
      <c r="G3" s="4" t="s">
        <v>188</v>
      </c>
      <c r="H3" s="4" t="s">
        <v>195</v>
      </c>
      <c r="I3" s="4" t="s">
        <v>37</v>
      </c>
      <c r="J3" s="63" t="s">
        <v>6818</v>
      </c>
      <c r="K3" s="63" t="s">
        <v>6819</v>
      </c>
      <c r="L3" s="63" t="s">
        <v>6819</v>
      </c>
      <c r="M3" s="63" t="s">
        <v>6819</v>
      </c>
      <c r="N3" s="8" t="s">
        <v>196</v>
      </c>
      <c r="O3" s="1" t="s">
        <v>37</v>
      </c>
      <c r="P3" s="1" t="s">
        <v>37</v>
      </c>
      <c r="Q3" s="1" t="s">
        <v>36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3" t="s">
        <v>42</v>
      </c>
      <c r="F4" s="4" t="s">
        <v>42</v>
      </c>
      <c r="G4" s="4" t="s">
        <v>42</v>
      </c>
      <c r="H4" s="4" t="s">
        <v>42</v>
      </c>
      <c r="I4" s="4" t="s">
        <v>42</v>
      </c>
      <c r="J4" s="63" t="s">
        <v>883</v>
      </c>
      <c r="K4" s="63" t="s">
        <v>883</v>
      </c>
      <c r="L4" s="63" t="s">
        <v>883</v>
      </c>
      <c r="M4" s="63" t="s">
        <v>883</v>
      </c>
      <c r="N4" s="8" t="s">
        <v>42</v>
      </c>
      <c r="O4" s="1" t="s">
        <v>42</v>
      </c>
      <c r="P4" s="1" t="s">
        <v>42</v>
      </c>
      <c r="Q4" s="1" t="s">
        <v>43</v>
      </c>
      <c r="R4" s="1" t="s">
        <v>42</v>
      </c>
    </row>
    <row r="5" spans="1:18">
      <c r="A5" s="23" t="s">
        <v>6820</v>
      </c>
      <c r="B5" s="23"/>
      <c r="C5" s="23"/>
      <c r="D5" s="23">
        <v>0</v>
      </c>
      <c r="E5" s="23">
        <v>1</v>
      </c>
      <c r="F5" s="23" t="s">
        <v>197</v>
      </c>
      <c r="G5" s="23" t="s">
        <v>198</v>
      </c>
      <c r="H5" s="23"/>
      <c r="I5" s="23">
        <v>0</v>
      </c>
      <c r="J5" s="23" t="s">
        <v>893</v>
      </c>
      <c r="K5" s="23" t="s">
        <v>6821</v>
      </c>
      <c r="L5" s="23"/>
      <c r="M5" s="23"/>
      <c r="N5" s="23" t="str">
        <f t="shared" ref="N5:N68" si="0">J5&amp;"("&amp;IF(K5="","",K5)&amp;IF(L5="","",", "&amp;L5)&amp;IF(M5="","",", "&amp;M5)&amp;")"</f>
        <v>Active(kaito.aile.summon.passive.buff.taunt.skilleffect.01)</v>
      </c>
      <c r="O5" s="23">
        <v>0</v>
      </c>
      <c r="P5" s="23">
        <v>0</v>
      </c>
      <c r="Q5" s="23"/>
      <c r="R5" s="23" t="b">
        <v>1</v>
      </c>
    </row>
    <row r="6" spans="1:18">
      <c r="A6" s="23" t="s">
        <v>6822</v>
      </c>
      <c r="B6" s="23"/>
      <c r="C6" s="23"/>
      <c r="D6" s="23">
        <v>0</v>
      </c>
      <c r="E6" s="23">
        <v>1</v>
      </c>
      <c r="F6" s="23" t="s">
        <v>197</v>
      </c>
      <c r="G6" s="23" t="s">
        <v>198</v>
      </c>
      <c r="H6" s="23"/>
      <c r="I6" s="23">
        <v>0</v>
      </c>
      <c r="J6" s="23" t="s">
        <v>893</v>
      </c>
      <c r="K6" s="23" t="s">
        <v>1045</v>
      </c>
      <c r="L6" s="23"/>
      <c r="M6" s="23"/>
      <c r="N6" s="23" t="str">
        <f t="shared" si="0"/>
        <v>Active(kaito.aile.summon.passive.buff.taunt.skilleffect.02)</v>
      </c>
      <c r="O6" s="23">
        <v>0</v>
      </c>
      <c r="P6" s="23">
        <v>0</v>
      </c>
      <c r="Q6" s="23"/>
      <c r="R6" s="23" t="b">
        <v>1</v>
      </c>
    </row>
    <row r="7" spans="1:18">
      <c r="A7" s="23" t="s">
        <v>6823</v>
      </c>
      <c r="B7" s="23"/>
      <c r="C7" s="23"/>
      <c r="D7" s="23">
        <v>0</v>
      </c>
      <c r="E7" s="23">
        <v>1</v>
      </c>
      <c r="F7" s="23" t="s">
        <v>197</v>
      </c>
      <c r="G7" s="23" t="s">
        <v>198</v>
      </c>
      <c r="H7" s="23"/>
      <c r="I7" s="23">
        <v>0</v>
      </c>
      <c r="J7" s="23" t="s">
        <v>893</v>
      </c>
      <c r="K7" s="23" t="s">
        <v>1046</v>
      </c>
      <c r="L7" s="23"/>
      <c r="M7" s="23"/>
      <c r="N7" s="23" t="str">
        <f t="shared" si="0"/>
        <v>Active(kaito.aile.summon.passive.buff.taunt.skilleffect.03)</v>
      </c>
      <c r="O7" s="23">
        <v>0</v>
      </c>
      <c r="P7" s="23">
        <v>0</v>
      </c>
      <c r="Q7" s="23"/>
      <c r="R7" s="23" t="b">
        <v>1</v>
      </c>
    </row>
    <row r="8" spans="1:18">
      <c r="A8" s="34" t="s">
        <v>6824</v>
      </c>
      <c r="B8" s="34"/>
      <c r="C8" s="34"/>
      <c r="D8" s="34">
        <v>0</v>
      </c>
      <c r="E8" s="34">
        <v>1</v>
      </c>
      <c r="F8" s="34" t="s">
        <v>197</v>
      </c>
      <c r="G8" s="34" t="s">
        <v>198</v>
      </c>
      <c r="H8" s="34"/>
      <c r="I8" s="34">
        <v>0</v>
      </c>
      <c r="J8" s="34" t="s">
        <v>893</v>
      </c>
      <c r="K8" s="34" t="s">
        <v>1047</v>
      </c>
      <c r="L8" s="34"/>
      <c r="M8" s="34"/>
      <c r="N8" s="34" t="str">
        <f t="shared" si="0"/>
        <v>Active(kaito.aile.summon.passive.buff.taunt.skilleffect.04)</v>
      </c>
      <c r="O8" s="34">
        <v>0</v>
      </c>
      <c r="P8" s="34">
        <v>0</v>
      </c>
      <c r="Q8" s="34"/>
      <c r="R8" s="34" t="b">
        <v>1</v>
      </c>
    </row>
    <row r="9" spans="1:18">
      <c r="A9" s="34" t="s">
        <v>6825</v>
      </c>
      <c r="B9" s="34"/>
      <c r="C9" s="34"/>
      <c r="D9" s="34">
        <v>0</v>
      </c>
      <c r="E9" s="34">
        <v>1</v>
      </c>
      <c r="F9" s="34" t="s">
        <v>197</v>
      </c>
      <c r="G9" s="34" t="s">
        <v>198</v>
      </c>
      <c r="H9" s="34"/>
      <c r="I9" s="34">
        <v>0</v>
      </c>
      <c r="J9" s="34" t="s">
        <v>893</v>
      </c>
      <c r="K9" s="34" t="s">
        <v>1048</v>
      </c>
      <c r="L9" s="34"/>
      <c r="M9" s="34"/>
      <c r="N9" s="34" t="str">
        <f t="shared" si="0"/>
        <v>Active(kaito.aile.summon.passive.buff.taunt.skilleffect.05)</v>
      </c>
      <c r="O9" s="34">
        <v>0</v>
      </c>
      <c r="P9" s="34">
        <v>0</v>
      </c>
      <c r="Q9" s="34"/>
      <c r="R9" s="34" t="b">
        <v>1</v>
      </c>
    </row>
    <row r="10" spans="1:18">
      <c r="A10" s="34" t="s">
        <v>6826</v>
      </c>
      <c r="B10" s="34"/>
      <c r="C10" s="34"/>
      <c r="D10" s="34">
        <v>0</v>
      </c>
      <c r="E10" s="34">
        <v>1</v>
      </c>
      <c r="F10" s="34" t="s">
        <v>197</v>
      </c>
      <c r="G10" s="34" t="s">
        <v>198</v>
      </c>
      <c r="H10" s="34"/>
      <c r="I10" s="34">
        <v>0</v>
      </c>
      <c r="J10" s="34" t="s">
        <v>893</v>
      </c>
      <c r="K10" s="34" t="s">
        <v>1049</v>
      </c>
      <c r="L10" s="34"/>
      <c r="M10" s="34"/>
      <c r="N10" s="34" t="str">
        <f t="shared" si="0"/>
        <v>Active(kaito.aile.summon.passive.buff.taunt.skilleffect.06)</v>
      </c>
      <c r="O10" s="34">
        <v>0</v>
      </c>
      <c r="P10" s="34">
        <v>0</v>
      </c>
      <c r="Q10" s="34"/>
      <c r="R10" s="34" t="b">
        <v>1</v>
      </c>
    </row>
    <row r="11" spans="1:18">
      <c r="A11" s="24" t="s">
        <v>1038</v>
      </c>
      <c r="B11" s="24"/>
      <c r="C11" s="24"/>
      <c r="D11" s="24">
        <v>0</v>
      </c>
      <c r="E11" s="24">
        <v>1</v>
      </c>
      <c r="F11" s="24" t="s">
        <v>197</v>
      </c>
      <c r="G11" s="24" t="s">
        <v>198</v>
      </c>
      <c r="H11" s="24"/>
      <c r="I11" s="24">
        <v>0</v>
      </c>
      <c r="J11" s="24" t="s">
        <v>191</v>
      </c>
      <c r="K11" s="24" t="s">
        <v>1044</v>
      </c>
      <c r="L11" s="24" t="s">
        <v>6827</v>
      </c>
      <c r="M11" s="24"/>
      <c r="N11" s="24" t="str">
        <f t="shared" si="0"/>
        <v>Effect(OnDie, kaito.aile.summon.passive.die.skilleffect.01)</v>
      </c>
      <c r="O11" s="24">
        <v>0</v>
      </c>
      <c r="P11" s="24">
        <v>0</v>
      </c>
      <c r="Q11" s="24"/>
      <c r="R11" s="24" t="b">
        <v>1</v>
      </c>
    </row>
    <row r="12" spans="1:18">
      <c r="A12" s="24" t="s">
        <v>1039</v>
      </c>
      <c r="B12" s="24"/>
      <c r="C12" s="24"/>
      <c r="D12" s="24">
        <v>0</v>
      </c>
      <c r="E12" s="24">
        <v>1</v>
      </c>
      <c r="F12" s="24" t="s">
        <v>197</v>
      </c>
      <c r="G12" s="24" t="s">
        <v>198</v>
      </c>
      <c r="H12" s="24"/>
      <c r="I12" s="24">
        <v>0</v>
      </c>
      <c r="J12" s="24" t="s">
        <v>191</v>
      </c>
      <c r="K12" s="24" t="s">
        <v>1044</v>
      </c>
      <c r="L12" s="24" t="s">
        <v>1050</v>
      </c>
      <c r="M12" s="24"/>
      <c r="N12" s="24" t="str">
        <f t="shared" si="0"/>
        <v>Effect(OnDie, kaito.aile.summon.passive.die.skilleffect.02)</v>
      </c>
      <c r="O12" s="24">
        <v>0</v>
      </c>
      <c r="P12" s="24">
        <v>0</v>
      </c>
      <c r="Q12" s="24"/>
      <c r="R12" s="24" t="b">
        <v>1</v>
      </c>
    </row>
    <row r="13" spans="1:18">
      <c r="A13" s="24" t="s">
        <v>1040</v>
      </c>
      <c r="B13" s="24"/>
      <c r="C13" s="24"/>
      <c r="D13" s="24">
        <v>0</v>
      </c>
      <c r="E13" s="24">
        <v>1</v>
      </c>
      <c r="F13" s="24" t="s">
        <v>197</v>
      </c>
      <c r="G13" s="24" t="s">
        <v>198</v>
      </c>
      <c r="H13" s="24"/>
      <c r="I13" s="24">
        <v>0</v>
      </c>
      <c r="J13" s="24" t="s">
        <v>191</v>
      </c>
      <c r="K13" s="24" t="s">
        <v>1044</v>
      </c>
      <c r="L13" s="24" t="s">
        <v>1051</v>
      </c>
      <c r="M13" s="24"/>
      <c r="N13" s="24" t="str">
        <f t="shared" si="0"/>
        <v>Effect(OnDie, kaito.aile.summon.passive.die.skilleffect.03)</v>
      </c>
      <c r="O13" s="24">
        <v>0</v>
      </c>
      <c r="P13" s="24">
        <v>0</v>
      </c>
      <c r="Q13" s="24"/>
      <c r="R13" s="24" t="b">
        <v>1</v>
      </c>
    </row>
    <row r="14" spans="1:18">
      <c r="A14" s="34" t="s">
        <v>1041</v>
      </c>
      <c r="B14" s="34"/>
      <c r="C14" s="34"/>
      <c r="D14" s="34">
        <v>0</v>
      </c>
      <c r="E14" s="34">
        <v>1</v>
      </c>
      <c r="F14" s="34" t="s">
        <v>197</v>
      </c>
      <c r="G14" s="34" t="s">
        <v>198</v>
      </c>
      <c r="H14" s="34"/>
      <c r="I14" s="34">
        <v>0</v>
      </c>
      <c r="J14" s="34" t="s">
        <v>191</v>
      </c>
      <c r="K14" s="34" t="s">
        <v>1044</v>
      </c>
      <c r="L14" s="34" t="s">
        <v>1052</v>
      </c>
      <c r="M14" s="34"/>
      <c r="N14" s="34" t="str">
        <f t="shared" si="0"/>
        <v>Effect(OnDie, kaito.aile.summon.passive.die.skilleffect.04)</v>
      </c>
      <c r="O14" s="34">
        <v>0</v>
      </c>
      <c r="P14" s="34">
        <v>0</v>
      </c>
      <c r="Q14" s="34"/>
      <c r="R14" s="34" t="b">
        <v>1</v>
      </c>
    </row>
    <row r="15" spans="1:18">
      <c r="A15" s="34" t="s">
        <v>1042</v>
      </c>
      <c r="B15" s="34"/>
      <c r="C15" s="34"/>
      <c r="D15" s="34">
        <v>0</v>
      </c>
      <c r="E15" s="34">
        <v>1</v>
      </c>
      <c r="F15" s="34" t="s">
        <v>197</v>
      </c>
      <c r="G15" s="34" t="s">
        <v>198</v>
      </c>
      <c r="H15" s="34"/>
      <c r="I15" s="34">
        <v>0</v>
      </c>
      <c r="J15" s="34" t="s">
        <v>191</v>
      </c>
      <c r="K15" s="34" t="s">
        <v>1044</v>
      </c>
      <c r="L15" s="34" t="s">
        <v>1053</v>
      </c>
      <c r="M15" s="34"/>
      <c r="N15" s="34" t="str">
        <f t="shared" si="0"/>
        <v>Effect(OnDie, kaito.aile.summon.passive.die.skilleffect.05)</v>
      </c>
      <c r="O15" s="34">
        <v>0</v>
      </c>
      <c r="P15" s="34">
        <v>0</v>
      </c>
      <c r="Q15" s="34"/>
      <c r="R15" s="34" t="b">
        <v>1</v>
      </c>
    </row>
    <row r="16" spans="1:18">
      <c r="A16" s="34" t="s">
        <v>1043</v>
      </c>
      <c r="B16" s="34"/>
      <c r="C16" s="34"/>
      <c r="D16" s="34">
        <v>0</v>
      </c>
      <c r="E16" s="34">
        <v>1</v>
      </c>
      <c r="F16" s="34" t="s">
        <v>197</v>
      </c>
      <c r="G16" s="34" t="s">
        <v>198</v>
      </c>
      <c r="H16" s="34"/>
      <c r="I16" s="34">
        <v>0</v>
      </c>
      <c r="J16" s="34" t="s">
        <v>191</v>
      </c>
      <c r="K16" s="34" t="s">
        <v>1044</v>
      </c>
      <c r="L16" s="34" t="s">
        <v>1054</v>
      </c>
      <c r="M16" s="34"/>
      <c r="N16" s="34" t="str">
        <f t="shared" si="0"/>
        <v>Effect(OnDie, kaito.aile.summon.passive.die.skilleffect.06)</v>
      </c>
      <c r="O16" s="34">
        <v>0</v>
      </c>
      <c r="P16" s="34">
        <v>0</v>
      </c>
      <c r="Q16" s="34"/>
      <c r="R16" s="34" t="b">
        <v>1</v>
      </c>
    </row>
    <row r="17" spans="1:18">
      <c r="A17" s="23" t="s">
        <v>6828</v>
      </c>
      <c r="B17" s="23"/>
      <c r="C17" s="23"/>
      <c r="D17" s="23">
        <v>0</v>
      </c>
      <c r="E17" s="23">
        <v>1</v>
      </c>
      <c r="F17" s="23" t="s">
        <v>197</v>
      </c>
      <c r="G17" s="23" t="s">
        <v>198</v>
      </c>
      <c r="H17" s="23"/>
      <c r="I17" s="23">
        <v>0</v>
      </c>
      <c r="J17" s="23" t="s">
        <v>838</v>
      </c>
      <c r="K17" s="23" t="s">
        <v>839</v>
      </c>
      <c r="L17" s="23">
        <v>999</v>
      </c>
      <c r="M17" s="23"/>
      <c r="N17" s="23" t="str">
        <f t="shared" si="0"/>
        <v>Status(DamageDerate, 999)</v>
      </c>
      <c r="O17" s="23">
        <v>0</v>
      </c>
      <c r="P17" s="23">
        <v>0</v>
      </c>
      <c r="Q17" s="23"/>
      <c r="R17" s="23" t="b">
        <v>1</v>
      </c>
    </row>
    <row r="18" spans="1:18">
      <c r="A18" s="65" t="s">
        <v>1068</v>
      </c>
      <c r="B18" s="65"/>
      <c r="C18" s="65"/>
      <c r="D18" s="65">
        <v>0</v>
      </c>
      <c r="E18" s="65">
        <v>1</v>
      </c>
      <c r="F18" s="65" t="s">
        <v>197</v>
      </c>
      <c r="G18" s="65" t="s">
        <v>198</v>
      </c>
      <c r="H18" s="65"/>
      <c r="I18" s="65">
        <v>0</v>
      </c>
      <c r="J18" s="65" t="s">
        <v>895</v>
      </c>
      <c r="K18" s="65" t="s">
        <v>896</v>
      </c>
      <c r="L18" s="65" t="str">
        <f>A18&amp;".skilleffectmodifier"</f>
        <v>kaito.aile.ult.ex.buff.buffeffect.skilleffectmodifier</v>
      </c>
      <c r="M18" s="65"/>
      <c r="N18" s="65" t="str">
        <f t="shared" si="0"/>
        <v>SkillEffectModifier(Op, kaito.aile.ult.ex.buff.buffeffect.skilleffectmodifier)</v>
      </c>
      <c r="O18" s="65">
        <v>0</v>
      </c>
      <c r="P18" s="65">
        <v>0</v>
      </c>
      <c r="Q18" s="65"/>
      <c r="R18" s="65" t="b">
        <v>0</v>
      </c>
    </row>
    <row r="19" spans="1:18">
      <c r="A19" s="24" t="s">
        <v>1016</v>
      </c>
      <c r="B19" s="24"/>
      <c r="C19" s="24"/>
      <c r="D19" s="24">
        <v>0</v>
      </c>
      <c r="E19" s="24">
        <v>1</v>
      </c>
      <c r="F19" s="24" t="s">
        <v>197</v>
      </c>
      <c r="G19" s="24" t="s">
        <v>198</v>
      </c>
      <c r="H19" s="24"/>
      <c r="I19" s="24">
        <v>0</v>
      </c>
      <c r="J19" s="24" t="s">
        <v>191</v>
      </c>
      <c r="K19" s="24" t="s">
        <v>927</v>
      </c>
      <c r="L19" s="24" t="s">
        <v>1037</v>
      </c>
      <c r="M19" s="24"/>
      <c r="N19" s="24" t="str">
        <f t="shared" si="0"/>
        <v>Effect(OnHitNormal, kaito.aile.passive.buff.buffeffect.skilleffect.01)</v>
      </c>
      <c r="O19" s="24">
        <v>0</v>
      </c>
      <c r="P19" s="24">
        <v>0</v>
      </c>
      <c r="Q19" s="24"/>
      <c r="R19" s="24" t="b">
        <v>1</v>
      </c>
    </row>
    <row r="20" spans="1:18">
      <c r="A20" s="24" t="s">
        <v>1018</v>
      </c>
      <c r="B20" s="24"/>
      <c r="C20" s="24"/>
      <c r="D20" s="24">
        <v>0</v>
      </c>
      <c r="E20" s="24">
        <v>1</v>
      </c>
      <c r="F20" s="24" t="s">
        <v>197</v>
      </c>
      <c r="G20" s="24" t="s">
        <v>198</v>
      </c>
      <c r="H20" s="24"/>
      <c r="I20" s="24">
        <v>0</v>
      </c>
      <c r="J20" s="24" t="s">
        <v>191</v>
      </c>
      <c r="K20" s="24" t="s">
        <v>927</v>
      </c>
      <c r="L20" s="24" t="s">
        <v>6829</v>
      </c>
      <c r="M20" s="24"/>
      <c r="N20" s="24" t="str">
        <f t="shared" si="0"/>
        <v>Effect(OnHitNormal, kaito.aile.passive.buff.buffeffect.skilleffect.02)</v>
      </c>
      <c r="O20" s="24">
        <v>0</v>
      </c>
      <c r="P20" s="24">
        <v>0</v>
      </c>
      <c r="Q20" s="24"/>
      <c r="R20" s="24" t="b">
        <v>1</v>
      </c>
    </row>
    <row r="21" spans="1:18">
      <c r="A21" s="24" t="s">
        <v>1020</v>
      </c>
      <c r="B21" s="24"/>
      <c r="C21" s="24"/>
      <c r="D21" s="24">
        <v>0</v>
      </c>
      <c r="E21" s="24">
        <v>1</v>
      </c>
      <c r="F21" s="24" t="s">
        <v>197</v>
      </c>
      <c r="G21" s="24" t="s">
        <v>198</v>
      </c>
      <c r="H21" s="24"/>
      <c r="I21" s="24">
        <v>0</v>
      </c>
      <c r="J21" s="24" t="s">
        <v>191</v>
      </c>
      <c r="K21" s="24" t="s">
        <v>927</v>
      </c>
      <c r="L21" s="24" t="s">
        <v>6830</v>
      </c>
      <c r="M21" s="24"/>
      <c r="N21" s="24" t="str">
        <f t="shared" si="0"/>
        <v>Effect(OnHitNormal, kaito.aile.passive.buff.buffeffect.skilleffect.03)</v>
      </c>
      <c r="O21" s="24">
        <v>0</v>
      </c>
      <c r="P21" s="24">
        <v>0</v>
      </c>
      <c r="Q21" s="24"/>
      <c r="R21" s="24" t="b">
        <v>1</v>
      </c>
    </row>
    <row r="22" spans="1:18">
      <c r="A22" s="34" t="s">
        <v>1022</v>
      </c>
      <c r="B22" s="34"/>
      <c r="C22" s="34"/>
      <c r="D22" s="34">
        <v>0</v>
      </c>
      <c r="E22" s="34">
        <v>1</v>
      </c>
      <c r="F22" s="34" t="s">
        <v>197</v>
      </c>
      <c r="G22" s="34" t="s">
        <v>198</v>
      </c>
      <c r="H22" s="34"/>
      <c r="I22" s="34">
        <v>0</v>
      </c>
      <c r="J22" s="34" t="s">
        <v>191</v>
      </c>
      <c r="K22" s="34" t="s">
        <v>927</v>
      </c>
      <c r="L22" s="34" t="s">
        <v>6831</v>
      </c>
      <c r="M22" s="34"/>
      <c r="N22" s="34" t="str">
        <f t="shared" si="0"/>
        <v>Effect(OnHitNormal, kaito.aile.passive.buff.buffeffect.skilleffect.04)</v>
      </c>
      <c r="O22" s="34">
        <v>0</v>
      </c>
      <c r="P22" s="34">
        <v>0</v>
      </c>
      <c r="Q22" s="34"/>
      <c r="R22" s="34" t="b">
        <v>1</v>
      </c>
    </row>
    <row r="23" spans="1:18">
      <c r="A23" s="34" t="s">
        <v>1024</v>
      </c>
      <c r="B23" s="34"/>
      <c r="C23" s="34"/>
      <c r="D23" s="34">
        <v>0</v>
      </c>
      <c r="E23" s="34">
        <v>1</v>
      </c>
      <c r="F23" s="34" t="s">
        <v>197</v>
      </c>
      <c r="G23" s="34" t="s">
        <v>198</v>
      </c>
      <c r="H23" s="34"/>
      <c r="I23" s="34">
        <v>0</v>
      </c>
      <c r="J23" s="34" t="s">
        <v>191</v>
      </c>
      <c r="K23" s="34" t="s">
        <v>927</v>
      </c>
      <c r="L23" s="34" t="s">
        <v>6832</v>
      </c>
      <c r="M23" s="34"/>
      <c r="N23" s="34" t="str">
        <f t="shared" si="0"/>
        <v>Effect(OnHitNormal, kaito.aile.passive.buff.buffeffect.skilleffect.05)</v>
      </c>
      <c r="O23" s="34">
        <v>0</v>
      </c>
      <c r="P23" s="34">
        <v>0</v>
      </c>
      <c r="Q23" s="34"/>
      <c r="R23" s="34" t="b">
        <v>1</v>
      </c>
    </row>
    <row r="24" spans="1:18">
      <c r="A24" s="34" t="s">
        <v>1026</v>
      </c>
      <c r="B24" s="34"/>
      <c r="C24" s="34"/>
      <c r="D24" s="34">
        <v>0</v>
      </c>
      <c r="E24" s="34">
        <v>1</v>
      </c>
      <c r="F24" s="34" t="s">
        <v>197</v>
      </c>
      <c r="G24" s="34" t="s">
        <v>198</v>
      </c>
      <c r="H24" s="34"/>
      <c r="I24" s="34">
        <v>0</v>
      </c>
      <c r="J24" s="34" t="s">
        <v>191</v>
      </c>
      <c r="K24" s="34" t="s">
        <v>927</v>
      </c>
      <c r="L24" s="34" t="s">
        <v>6833</v>
      </c>
      <c r="M24" s="34"/>
      <c r="N24" s="34" t="str">
        <f t="shared" si="0"/>
        <v>Effect(OnHitNormal, kaito.aile.passive.buff.buffeffect.skilleffect.06)</v>
      </c>
      <c r="O24" s="34">
        <v>0</v>
      </c>
      <c r="P24" s="34">
        <v>0</v>
      </c>
      <c r="Q24" s="34"/>
      <c r="R24" s="34" t="b">
        <v>1</v>
      </c>
    </row>
    <row r="25" spans="1:18">
      <c r="A25" s="26" t="s">
        <v>1850</v>
      </c>
      <c r="B25" s="26"/>
      <c r="C25" s="26"/>
      <c r="D25" s="26">
        <v>0</v>
      </c>
      <c r="E25" s="26">
        <v>1</v>
      </c>
      <c r="F25" s="26" t="s">
        <v>197</v>
      </c>
      <c r="G25" s="26" t="s">
        <v>198</v>
      </c>
      <c r="H25" s="26"/>
      <c r="I25" s="26">
        <v>0</v>
      </c>
      <c r="J25" s="26" t="s">
        <v>895</v>
      </c>
      <c r="K25" s="26" t="s">
        <v>896</v>
      </c>
      <c r="L25" s="26" t="s">
        <v>1857</v>
      </c>
      <c r="M25" s="26"/>
      <c r="N25" s="26" t="str">
        <f t="shared" si="0"/>
        <v>SkillEffectModifier(Op, serapulsar.ult.buff.buffeffect.modifier.01)</v>
      </c>
      <c r="O25" s="26">
        <v>0</v>
      </c>
      <c r="P25" s="26">
        <v>0</v>
      </c>
      <c r="Q25" s="26"/>
      <c r="R25" s="26" t="b">
        <v>1</v>
      </c>
    </row>
    <row r="26" spans="1:18">
      <c r="A26" s="26" t="s">
        <v>1851</v>
      </c>
      <c r="B26" s="26"/>
      <c r="C26" s="26"/>
      <c r="D26" s="26">
        <v>0</v>
      </c>
      <c r="E26" s="26">
        <v>1</v>
      </c>
      <c r="F26" s="26" t="s">
        <v>197</v>
      </c>
      <c r="G26" s="26" t="s">
        <v>198</v>
      </c>
      <c r="H26" s="26"/>
      <c r="I26" s="26">
        <v>0</v>
      </c>
      <c r="J26" s="26" t="s">
        <v>895</v>
      </c>
      <c r="K26" s="26" t="s">
        <v>896</v>
      </c>
      <c r="L26" s="26" t="s">
        <v>1858</v>
      </c>
      <c r="M26" s="26"/>
      <c r="N26" s="26" t="str">
        <f t="shared" si="0"/>
        <v>SkillEffectModifier(Op, serapulsar.ult.buff.buffeffect.modifier.02)</v>
      </c>
      <c r="O26" s="26">
        <v>0</v>
      </c>
      <c r="P26" s="26">
        <v>0</v>
      </c>
      <c r="Q26" s="26"/>
      <c r="R26" s="26" t="b">
        <v>1</v>
      </c>
    </row>
    <row r="27" spans="1:18">
      <c r="A27" s="26" t="s">
        <v>1852</v>
      </c>
      <c r="B27" s="26"/>
      <c r="C27" s="26"/>
      <c r="D27" s="26">
        <v>0</v>
      </c>
      <c r="E27" s="26">
        <v>1</v>
      </c>
      <c r="F27" s="26" t="s">
        <v>197</v>
      </c>
      <c r="G27" s="26" t="s">
        <v>198</v>
      </c>
      <c r="H27" s="26"/>
      <c r="I27" s="26">
        <v>0</v>
      </c>
      <c r="J27" s="26" t="s">
        <v>895</v>
      </c>
      <c r="K27" s="26" t="s">
        <v>896</v>
      </c>
      <c r="L27" s="26" t="s">
        <v>1859</v>
      </c>
      <c r="M27" s="26"/>
      <c r="N27" s="26" t="str">
        <f t="shared" si="0"/>
        <v>SkillEffectModifier(Op, serapulsar.ult.buff.buffeffect.modifier.03)</v>
      </c>
      <c r="O27" s="26">
        <v>0</v>
      </c>
      <c r="P27" s="26">
        <v>0</v>
      </c>
      <c r="Q27" s="26"/>
      <c r="R27" s="26" t="b">
        <v>1</v>
      </c>
    </row>
    <row r="28" spans="1:18">
      <c r="A28" s="26" t="s">
        <v>1853</v>
      </c>
      <c r="B28" s="26"/>
      <c r="C28" s="26"/>
      <c r="D28" s="26">
        <v>0</v>
      </c>
      <c r="E28" s="26">
        <v>1</v>
      </c>
      <c r="F28" s="26" t="s">
        <v>197</v>
      </c>
      <c r="G28" s="26" t="s">
        <v>198</v>
      </c>
      <c r="H28" s="26"/>
      <c r="I28" s="26">
        <v>0</v>
      </c>
      <c r="J28" s="26" t="s">
        <v>895</v>
      </c>
      <c r="K28" s="26" t="s">
        <v>896</v>
      </c>
      <c r="L28" s="26" t="s">
        <v>1860</v>
      </c>
      <c r="M28" s="26"/>
      <c r="N28" s="26" t="str">
        <f t="shared" si="0"/>
        <v>SkillEffectModifier(Op, serapulsar.ult.buff.buffeffect.modifier.04)</v>
      </c>
      <c r="O28" s="26">
        <v>0</v>
      </c>
      <c r="P28" s="26">
        <v>0</v>
      </c>
      <c r="Q28" s="26"/>
      <c r="R28" s="26" t="b">
        <v>1</v>
      </c>
    </row>
    <row r="29" spans="1:18">
      <c r="A29" s="26" t="s">
        <v>1854</v>
      </c>
      <c r="B29" s="26"/>
      <c r="C29" s="26"/>
      <c r="D29" s="26">
        <v>0</v>
      </c>
      <c r="E29" s="26">
        <v>1</v>
      </c>
      <c r="F29" s="26" t="s">
        <v>197</v>
      </c>
      <c r="G29" s="26" t="s">
        <v>198</v>
      </c>
      <c r="H29" s="26"/>
      <c r="I29" s="26">
        <v>0</v>
      </c>
      <c r="J29" s="26" t="s">
        <v>895</v>
      </c>
      <c r="K29" s="26" t="s">
        <v>896</v>
      </c>
      <c r="L29" s="26" t="s">
        <v>1861</v>
      </c>
      <c r="M29" s="26"/>
      <c r="N29" s="26" t="str">
        <f t="shared" si="0"/>
        <v>SkillEffectModifier(Op, serapulsar.ult.buff.buffeffect.modifier.05)</v>
      </c>
      <c r="O29" s="26">
        <v>0</v>
      </c>
      <c r="P29" s="26">
        <v>0</v>
      </c>
      <c r="Q29" s="26"/>
      <c r="R29" s="26" t="b">
        <v>1</v>
      </c>
    </row>
    <row r="30" spans="1:18" s="13" customFormat="1">
      <c r="A30" s="34" t="s">
        <v>1855</v>
      </c>
      <c r="B30" s="34"/>
      <c r="C30" s="34"/>
      <c r="D30" s="34">
        <v>0</v>
      </c>
      <c r="E30" s="34">
        <v>1</v>
      </c>
      <c r="F30" s="34" t="s">
        <v>197</v>
      </c>
      <c r="G30" s="34" t="s">
        <v>198</v>
      </c>
      <c r="H30" s="34"/>
      <c r="I30" s="34">
        <v>0</v>
      </c>
      <c r="J30" s="34" t="s">
        <v>895</v>
      </c>
      <c r="K30" s="34" t="s">
        <v>896</v>
      </c>
      <c r="L30" s="34" t="s">
        <v>1862</v>
      </c>
      <c r="M30" s="34"/>
      <c r="N30" s="34" t="str">
        <f t="shared" si="0"/>
        <v>SkillEffectModifier(Op, serapulsar.ult.buff.buffeffect.modifier.06)</v>
      </c>
      <c r="O30" s="34">
        <v>0</v>
      </c>
      <c r="P30" s="34">
        <v>0</v>
      </c>
      <c r="Q30" s="34"/>
      <c r="R30" s="34" t="b">
        <v>1</v>
      </c>
    </row>
    <row r="31" spans="1:18" s="13" customFormat="1">
      <c r="A31" s="34" t="s">
        <v>1856</v>
      </c>
      <c r="B31" s="34"/>
      <c r="C31" s="34"/>
      <c r="D31" s="34">
        <v>0</v>
      </c>
      <c r="E31" s="34">
        <v>1</v>
      </c>
      <c r="F31" s="34" t="s">
        <v>197</v>
      </c>
      <c r="G31" s="34" t="s">
        <v>198</v>
      </c>
      <c r="H31" s="34"/>
      <c r="I31" s="34">
        <v>0</v>
      </c>
      <c r="J31" s="34" t="s">
        <v>895</v>
      </c>
      <c r="K31" s="34" t="s">
        <v>896</v>
      </c>
      <c r="L31" s="34" t="s">
        <v>1863</v>
      </c>
      <c r="M31" s="34"/>
      <c r="N31" s="34" t="str">
        <f t="shared" si="0"/>
        <v>SkillEffectModifier(Op, serapulsar.ult.buff.buffeffect.modifier.07)</v>
      </c>
      <c r="O31" s="34">
        <v>0</v>
      </c>
      <c r="P31" s="34">
        <v>0</v>
      </c>
      <c r="Q31" s="34"/>
      <c r="R31" s="34" t="b">
        <v>1</v>
      </c>
    </row>
    <row r="32" spans="1:18">
      <c r="A32" s="26" t="s">
        <v>4386</v>
      </c>
      <c r="B32" s="26"/>
      <c r="C32" s="26"/>
      <c r="D32" s="26">
        <v>0</v>
      </c>
      <c r="E32" s="26">
        <v>1</v>
      </c>
      <c r="F32" s="26" t="s">
        <v>197</v>
      </c>
      <c r="G32" s="26" t="s">
        <v>198</v>
      </c>
      <c r="H32" s="26"/>
      <c r="I32" s="26">
        <v>0</v>
      </c>
      <c r="J32" s="26" t="s">
        <v>895</v>
      </c>
      <c r="K32" s="26" t="s">
        <v>896</v>
      </c>
      <c r="L32" s="26" t="s">
        <v>6834</v>
      </c>
      <c r="M32" s="26"/>
      <c r="N32" s="26" t="str">
        <f t="shared" si="0"/>
        <v>SkillEffectModifier(Op, serapulsar.ult.act2.buff.buffeffect.modifier.01)</v>
      </c>
      <c r="O32" s="26">
        <v>0</v>
      </c>
      <c r="P32" s="26">
        <v>0</v>
      </c>
      <c r="Q32" s="26"/>
      <c r="R32" s="26" t="b">
        <v>1</v>
      </c>
    </row>
    <row r="33" spans="1:18">
      <c r="A33" s="26" t="s">
        <v>4387</v>
      </c>
      <c r="B33" s="26"/>
      <c r="C33" s="26"/>
      <c r="D33" s="26">
        <v>0</v>
      </c>
      <c r="E33" s="26">
        <v>1</v>
      </c>
      <c r="F33" s="26" t="s">
        <v>197</v>
      </c>
      <c r="G33" s="26" t="s">
        <v>198</v>
      </c>
      <c r="H33" s="26"/>
      <c r="I33" s="26">
        <v>0</v>
      </c>
      <c r="J33" s="26" t="s">
        <v>895</v>
      </c>
      <c r="K33" s="26" t="s">
        <v>896</v>
      </c>
      <c r="L33" s="26" t="s">
        <v>4392</v>
      </c>
      <c r="M33" s="26"/>
      <c r="N33" s="26" t="str">
        <f t="shared" si="0"/>
        <v>SkillEffectModifier(Op, serapulsar.ult.act2.buff.buffeffect.modifier.02)</v>
      </c>
      <c r="O33" s="26">
        <v>0</v>
      </c>
      <c r="P33" s="26">
        <v>0</v>
      </c>
      <c r="Q33" s="26"/>
      <c r="R33" s="26" t="b">
        <v>1</v>
      </c>
    </row>
    <row r="34" spans="1:18">
      <c r="A34" s="26" t="s">
        <v>4388</v>
      </c>
      <c r="B34" s="26"/>
      <c r="C34" s="26"/>
      <c r="D34" s="26">
        <v>0</v>
      </c>
      <c r="E34" s="26">
        <v>1</v>
      </c>
      <c r="F34" s="26" t="s">
        <v>197</v>
      </c>
      <c r="G34" s="26" t="s">
        <v>198</v>
      </c>
      <c r="H34" s="26"/>
      <c r="I34" s="26">
        <v>0</v>
      </c>
      <c r="J34" s="26" t="s">
        <v>895</v>
      </c>
      <c r="K34" s="26" t="s">
        <v>896</v>
      </c>
      <c r="L34" s="26" t="s">
        <v>4393</v>
      </c>
      <c r="M34" s="26"/>
      <c r="N34" s="26" t="str">
        <f t="shared" si="0"/>
        <v>SkillEffectModifier(Op, serapulsar.ult.act2.buff.buffeffect.modifier.03)</v>
      </c>
      <c r="O34" s="26">
        <v>0</v>
      </c>
      <c r="P34" s="26">
        <v>0</v>
      </c>
      <c r="Q34" s="26"/>
      <c r="R34" s="26" t="b">
        <v>1</v>
      </c>
    </row>
    <row r="35" spans="1:18">
      <c r="A35" s="26" t="s">
        <v>4389</v>
      </c>
      <c r="B35" s="26"/>
      <c r="C35" s="26"/>
      <c r="D35" s="26">
        <v>0</v>
      </c>
      <c r="E35" s="26">
        <v>1</v>
      </c>
      <c r="F35" s="26" t="s">
        <v>197</v>
      </c>
      <c r="G35" s="26" t="s">
        <v>198</v>
      </c>
      <c r="H35" s="26"/>
      <c r="I35" s="26">
        <v>0</v>
      </c>
      <c r="J35" s="26" t="s">
        <v>895</v>
      </c>
      <c r="K35" s="26" t="s">
        <v>896</v>
      </c>
      <c r="L35" s="26" t="s">
        <v>4394</v>
      </c>
      <c r="M35" s="26"/>
      <c r="N35" s="26" t="str">
        <f t="shared" si="0"/>
        <v>SkillEffectModifier(Op, serapulsar.ult.act2.buff.buffeffect.modifier.04)</v>
      </c>
      <c r="O35" s="26">
        <v>0</v>
      </c>
      <c r="P35" s="26">
        <v>0</v>
      </c>
      <c r="Q35" s="26"/>
      <c r="R35" s="26" t="b">
        <v>1</v>
      </c>
    </row>
    <row r="36" spans="1:18">
      <c r="A36" s="26" t="s">
        <v>4390</v>
      </c>
      <c r="B36" s="26"/>
      <c r="C36" s="26"/>
      <c r="D36" s="26">
        <v>0</v>
      </c>
      <c r="E36" s="26">
        <v>1</v>
      </c>
      <c r="F36" s="26" t="s">
        <v>197</v>
      </c>
      <c r="G36" s="26" t="s">
        <v>198</v>
      </c>
      <c r="H36" s="26"/>
      <c r="I36" s="26">
        <v>0</v>
      </c>
      <c r="J36" s="26" t="s">
        <v>895</v>
      </c>
      <c r="K36" s="26" t="s">
        <v>896</v>
      </c>
      <c r="L36" s="26" t="s">
        <v>4395</v>
      </c>
      <c r="M36" s="26"/>
      <c r="N36" s="26" t="str">
        <f t="shared" si="0"/>
        <v>SkillEffectModifier(Op, serapulsar.ult.act2.buff.buffeffect.modifier.05)</v>
      </c>
      <c r="O36" s="26">
        <v>0</v>
      </c>
      <c r="P36" s="26">
        <v>0</v>
      </c>
      <c r="Q36" s="26"/>
      <c r="R36" s="26" t="b">
        <v>1</v>
      </c>
    </row>
    <row r="37" spans="1:18" s="13" customFormat="1">
      <c r="A37" s="34" t="s">
        <v>4391</v>
      </c>
      <c r="B37" s="34"/>
      <c r="C37" s="34"/>
      <c r="D37" s="34">
        <v>0</v>
      </c>
      <c r="E37" s="34">
        <v>1</v>
      </c>
      <c r="F37" s="34" t="s">
        <v>197</v>
      </c>
      <c r="G37" s="34" t="s">
        <v>198</v>
      </c>
      <c r="H37" s="34"/>
      <c r="I37" s="34">
        <v>0</v>
      </c>
      <c r="J37" s="34" t="s">
        <v>895</v>
      </c>
      <c r="K37" s="34" t="s">
        <v>896</v>
      </c>
      <c r="L37" s="34" t="s">
        <v>4396</v>
      </c>
      <c r="M37" s="34"/>
      <c r="N37" s="34" t="str">
        <f t="shared" si="0"/>
        <v>SkillEffectModifier(Op, serapulsar.ult.act2.buff.buffeffect.modifier.06)</v>
      </c>
      <c r="O37" s="34">
        <v>0</v>
      </c>
      <c r="P37" s="34">
        <v>0</v>
      </c>
      <c r="Q37" s="34"/>
      <c r="R37" s="34" t="b">
        <v>1</v>
      </c>
    </row>
    <row r="38" spans="1:18" s="13" customFormat="1">
      <c r="A38" s="44" t="s">
        <v>6835</v>
      </c>
      <c r="B38" s="44"/>
      <c r="C38" s="44"/>
      <c r="D38" s="44">
        <v>0</v>
      </c>
      <c r="E38" s="44">
        <v>1</v>
      </c>
      <c r="F38" s="44" t="s">
        <v>197</v>
      </c>
      <c r="G38" s="44" t="s">
        <v>198</v>
      </c>
      <c r="H38" s="44"/>
      <c r="I38" s="44">
        <v>0</v>
      </c>
      <c r="J38" s="44" t="s">
        <v>916</v>
      </c>
      <c r="K38" s="44" t="s">
        <v>917</v>
      </c>
      <c r="L38" s="44"/>
      <c r="M38" s="44"/>
      <c r="N38" s="44" t="str">
        <f t="shared" si="0"/>
        <v>ChangeSkill(Normal)</v>
      </c>
      <c r="O38" s="44">
        <v>0</v>
      </c>
      <c r="P38" s="44">
        <v>0</v>
      </c>
      <c r="Q38" s="44"/>
      <c r="R38" s="44" t="b">
        <v>1</v>
      </c>
    </row>
    <row r="39" spans="1:18" s="13" customFormat="1">
      <c r="A39" s="25" t="s">
        <v>6836</v>
      </c>
      <c r="B39" s="25"/>
      <c r="C39" s="25"/>
      <c r="D39" s="25">
        <v>0</v>
      </c>
      <c r="E39" s="25">
        <v>1</v>
      </c>
      <c r="F39" s="25" t="s">
        <v>197</v>
      </c>
      <c r="G39" s="25" t="s">
        <v>198</v>
      </c>
      <c r="H39" s="25"/>
      <c r="I39" s="25">
        <v>0</v>
      </c>
      <c r="J39" s="25" t="s">
        <v>916</v>
      </c>
      <c r="K39" s="25" t="s">
        <v>6837</v>
      </c>
      <c r="L39" s="25"/>
      <c r="M39" s="25"/>
      <c r="N39" s="137" t="str">
        <f t="shared" si="0"/>
        <v>ChangeSkill(Skill1)</v>
      </c>
      <c r="O39" s="25">
        <v>0</v>
      </c>
      <c r="P39" s="44">
        <v>0</v>
      </c>
      <c r="Q39" s="25"/>
      <c r="R39" s="25" t="b">
        <v>1</v>
      </c>
    </row>
    <row r="40" spans="1:18" s="13" customFormat="1">
      <c r="A40" s="25" t="s">
        <v>3980</v>
      </c>
      <c r="B40" s="25"/>
      <c r="C40" s="25"/>
      <c r="D40" s="25">
        <v>0</v>
      </c>
      <c r="E40" s="25">
        <v>1</v>
      </c>
      <c r="F40" s="25" t="s">
        <v>197</v>
      </c>
      <c r="G40" s="25" t="s">
        <v>198</v>
      </c>
      <c r="H40" s="25"/>
      <c r="I40" s="25">
        <v>0</v>
      </c>
      <c r="J40" s="25" t="s">
        <v>916</v>
      </c>
      <c r="K40" s="25" t="s">
        <v>3981</v>
      </c>
      <c r="L40" s="25"/>
      <c r="M40" s="25"/>
      <c r="N40" s="137" t="str">
        <f t="shared" si="0"/>
        <v>ChangeSkill(Skill2)</v>
      </c>
      <c r="O40" s="25">
        <v>0</v>
      </c>
      <c r="P40" s="44">
        <v>0</v>
      </c>
      <c r="Q40" s="25"/>
      <c r="R40" s="25" t="b">
        <v>1</v>
      </c>
    </row>
    <row r="41" spans="1:18" s="13" customFormat="1">
      <c r="A41" s="44" t="s">
        <v>6838</v>
      </c>
      <c r="B41" s="44"/>
      <c r="C41" s="44"/>
      <c r="D41" s="44">
        <v>0</v>
      </c>
      <c r="E41" s="44">
        <v>1</v>
      </c>
      <c r="F41" s="44" t="s">
        <v>197</v>
      </c>
      <c r="G41" s="44" t="s">
        <v>198</v>
      </c>
      <c r="H41" s="44"/>
      <c r="I41" s="44">
        <v>0</v>
      </c>
      <c r="J41" s="44" t="s">
        <v>893</v>
      </c>
      <c r="K41" s="44" t="s">
        <v>6839</v>
      </c>
      <c r="L41" s="44"/>
      <c r="M41" s="44"/>
      <c r="N41" s="44" t="str">
        <f t="shared" si="0"/>
        <v>Active(serapulsar.ult.changeskill.cost.skilleffect.01)</v>
      </c>
      <c r="O41" s="44">
        <v>0</v>
      </c>
      <c r="P41" s="44">
        <v>500</v>
      </c>
      <c r="Q41" s="44"/>
      <c r="R41" s="44" t="b">
        <v>1</v>
      </c>
    </row>
    <row r="42" spans="1:18" s="13" customFormat="1">
      <c r="A42" s="44" t="s">
        <v>4459</v>
      </c>
      <c r="B42" s="44"/>
      <c r="C42" s="44"/>
      <c r="D42" s="44">
        <v>0</v>
      </c>
      <c r="E42" s="44">
        <v>1</v>
      </c>
      <c r="F42" s="44" t="s">
        <v>197</v>
      </c>
      <c r="G42" s="44" t="s">
        <v>198</v>
      </c>
      <c r="H42" s="44"/>
      <c r="I42" s="44">
        <v>0</v>
      </c>
      <c r="J42" s="44" t="s">
        <v>893</v>
      </c>
      <c r="K42" s="44" t="s">
        <v>4465</v>
      </c>
      <c r="L42" s="44"/>
      <c r="M42" s="44"/>
      <c r="N42" s="44" t="str">
        <f t="shared" si="0"/>
        <v>Active(serapulsar.ult.changeskill.cost.skilleffect.02)</v>
      </c>
      <c r="O42" s="44">
        <v>0</v>
      </c>
      <c r="P42" s="44">
        <v>500</v>
      </c>
      <c r="Q42" s="44"/>
      <c r="R42" s="44" t="b">
        <v>1</v>
      </c>
    </row>
    <row r="43" spans="1:18" s="13" customFormat="1">
      <c r="A43" s="44" t="s">
        <v>4460</v>
      </c>
      <c r="B43" s="44"/>
      <c r="C43" s="44"/>
      <c r="D43" s="44">
        <v>0</v>
      </c>
      <c r="E43" s="44">
        <v>1</v>
      </c>
      <c r="F43" s="44" t="s">
        <v>197</v>
      </c>
      <c r="G43" s="44" t="s">
        <v>198</v>
      </c>
      <c r="H43" s="44"/>
      <c r="I43" s="44">
        <v>0</v>
      </c>
      <c r="J43" s="44" t="s">
        <v>893</v>
      </c>
      <c r="K43" s="44" t="s">
        <v>4466</v>
      </c>
      <c r="L43" s="44"/>
      <c r="M43" s="44"/>
      <c r="N43" s="44" t="str">
        <f t="shared" si="0"/>
        <v>Active(serapulsar.ult.changeskill.cost.skilleffect.03)</v>
      </c>
      <c r="O43" s="44">
        <v>0</v>
      </c>
      <c r="P43" s="44">
        <v>500</v>
      </c>
      <c r="Q43" s="44"/>
      <c r="R43" s="44" t="b">
        <v>1</v>
      </c>
    </row>
    <row r="44" spans="1:18" s="13" customFormat="1">
      <c r="A44" s="44" t="s">
        <v>4461</v>
      </c>
      <c r="B44" s="44"/>
      <c r="C44" s="44"/>
      <c r="D44" s="44">
        <v>0</v>
      </c>
      <c r="E44" s="44">
        <v>1</v>
      </c>
      <c r="F44" s="44" t="s">
        <v>197</v>
      </c>
      <c r="G44" s="44" t="s">
        <v>198</v>
      </c>
      <c r="H44" s="44"/>
      <c r="I44" s="44">
        <v>0</v>
      </c>
      <c r="J44" s="44" t="s">
        <v>893</v>
      </c>
      <c r="K44" s="44" t="s">
        <v>4467</v>
      </c>
      <c r="L44" s="44"/>
      <c r="M44" s="44"/>
      <c r="N44" s="44" t="str">
        <f t="shared" si="0"/>
        <v>Active(serapulsar.ult.changeskill.cost.skilleffect.04)</v>
      </c>
      <c r="O44" s="44">
        <v>0</v>
      </c>
      <c r="P44" s="44">
        <v>500</v>
      </c>
      <c r="Q44" s="44"/>
      <c r="R44" s="44" t="b">
        <v>1</v>
      </c>
    </row>
    <row r="45" spans="1:18" s="13" customFormat="1">
      <c r="A45" s="44" t="s">
        <v>4462</v>
      </c>
      <c r="B45" s="44"/>
      <c r="C45" s="44"/>
      <c r="D45" s="44">
        <v>0</v>
      </c>
      <c r="E45" s="44">
        <v>1</v>
      </c>
      <c r="F45" s="44" t="s">
        <v>197</v>
      </c>
      <c r="G45" s="44" t="s">
        <v>198</v>
      </c>
      <c r="H45" s="44"/>
      <c r="I45" s="44">
        <v>0</v>
      </c>
      <c r="J45" s="44" t="s">
        <v>893</v>
      </c>
      <c r="K45" s="44" t="s">
        <v>4468</v>
      </c>
      <c r="L45" s="44"/>
      <c r="M45" s="44"/>
      <c r="N45" s="44" t="str">
        <f t="shared" si="0"/>
        <v>Active(serapulsar.ult.changeskill.cost.skilleffect.05)</v>
      </c>
      <c r="O45" s="44">
        <v>0</v>
      </c>
      <c r="P45" s="44">
        <v>500</v>
      </c>
      <c r="Q45" s="44"/>
      <c r="R45" s="44" t="b">
        <v>1</v>
      </c>
    </row>
    <row r="46" spans="1:18" s="13" customFormat="1">
      <c r="A46" s="44" t="s">
        <v>4463</v>
      </c>
      <c r="B46" s="44"/>
      <c r="C46" s="44"/>
      <c r="D46" s="44">
        <v>0</v>
      </c>
      <c r="E46" s="44">
        <v>1</v>
      </c>
      <c r="F46" s="44" t="s">
        <v>197</v>
      </c>
      <c r="G46" s="44" t="s">
        <v>198</v>
      </c>
      <c r="H46" s="44"/>
      <c r="I46" s="44">
        <v>0</v>
      </c>
      <c r="J46" s="44" t="s">
        <v>893</v>
      </c>
      <c r="K46" s="44" t="s">
        <v>4469</v>
      </c>
      <c r="L46" s="44"/>
      <c r="M46" s="44"/>
      <c r="N46" s="44" t="str">
        <f t="shared" si="0"/>
        <v>Active(serapulsar.ult.changeskill.cost.skilleffect.06)</v>
      </c>
      <c r="O46" s="44">
        <v>0</v>
      </c>
      <c r="P46" s="44">
        <v>500</v>
      </c>
      <c r="Q46" s="44"/>
      <c r="R46" s="44" t="b">
        <v>1</v>
      </c>
    </row>
    <row r="47" spans="1:18" s="13" customFormat="1">
      <c r="A47" s="44" t="s">
        <v>4464</v>
      </c>
      <c r="B47" s="44"/>
      <c r="C47" s="44"/>
      <c r="D47" s="44">
        <v>0</v>
      </c>
      <c r="E47" s="44">
        <v>1</v>
      </c>
      <c r="F47" s="44" t="s">
        <v>197</v>
      </c>
      <c r="G47" s="44" t="s">
        <v>198</v>
      </c>
      <c r="H47" s="44"/>
      <c r="I47" s="44">
        <v>0</v>
      </c>
      <c r="J47" s="44" t="s">
        <v>893</v>
      </c>
      <c r="K47" s="44" t="s">
        <v>4470</v>
      </c>
      <c r="L47" s="44"/>
      <c r="M47" s="44"/>
      <c r="N47" s="44" t="str">
        <f t="shared" si="0"/>
        <v>Active(serapulsar.ult.changeskill.cost.skilleffect.07)</v>
      </c>
      <c r="O47" s="44">
        <v>0</v>
      </c>
      <c r="P47" s="44">
        <v>500</v>
      </c>
      <c r="Q47" s="44"/>
      <c r="R47" s="44" t="b">
        <v>1</v>
      </c>
    </row>
    <row r="48" spans="1:18" s="13" customFormat="1">
      <c r="A48" s="25" t="s">
        <v>2799</v>
      </c>
      <c r="B48" s="25"/>
      <c r="C48" s="25"/>
      <c r="D48" s="25">
        <v>0</v>
      </c>
      <c r="E48" s="25">
        <v>1</v>
      </c>
      <c r="F48" s="25" t="s">
        <v>197</v>
      </c>
      <c r="G48" s="25" t="s">
        <v>198</v>
      </c>
      <c r="H48" s="25"/>
      <c r="I48" s="25">
        <v>0</v>
      </c>
      <c r="J48" s="25" t="s">
        <v>893</v>
      </c>
      <c r="K48" s="25" t="s">
        <v>2800</v>
      </c>
      <c r="L48" s="25"/>
      <c r="M48" s="25"/>
      <c r="N48" s="137" t="str">
        <f t="shared" si="0"/>
        <v>Active(serapulsar.ult.atk.buff.repeat.skilleffect.01)</v>
      </c>
      <c r="O48" s="25">
        <v>0</v>
      </c>
      <c r="P48" s="25">
        <v>1000</v>
      </c>
      <c r="Q48" s="25"/>
      <c r="R48" s="25" t="b">
        <v>1</v>
      </c>
    </row>
    <row r="49" spans="1:18" s="13" customFormat="1">
      <c r="A49" s="25" t="s">
        <v>2801</v>
      </c>
      <c r="B49" s="25"/>
      <c r="C49" s="25"/>
      <c r="D49" s="25">
        <v>0</v>
      </c>
      <c r="E49" s="25">
        <v>1</v>
      </c>
      <c r="F49" s="25" t="s">
        <v>197</v>
      </c>
      <c r="G49" s="25" t="s">
        <v>198</v>
      </c>
      <c r="H49" s="25"/>
      <c r="I49" s="25">
        <v>0</v>
      </c>
      <c r="J49" s="25" t="s">
        <v>893</v>
      </c>
      <c r="K49" s="25" t="s">
        <v>2802</v>
      </c>
      <c r="L49" s="25"/>
      <c r="M49" s="25"/>
      <c r="N49" s="137" t="str">
        <f t="shared" si="0"/>
        <v>Active(serapulsar.ult.atk.buff.repeat.skilleffect.02)</v>
      </c>
      <c r="O49" s="25">
        <v>0</v>
      </c>
      <c r="P49" s="25">
        <v>1000</v>
      </c>
      <c r="Q49" s="25"/>
      <c r="R49" s="25" t="b">
        <v>1</v>
      </c>
    </row>
    <row r="50" spans="1:18" s="13" customFormat="1">
      <c r="A50" s="25" t="s">
        <v>2803</v>
      </c>
      <c r="B50" s="25"/>
      <c r="C50" s="25"/>
      <c r="D50" s="25">
        <v>0</v>
      </c>
      <c r="E50" s="25">
        <v>1</v>
      </c>
      <c r="F50" s="25" t="s">
        <v>197</v>
      </c>
      <c r="G50" s="25" t="s">
        <v>198</v>
      </c>
      <c r="H50" s="25"/>
      <c r="I50" s="25">
        <v>0</v>
      </c>
      <c r="J50" s="25" t="s">
        <v>893</v>
      </c>
      <c r="K50" s="25" t="s">
        <v>2804</v>
      </c>
      <c r="L50" s="25"/>
      <c r="M50" s="25"/>
      <c r="N50" s="137" t="str">
        <f t="shared" si="0"/>
        <v>Active(serapulsar.ult.atk.buff.repeat.skilleffect.03)</v>
      </c>
      <c r="O50" s="25">
        <v>0</v>
      </c>
      <c r="P50" s="25">
        <v>1000</v>
      </c>
      <c r="Q50" s="25"/>
      <c r="R50" s="25" t="b">
        <v>1</v>
      </c>
    </row>
    <row r="51" spans="1:18" s="13" customFormat="1">
      <c r="A51" s="25" t="s">
        <v>2805</v>
      </c>
      <c r="B51" s="25"/>
      <c r="C51" s="25"/>
      <c r="D51" s="25">
        <v>0</v>
      </c>
      <c r="E51" s="25">
        <v>1</v>
      </c>
      <c r="F51" s="25" t="s">
        <v>197</v>
      </c>
      <c r="G51" s="25" t="s">
        <v>198</v>
      </c>
      <c r="H51" s="25"/>
      <c r="I51" s="25">
        <v>0</v>
      </c>
      <c r="J51" s="25" t="s">
        <v>893</v>
      </c>
      <c r="K51" s="25" t="s">
        <v>2806</v>
      </c>
      <c r="L51" s="25"/>
      <c r="M51" s="25"/>
      <c r="N51" s="137" t="str">
        <f t="shared" si="0"/>
        <v>Active(serapulsar.ult.atk.buff.repeat.skilleffect.04)</v>
      </c>
      <c r="O51" s="25">
        <v>0</v>
      </c>
      <c r="P51" s="25">
        <v>1000</v>
      </c>
      <c r="Q51" s="25"/>
      <c r="R51" s="25" t="b">
        <v>1</v>
      </c>
    </row>
    <row r="52" spans="1:18" s="13" customFormat="1">
      <c r="A52" s="25" t="s">
        <v>2807</v>
      </c>
      <c r="B52" s="25"/>
      <c r="C52" s="25"/>
      <c r="D52" s="25">
        <v>0</v>
      </c>
      <c r="E52" s="25">
        <v>1</v>
      </c>
      <c r="F52" s="25" t="s">
        <v>197</v>
      </c>
      <c r="G52" s="25" t="s">
        <v>198</v>
      </c>
      <c r="H52" s="25"/>
      <c r="I52" s="25">
        <v>0</v>
      </c>
      <c r="J52" s="25" t="s">
        <v>893</v>
      </c>
      <c r="K52" s="25" t="s">
        <v>2808</v>
      </c>
      <c r="L52" s="25"/>
      <c r="M52" s="25"/>
      <c r="N52" s="137" t="str">
        <f t="shared" si="0"/>
        <v>Active(serapulsar.ult.atk.buff.repeat.skilleffect.05)</v>
      </c>
      <c r="O52" s="25">
        <v>0</v>
      </c>
      <c r="P52" s="25">
        <v>1000</v>
      </c>
      <c r="Q52" s="25"/>
      <c r="R52" s="25" t="b">
        <v>1</v>
      </c>
    </row>
    <row r="53" spans="1:18" s="13" customFormat="1">
      <c r="A53" s="34" t="s">
        <v>2809</v>
      </c>
      <c r="B53" s="34"/>
      <c r="C53" s="34"/>
      <c r="D53" s="34">
        <v>0</v>
      </c>
      <c r="E53" s="34">
        <v>1</v>
      </c>
      <c r="F53" s="34" t="s">
        <v>197</v>
      </c>
      <c r="G53" s="34" t="s">
        <v>198</v>
      </c>
      <c r="H53" s="34"/>
      <c r="I53" s="34">
        <v>0</v>
      </c>
      <c r="J53" s="34" t="s">
        <v>893</v>
      </c>
      <c r="K53" s="34" t="s">
        <v>2810</v>
      </c>
      <c r="L53" s="34"/>
      <c r="M53" s="34"/>
      <c r="N53" s="62" t="str">
        <f t="shared" si="0"/>
        <v>Active(serapulsar.ult.atk.buff.repeat.skilleffect.06)</v>
      </c>
      <c r="O53" s="34">
        <v>0</v>
      </c>
      <c r="P53" s="34">
        <v>1000</v>
      </c>
      <c r="Q53" s="34"/>
      <c r="R53" s="34" t="b">
        <v>1</v>
      </c>
    </row>
    <row r="54" spans="1:18" s="13" customFormat="1">
      <c r="A54" s="26" t="s">
        <v>2793</v>
      </c>
      <c r="B54" s="26"/>
      <c r="C54" s="26"/>
      <c r="D54" s="26">
        <v>0</v>
      </c>
      <c r="E54" s="26">
        <v>1</v>
      </c>
      <c r="F54" s="26" t="s">
        <v>197</v>
      </c>
      <c r="G54" s="26" t="s">
        <v>198</v>
      </c>
      <c r="H54" s="26"/>
      <c r="I54" s="26">
        <v>0</v>
      </c>
      <c r="J54" s="26" t="s">
        <v>838</v>
      </c>
      <c r="K54" s="26" t="s">
        <v>908</v>
      </c>
      <c r="L54" s="26">
        <v>60</v>
      </c>
      <c r="M54" s="26"/>
      <c r="N54" s="138" t="str">
        <f t="shared" si="0"/>
        <v>Status(AttackRatio, 60)</v>
      </c>
      <c r="O54" s="26">
        <v>0</v>
      </c>
      <c r="P54" s="26">
        <v>0</v>
      </c>
      <c r="Q54" s="26"/>
      <c r="R54" s="26" t="b">
        <v>1</v>
      </c>
    </row>
    <row r="55" spans="1:18" s="13" customFormat="1">
      <c r="A55" s="26" t="s">
        <v>2794</v>
      </c>
      <c r="B55" s="26"/>
      <c r="C55" s="26"/>
      <c r="D55" s="26">
        <v>0</v>
      </c>
      <c r="E55" s="26">
        <v>1</v>
      </c>
      <c r="F55" s="26" t="s">
        <v>197</v>
      </c>
      <c r="G55" s="26" t="s">
        <v>198</v>
      </c>
      <c r="H55" s="26"/>
      <c r="I55" s="26">
        <v>0</v>
      </c>
      <c r="J55" s="26" t="s">
        <v>838</v>
      </c>
      <c r="K55" s="26" t="s">
        <v>908</v>
      </c>
      <c r="L55" s="26">
        <v>70</v>
      </c>
      <c r="M55" s="26"/>
      <c r="N55" s="139" t="str">
        <f t="shared" si="0"/>
        <v>Status(AttackRatio, 70)</v>
      </c>
      <c r="O55" s="26">
        <v>0</v>
      </c>
      <c r="P55" s="26">
        <v>0</v>
      </c>
      <c r="Q55" s="26"/>
      <c r="R55" s="26" t="b">
        <v>1</v>
      </c>
    </row>
    <row r="56" spans="1:18" s="13" customFormat="1">
      <c r="A56" s="26" t="s">
        <v>2795</v>
      </c>
      <c r="B56" s="26"/>
      <c r="C56" s="26"/>
      <c r="D56" s="26">
        <v>0</v>
      </c>
      <c r="E56" s="26">
        <v>1</v>
      </c>
      <c r="F56" s="26" t="s">
        <v>197</v>
      </c>
      <c r="G56" s="26" t="s">
        <v>198</v>
      </c>
      <c r="H56" s="26"/>
      <c r="I56" s="26">
        <v>0</v>
      </c>
      <c r="J56" s="26" t="s">
        <v>838</v>
      </c>
      <c r="K56" s="26" t="s">
        <v>908</v>
      </c>
      <c r="L56" s="26">
        <v>80</v>
      </c>
      <c r="M56" s="26"/>
      <c r="N56" s="139" t="str">
        <f t="shared" si="0"/>
        <v>Status(AttackRatio, 80)</v>
      </c>
      <c r="O56" s="26">
        <v>0</v>
      </c>
      <c r="P56" s="26">
        <v>0</v>
      </c>
      <c r="Q56" s="26"/>
      <c r="R56" s="26" t="b">
        <v>1</v>
      </c>
    </row>
    <row r="57" spans="1:18" s="13" customFormat="1">
      <c r="A57" s="26" t="s">
        <v>2796</v>
      </c>
      <c r="B57" s="26"/>
      <c r="C57" s="26"/>
      <c r="D57" s="26">
        <v>0</v>
      </c>
      <c r="E57" s="26">
        <v>1</v>
      </c>
      <c r="F57" s="26" t="s">
        <v>197</v>
      </c>
      <c r="G57" s="26" t="s">
        <v>198</v>
      </c>
      <c r="H57" s="26"/>
      <c r="I57" s="26">
        <v>0</v>
      </c>
      <c r="J57" s="26" t="s">
        <v>838</v>
      </c>
      <c r="K57" s="26" t="s">
        <v>908</v>
      </c>
      <c r="L57" s="26">
        <v>100</v>
      </c>
      <c r="M57" s="26"/>
      <c r="N57" s="139" t="str">
        <f t="shared" si="0"/>
        <v>Status(AttackRatio, 100)</v>
      </c>
      <c r="O57" s="26">
        <v>0</v>
      </c>
      <c r="P57" s="26">
        <v>0</v>
      </c>
      <c r="Q57" s="26"/>
      <c r="R57" s="26" t="b">
        <v>1</v>
      </c>
    </row>
    <row r="58" spans="1:18" s="13" customFormat="1">
      <c r="A58" s="26" t="s">
        <v>2797</v>
      </c>
      <c r="B58" s="26"/>
      <c r="C58" s="26"/>
      <c r="D58" s="26">
        <v>0</v>
      </c>
      <c r="E58" s="26">
        <v>1</v>
      </c>
      <c r="F58" s="26" t="s">
        <v>197</v>
      </c>
      <c r="G58" s="26" t="s">
        <v>198</v>
      </c>
      <c r="H58" s="26"/>
      <c r="I58" s="26">
        <v>0</v>
      </c>
      <c r="J58" s="26" t="s">
        <v>838</v>
      </c>
      <c r="K58" s="26" t="s">
        <v>908</v>
      </c>
      <c r="L58" s="26">
        <v>80</v>
      </c>
      <c r="M58" s="26"/>
      <c r="N58" s="138" t="str">
        <f t="shared" si="0"/>
        <v>Status(AttackRatio, 80)</v>
      </c>
      <c r="O58" s="26">
        <v>0</v>
      </c>
      <c r="P58" s="26">
        <v>0</v>
      </c>
      <c r="Q58" s="26"/>
      <c r="R58" s="26" t="b">
        <v>1</v>
      </c>
    </row>
    <row r="59" spans="1:18" s="13" customFormat="1">
      <c r="A59" s="34" t="s">
        <v>2798</v>
      </c>
      <c r="B59" s="34"/>
      <c r="C59" s="34"/>
      <c r="D59" s="34">
        <v>0</v>
      </c>
      <c r="E59" s="34">
        <v>1</v>
      </c>
      <c r="F59" s="34" t="s">
        <v>197</v>
      </c>
      <c r="G59" s="34" t="s">
        <v>198</v>
      </c>
      <c r="H59" s="34"/>
      <c r="I59" s="34">
        <v>0</v>
      </c>
      <c r="J59" s="34" t="s">
        <v>838</v>
      </c>
      <c r="K59" s="34" t="s">
        <v>908</v>
      </c>
      <c r="L59" s="34">
        <v>86</v>
      </c>
      <c r="M59" s="34"/>
      <c r="N59" s="62" t="str">
        <f t="shared" si="0"/>
        <v>Status(AttackRatio, 86)</v>
      </c>
      <c r="O59" s="34">
        <v>0</v>
      </c>
      <c r="P59" s="34">
        <v>0</v>
      </c>
      <c r="Q59" s="34"/>
      <c r="R59" s="34" t="b">
        <v>1</v>
      </c>
    </row>
    <row r="60" spans="1:18">
      <c r="A60" s="26" t="s">
        <v>2770</v>
      </c>
      <c r="B60" s="26"/>
      <c r="C60" s="26"/>
      <c r="D60" s="26">
        <v>0</v>
      </c>
      <c r="E60" s="26">
        <v>1</v>
      </c>
      <c r="F60" s="26" t="s">
        <v>197</v>
      </c>
      <c r="G60" s="26" t="s">
        <v>198</v>
      </c>
      <c r="H60" s="26"/>
      <c r="I60" s="26">
        <v>0</v>
      </c>
      <c r="J60" s="26" t="s">
        <v>895</v>
      </c>
      <c r="K60" s="26" t="s">
        <v>896</v>
      </c>
      <c r="L60" s="26" t="s">
        <v>2771</v>
      </c>
      <c r="M60" s="26"/>
      <c r="N60" s="26" t="str">
        <f t="shared" si="0"/>
        <v>SkillEffectModifier(Op, serapulsar.ult.B.buff.buffeffect.modifier.01)</v>
      </c>
      <c r="O60" s="26">
        <v>0</v>
      </c>
      <c r="P60" s="26">
        <v>0</v>
      </c>
      <c r="Q60" s="26"/>
      <c r="R60" s="26" t="b">
        <v>1</v>
      </c>
    </row>
    <row r="61" spans="1:18">
      <c r="A61" s="26" t="s">
        <v>2772</v>
      </c>
      <c r="B61" s="26"/>
      <c r="C61" s="26"/>
      <c r="D61" s="26">
        <v>0</v>
      </c>
      <c r="E61" s="26">
        <v>1</v>
      </c>
      <c r="F61" s="26" t="s">
        <v>197</v>
      </c>
      <c r="G61" s="26" t="s">
        <v>198</v>
      </c>
      <c r="H61" s="26"/>
      <c r="I61" s="26">
        <v>0</v>
      </c>
      <c r="J61" s="26" t="s">
        <v>895</v>
      </c>
      <c r="K61" s="26" t="s">
        <v>896</v>
      </c>
      <c r="L61" s="26" t="s">
        <v>2773</v>
      </c>
      <c r="M61" s="26"/>
      <c r="N61" s="26" t="str">
        <f t="shared" si="0"/>
        <v>SkillEffectModifier(Op, serapulsar.ult.B.buff.buffeffect.modifier.02)</v>
      </c>
      <c r="O61" s="26">
        <v>0</v>
      </c>
      <c r="P61" s="26">
        <v>0</v>
      </c>
      <c r="Q61" s="26"/>
      <c r="R61" s="26" t="b">
        <v>1</v>
      </c>
    </row>
    <row r="62" spans="1:18">
      <c r="A62" s="26" t="s">
        <v>2774</v>
      </c>
      <c r="B62" s="26"/>
      <c r="C62" s="26"/>
      <c r="D62" s="26">
        <v>0</v>
      </c>
      <c r="E62" s="26">
        <v>1</v>
      </c>
      <c r="F62" s="26" t="s">
        <v>197</v>
      </c>
      <c r="G62" s="26" t="s">
        <v>198</v>
      </c>
      <c r="H62" s="26"/>
      <c r="I62" s="26">
        <v>0</v>
      </c>
      <c r="J62" s="26" t="s">
        <v>895</v>
      </c>
      <c r="K62" s="26" t="s">
        <v>896</v>
      </c>
      <c r="L62" s="26" t="s">
        <v>2775</v>
      </c>
      <c r="M62" s="26"/>
      <c r="N62" s="26" t="str">
        <f t="shared" si="0"/>
        <v>SkillEffectModifier(Op, serapulsar.ult.B.buff.buffeffect.modifier.03)</v>
      </c>
      <c r="O62" s="26">
        <v>0</v>
      </c>
      <c r="P62" s="26">
        <v>0</v>
      </c>
      <c r="Q62" s="26"/>
      <c r="R62" s="26" t="b">
        <v>1</v>
      </c>
    </row>
    <row r="63" spans="1:18">
      <c r="A63" s="26" t="s">
        <v>2776</v>
      </c>
      <c r="B63" s="26"/>
      <c r="C63" s="26"/>
      <c r="D63" s="26">
        <v>0</v>
      </c>
      <c r="E63" s="26">
        <v>1</v>
      </c>
      <c r="F63" s="26" t="s">
        <v>197</v>
      </c>
      <c r="G63" s="26" t="s">
        <v>198</v>
      </c>
      <c r="H63" s="26"/>
      <c r="I63" s="26">
        <v>0</v>
      </c>
      <c r="J63" s="26" t="s">
        <v>895</v>
      </c>
      <c r="K63" s="26" t="s">
        <v>896</v>
      </c>
      <c r="L63" s="26" t="s">
        <v>2777</v>
      </c>
      <c r="M63" s="26"/>
      <c r="N63" s="26" t="str">
        <f t="shared" si="0"/>
        <v>SkillEffectModifier(Op, serapulsar.ult.B.buff.buffeffect.modifier.04)</v>
      </c>
      <c r="O63" s="26">
        <v>0</v>
      </c>
      <c r="P63" s="26">
        <v>0</v>
      </c>
      <c r="Q63" s="26"/>
      <c r="R63" s="26" t="b">
        <v>1</v>
      </c>
    </row>
    <row r="64" spans="1:18">
      <c r="A64" s="26" t="s">
        <v>2778</v>
      </c>
      <c r="B64" s="26"/>
      <c r="C64" s="26"/>
      <c r="D64" s="26">
        <v>0</v>
      </c>
      <c r="E64" s="26">
        <v>1</v>
      </c>
      <c r="F64" s="26" t="s">
        <v>197</v>
      </c>
      <c r="G64" s="26" t="s">
        <v>198</v>
      </c>
      <c r="H64" s="26"/>
      <c r="I64" s="26">
        <v>0</v>
      </c>
      <c r="J64" s="26" t="s">
        <v>895</v>
      </c>
      <c r="K64" s="26" t="s">
        <v>896</v>
      </c>
      <c r="L64" s="26" t="s">
        <v>2779</v>
      </c>
      <c r="M64" s="26"/>
      <c r="N64" s="26" t="str">
        <f t="shared" si="0"/>
        <v>SkillEffectModifier(Op, serapulsar.ult.B.buff.buffeffect.modifier.05)</v>
      </c>
      <c r="O64" s="26">
        <v>0</v>
      </c>
      <c r="P64" s="26">
        <v>0</v>
      </c>
      <c r="Q64" s="26"/>
      <c r="R64" s="26" t="b">
        <v>1</v>
      </c>
    </row>
    <row r="65" spans="1:18" s="13" customFormat="1">
      <c r="A65" s="34" t="s">
        <v>2780</v>
      </c>
      <c r="B65" s="34"/>
      <c r="C65" s="34"/>
      <c r="D65" s="34">
        <v>0</v>
      </c>
      <c r="E65" s="34">
        <v>1</v>
      </c>
      <c r="F65" s="34" t="s">
        <v>197</v>
      </c>
      <c r="G65" s="34" t="s">
        <v>198</v>
      </c>
      <c r="H65" s="34"/>
      <c r="I65" s="34">
        <v>0</v>
      </c>
      <c r="J65" s="34" t="s">
        <v>895</v>
      </c>
      <c r="K65" s="34" t="s">
        <v>896</v>
      </c>
      <c r="L65" s="34" t="s">
        <v>2781</v>
      </c>
      <c r="M65" s="34"/>
      <c r="N65" s="34" t="str">
        <f t="shared" si="0"/>
        <v>SkillEffectModifier(Op, serapulsar.ult.B.buff.buffeffect.modifier.06)</v>
      </c>
      <c r="O65" s="34">
        <v>0</v>
      </c>
      <c r="P65" s="34">
        <v>0</v>
      </c>
      <c r="Q65" s="34"/>
      <c r="R65" s="34" t="b">
        <v>1</v>
      </c>
    </row>
    <row r="66" spans="1:18" s="13" customFormat="1">
      <c r="A66" s="34" t="s">
        <v>2782</v>
      </c>
      <c r="B66" s="34"/>
      <c r="C66" s="34"/>
      <c r="D66" s="34">
        <v>0</v>
      </c>
      <c r="E66" s="34">
        <v>1</v>
      </c>
      <c r="F66" s="34" t="s">
        <v>197</v>
      </c>
      <c r="G66" s="34" t="s">
        <v>198</v>
      </c>
      <c r="H66" s="34"/>
      <c r="I66" s="34">
        <v>0</v>
      </c>
      <c r="J66" s="34" t="s">
        <v>895</v>
      </c>
      <c r="K66" s="34" t="s">
        <v>896</v>
      </c>
      <c r="L66" s="34" t="s">
        <v>2783</v>
      </c>
      <c r="M66" s="34"/>
      <c r="N66" s="34" t="str">
        <f t="shared" si="0"/>
        <v>SkillEffectModifier(Op, serapulsar.ult.B.buff.buffeffect.modifier.07)</v>
      </c>
      <c r="O66" s="34">
        <v>0</v>
      </c>
      <c r="P66" s="34">
        <v>0</v>
      </c>
      <c r="Q66" s="34"/>
      <c r="R66" s="34" t="b">
        <v>1</v>
      </c>
    </row>
    <row r="67" spans="1:18" s="13" customFormat="1">
      <c r="A67" s="44" t="s">
        <v>6840</v>
      </c>
      <c r="B67" s="44"/>
      <c r="C67" s="44"/>
      <c r="D67" s="44">
        <v>0</v>
      </c>
      <c r="E67" s="44">
        <v>1</v>
      </c>
      <c r="F67" s="44" t="s">
        <v>197</v>
      </c>
      <c r="G67" s="44" t="s">
        <v>198</v>
      </c>
      <c r="H67" s="44"/>
      <c r="I67" s="44">
        <v>0</v>
      </c>
      <c r="J67" s="44" t="s">
        <v>838</v>
      </c>
      <c r="K67" s="44" t="s">
        <v>872</v>
      </c>
      <c r="L67" s="44">
        <v>300</v>
      </c>
      <c r="M67" s="44"/>
      <c r="N67" s="44" t="str">
        <f t="shared" si="0"/>
        <v>Status(MoveSpeedRate, 300)</v>
      </c>
      <c r="O67" s="44">
        <v>0</v>
      </c>
      <c r="P67" s="44">
        <v>0</v>
      </c>
      <c r="Q67" s="44"/>
      <c r="R67" s="44" t="b">
        <v>1</v>
      </c>
    </row>
    <row r="68" spans="1:18" s="13" customFormat="1">
      <c r="A68" s="44" t="s">
        <v>6841</v>
      </c>
      <c r="B68" s="44"/>
      <c r="C68" s="44"/>
      <c r="D68" s="44">
        <v>0</v>
      </c>
      <c r="E68" s="44">
        <v>1</v>
      </c>
      <c r="F68" s="44" t="s">
        <v>197</v>
      </c>
      <c r="G68" s="44" t="s">
        <v>198</v>
      </c>
      <c r="H68" s="44"/>
      <c r="I68" s="44">
        <v>0</v>
      </c>
      <c r="J68" s="44" t="s">
        <v>837</v>
      </c>
      <c r="K68" s="44"/>
      <c r="L68" s="44"/>
      <c r="M68" s="44"/>
      <c r="N68" s="44" t="str">
        <f t="shared" si="0"/>
        <v>None()</v>
      </c>
      <c r="O68" s="44">
        <v>0</v>
      </c>
      <c r="P68" s="44">
        <v>0</v>
      </c>
      <c r="Q68" s="44"/>
      <c r="R68" s="44" t="b">
        <v>1</v>
      </c>
    </row>
    <row r="69" spans="1:18" s="13" customFormat="1">
      <c r="A69" s="44" t="s">
        <v>2784</v>
      </c>
      <c r="B69" s="44"/>
      <c r="C69" s="44"/>
      <c r="D69" s="44">
        <v>0</v>
      </c>
      <c r="E69" s="44">
        <v>1</v>
      </c>
      <c r="F69" s="44" t="s">
        <v>197</v>
      </c>
      <c r="G69" s="44" t="s">
        <v>198</v>
      </c>
      <c r="H69" s="44"/>
      <c r="I69" s="44">
        <v>0</v>
      </c>
      <c r="J69" s="44" t="s">
        <v>893</v>
      </c>
      <c r="K69" s="44" t="s">
        <v>2785</v>
      </c>
      <c r="L69" s="44"/>
      <c r="M69" s="44"/>
      <c r="N69" s="44" t="str">
        <f t="shared" ref="N69:N132" si="1">J69&amp;"("&amp;IF(K69="","",K69)&amp;IF(L69="","",", "&amp;L69)&amp;IF(M69="","",", "&amp;M69)&amp;")"</f>
        <v>Active(serapulsar.ult.B.changeskill.cost.skilleffect)</v>
      </c>
      <c r="O69" s="44">
        <v>0</v>
      </c>
      <c r="P69" s="44">
        <v>500</v>
      </c>
      <c r="Q69" s="44"/>
      <c r="R69" s="44" t="b">
        <v>1</v>
      </c>
    </row>
    <row r="70" spans="1:18" s="13" customFormat="1">
      <c r="A70" s="26" t="s">
        <v>3999</v>
      </c>
      <c r="B70" s="26"/>
      <c r="C70" s="26"/>
      <c r="D70" s="26">
        <v>0</v>
      </c>
      <c r="E70" s="26">
        <v>1</v>
      </c>
      <c r="F70" s="26" t="s">
        <v>197</v>
      </c>
      <c r="G70" s="26" t="s">
        <v>198</v>
      </c>
      <c r="H70" s="26"/>
      <c r="I70" s="26">
        <v>0</v>
      </c>
      <c r="J70" s="26" t="s">
        <v>838</v>
      </c>
      <c r="K70" s="26" t="s">
        <v>918</v>
      </c>
      <c r="L70" s="26">
        <v>120</v>
      </c>
      <c r="M70" s="26"/>
      <c r="N70" s="138" t="str">
        <f t="shared" si="1"/>
        <v>Status(AttackSpeedRate, 120)</v>
      </c>
      <c r="O70" s="26">
        <v>0</v>
      </c>
      <c r="P70" s="26">
        <v>0</v>
      </c>
      <c r="Q70" s="26"/>
      <c r="R70" s="26" t="b">
        <v>1</v>
      </c>
    </row>
    <row r="71" spans="1:18" s="13" customFormat="1">
      <c r="A71" s="26" t="s">
        <v>4000</v>
      </c>
      <c r="B71" s="26"/>
      <c r="C71" s="26"/>
      <c r="D71" s="26">
        <v>0</v>
      </c>
      <c r="E71" s="26">
        <v>1</v>
      </c>
      <c r="F71" s="26" t="s">
        <v>197</v>
      </c>
      <c r="G71" s="26" t="s">
        <v>198</v>
      </c>
      <c r="H71" s="26"/>
      <c r="I71" s="26">
        <v>0</v>
      </c>
      <c r="J71" s="26" t="s">
        <v>838</v>
      </c>
      <c r="K71" s="26" t="s">
        <v>918</v>
      </c>
      <c r="L71" s="26">
        <v>140</v>
      </c>
      <c r="M71" s="26"/>
      <c r="N71" s="139" t="str">
        <f t="shared" si="1"/>
        <v>Status(AttackSpeedRate, 140)</v>
      </c>
      <c r="O71" s="26">
        <v>0</v>
      </c>
      <c r="P71" s="26">
        <v>0</v>
      </c>
      <c r="Q71" s="26"/>
      <c r="R71" s="26" t="b">
        <v>1</v>
      </c>
    </row>
    <row r="72" spans="1:18" s="13" customFormat="1">
      <c r="A72" s="26" t="s">
        <v>4001</v>
      </c>
      <c r="B72" s="26"/>
      <c r="C72" s="26"/>
      <c r="D72" s="26">
        <v>0</v>
      </c>
      <c r="E72" s="26">
        <v>1</v>
      </c>
      <c r="F72" s="26" t="s">
        <v>197</v>
      </c>
      <c r="G72" s="26" t="s">
        <v>198</v>
      </c>
      <c r="H72" s="26"/>
      <c r="I72" s="26">
        <v>0</v>
      </c>
      <c r="J72" s="26" t="s">
        <v>838</v>
      </c>
      <c r="K72" s="26" t="s">
        <v>918</v>
      </c>
      <c r="L72" s="26">
        <v>160</v>
      </c>
      <c r="M72" s="26"/>
      <c r="N72" s="139" t="str">
        <f t="shared" si="1"/>
        <v>Status(AttackSpeedRate, 160)</v>
      </c>
      <c r="O72" s="26">
        <v>0</v>
      </c>
      <c r="P72" s="26">
        <v>0</v>
      </c>
      <c r="Q72" s="26"/>
      <c r="R72" s="26" t="b">
        <v>1</v>
      </c>
    </row>
    <row r="73" spans="1:18" s="13" customFormat="1">
      <c r="A73" s="26" t="s">
        <v>4002</v>
      </c>
      <c r="B73" s="26"/>
      <c r="C73" s="26"/>
      <c r="D73" s="26">
        <v>0</v>
      </c>
      <c r="E73" s="26">
        <v>1</v>
      </c>
      <c r="F73" s="26" t="s">
        <v>197</v>
      </c>
      <c r="G73" s="26" t="s">
        <v>198</v>
      </c>
      <c r="H73" s="26"/>
      <c r="I73" s="26">
        <v>0</v>
      </c>
      <c r="J73" s="26" t="s">
        <v>838</v>
      </c>
      <c r="K73" s="26" t="s">
        <v>918</v>
      </c>
      <c r="L73" s="26">
        <v>200</v>
      </c>
      <c r="M73" s="26"/>
      <c r="N73" s="139" t="str">
        <f t="shared" si="1"/>
        <v>Status(AttackSpeedRate, 200)</v>
      </c>
      <c r="O73" s="26">
        <v>0</v>
      </c>
      <c r="P73" s="26">
        <v>0</v>
      </c>
      <c r="Q73" s="26"/>
      <c r="R73" s="26" t="b">
        <v>1</v>
      </c>
    </row>
    <row r="74" spans="1:18" s="13" customFormat="1">
      <c r="A74" s="26" t="s">
        <v>4003</v>
      </c>
      <c r="B74" s="26"/>
      <c r="C74" s="26"/>
      <c r="D74" s="26">
        <v>0</v>
      </c>
      <c r="E74" s="26">
        <v>1</v>
      </c>
      <c r="F74" s="26" t="s">
        <v>197</v>
      </c>
      <c r="G74" s="26" t="s">
        <v>198</v>
      </c>
      <c r="H74" s="26"/>
      <c r="I74" s="26">
        <v>0</v>
      </c>
      <c r="J74" s="26" t="s">
        <v>838</v>
      </c>
      <c r="K74" s="26" t="s">
        <v>918</v>
      </c>
      <c r="L74" s="26">
        <v>190</v>
      </c>
      <c r="M74" s="26"/>
      <c r="N74" s="138" t="str">
        <f t="shared" si="1"/>
        <v>Status(AttackSpeedRate, 190)</v>
      </c>
      <c r="O74" s="26">
        <v>0</v>
      </c>
      <c r="P74" s="26">
        <v>0</v>
      </c>
      <c r="Q74" s="26"/>
      <c r="R74" s="26" t="b">
        <v>1</v>
      </c>
    </row>
    <row r="75" spans="1:18" s="13" customFormat="1">
      <c r="A75" s="34" t="s">
        <v>4004</v>
      </c>
      <c r="B75" s="34"/>
      <c r="C75" s="34"/>
      <c r="D75" s="34">
        <v>0</v>
      </c>
      <c r="E75" s="34">
        <v>1</v>
      </c>
      <c r="F75" s="34" t="s">
        <v>197</v>
      </c>
      <c r="G75" s="34" t="s">
        <v>198</v>
      </c>
      <c r="H75" s="34"/>
      <c r="I75" s="34">
        <v>0</v>
      </c>
      <c r="J75" s="34" t="s">
        <v>838</v>
      </c>
      <c r="K75" s="34" t="s">
        <v>918</v>
      </c>
      <c r="L75" s="34">
        <v>200</v>
      </c>
      <c r="M75" s="34"/>
      <c r="N75" s="62" t="str">
        <f t="shared" si="1"/>
        <v>Status(AttackSpeedRate, 200)</v>
      </c>
      <c r="O75" s="34">
        <v>0</v>
      </c>
      <c r="P75" s="34">
        <v>0</v>
      </c>
      <c r="Q75" s="34"/>
      <c r="R75" s="34" t="b">
        <v>1</v>
      </c>
    </row>
    <row r="76" spans="1:18">
      <c r="A76" s="25" t="s">
        <v>433</v>
      </c>
      <c r="B76" s="25"/>
      <c r="C76" s="25"/>
      <c r="D76" s="25">
        <v>0</v>
      </c>
      <c r="E76" s="25">
        <v>1</v>
      </c>
      <c r="F76" s="25" t="s">
        <v>197</v>
      </c>
      <c r="G76" s="25" t="s">
        <v>198</v>
      </c>
      <c r="H76" s="25"/>
      <c r="I76" s="25">
        <v>0</v>
      </c>
      <c r="J76" s="25" t="s">
        <v>191</v>
      </c>
      <c r="K76" s="25" t="s">
        <v>923</v>
      </c>
      <c r="L76" s="25" t="s">
        <v>6842</v>
      </c>
      <c r="M76" s="25"/>
      <c r="N76" s="25" t="str">
        <f t="shared" si="1"/>
        <v>Effect(OnHit, serapulsar.passive.buff.buffeffect.skilleffect.01)</v>
      </c>
      <c r="O76" s="25">
        <v>0</v>
      </c>
      <c r="P76" s="25">
        <v>0</v>
      </c>
      <c r="Q76" s="25"/>
      <c r="R76" s="25" t="b">
        <v>1</v>
      </c>
    </row>
    <row r="77" spans="1:18">
      <c r="A77" s="25" t="s">
        <v>435</v>
      </c>
      <c r="B77" s="25"/>
      <c r="C77" s="25"/>
      <c r="D77" s="25">
        <v>0</v>
      </c>
      <c r="E77" s="25">
        <v>1</v>
      </c>
      <c r="F77" s="25" t="s">
        <v>197</v>
      </c>
      <c r="G77" s="25" t="s">
        <v>198</v>
      </c>
      <c r="H77" s="25"/>
      <c r="I77" s="25">
        <v>0</v>
      </c>
      <c r="J77" s="25" t="s">
        <v>191</v>
      </c>
      <c r="K77" s="25" t="s">
        <v>923</v>
      </c>
      <c r="L77" s="25" t="s">
        <v>919</v>
      </c>
      <c r="M77" s="25"/>
      <c r="N77" s="25" t="str">
        <f t="shared" si="1"/>
        <v>Effect(OnHit, serapulsar.passive.buff.buffeffect.skilleffect.02)</v>
      </c>
      <c r="O77" s="25">
        <v>0</v>
      </c>
      <c r="P77" s="25">
        <v>0</v>
      </c>
      <c r="Q77" s="25"/>
      <c r="R77" s="25" t="b">
        <v>1</v>
      </c>
    </row>
    <row r="78" spans="1:18">
      <c r="A78" s="25" t="s">
        <v>437</v>
      </c>
      <c r="B78" s="25"/>
      <c r="C78" s="25"/>
      <c r="D78" s="25">
        <v>0</v>
      </c>
      <c r="E78" s="25">
        <v>1</v>
      </c>
      <c r="F78" s="25" t="s">
        <v>197</v>
      </c>
      <c r="G78" s="25" t="s">
        <v>198</v>
      </c>
      <c r="H78" s="25"/>
      <c r="I78" s="25">
        <v>0</v>
      </c>
      <c r="J78" s="25" t="s">
        <v>191</v>
      </c>
      <c r="K78" s="25" t="s">
        <v>923</v>
      </c>
      <c r="L78" s="25" t="s">
        <v>920</v>
      </c>
      <c r="M78" s="25"/>
      <c r="N78" s="25" t="str">
        <f t="shared" si="1"/>
        <v>Effect(OnHit, serapulsar.passive.buff.buffeffect.skilleffect.03)</v>
      </c>
      <c r="O78" s="25">
        <v>0</v>
      </c>
      <c r="P78" s="25">
        <v>0</v>
      </c>
      <c r="Q78" s="25"/>
      <c r="R78" s="25" t="b">
        <v>1</v>
      </c>
    </row>
    <row r="79" spans="1:18">
      <c r="A79" s="25" t="s">
        <v>439</v>
      </c>
      <c r="B79" s="25"/>
      <c r="C79" s="25"/>
      <c r="D79" s="25">
        <v>0</v>
      </c>
      <c r="E79" s="25">
        <v>1</v>
      </c>
      <c r="F79" s="25" t="s">
        <v>197</v>
      </c>
      <c r="G79" s="25" t="s">
        <v>198</v>
      </c>
      <c r="H79" s="25"/>
      <c r="I79" s="25">
        <v>0</v>
      </c>
      <c r="J79" s="25" t="s">
        <v>191</v>
      </c>
      <c r="K79" s="25" t="s">
        <v>923</v>
      </c>
      <c r="L79" s="25" t="s">
        <v>921</v>
      </c>
      <c r="M79" s="25"/>
      <c r="N79" s="25" t="str">
        <f t="shared" si="1"/>
        <v>Effect(OnHit, serapulsar.passive.buff.buffeffect.skilleffect.04)</v>
      </c>
      <c r="O79" s="25">
        <v>0</v>
      </c>
      <c r="P79" s="25">
        <v>0</v>
      </c>
      <c r="Q79" s="25"/>
      <c r="R79" s="25" t="b">
        <v>1</v>
      </c>
    </row>
    <row r="80" spans="1:18">
      <c r="A80" s="34" t="s">
        <v>441</v>
      </c>
      <c r="B80" s="34"/>
      <c r="C80" s="34"/>
      <c r="D80" s="34">
        <v>0</v>
      </c>
      <c r="E80" s="34">
        <v>1</v>
      </c>
      <c r="F80" s="34" t="s">
        <v>197</v>
      </c>
      <c r="G80" s="34" t="s">
        <v>198</v>
      </c>
      <c r="H80" s="34"/>
      <c r="I80" s="34">
        <v>0</v>
      </c>
      <c r="J80" s="34" t="s">
        <v>191</v>
      </c>
      <c r="K80" s="34" t="s">
        <v>923</v>
      </c>
      <c r="L80" s="34" t="s">
        <v>922</v>
      </c>
      <c r="M80" s="34"/>
      <c r="N80" s="34" t="str">
        <f t="shared" si="1"/>
        <v>Effect(OnHit, serapulsar.passive.buff.buffeffect.skilleffect.05)</v>
      </c>
      <c r="O80" s="34">
        <v>0</v>
      </c>
      <c r="P80" s="34">
        <v>0</v>
      </c>
      <c r="Q80" s="34"/>
      <c r="R80" s="34" t="b">
        <v>1</v>
      </c>
    </row>
    <row r="81" spans="1:18" s="13" customFormat="1">
      <c r="A81" s="34" t="s">
        <v>443</v>
      </c>
      <c r="B81" s="34"/>
      <c r="C81" s="34"/>
      <c r="D81" s="34">
        <v>0</v>
      </c>
      <c r="E81" s="34">
        <v>1</v>
      </c>
      <c r="F81" s="34" t="s">
        <v>197</v>
      </c>
      <c r="G81" s="34" t="s">
        <v>198</v>
      </c>
      <c r="H81" s="34"/>
      <c r="I81" s="34">
        <v>0</v>
      </c>
      <c r="J81" s="34" t="s">
        <v>191</v>
      </c>
      <c r="K81" s="34" t="s">
        <v>923</v>
      </c>
      <c r="L81" s="34" t="s">
        <v>6843</v>
      </c>
      <c r="M81" s="34"/>
      <c r="N81" s="34" t="str">
        <f t="shared" si="1"/>
        <v>Effect(OnHit, serapulsar.passive.buff.buffeffect.skilleffect.06)</v>
      </c>
      <c r="O81" s="34">
        <v>0</v>
      </c>
      <c r="P81" s="34">
        <v>0</v>
      </c>
      <c r="Q81" s="34"/>
      <c r="R81" s="34" t="b">
        <v>1</v>
      </c>
    </row>
    <row r="82" spans="1:18">
      <c r="A82" s="25" t="s">
        <v>6592</v>
      </c>
      <c r="B82" s="25"/>
      <c r="C82" s="25"/>
      <c r="D82" s="25">
        <v>0</v>
      </c>
      <c r="E82" s="25">
        <v>1</v>
      </c>
      <c r="F82" s="25" t="s">
        <v>197</v>
      </c>
      <c r="G82" s="25" t="s">
        <v>198</v>
      </c>
      <c r="H82" s="25"/>
      <c r="I82" s="25">
        <v>0</v>
      </c>
      <c r="J82" s="25" t="s">
        <v>893</v>
      </c>
      <c r="K82" s="25" t="s">
        <v>6844</v>
      </c>
      <c r="L82" s="25"/>
      <c r="M82" s="25"/>
      <c r="N82" s="25" t="str">
        <f t="shared" si="1"/>
        <v>Active(serapulsar.passive.ex.buff.buffeffect.skilleffect.01)</v>
      </c>
      <c r="O82" s="25">
        <v>0</v>
      </c>
      <c r="P82" s="25">
        <v>1000</v>
      </c>
      <c r="Q82" s="25"/>
      <c r="R82" s="65" t="b">
        <v>0</v>
      </c>
    </row>
    <row r="83" spans="1:18">
      <c r="A83" s="25" t="s">
        <v>2917</v>
      </c>
      <c r="B83" s="25"/>
      <c r="C83" s="25"/>
      <c r="D83" s="25">
        <v>0</v>
      </c>
      <c r="E83" s="25">
        <v>1</v>
      </c>
      <c r="F83" s="25" t="s">
        <v>197</v>
      </c>
      <c r="G83" s="25" t="s">
        <v>198</v>
      </c>
      <c r="H83" s="25"/>
      <c r="I83" s="25">
        <v>0</v>
      </c>
      <c r="J83" s="25" t="s">
        <v>893</v>
      </c>
      <c r="K83" s="25" t="s">
        <v>2922</v>
      </c>
      <c r="L83" s="25"/>
      <c r="M83" s="25"/>
      <c r="N83" s="25" t="str">
        <f t="shared" si="1"/>
        <v>Active(serapulsar.passive.ex.buff.buffeffect.skilleffect.02)</v>
      </c>
      <c r="O83" s="25">
        <v>0</v>
      </c>
      <c r="P83" s="25">
        <v>1000</v>
      </c>
      <c r="Q83" s="25"/>
      <c r="R83" s="25" t="b">
        <v>0</v>
      </c>
    </row>
    <row r="84" spans="1:18">
      <c r="A84" s="25" t="s">
        <v>2918</v>
      </c>
      <c r="B84" s="25"/>
      <c r="C84" s="25"/>
      <c r="D84" s="25">
        <v>0</v>
      </c>
      <c r="E84" s="25">
        <v>1</v>
      </c>
      <c r="F84" s="25" t="s">
        <v>197</v>
      </c>
      <c r="G84" s="25" t="s">
        <v>198</v>
      </c>
      <c r="H84" s="25"/>
      <c r="I84" s="25">
        <v>0</v>
      </c>
      <c r="J84" s="25" t="s">
        <v>893</v>
      </c>
      <c r="K84" s="25" t="s">
        <v>2923</v>
      </c>
      <c r="L84" s="25"/>
      <c r="M84" s="25"/>
      <c r="N84" s="25" t="str">
        <f t="shared" si="1"/>
        <v>Active(serapulsar.passive.ex.buff.buffeffect.skilleffect.03)</v>
      </c>
      <c r="O84" s="25">
        <v>0</v>
      </c>
      <c r="P84" s="25">
        <v>1000</v>
      </c>
      <c r="Q84" s="25"/>
      <c r="R84" s="25" t="b">
        <v>0</v>
      </c>
    </row>
    <row r="85" spans="1:18">
      <c r="A85" s="25" t="s">
        <v>2919</v>
      </c>
      <c r="B85" s="25"/>
      <c r="C85" s="25"/>
      <c r="D85" s="25">
        <v>0</v>
      </c>
      <c r="E85" s="25">
        <v>1</v>
      </c>
      <c r="F85" s="25" t="s">
        <v>197</v>
      </c>
      <c r="G85" s="25" t="s">
        <v>198</v>
      </c>
      <c r="H85" s="25"/>
      <c r="I85" s="25">
        <v>0</v>
      </c>
      <c r="J85" s="25" t="s">
        <v>893</v>
      </c>
      <c r="K85" s="25" t="s">
        <v>2924</v>
      </c>
      <c r="L85" s="25"/>
      <c r="M85" s="25"/>
      <c r="N85" s="25" t="str">
        <f t="shared" si="1"/>
        <v>Active(serapulsar.passive.ex.buff.buffeffect.skilleffect.04)</v>
      </c>
      <c r="O85" s="25">
        <v>0</v>
      </c>
      <c r="P85" s="25">
        <v>1000</v>
      </c>
      <c r="Q85" s="25"/>
      <c r="R85" s="25" t="b">
        <v>0</v>
      </c>
    </row>
    <row r="86" spans="1:18">
      <c r="A86" s="34" t="s">
        <v>2920</v>
      </c>
      <c r="B86" s="34"/>
      <c r="C86" s="34"/>
      <c r="D86" s="34">
        <v>0</v>
      </c>
      <c r="E86" s="34">
        <v>1</v>
      </c>
      <c r="F86" s="34" t="s">
        <v>197</v>
      </c>
      <c r="G86" s="34" t="s">
        <v>198</v>
      </c>
      <c r="H86" s="34"/>
      <c r="I86" s="34">
        <v>0</v>
      </c>
      <c r="J86" s="34" t="s">
        <v>893</v>
      </c>
      <c r="K86" s="34" t="s">
        <v>2925</v>
      </c>
      <c r="L86" s="34"/>
      <c r="M86" s="34"/>
      <c r="N86" s="34" t="str">
        <f t="shared" si="1"/>
        <v>Active(serapulsar.passive.ex.buff.buffeffect.skilleffect.05)</v>
      </c>
      <c r="O86" s="34">
        <v>0</v>
      </c>
      <c r="P86" s="34">
        <v>1000</v>
      </c>
      <c r="Q86" s="34"/>
      <c r="R86" s="34" t="b">
        <v>0</v>
      </c>
    </row>
    <row r="87" spans="1:18" s="13" customFormat="1">
      <c r="A87" s="34" t="s">
        <v>2921</v>
      </c>
      <c r="B87" s="34"/>
      <c r="C87" s="34"/>
      <c r="D87" s="34">
        <v>0</v>
      </c>
      <c r="E87" s="34">
        <v>1</v>
      </c>
      <c r="F87" s="34" t="s">
        <v>197</v>
      </c>
      <c r="G87" s="34" t="s">
        <v>198</v>
      </c>
      <c r="H87" s="34"/>
      <c r="I87" s="34">
        <v>0</v>
      </c>
      <c r="J87" s="34" t="s">
        <v>893</v>
      </c>
      <c r="K87" s="34" t="s">
        <v>2926</v>
      </c>
      <c r="L87" s="34"/>
      <c r="M87" s="34"/>
      <c r="N87" s="34" t="str">
        <f t="shared" si="1"/>
        <v>Active(serapulsar.passive.ex.buff.buffeffect.skilleffect.06)</v>
      </c>
      <c r="O87" s="34">
        <v>0</v>
      </c>
      <c r="P87" s="34">
        <v>1000</v>
      </c>
      <c r="Q87" s="34"/>
      <c r="R87" s="34" t="b">
        <v>0</v>
      </c>
    </row>
    <row r="88" spans="1:18" s="150" customFormat="1">
      <c r="A88" s="24" t="s">
        <v>2757</v>
      </c>
      <c r="B88" s="24"/>
      <c r="C88" s="24"/>
      <c r="D88" s="24">
        <v>0</v>
      </c>
      <c r="E88" s="24">
        <v>1</v>
      </c>
      <c r="F88" s="24" t="s">
        <v>197</v>
      </c>
      <c r="G88" s="24" t="s">
        <v>198</v>
      </c>
      <c r="H88" s="24"/>
      <c r="I88" s="24">
        <v>0</v>
      </c>
      <c r="J88" s="24" t="s">
        <v>893</v>
      </c>
      <c r="K88" s="24" t="s">
        <v>2764</v>
      </c>
      <c r="L88" s="24"/>
      <c r="M88" s="24"/>
      <c r="N88" s="24" t="str">
        <f t="shared" si="1"/>
        <v>Active(iras.ult.hp.cost.buffeffect.skilleffect.01)</v>
      </c>
      <c r="O88" s="24">
        <v>0</v>
      </c>
      <c r="P88" s="24">
        <v>0</v>
      </c>
      <c r="Q88" s="24"/>
      <c r="R88" s="24" t="b">
        <v>1</v>
      </c>
    </row>
    <row r="89" spans="1:18" s="150" customFormat="1">
      <c r="A89" s="24" t="s">
        <v>2758</v>
      </c>
      <c r="B89" s="24"/>
      <c r="C89" s="24"/>
      <c r="D89" s="24">
        <v>0</v>
      </c>
      <c r="E89" s="24">
        <v>1</v>
      </c>
      <c r="F89" s="24" t="s">
        <v>197</v>
      </c>
      <c r="G89" s="24" t="s">
        <v>198</v>
      </c>
      <c r="H89" s="24"/>
      <c r="I89" s="24">
        <v>0</v>
      </c>
      <c r="J89" s="24" t="s">
        <v>893</v>
      </c>
      <c r="K89" s="24" t="s">
        <v>2765</v>
      </c>
      <c r="L89" s="24"/>
      <c r="M89" s="24"/>
      <c r="N89" s="24" t="str">
        <f t="shared" si="1"/>
        <v>Active(iras.ult.hp.cost.buffeffect.skilleffect.02)</v>
      </c>
      <c r="O89" s="24">
        <v>0</v>
      </c>
      <c r="P89" s="24">
        <v>0</v>
      </c>
      <c r="Q89" s="24"/>
      <c r="R89" s="24" t="b">
        <v>1</v>
      </c>
    </row>
    <row r="90" spans="1:18" s="150" customFormat="1">
      <c r="A90" s="24" t="s">
        <v>2759</v>
      </c>
      <c r="B90" s="24"/>
      <c r="C90" s="24"/>
      <c r="D90" s="24">
        <v>0</v>
      </c>
      <c r="E90" s="24">
        <v>1</v>
      </c>
      <c r="F90" s="24" t="s">
        <v>197</v>
      </c>
      <c r="G90" s="24" t="s">
        <v>198</v>
      </c>
      <c r="H90" s="24"/>
      <c r="I90" s="24">
        <v>0</v>
      </c>
      <c r="J90" s="24" t="s">
        <v>893</v>
      </c>
      <c r="K90" s="24" t="s">
        <v>2766</v>
      </c>
      <c r="L90" s="24"/>
      <c r="M90" s="24"/>
      <c r="N90" s="24" t="str">
        <f t="shared" si="1"/>
        <v>Active(iras.ult.hp.cost.buffeffect.skilleffect.03)</v>
      </c>
      <c r="O90" s="24">
        <v>0</v>
      </c>
      <c r="P90" s="24">
        <v>0</v>
      </c>
      <c r="Q90" s="24"/>
      <c r="R90" s="24" t="b">
        <v>1</v>
      </c>
    </row>
    <row r="91" spans="1:18" s="150" customFormat="1">
      <c r="A91" s="24" t="s">
        <v>2760</v>
      </c>
      <c r="B91" s="24"/>
      <c r="C91" s="24"/>
      <c r="D91" s="24">
        <v>0</v>
      </c>
      <c r="E91" s="24">
        <v>1</v>
      </c>
      <c r="F91" s="24" t="s">
        <v>197</v>
      </c>
      <c r="G91" s="24" t="s">
        <v>198</v>
      </c>
      <c r="H91" s="24"/>
      <c r="I91" s="24">
        <v>0</v>
      </c>
      <c r="J91" s="24" t="s">
        <v>893</v>
      </c>
      <c r="K91" s="24" t="s">
        <v>2767</v>
      </c>
      <c r="L91" s="24"/>
      <c r="M91" s="24"/>
      <c r="N91" s="24" t="str">
        <f t="shared" si="1"/>
        <v>Active(iras.ult.hp.cost.buffeffect.skilleffect.04)</v>
      </c>
      <c r="O91" s="24">
        <v>0</v>
      </c>
      <c r="P91" s="24">
        <v>0</v>
      </c>
      <c r="Q91" s="24"/>
      <c r="R91" s="24" t="b">
        <v>1</v>
      </c>
    </row>
    <row r="92" spans="1:18" s="150" customFormat="1">
      <c r="A92" s="24" t="s">
        <v>2761</v>
      </c>
      <c r="B92" s="24"/>
      <c r="C92" s="24"/>
      <c r="D92" s="24">
        <v>0</v>
      </c>
      <c r="E92" s="24">
        <v>1</v>
      </c>
      <c r="F92" s="24" t="s">
        <v>197</v>
      </c>
      <c r="G92" s="24" t="s">
        <v>198</v>
      </c>
      <c r="H92" s="24"/>
      <c r="I92" s="24">
        <v>0</v>
      </c>
      <c r="J92" s="24" t="s">
        <v>893</v>
      </c>
      <c r="K92" s="24" t="s">
        <v>2768</v>
      </c>
      <c r="L92" s="24"/>
      <c r="M92" s="24"/>
      <c r="N92" s="24" t="str">
        <f t="shared" si="1"/>
        <v>Active(iras.ult.hp.cost.buffeffect.skilleffect.05)</v>
      </c>
      <c r="O92" s="24">
        <v>0</v>
      </c>
      <c r="P92" s="24">
        <v>0</v>
      </c>
      <c r="Q92" s="24"/>
      <c r="R92" s="24" t="b">
        <v>1</v>
      </c>
    </row>
    <row r="93" spans="1:18">
      <c r="A93" s="34" t="s">
        <v>2762</v>
      </c>
      <c r="B93" s="34"/>
      <c r="C93" s="34"/>
      <c r="D93" s="34">
        <v>0</v>
      </c>
      <c r="E93" s="34">
        <v>1</v>
      </c>
      <c r="F93" s="34" t="s">
        <v>197</v>
      </c>
      <c r="G93" s="34" t="s">
        <v>198</v>
      </c>
      <c r="H93" s="34"/>
      <c r="I93" s="34">
        <v>0</v>
      </c>
      <c r="J93" s="34" t="s">
        <v>893</v>
      </c>
      <c r="K93" s="34" t="s">
        <v>2769</v>
      </c>
      <c r="L93" s="34"/>
      <c r="M93" s="34"/>
      <c r="N93" s="34" t="str">
        <f t="shared" si="1"/>
        <v>Active(iras.ult.hp.cost.buffeffect.skilleffect.06)</v>
      </c>
      <c r="O93" s="34">
        <v>0</v>
      </c>
      <c r="P93" s="34">
        <v>0</v>
      </c>
      <c r="Q93" s="34"/>
      <c r="R93" s="34" t="b">
        <v>1</v>
      </c>
    </row>
    <row r="94" spans="1:18">
      <c r="A94" s="34" t="s">
        <v>2763</v>
      </c>
      <c r="B94" s="34"/>
      <c r="C94" s="34"/>
      <c r="D94" s="34">
        <v>0</v>
      </c>
      <c r="E94" s="34">
        <v>1</v>
      </c>
      <c r="F94" s="34" t="s">
        <v>197</v>
      </c>
      <c r="G94" s="34" t="s">
        <v>198</v>
      </c>
      <c r="H94" s="34"/>
      <c r="I94" s="34">
        <v>0</v>
      </c>
      <c r="J94" s="34" t="s">
        <v>893</v>
      </c>
      <c r="K94" s="34" t="s">
        <v>2769</v>
      </c>
      <c r="L94" s="34"/>
      <c r="M94" s="34"/>
      <c r="N94" s="34" t="str">
        <f t="shared" si="1"/>
        <v>Active(iras.ult.hp.cost.buffeffect.skilleffect.06)</v>
      </c>
      <c r="O94" s="34">
        <v>0</v>
      </c>
      <c r="P94" s="34">
        <v>0</v>
      </c>
      <c r="Q94" s="34"/>
      <c r="R94" s="34" t="b">
        <v>1</v>
      </c>
    </row>
    <row r="95" spans="1:18">
      <c r="A95" s="24" t="s">
        <v>2092</v>
      </c>
      <c r="B95" s="24"/>
      <c r="C95" s="24"/>
      <c r="D95" s="24">
        <v>0</v>
      </c>
      <c r="E95" s="24">
        <v>1</v>
      </c>
      <c r="F95" s="24" t="s">
        <v>197</v>
      </c>
      <c r="G95" s="24" t="s">
        <v>198</v>
      </c>
      <c r="H95" s="24"/>
      <c r="I95" s="24">
        <v>0</v>
      </c>
      <c r="J95" s="24" t="s">
        <v>893</v>
      </c>
      <c r="K95" s="24" t="s">
        <v>2098</v>
      </c>
      <c r="L95" s="24"/>
      <c r="M95" s="24"/>
      <c r="N95" s="24" t="str">
        <f t="shared" si="1"/>
        <v>Active(iras.active2.hp.cost.buffeffect.skilleffect.01)</v>
      </c>
      <c r="O95" s="24">
        <v>0</v>
      </c>
      <c r="P95" s="24">
        <v>0</v>
      </c>
      <c r="Q95" s="24"/>
      <c r="R95" s="24" t="b">
        <v>1</v>
      </c>
    </row>
    <row r="96" spans="1:18">
      <c r="A96" s="24" t="s">
        <v>2093</v>
      </c>
      <c r="B96" s="24"/>
      <c r="C96" s="24"/>
      <c r="D96" s="24">
        <v>0</v>
      </c>
      <c r="E96" s="24">
        <v>1</v>
      </c>
      <c r="F96" s="24" t="s">
        <v>197</v>
      </c>
      <c r="G96" s="24" t="s">
        <v>198</v>
      </c>
      <c r="H96" s="24"/>
      <c r="I96" s="24">
        <v>0</v>
      </c>
      <c r="J96" s="24" t="s">
        <v>893</v>
      </c>
      <c r="K96" s="24" t="s">
        <v>2099</v>
      </c>
      <c r="L96" s="24"/>
      <c r="M96" s="24"/>
      <c r="N96" s="24" t="str">
        <f t="shared" si="1"/>
        <v>Active(iras.active2.hp.cost.buffeffect.skilleffect.02)</v>
      </c>
      <c r="O96" s="24">
        <v>0</v>
      </c>
      <c r="P96" s="24">
        <v>0</v>
      </c>
      <c r="Q96" s="24"/>
      <c r="R96" s="24" t="b">
        <v>1</v>
      </c>
    </row>
    <row r="97" spans="1:18">
      <c r="A97" s="24" t="s">
        <v>2094</v>
      </c>
      <c r="B97" s="24"/>
      <c r="C97" s="24"/>
      <c r="D97" s="24">
        <v>0</v>
      </c>
      <c r="E97" s="24">
        <v>1</v>
      </c>
      <c r="F97" s="24" t="s">
        <v>197</v>
      </c>
      <c r="G97" s="24" t="s">
        <v>198</v>
      </c>
      <c r="H97" s="24"/>
      <c r="I97" s="24">
        <v>0</v>
      </c>
      <c r="J97" s="24" t="s">
        <v>893</v>
      </c>
      <c r="K97" s="24" t="s">
        <v>2100</v>
      </c>
      <c r="L97" s="24"/>
      <c r="M97" s="24"/>
      <c r="N97" s="24" t="str">
        <f t="shared" si="1"/>
        <v>Active(iras.active2.hp.cost.buffeffect.skilleffect.03)</v>
      </c>
      <c r="O97" s="24">
        <v>0</v>
      </c>
      <c r="P97" s="24">
        <v>0</v>
      </c>
      <c r="Q97" s="24"/>
      <c r="R97" s="24" t="b">
        <v>1</v>
      </c>
    </row>
    <row r="98" spans="1:18">
      <c r="A98" s="34" t="s">
        <v>2095</v>
      </c>
      <c r="B98" s="34"/>
      <c r="C98" s="34"/>
      <c r="D98" s="34">
        <v>0</v>
      </c>
      <c r="E98" s="34">
        <v>1</v>
      </c>
      <c r="F98" s="34" t="s">
        <v>197</v>
      </c>
      <c r="G98" s="34" t="s">
        <v>198</v>
      </c>
      <c r="H98" s="34"/>
      <c r="I98" s="34">
        <v>0</v>
      </c>
      <c r="J98" s="34" t="s">
        <v>893</v>
      </c>
      <c r="K98" s="34" t="s">
        <v>2101</v>
      </c>
      <c r="L98" s="34"/>
      <c r="M98" s="34"/>
      <c r="N98" s="34" t="str">
        <f t="shared" si="1"/>
        <v>Active(iras.active2.hp.cost.buffeffect.skilleffect.04)</v>
      </c>
      <c r="O98" s="34">
        <v>0</v>
      </c>
      <c r="P98" s="34">
        <v>0</v>
      </c>
      <c r="Q98" s="34"/>
      <c r="R98" s="34" t="b">
        <v>1</v>
      </c>
    </row>
    <row r="99" spans="1:18">
      <c r="A99" s="34" t="s">
        <v>2096</v>
      </c>
      <c r="B99" s="34"/>
      <c r="C99" s="34"/>
      <c r="D99" s="34">
        <v>0</v>
      </c>
      <c r="E99" s="34">
        <v>1</v>
      </c>
      <c r="F99" s="34" t="s">
        <v>197</v>
      </c>
      <c r="G99" s="34" t="s">
        <v>198</v>
      </c>
      <c r="H99" s="34"/>
      <c r="I99" s="34">
        <v>0</v>
      </c>
      <c r="J99" s="34" t="s">
        <v>893</v>
      </c>
      <c r="K99" s="34" t="s">
        <v>2102</v>
      </c>
      <c r="L99" s="34"/>
      <c r="M99" s="34"/>
      <c r="N99" s="34" t="str">
        <f t="shared" si="1"/>
        <v>Active(iras.active2.hp.cost.buffeffect.skilleffect.05)</v>
      </c>
      <c r="O99" s="34">
        <v>0</v>
      </c>
      <c r="P99" s="34">
        <v>0</v>
      </c>
      <c r="Q99" s="34"/>
      <c r="R99" s="34" t="b">
        <v>1</v>
      </c>
    </row>
    <row r="100" spans="1:18">
      <c r="A100" s="34" t="s">
        <v>2097</v>
      </c>
      <c r="B100" s="34"/>
      <c r="C100" s="34"/>
      <c r="D100" s="34">
        <v>0</v>
      </c>
      <c r="E100" s="34">
        <v>1</v>
      </c>
      <c r="F100" s="34" t="s">
        <v>197</v>
      </c>
      <c r="G100" s="34" t="s">
        <v>198</v>
      </c>
      <c r="H100" s="34"/>
      <c r="I100" s="34">
        <v>0</v>
      </c>
      <c r="J100" s="34" t="s">
        <v>893</v>
      </c>
      <c r="K100" s="34" t="s">
        <v>2103</v>
      </c>
      <c r="L100" s="34"/>
      <c r="M100" s="34"/>
      <c r="N100" s="34" t="str">
        <f t="shared" si="1"/>
        <v>Active(iras.active2.hp.cost.buffeffect.skilleffect.06)</v>
      </c>
      <c r="O100" s="34">
        <v>0</v>
      </c>
      <c r="P100" s="34">
        <v>0</v>
      </c>
      <c r="Q100" s="34"/>
      <c r="R100" s="34" t="b">
        <v>1</v>
      </c>
    </row>
    <row r="101" spans="1:18">
      <c r="A101" s="23" t="s">
        <v>447</v>
      </c>
      <c r="B101" s="23"/>
      <c r="C101" s="23"/>
      <c r="D101" s="23">
        <v>0</v>
      </c>
      <c r="E101" s="23">
        <v>1</v>
      </c>
      <c r="F101" s="23" t="s">
        <v>197</v>
      </c>
      <c r="G101" s="23" t="s">
        <v>198</v>
      </c>
      <c r="H101" s="23"/>
      <c r="I101" s="23">
        <v>0</v>
      </c>
      <c r="J101" s="23" t="s">
        <v>191</v>
      </c>
      <c r="K101" s="23" t="s">
        <v>923</v>
      </c>
      <c r="L101" s="23" t="s">
        <v>2104</v>
      </c>
      <c r="M101" s="23"/>
      <c r="N101" s="23" t="str">
        <f t="shared" si="1"/>
        <v>Effect(OnHit, iras.passive.buff.buffeffect.skilleffect.01)</v>
      </c>
      <c r="O101" s="23">
        <v>0</v>
      </c>
      <c r="P101" s="23">
        <v>0</v>
      </c>
      <c r="Q101" s="23"/>
      <c r="R101" s="23" t="b">
        <v>1</v>
      </c>
    </row>
    <row r="102" spans="1:18">
      <c r="A102" s="23" t="s">
        <v>449</v>
      </c>
      <c r="B102" s="23"/>
      <c r="C102" s="23"/>
      <c r="D102" s="23">
        <v>0</v>
      </c>
      <c r="E102" s="23">
        <v>1</v>
      </c>
      <c r="F102" s="23" t="s">
        <v>197</v>
      </c>
      <c r="G102" s="23" t="s">
        <v>198</v>
      </c>
      <c r="H102" s="23"/>
      <c r="I102" s="23">
        <v>0</v>
      </c>
      <c r="J102" s="23" t="s">
        <v>191</v>
      </c>
      <c r="K102" s="23" t="s">
        <v>923</v>
      </c>
      <c r="L102" s="23" t="s">
        <v>2105</v>
      </c>
      <c r="M102" s="23"/>
      <c r="N102" s="23" t="str">
        <f t="shared" si="1"/>
        <v>Effect(OnHit, iras.passive.buff.buffeffect.skilleffect.02)</v>
      </c>
      <c r="O102" s="23">
        <v>0</v>
      </c>
      <c r="P102" s="23">
        <v>0</v>
      </c>
      <c r="Q102" s="23"/>
      <c r="R102" s="23" t="b">
        <v>1</v>
      </c>
    </row>
    <row r="103" spans="1:18">
      <c r="A103" s="23" t="s">
        <v>451</v>
      </c>
      <c r="B103" s="23"/>
      <c r="C103" s="23"/>
      <c r="D103" s="23">
        <v>0</v>
      </c>
      <c r="E103" s="23">
        <v>1</v>
      </c>
      <c r="F103" s="23" t="s">
        <v>197</v>
      </c>
      <c r="G103" s="23" t="s">
        <v>198</v>
      </c>
      <c r="H103" s="23"/>
      <c r="I103" s="23">
        <v>0</v>
      </c>
      <c r="J103" s="23" t="s">
        <v>191</v>
      </c>
      <c r="K103" s="23" t="s">
        <v>923</v>
      </c>
      <c r="L103" s="23" t="s">
        <v>2106</v>
      </c>
      <c r="M103" s="23"/>
      <c r="N103" s="23" t="str">
        <f t="shared" si="1"/>
        <v>Effect(OnHit, iras.passive.buff.buffeffect.skilleffect.03)</v>
      </c>
      <c r="O103" s="23">
        <v>0</v>
      </c>
      <c r="P103" s="23">
        <v>0</v>
      </c>
      <c r="Q103" s="23"/>
      <c r="R103" s="23" t="b">
        <v>1</v>
      </c>
    </row>
    <row r="104" spans="1:18">
      <c r="A104" s="34" t="s">
        <v>453</v>
      </c>
      <c r="B104" s="34"/>
      <c r="C104" s="34"/>
      <c r="D104" s="34">
        <v>0</v>
      </c>
      <c r="E104" s="34">
        <v>1</v>
      </c>
      <c r="F104" s="34" t="s">
        <v>197</v>
      </c>
      <c r="G104" s="34" t="s">
        <v>198</v>
      </c>
      <c r="H104" s="34"/>
      <c r="I104" s="34">
        <v>0</v>
      </c>
      <c r="J104" s="34" t="s">
        <v>191</v>
      </c>
      <c r="K104" s="34" t="s">
        <v>923</v>
      </c>
      <c r="L104" s="34" t="s">
        <v>2107</v>
      </c>
      <c r="M104" s="34"/>
      <c r="N104" s="34" t="str">
        <f t="shared" si="1"/>
        <v>Effect(OnHit, iras.passive.buff.buffeffect.skilleffect.04)</v>
      </c>
      <c r="O104" s="34">
        <v>0</v>
      </c>
      <c r="P104" s="34">
        <v>0</v>
      </c>
      <c r="Q104" s="34"/>
      <c r="R104" s="34" t="b">
        <v>1</v>
      </c>
    </row>
    <row r="105" spans="1:18">
      <c r="A105" s="34" t="s">
        <v>455</v>
      </c>
      <c r="B105" s="34"/>
      <c r="C105" s="34"/>
      <c r="D105" s="34">
        <v>0</v>
      </c>
      <c r="E105" s="34">
        <v>1</v>
      </c>
      <c r="F105" s="34" t="s">
        <v>197</v>
      </c>
      <c r="G105" s="34" t="s">
        <v>198</v>
      </c>
      <c r="H105" s="34"/>
      <c r="I105" s="34">
        <v>0</v>
      </c>
      <c r="J105" s="34" t="s">
        <v>191</v>
      </c>
      <c r="K105" s="34" t="s">
        <v>923</v>
      </c>
      <c r="L105" s="34" t="s">
        <v>2108</v>
      </c>
      <c r="M105" s="34"/>
      <c r="N105" s="34" t="str">
        <f t="shared" si="1"/>
        <v>Effect(OnHit, iras.passive.buff.buffeffect.skilleffect.05)</v>
      </c>
      <c r="O105" s="34">
        <v>0</v>
      </c>
      <c r="P105" s="34">
        <v>0</v>
      </c>
      <c r="Q105" s="34"/>
      <c r="R105" s="34" t="b">
        <v>1</v>
      </c>
    </row>
    <row r="106" spans="1:18">
      <c r="A106" s="34" t="s">
        <v>457</v>
      </c>
      <c r="B106" s="34"/>
      <c r="C106" s="34"/>
      <c r="D106" s="34">
        <v>0</v>
      </c>
      <c r="E106" s="34">
        <v>1</v>
      </c>
      <c r="F106" s="34" t="s">
        <v>197</v>
      </c>
      <c r="G106" s="34" t="s">
        <v>198</v>
      </c>
      <c r="H106" s="34"/>
      <c r="I106" s="34">
        <v>0</v>
      </c>
      <c r="J106" s="34" t="s">
        <v>191</v>
      </c>
      <c r="K106" s="34" t="s">
        <v>923</v>
      </c>
      <c r="L106" s="34" t="s">
        <v>2109</v>
      </c>
      <c r="M106" s="34"/>
      <c r="N106" s="34" t="str">
        <f t="shared" si="1"/>
        <v>Effect(OnHit, iras.passive.buff.buffeffect.skilleffect.06)</v>
      </c>
      <c r="O106" s="34">
        <v>0</v>
      </c>
      <c r="P106" s="34">
        <v>0</v>
      </c>
      <c r="Q106" s="34"/>
      <c r="R106" s="34" t="b">
        <v>1</v>
      </c>
    </row>
    <row r="107" spans="1:18">
      <c r="A107" s="24" t="s">
        <v>2116</v>
      </c>
      <c r="B107" s="24"/>
      <c r="C107" s="24"/>
      <c r="D107" s="24">
        <v>0</v>
      </c>
      <c r="E107" s="24">
        <v>1</v>
      </c>
      <c r="F107" s="24" t="s">
        <v>197</v>
      </c>
      <c r="G107" s="24" t="s">
        <v>198</v>
      </c>
      <c r="H107" s="24"/>
      <c r="I107" s="24">
        <v>0</v>
      </c>
      <c r="J107" s="24" t="s">
        <v>889</v>
      </c>
      <c r="K107" s="24" t="s">
        <v>875</v>
      </c>
      <c r="L107" s="24">
        <v>2500</v>
      </c>
      <c r="M107" s="24"/>
      <c r="N107" s="24" t="str">
        <f t="shared" si="1"/>
        <v>Shield(Attack, 2500)</v>
      </c>
      <c r="O107" s="24">
        <v>0</v>
      </c>
      <c r="P107" s="24">
        <v>0</v>
      </c>
      <c r="Q107" s="24"/>
      <c r="R107" s="24" t="b">
        <v>1</v>
      </c>
    </row>
    <row r="108" spans="1:18">
      <c r="A108" s="24" t="s">
        <v>2117</v>
      </c>
      <c r="B108" s="24"/>
      <c r="C108" s="24"/>
      <c r="D108" s="24">
        <v>0</v>
      </c>
      <c r="E108" s="24">
        <v>1</v>
      </c>
      <c r="F108" s="24" t="s">
        <v>197</v>
      </c>
      <c r="G108" s="24" t="s">
        <v>198</v>
      </c>
      <c r="H108" s="24"/>
      <c r="I108" s="24">
        <v>0</v>
      </c>
      <c r="J108" s="24" t="s">
        <v>889</v>
      </c>
      <c r="K108" s="24" t="s">
        <v>875</v>
      </c>
      <c r="L108" s="24">
        <v>3250</v>
      </c>
      <c r="M108" s="24"/>
      <c r="N108" s="24" t="str">
        <f t="shared" si="1"/>
        <v>Shield(Attack, 3250)</v>
      </c>
      <c r="O108" s="24">
        <v>0</v>
      </c>
      <c r="P108" s="24">
        <v>0</v>
      </c>
      <c r="Q108" s="24"/>
      <c r="R108" s="24" t="b">
        <v>1</v>
      </c>
    </row>
    <row r="109" spans="1:18">
      <c r="A109" s="24" t="s">
        <v>2118</v>
      </c>
      <c r="B109" s="24"/>
      <c r="C109" s="24"/>
      <c r="D109" s="24">
        <v>0</v>
      </c>
      <c r="E109" s="24">
        <v>1</v>
      </c>
      <c r="F109" s="24" t="s">
        <v>197</v>
      </c>
      <c r="G109" s="24" t="s">
        <v>198</v>
      </c>
      <c r="H109" s="24"/>
      <c r="I109" s="24">
        <v>0</v>
      </c>
      <c r="J109" s="24" t="s">
        <v>889</v>
      </c>
      <c r="K109" s="24" t="s">
        <v>875</v>
      </c>
      <c r="L109" s="24">
        <v>3250</v>
      </c>
      <c r="M109" s="24"/>
      <c r="N109" s="24" t="str">
        <f t="shared" si="1"/>
        <v>Shield(Attack, 3250)</v>
      </c>
      <c r="O109" s="24">
        <v>0</v>
      </c>
      <c r="P109" s="24">
        <v>0</v>
      </c>
      <c r="Q109" s="24"/>
      <c r="R109" s="24" t="b">
        <v>1</v>
      </c>
    </row>
    <row r="110" spans="1:18">
      <c r="A110" s="34" t="s">
        <v>2119</v>
      </c>
      <c r="B110" s="34"/>
      <c r="C110" s="34"/>
      <c r="D110" s="34">
        <v>0</v>
      </c>
      <c r="E110" s="34">
        <v>1</v>
      </c>
      <c r="F110" s="34" t="s">
        <v>197</v>
      </c>
      <c r="G110" s="34" t="s">
        <v>198</v>
      </c>
      <c r="H110" s="34"/>
      <c r="I110" s="34">
        <v>0</v>
      </c>
      <c r="J110" s="34" t="s">
        <v>889</v>
      </c>
      <c r="K110" s="34" t="s">
        <v>875</v>
      </c>
      <c r="L110" s="34">
        <v>4000</v>
      </c>
      <c r="M110" s="34"/>
      <c r="N110" s="34" t="str">
        <f t="shared" si="1"/>
        <v>Shield(Attack, 4000)</v>
      </c>
      <c r="O110" s="34">
        <v>0</v>
      </c>
      <c r="P110" s="34">
        <v>0</v>
      </c>
      <c r="Q110" s="34"/>
      <c r="R110" s="34" t="b">
        <v>1</v>
      </c>
    </row>
    <row r="111" spans="1:18">
      <c r="A111" s="34" t="s">
        <v>2120</v>
      </c>
      <c r="B111" s="34"/>
      <c r="C111" s="34"/>
      <c r="D111" s="34">
        <v>0</v>
      </c>
      <c r="E111" s="34">
        <v>1</v>
      </c>
      <c r="F111" s="34" t="s">
        <v>197</v>
      </c>
      <c r="G111" s="34" t="s">
        <v>198</v>
      </c>
      <c r="H111" s="34"/>
      <c r="I111" s="34">
        <v>0</v>
      </c>
      <c r="J111" s="34" t="s">
        <v>889</v>
      </c>
      <c r="K111" s="34" t="s">
        <v>875</v>
      </c>
      <c r="L111" s="34">
        <v>4000</v>
      </c>
      <c r="M111" s="34"/>
      <c r="N111" s="34" t="str">
        <f t="shared" si="1"/>
        <v>Shield(Attack, 4000)</v>
      </c>
      <c r="O111" s="34">
        <v>0</v>
      </c>
      <c r="P111" s="34">
        <v>0</v>
      </c>
      <c r="Q111" s="34"/>
      <c r="R111" s="34" t="b">
        <v>1</v>
      </c>
    </row>
    <row r="112" spans="1:18">
      <c r="A112" s="34" t="s">
        <v>2121</v>
      </c>
      <c r="B112" s="34"/>
      <c r="C112" s="34"/>
      <c r="D112" s="34">
        <v>0</v>
      </c>
      <c r="E112" s="34">
        <v>1</v>
      </c>
      <c r="F112" s="34" t="s">
        <v>197</v>
      </c>
      <c r="G112" s="34" t="s">
        <v>198</v>
      </c>
      <c r="H112" s="34"/>
      <c r="I112" s="34">
        <v>0</v>
      </c>
      <c r="J112" s="34" t="s">
        <v>889</v>
      </c>
      <c r="K112" s="34" t="s">
        <v>875</v>
      </c>
      <c r="L112" s="34">
        <v>4000</v>
      </c>
      <c r="M112" s="34"/>
      <c r="N112" s="34" t="str">
        <f t="shared" si="1"/>
        <v>Shield(Attack, 4000)</v>
      </c>
      <c r="O112" s="34">
        <v>0</v>
      </c>
      <c r="P112" s="34">
        <v>0</v>
      </c>
      <c r="Q112" s="34"/>
      <c r="R112" s="34" t="b">
        <v>1</v>
      </c>
    </row>
    <row r="113" spans="1:18">
      <c r="A113" s="23" t="s">
        <v>2123</v>
      </c>
      <c r="B113" s="23" t="s">
        <v>419</v>
      </c>
      <c r="C113" s="23">
        <v>-90</v>
      </c>
      <c r="D113" s="23">
        <v>0</v>
      </c>
      <c r="E113" s="23">
        <v>1</v>
      </c>
      <c r="F113" s="23" t="s">
        <v>417</v>
      </c>
      <c r="G113" s="23" t="s">
        <v>418</v>
      </c>
      <c r="H113" s="23"/>
      <c r="I113" s="23">
        <v>0</v>
      </c>
      <c r="J113" s="23" t="s">
        <v>1254</v>
      </c>
      <c r="K113" s="23" t="s">
        <v>6599</v>
      </c>
      <c r="L113" s="23"/>
      <c r="M113" s="23"/>
      <c r="N113" s="23" t="str">
        <f t="shared" si="1"/>
        <v>Passive(iras.passive.areadmgup.buff.01.01)</v>
      </c>
      <c r="O113" s="23">
        <v>0</v>
      </c>
      <c r="P113" s="23">
        <v>0</v>
      </c>
      <c r="Q113" s="23"/>
      <c r="R113" s="23" t="b">
        <v>1</v>
      </c>
    </row>
    <row r="114" spans="1:18">
      <c r="A114" s="23" t="s">
        <v>2124</v>
      </c>
      <c r="B114" s="23" t="s">
        <v>419</v>
      </c>
      <c r="C114" s="23">
        <v>-80</v>
      </c>
      <c r="D114" s="23">
        <v>0</v>
      </c>
      <c r="E114" s="23">
        <v>1</v>
      </c>
      <c r="F114" s="23" t="s">
        <v>417</v>
      </c>
      <c r="G114" s="23" t="s">
        <v>418</v>
      </c>
      <c r="H114" s="23"/>
      <c r="I114" s="23">
        <v>0</v>
      </c>
      <c r="J114" s="23" t="s">
        <v>1254</v>
      </c>
      <c r="K114" s="23" t="s">
        <v>2505</v>
      </c>
      <c r="L114" s="23"/>
      <c r="M114" s="23"/>
      <c r="N114" s="23" t="str">
        <f t="shared" si="1"/>
        <v>Passive(iras.passive.areadmgup.buff.01.02)</v>
      </c>
      <c r="O114" s="23">
        <v>0</v>
      </c>
      <c r="P114" s="23">
        <v>0</v>
      </c>
      <c r="Q114" s="23"/>
      <c r="R114" s="23" t="b">
        <v>1</v>
      </c>
    </row>
    <row r="115" spans="1:18">
      <c r="A115" s="23" t="s">
        <v>2125</v>
      </c>
      <c r="B115" s="23" t="s">
        <v>419</v>
      </c>
      <c r="C115" s="23">
        <v>-70</v>
      </c>
      <c r="D115" s="23">
        <v>0</v>
      </c>
      <c r="E115" s="23">
        <v>1</v>
      </c>
      <c r="F115" s="23" t="s">
        <v>417</v>
      </c>
      <c r="G115" s="23" t="s">
        <v>418</v>
      </c>
      <c r="H115" s="23"/>
      <c r="I115" s="23">
        <v>0</v>
      </c>
      <c r="J115" s="23" t="s">
        <v>1254</v>
      </c>
      <c r="K115" s="23" t="s">
        <v>2506</v>
      </c>
      <c r="L115" s="23"/>
      <c r="M115" s="23"/>
      <c r="N115" s="23" t="str">
        <f t="shared" si="1"/>
        <v>Passive(iras.passive.areadmgup.buff.01.03)</v>
      </c>
      <c r="O115" s="23">
        <v>0</v>
      </c>
      <c r="P115" s="23">
        <v>0</v>
      </c>
      <c r="Q115" s="23"/>
      <c r="R115" s="23" t="b">
        <v>1</v>
      </c>
    </row>
    <row r="116" spans="1:18">
      <c r="A116" s="23" t="s">
        <v>2126</v>
      </c>
      <c r="B116" s="23" t="s">
        <v>419</v>
      </c>
      <c r="C116" s="23">
        <v>-60</v>
      </c>
      <c r="D116" s="23">
        <v>0</v>
      </c>
      <c r="E116" s="23">
        <v>1</v>
      </c>
      <c r="F116" s="23" t="s">
        <v>417</v>
      </c>
      <c r="G116" s="23" t="s">
        <v>418</v>
      </c>
      <c r="H116" s="23"/>
      <c r="I116" s="23">
        <v>0</v>
      </c>
      <c r="J116" s="23" t="s">
        <v>1254</v>
      </c>
      <c r="K116" s="23" t="s">
        <v>2507</v>
      </c>
      <c r="L116" s="23"/>
      <c r="M116" s="23"/>
      <c r="N116" s="23" t="str">
        <f t="shared" si="1"/>
        <v>Passive(iras.passive.areadmgup.buff.01.04)</v>
      </c>
      <c r="O116" s="23">
        <v>0</v>
      </c>
      <c r="P116" s="23">
        <v>0</v>
      </c>
      <c r="Q116" s="23"/>
      <c r="R116" s="23" t="b">
        <v>1</v>
      </c>
    </row>
    <row r="117" spans="1:18">
      <c r="A117" s="23" t="s">
        <v>2127</v>
      </c>
      <c r="B117" s="23" t="s">
        <v>419</v>
      </c>
      <c r="C117" s="23">
        <v>-50</v>
      </c>
      <c r="D117" s="23">
        <v>0</v>
      </c>
      <c r="E117" s="23">
        <v>1</v>
      </c>
      <c r="F117" s="23" t="s">
        <v>417</v>
      </c>
      <c r="G117" s="23" t="s">
        <v>418</v>
      </c>
      <c r="H117" s="23"/>
      <c r="I117" s="23">
        <v>0</v>
      </c>
      <c r="J117" s="23" t="s">
        <v>1254</v>
      </c>
      <c r="K117" s="23" t="s">
        <v>2508</v>
      </c>
      <c r="L117" s="23"/>
      <c r="M117" s="23"/>
      <c r="N117" s="23" t="str">
        <f t="shared" si="1"/>
        <v>Passive(iras.passive.areadmgup.buff.01.05)</v>
      </c>
      <c r="O117" s="23">
        <v>0</v>
      </c>
      <c r="P117" s="23">
        <v>0</v>
      </c>
      <c r="Q117" s="23"/>
      <c r="R117" s="23" t="b">
        <v>1</v>
      </c>
    </row>
    <row r="118" spans="1:18">
      <c r="A118" s="23" t="s">
        <v>2128</v>
      </c>
      <c r="B118" s="23" t="s">
        <v>419</v>
      </c>
      <c r="C118" s="23">
        <v>-40</v>
      </c>
      <c r="D118" s="23">
        <v>0</v>
      </c>
      <c r="E118" s="23">
        <v>1</v>
      </c>
      <c r="F118" s="23" t="s">
        <v>417</v>
      </c>
      <c r="G118" s="23" t="s">
        <v>418</v>
      </c>
      <c r="H118" s="23"/>
      <c r="I118" s="23">
        <v>0</v>
      </c>
      <c r="J118" s="23" t="s">
        <v>1254</v>
      </c>
      <c r="K118" s="23" t="s">
        <v>2509</v>
      </c>
      <c r="L118" s="23"/>
      <c r="M118" s="23"/>
      <c r="N118" s="23" t="str">
        <f t="shared" si="1"/>
        <v>Passive(iras.passive.areadmgup.buff.01.06)</v>
      </c>
      <c r="O118" s="23">
        <v>0</v>
      </c>
      <c r="P118" s="23">
        <v>0</v>
      </c>
      <c r="Q118" s="23"/>
      <c r="R118" s="23" t="b">
        <v>1</v>
      </c>
    </row>
    <row r="119" spans="1:18">
      <c r="A119" s="23" t="s">
        <v>2129</v>
      </c>
      <c r="B119" s="23" t="s">
        <v>419</v>
      </c>
      <c r="C119" s="23">
        <v>-30</v>
      </c>
      <c r="D119" s="23">
        <v>0</v>
      </c>
      <c r="E119" s="23">
        <v>1</v>
      </c>
      <c r="F119" s="23" t="s">
        <v>417</v>
      </c>
      <c r="G119" s="23" t="s">
        <v>418</v>
      </c>
      <c r="H119" s="23"/>
      <c r="I119" s="23">
        <v>0</v>
      </c>
      <c r="J119" s="23" t="s">
        <v>1254</v>
      </c>
      <c r="K119" s="23" t="s">
        <v>2510</v>
      </c>
      <c r="L119" s="23"/>
      <c r="M119" s="23"/>
      <c r="N119" s="23" t="str">
        <f t="shared" si="1"/>
        <v>Passive(iras.passive.areadmgup.buff.01.07)</v>
      </c>
      <c r="O119" s="23">
        <v>0</v>
      </c>
      <c r="P119" s="23">
        <v>0</v>
      </c>
      <c r="Q119" s="23"/>
      <c r="R119" s="23" t="b">
        <v>1</v>
      </c>
    </row>
    <row r="120" spans="1:18">
      <c r="A120" s="24" t="s">
        <v>2130</v>
      </c>
      <c r="B120" s="24" t="s">
        <v>419</v>
      </c>
      <c r="C120" s="24">
        <v>-90</v>
      </c>
      <c r="D120" s="24">
        <v>0</v>
      </c>
      <c r="E120" s="24">
        <v>1</v>
      </c>
      <c r="F120" s="24" t="s">
        <v>417</v>
      </c>
      <c r="G120" s="24" t="s">
        <v>418</v>
      </c>
      <c r="H120" s="24"/>
      <c r="I120" s="24">
        <v>0</v>
      </c>
      <c r="J120" s="24" t="s">
        <v>1254</v>
      </c>
      <c r="K120" s="24" t="s">
        <v>6600</v>
      </c>
      <c r="L120" s="24"/>
      <c r="M120" s="24"/>
      <c r="N120" s="24" t="str">
        <f t="shared" si="1"/>
        <v>Passive(iras.passive.areadmgup.buff.02.01)</v>
      </c>
      <c r="O120" s="24">
        <v>0</v>
      </c>
      <c r="P120" s="24">
        <v>0</v>
      </c>
      <c r="Q120" s="24"/>
      <c r="R120" s="24" t="b">
        <v>1</v>
      </c>
    </row>
    <row r="121" spans="1:18">
      <c r="A121" s="24" t="s">
        <v>2131</v>
      </c>
      <c r="B121" s="24" t="s">
        <v>419</v>
      </c>
      <c r="C121" s="24">
        <v>-80</v>
      </c>
      <c r="D121" s="24">
        <v>0</v>
      </c>
      <c r="E121" s="24">
        <v>1</v>
      </c>
      <c r="F121" s="24" t="s">
        <v>417</v>
      </c>
      <c r="G121" s="24" t="s">
        <v>418</v>
      </c>
      <c r="H121" s="24"/>
      <c r="I121" s="24">
        <v>0</v>
      </c>
      <c r="J121" s="24" t="s">
        <v>1254</v>
      </c>
      <c r="K121" s="24" t="s">
        <v>2518</v>
      </c>
      <c r="L121" s="24"/>
      <c r="M121" s="24"/>
      <c r="N121" s="24" t="str">
        <f t="shared" si="1"/>
        <v>Passive(iras.passive.areadmgup.buff.02.02)</v>
      </c>
      <c r="O121" s="24">
        <v>0</v>
      </c>
      <c r="P121" s="24">
        <v>0</v>
      </c>
      <c r="Q121" s="24"/>
      <c r="R121" s="24" t="b">
        <v>1</v>
      </c>
    </row>
    <row r="122" spans="1:18">
      <c r="A122" s="24" t="s">
        <v>2132</v>
      </c>
      <c r="B122" s="24" t="s">
        <v>419</v>
      </c>
      <c r="C122" s="24">
        <v>-70</v>
      </c>
      <c r="D122" s="24">
        <v>0</v>
      </c>
      <c r="E122" s="24">
        <v>1</v>
      </c>
      <c r="F122" s="24" t="s">
        <v>417</v>
      </c>
      <c r="G122" s="24" t="s">
        <v>418</v>
      </c>
      <c r="H122" s="24"/>
      <c r="I122" s="24">
        <v>0</v>
      </c>
      <c r="J122" s="24" t="s">
        <v>1254</v>
      </c>
      <c r="K122" s="24" t="s">
        <v>2519</v>
      </c>
      <c r="L122" s="24"/>
      <c r="M122" s="24"/>
      <c r="N122" s="24" t="str">
        <f t="shared" si="1"/>
        <v>Passive(iras.passive.areadmgup.buff.02.03)</v>
      </c>
      <c r="O122" s="24">
        <v>0</v>
      </c>
      <c r="P122" s="24">
        <v>0</v>
      </c>
      <c r="Q122" s="24"/>
      <c r="R122" s="24" t="b">
        <v>1</v>
      </c>
    </row>
    <row r="123" spans="1:18">
      <c r="A123" s="24" t="s">
        <v>2133</v>
      </c>
      <c r="B123" s="24" t="s">
        <v>419</v>
      </c>
      <c r="C123" s="24">
        <v>-60</v>
      </c>
      <c r="D123" s="24">
        <v>0</v>
      </c>
      <c r="E123" s="24">
        <v>1</v>
      </c>
      <c r="F123" s="24" t="s">
        <v>417</v>
      </c>
      <c r="G123" s="24" t="s">
        <v>418</v>
      </c>
      <c r="H123" s="24"/>
      <c r="I123" s="24">
        <v>0</v>
      </c>
      <c r="J123" s="24" t="s">
        <v>1254</v>
      </c>
      <c r="K123" s="24" t="s">
        <v>2520</v>
      </c>
      <c r="L123" s="24"/>
      <c r="M123" s="24"/>
      <c r="N123" s="24" t="str">
        <f t="shared" si="1"/>
        <v>Passive(iras.passive.areadmgup.buff.02.04)</v>
      </c>
      <c r="O123" s="24">
        <v>0</v>
      </c>
      <c r="P123" s="24">
        <v>0</v>
      </c>
      <c r="Q123" s="24"/>
      <c r="R123" s="24" t="b">
        <v>1</v>
      </c>
    </row>
    <row r="124" spans="1:18">
      <c r="A124" s="24" t="s">
        <v>2134</v>
      </c>
      <c r="B124" s="24" t="s">
        <v>419</v>
      </c>
      <c r="C124" s="24">
        <v>-50</v>
      </c>
      <c r="D124" s="24">
        <v>0</v>
      </c>
      <c r="E124" s="24">
        <v>1</v>
      </c>
      <c r="F124" s="24" t="s">
        <v>417</v>
      </c>
      <c r="G124" s="24" t="s">
        <v>418</v>
      </c>
      <c r="H124" s="24"/>
      <c r="I124" s="24">
        <v>0</v>
      </c>
      <c r="J124" s="24" t="s">
        <v>1254</v>
      </c>
      <c r="K124" s="24" t="s">
        <v>2521</v>
      </c>
      <c r="L124" s="24"/>
      <c r="M124" s="24"/>
      <c r="N124" s="24" t="str">
        <f t="shared" si="1"/>
        <v>Passive(iras.passive.areadmgup.buff.02.05)</v>
      </c>
      <c r="O124" s="24">
        <v>0</v>
      </c>
      <c r="P124" s="24">
        <v>0</v>
      </c>
      <c r="Q124" s="24"/>
      <c r="R124" s="24" t="b">
        <v>1</v>
      </c>
    </row>
    <row r="125" spans="1:18">
      <c r="A125" s="24" t="s">
        <v>2135</v>
      </c>
      <c r="B125" s="24" t="s">
        <v>419</v>
      </c>
      <c r="C125" s="24">
        <v>-40</v>
      </c>
      <c r="D125" s="24">
        <v>0</v>
      </c>
      <c r="E125" s="24">
        <v>1</v>
      </c>
      <c r="F125" s="24" t="s">
        <v>417</v>
      </c>
      <c r="G125" s="24" t="s">
        <v>418</v>
      </c>
      <c r="H125" s="24"/>
      <c r="I125" s="24">
        <v>0</v>
      </c>
      <c r="J125" s="24" t="s">
        <v>1254</v>
      </c>
      <c r="K125" s="24" t="s">
        <v>2522</v>
      </c>
      <c r="L125" s="24"/>
      <c r="M125" s="24"/>
      <c r="N125" s="24" t="str">
        <f t="shared" si="1"/>
        <v>Passive(iras.passive.areadmgup.buff.02.06)</v>
      </c>
      <c r="O125" s="24">
        <v>0</v>
      </c>
      <c r="P125" s="24">
        <v>0</v>
      </c>
      <c r="Q125" s="24"/>
      <c r="R125" s="24" t="b">
        <v>1</v>
      </c>
    </row>
    <row r="126" spans="1:18">
      <c r="A126" s="24" t="s">
        <v>2136</v>
      </c>
      <c r="B126" s="24" t="s">
        <v>419</v>
      </c>
      <c r="C126" s="24">
        <v>-30</v>
      </c>
      <c r="D126" s="24">
        <v>0</v>
      </c>
      <c r="E126" s="24">
        <v>1</v>
      </c>
      <c r="F126" s="24" t="s">
        <v>417</v>
      </c>
      <c r="G126" s="24" t="s">
        <v>418</v>
      </c>
      <c r="H126" s="24"/>
      <c r="I126" s="24">
        <v>0</v>
      </c>
      <c r="J126" s="24" t="s">
        <v>1254</v>
      </c>
      <c r="K126" s="24" t="s">
        <v>2523</v>
      </c>
      <c r="L126" s="24"/>
      <c r="M126" s="24"/>
      <c r="N126" s="24" t="str">
        <f t="shared" si="1"/>
        <v>Passive(iras.passive.areadmgup.buff.02.07)</v>
      </c>
      <c r="O126" s="24">
        <v>0</v>
      </c>
      <c r="P126" s="24">
        <v>0</v>
      </c>
      <c r="Q126" s="24"/>
      <c r="R126" s="24" t="b">
        <v>1</v>
      </c>
    </row>
    <row r="127" spans="1:18" s="12" customFormat="1">
      <c r="A127" s="41" t="s">
        <v>3230</v>
      </c>
      <c r="B127" s="41" t="s">
        <v>419</v>
      </c>
      <c r="C127" s="41">
        <v>-90</v>
      </c>
      <c r="D127" s="41">
        <v>0</v>
      </c>
      <c r="E127" s="41">
        <v>1</v>
      </c>
      <c r="F127" s="41" t="s">
        <v>417</v>
      </c>
      <c r="G127" s="41" t="s">
        <v>418</v>
      </c>
      <c r="H127" s="41"/>
      <c r="I127" s="41">
        <v>0</v>
      </c>
      <c r="J127" s="41" t="s">
        <v>1254</v>
      </c>
      <c r="K127" s="41" t="s">
        <v>3216</v>
      </c>
      <c r="L127" s="41"/>
      <c r="M127" s="41"/>
      <c r="N127" s="41" t="str">
        <f t="shared" si="1"/>
        <v>Passive(iras.passive.areadmgup.buff.03.01)</v>
      </c>
      <c r="O127" s="41">
        <v>0</v>
      </c>
      <c r="P127" s="41">
        <v>0</v>
      </c>
      <c r="Q127" s="41"/>
      <c r="R127" s="41" t="b">
        <v>1</v>
      </c>
    </row>
    <row r="128" spans="1:18" s="12" customFormat="1">
      <c r="A128" s="41" t="s">
        <v>3231</v>
      </c>
      <c r="B128" s="41" t="s">
        <v>419</v>
      </c>
      <c r="C128" s="41">
        <v>-80</v>
      </c>
      <c r="D128" s="41">
        <v>0</v>
      </c>
      <c r="E128" s="41">
        <v>1</v>
      </c>
      <c r="F128" s="41" t="s">
        <v>417</v>
      </c>
      <c r="G128" s="41" t="s">
        <v>418</v>
      </c>
      <c r="H128" s="41"/>
      <c r="I128" s="41">
        <v>0</v>
      </c>
      <c r="J128" s="41" t="s">
        <v>1254</v>
      </c>
      <c r="K128" s="41" t="s">
        <v>3218</v>
      </c>
      <c r="L128" s="41"/>
      <c r="M128" s="41"/>
      <c r="N128" s="41" t="str">
        <f t="shared" si="1"/>
        <v>Passive(iras.passive.areadmgup.buff.03.02)</v>
      </c>
      <c r="O128" s="41">
        <v>0</v>
      </c>
      <c r="P128" s="41">
        <v>0</v>
      </c>
      <c r="Q128" s="41"/>
      <c r="R128" s="41" t="b">
        <v>1</v>
      </c>
    </row>
    <row r="129" spans="1:18" s="12" customFormat="1">
      <c r="A129" s="41" t="s">
        <v>3232</v>
      </c>
      <c r="B129" s="41" t="s">
        <v>419</v>
      </c>
      <c r="C129" s="41">
        <v>-70</v>
      </c>
      <c r="D129" s="41">
        <v>0</v>
      </c>
      <c r="E129" s="41">
        <v>1</v>
      </c>
      <c r="F129" s="41" t="s">
        <v>417</v>
      </c>
      <c r="G129" s="41" t="s">
        <v>418</v>
      </c>
      <c r="H129" s="41"/>
      <c r="I129" s="41">
        <v>0</v>
      </c>
      <c r="J129" s="41" t="s">
        <v>1254</v>
      </c>
      <c r="K129" s="41" t="s">
        <v>3220</v>
      </c>
      <c r="L129" s="41"/>
      <c r="M129" s="41"/>
      <c r="N129" s="41" t="str">
        <f t="shared" si="1"/>
        <v>Passive(iras.passive.areadmgup.buff.03.03)</v>
      </c>
      <c r="O129" s="41">
        <v>0</v>
      </c>
      <c r="P129" s="41">
        <v>0</v>
      </c>
      <c r="Q129" s="41"/>
      <c r="R129" s="41" t="b">
        <v>1</v>
      </c>
    </row>
    <row r="130" spans="1:18" s="12" customFormat="1">
      <c r="A130" s="41" t="s">
        <v>3233</v>
      </c>
      <c r="B130" s="41" t="s">
        <v>419</v>
      </c>
      <c r="C130" s="41">
        <v>-60</v>
      </c>
      <c r="D130" s="41">
        <v>0</v>
      </c>
      <c r="E130" s="41">
        <v>1</v>
      </c>
      <c r="F130" s="41" t="s">
        <v>417</v>
      </c>
      <c r="G130" s="41" t="s">
        <v>418</v>
      </c>
      <c r="H130" s="41"/>
      <c r="I130" s="41">
        <v>0</v>
      </c>
      <c r="J130" s="41" t="s">
        <v>1254</v>
      </c>
      <c r="K130" s="41" t="s">
        <v>3222</v>
      </c>
      <c r="L130" s="41"/>
      <c r="M130" s="41"/>
      <c r="N130" s="41" t="str">
        <f t="shared" si="1"/>
        <v>Passive(iras.passive.areadmgup.buff.03.04)</v>
      </c>
      <c r="O130" s="41">
        <v>0</v>
      </c>
      <c r="P130" s="41">
        <v>0</v>
      </c>
      <c r="Q130" s="41"/>
      <c r="R130" s="41" t="b">
        <v>1</v>
      </c>
    </row>
    <row r="131" spans="1:18" s="12" customFormat="1">
      <c r="A131" s="41" t="s">
        <v>3234</v>
      </c>
      <c r="B131" s="41" t="s">
        <v>419</v>
      </c>
      <c r="C131" s="41">
        <v>-50</v>
      </c>
      <c r="D131" s="41">
        <v>0</v>
      </c>
      <c r="E131" s="41">
        <v>1</v>
      </c>
      <c r="F131" s="41" t="s">
        <v>417</v>
      </c>
      <c r="G131" s="41" t="s">
        <v>418</v>
      </c>
      <c r="H131" s="41"/>
      <c r="I131" s="41">
        <v>0</v>
      </c>
      <c r="J131" s="41" t="s">
        <v>1254</v>
      </c>
      <c r="K131" s="41" t="s">
        <v>3224</v>
      </c>
      <c r="L131" s="41"/>
      <c r="M131" s="41"/>
      <c r="N131" s="41" t="str">
        <f t="shared" si="1"/>
        <v>Passive(iras.passive.areadmgup.buff.03.05)</v>
      </c>
      <c r="O131" s="41">
        <v>0</v>
      </c>
      <c r="P131" s="41">
        <v>0</v>
      </c>
      <c r="Q131" s="41"/>
      <c r="R131" s="41" t="b">
        <v>1</v>
      </c>
    </row>
    <row r="132" spans="1:18" s="12" customFormat="1">
      <c r="A132" s="41" t="s">
        <v>3235</v>
      </c>
      <c r="B132" s="41" t="s">
        <v>419</v>
      </c>
      <c r="C132" s="41">
        <v>-40</v>
      </c>
      <c r="D132" s="41">
        <v>0</v>
      </c>
      <c r="E132" s="41">
        <v>1</v>
      </c>
      <c r="F132" s="41" t="s">
        <v>417</v>
      </c>
      <c r="G132" s="41" t="s">
        <v>418</v>
      </c>
      <c r="H132" s="41"/>
      <c r="I132" s="41">
        <v>0</v>
      </c>
      <c r="J132" s="41" t="s">
        <v>1254</v>
      </c>
      <c r="K132" s="41" t="s">
        <v>3226</v>
      </c>
      <c r="L132" s="41"/>
      <c r="M132" s="41"/>
      <c r="N132" s="41" t="str">
        <f t="shared" si="1"/>
        <v>Passive(iras.passive.areadmgup.buff.03.06)</v>
      </c>
      <c r="O132" s="41">
        <v>0</v>
      </c>
      <c r="P132" s="41">
        <v>0</v>
      </c>
      <c r="Q132" s="41"/>
      <c r="R132" s="41" t="b">
        <v>1</v>
      </c>
    </row>
    <row r="133" spans="1:18" s="12" customFormat="1">
      <c r="A133" s="41" t="s">
        <v>3236</v>
      </c>
      <c r="B133" s="41" t="s">
        <v>419</v>
      </c>
      <c r="C133" s="41">
        <v>-30</v>
      </c>
      <c r="D133" s="41">
        <v>0</v>
      </c>
      <c r="E133" s="41">
        <v>1</v>
      </c>
      <c r="F133" s="41" t="s">
        <v>417</v>
      </c>
      <c r="G133" s="41" t="s">
        <v>418</v>
      </c>
      <c r="H133" s="41"/>
      <c r="I133" s="41">
        <v>0</v>
      </c>
      <c r="J133" s="41" t="s">
        <v>1254</v>
      </c>
      <c r="K133" s="41" t="s">
        <v>3228</v>
      </c>
      <c r="L133" s="41"/>
      <c r="M133" s="41"/>
      <c r="N133" s="41" t="str">
        <f t="shared" ref="N133:N257" si="2">J133&amp;"("&amp;IF(K133="","",K133)&amp;IF(L133="","",", "&amp;L133)&amp;IF(M133="","",", "&amp;M133)&amp;")"</f>
        <v>Passive(iras.passive.areadmgup.buff.03.07)</v>
      </c>
      <c r="O133" s="41">
        <v>0</v>
      </c>
      <c r="P133" s="41">
        <v>0</v>
      </c>
      <c r="Q133" s="41"/>
      <c r="R133" s="41" t="b">
        <v>1</v>
      </c>
    </row>
    <row r="134" spans="1:18">
      <c r="A134" s="23" t="s">
        <v>2511</v>
      </c>
      <c r="B134" s="23" t="s">
        <v>1234</v>
      </c>
      <c r="C134" s="23" t="s">
        <v>1237</v>
      </c>
      <c r="D134" s="23">
        <v>0</v>
      </c>
      <c r="E134" s="23">
        <v>1</v>
      </c>
      <c r="F134" s="23" t="s">
        <v>197</v>
      </c>
      <c r="G134" s="23" t="s">
        <v>198</v>
      </c>
      <c r="H134" s="23"/>
      <c r="I134" s="23">
        <v>0</v>
      </c>
      <c r="J134" s="23" t="s">
        <v>838</v>
      </c>
      <c r="K134" s="23" t="s">
        <v>935</v>
      </c>
      <c r="L134" s="23">
        <v>30</v>
      </c>
      <c r="M134" s="23"/>
      <c r="N134" s="23" t="str">
        <f t="shared" si="2"/>
        <v>Status(AreaDamageRate, 30)</v>
      </c>
      <c r="O134" s="23">
        <v>0</v>
      </c>
      <c r="P134" s="23">
        <v>0</v>
      </c>
      <c r="Q134" s="23"/>
      <c r="R134" s="23" t="b">
        <v>1</v>
      </c>
    </row>
    <row r="135" spans="1:18">
      <c r="A135" s="23" t="s">
        <v>2512</v>
      </c>
      <c r="B135" s="23" t="s">
        <v>1234</v>
      </c>
      <c r="C135" s="23" t="s">
        <v>1237</v>
      </c>
      <c r="D135" s="23">
        <v>0</v>
      </c>
      <c r="E135" s="23">
        <v>1</v>
      </c>
      <c r="F135" s="23" t="s">
        <v>197</v>
      </c>
      <c r="G135" s="23" t="s">
        <v>198</v>
      </c>
      <c r="H135" s="23"/>
      <c r="I135" s="23">
        <v>0</v>
      </c>
      <c r="J135" s="23" t="s">
        <v>838</v>
      </c>
      <c r="K135" s="23" t="s">
        <v>935</v>
      </c>
      <c r="L135" s="23">
        <v>30</v>
      </c>
      <c r="M135" s="23"/>
      <c r="N135" s="23" t="str">
        <f t="shared" si="2"/>
        <v>Status(AreaDamageRate, 30)</v>
      </c>
      <c r="O135" s="23">
        <v>0</v>
      </c>
      <c r="P135" s="23">
        <v>0</v>
      </c>
      <c r="Q135" s="23"/>
      <c r="R135" s="23" t="b">
        <v>1</v>
      </c>
    </row>
    <row r="136" spans="1:18">
      <c r="A136" s="23" t="s">
        <v>2513</v>
      </c>
      <c r="B136" s="23" t="s">
        <v>1234</v>
      </c>
      <c r="C136" s="23" t="s">
        <v>1237</v>
      </c>
      <c r="D136" s="23">
        <v>0</v>
      </c>
      <c r="E136" s="23">
        <v>1</v>
      </c>
      <c r="F136" s="23" t="s">
        <v>197</v>
      </c>
      <c r="G136" s="23" t="s">
        <v>198</v>
      </c>
      <c r="H136" s="23"/>
      <c r="I136" s="23">
        <v>0</v>
      </c>
      <c r="J136" s="23" t="s">
        <v>838</v>
      </c>
      <c r="K136" s="23" t="s">
        <v>935</v>
      </c>
      <c r="L136" s="23">
        <v>30</v>
      </c>
      <c r="M136" s="23"/>
      <c r="N136" s="23" t="str">
        <f t="shared" si="2"/>
        <v>Status(AreaDamageRate, 30)</v>
      </c>
      <c r="O136" s="23">
        <v>0</v>
      </c>
      <c r="P136" s="23">
        <v>0</v>
      </c>
      <c r="Q136" s="23"/>
      <c r="R136" s="23" t="b">
        <v>1</v>
      </c>
    </row>
    <row r="137" spans="1:18">
      <c r="A137" s="23" t="s">
        <v>2514</v>
      </c>
      <c r="B137" s="23" t="s">
        <v>1234</v>
      </c>
      <c r="C137" s="23" t="s">
        <v>1237</v>
      </c>
      <c r="D137" s="23">
        <v>0</v>
      </c>
      <c r="E137" s="23">
        <v>1</v>
      </c>
      <c r="F137" s="23" t="s">
        <v>197</v>
      </c>
      <c r="G137" s="23" t="s">
        <v>198</v>
      </c>
      <c r="H137" s="23"/>
      <c r="I137" s="23">
        <v>0</v>
      </c>
      <c r="J137" s="23" t="s">
        <v>838</v>
      </c>
      <c r="K137" s="23" t="s">
        <v>935</v>
      </c>
      <c r="L137" s="23">
        <v>30</v>
      </c>
      <c r="M137" s="23"/>
      <c r="N137" s="23" t="str">
        <f t="shared" si="2"/>
        <v>Status(AreaDamageRate, 30)</v>
      </c>
      <c r="O137" s="23">
        <v>0</v>
      </c>
      <c r="P137" s="23">
        <v>0</v>
      </c>
      <c r="Q137" s="23"/>
      <c r="R137" s="23" t="b">
        <v>1</v>
      </c>
    </row>
    <row r="138" spans="1:18">
      <c r="A138" s="23" t="s">
        <v>2515</v>
      </c>
      <c r="B138" s="23" t="s">
        <v>1234</v>
      </c>
      <c r="C138" s="23" t="s">
        <v>1237</v>
      </c>
      <c r="D138" s="23">
        <v>0</v>
      </c>
      <c r="E138" s="23">
        <v>1</v>
      </c>
      <c r="F138" s="23" t="s">
        <v>197</v>
      </c>
      <c r="G138" s="23" t="s">
        <v>198</v>
      </c>
      <c r="H138" s="23"/>
      <c r="I138" s="23">
        <v>0</v>
      </c>
      <c r="J138" s="23" t="s">
        <v>838</v>
      </c>
      <c r="K138" s="23" t="s">
        <v>935</v>
      </c>
      <c r="L138" s="23">
        <v>30</v>
      </c>
      <c r="M138" s="23"/>
      <c r="N138" s="23" t="str">
        <f t="shared" si="2"/>
        <v>Status(AreaDamageRate, 30)</v>
      </c>
      <c r="O138" s="23">
        <v>0</v>
      </c>
      <c r="P138" s="23">
        <v>0</v>
      </c>
      <c r="Q138" s="23"/>
      <c r="R138" s="23" t="b">
        <v>1</v>
      </c>
    </row>
    <row r="139" spans="1:18">
      <c r="A139" s="23" t="s">
        <v>2516</v>
      </c>
      <c r="B139" s="23" t="s">
        <v>1234</v>
      </c>
      <c r="C139" s="23" t="s">
        <v>1237</v>
      </c>
      <c r="D139" s="23">
        <v>0</v>
      </c>
      <c r="E139" s="23">
        <v>1</v>
      </c>
      <c r="F139" s="23" t="s">
        <v>197</v>
      </c>
      <c r="G139" s="23" t="s">
        <v>198</v>
      </c>
      <c r="H139" s="23"/>
      <c r="I139" s="23">
        <v>0</v>
      </c>
      <c r="J139" s="23" t="s">
        <v>838</v>
      </c>
      <c r="K139" s="23" t="s">
        <v>935</v>
      </c>
      <c r="L139" s="23">
        <v>30</v>
      </c>
      <c r="M139" s="23"/>
      <c r="N139" s="23" t="str">
        <f t="shared" si="2"/>
        <v>Status(AreaDamageRate, 30)</v>
      </c>
      <c r="O139" s="23">
        <v>0</v>
      </c>
      <c r="P139" s="23">
        <v>0</v>
      </c>
      <c r="Q139" s="23"/>
      <c r="R139" s="23" t="b">
        <v>1</v>
      </c>
    </row>
    <row r="140" spans="1:18">
      <c r="A140" s="23" t="s">
        <v>2517</v>
      </c>
      <c r="B140" s="23" t="s">
        <v>1234</v>
      </c>
      <c r="C140" s="23" t="s">
        <v>1237</v>
      </c>
      <c r="D140" s="23">
        <v>0</v>
      </c>
      <c r="E140" s="23">
        <v>1</v>
      </c>
      <c r="F140" s="23" t="s">
        <v>197</v>
      </c>
      <c r="G140" s="23" t="s">
        <v>198</v>
      </c>
      <c r="H140" s="23"/>
      <c r="I140" s="23">
        <v>0</v>
      </c>
      <c r="J140" s="23" t="s">
        <v>838</v>
      </c>
      <c r="K140" s="23" t="s">
        <v>935</v>
      </c>
      <c r="L140" s="23">
        <v>30</v>
      </c>
      <c r="M140" s="23"/>
      <c r="N140" s="23" t="str">
        <f t="shared" si="2"/>
        <v>Status(AreaDamageRate, 30)</v>
      </c>
      <c r="O140" s="23">
        <v>0</v>
      </c>
      <c r="P140" s="23">
        <v>0</v>
      </c>
      <c r="Q140" s="23"/>
      <c r="R140" s="23" t="b">
        <v>1</v>
      </c>
    </row>
    <row r="141" spans="1:18">
      <c r="A141" s="24" t="s">
        <v>2524</v>
      </c>
      <c r="B141" s="24" t="s">
        <v>1234</v>
      </c>
      <c r="C141" s="24" t="s">
        <v>1237</v>
      </c>
      <c r="D141" s="24">
        <v>0</v>
      </c>
      <c r="E141" s="24">
        <v>1</v>
      </c>
      <c r="F141" s="24" t="s">
        <v>197</v>
      </c>
      <c r="G141" s="24" t="s">
        <v>198</v>
      </c>
      <c r="H141" s="24"/>
      <c r="I141" s="24">
        <v>0</v>
      </c>
      <c r="J141" s="24" t="s">
        <v>838</v>
      </c>
      <c r="K141" s="24" t="s">
        <v>935</v>
      </c>
      <c r="L141" s="24">
        <v>50</v>
      </c>
      <c r="M141" s="24"/>
      <c r="N141" s="24" t="str">
        <f t="shared" si="2"/>
        <v>Status(AreaDamageRate, 50)</v>
      </c>
      <c r="O141" s="24">
        <v>0</v>
      </c>
      <c r="P141" s="24">
        <v>0</v>
      </c>
      <c r="Q141" s="24"/>
      <c r="R141" s="24" t="b">
        <v>1</v>
      </c>
    </row>
    <row r="142" spans="1:18">
      <c r="A142" s="24" t="s">
        <v>2525</v>
      </c>
      <c r="B142" s="24" t="s">
        <v>1234</v>
      </c>
      <c r="C142" s="24" t="s">
        <v>1237</v>
      </c>
      <c r="D142" s="24">
        <v>0</v>
      </c>
      <c r="E142" s="24">
        <v>1</v>
      </c>
      <c r="F142" s="24" t="s">
        <v>197</v>
      </c>
      <c r="G142" s="24" t="s">
        <v>198</v>
      </c>
      <c r="H142" s="24"/>
      <c r="I142" s="24">
        <v>0</v>
      </c>
      <c r="J142" s="24" t="s">
        <v>838</v>
      </c>
      <c r="K142" s="24" t="s">
        <v>935</v>
      </c>
      <c r="L142" s="24">
        <v>50</v>
      </c>
      <c r="M142" s="24"/>
      <c r="N142" s="24" t="str">
        <f t="shared" si="2"/>
        <v>Status(AreaDamageRate, 50)</v>
      </c>
      <c r="O142" s="24">
        <v>0</v>
      </c>
      <c r="P142" s="24">
        <v>0</v>
      </c>
      <c r="Q142" s="24"/>
      <c r="R142" s="24" t="b">
        <v>1</v>
      </c>
    </row>
    <row r="143" spans="1:18">
      <c r="A143" s="24" t="s">
        <v>2526</v>
      </c>
      <c r="B143" s="24" t="s">
        <v>1234</v>
      </c>
      <c r="C143" s="24" t="s">
        <v>1237</v>
      </c>
      <c r="D143" s="24">
        <v>0</v>
      </c>
      <c r="E143" s="24">
        <v>1</v>
      </c>
      <c r="F143" s="24" t="s">
        <v>197</v>
      </c>
      <c r="G143" s="24" t="s">
        <v>198</v>
      </c>
      <c r="H143" s="24"/>
      <c r="I143" s="24">
        <v>0</v>
      </c>
      <c r="J143" s="24" t="s">
        <v>838</v>
      </c>
      <c r="K143" s="24" t="s">
        <v>935</v>
      </c>
      <c r="L143" s="24">
        <v>50</v>
      </c>
      <c r="M143" s="24"/>
      <c r="N143" s="24" t="str">
        <f t="shared" si="2"/>
        <v>Status(AreaDamageRate, 50)</v>
      </c>
      <c r="O143" s="24">
        <v>0</v>
      </c>
      <c r="P143" s="24">
        <v>0</v>
      </c>
      <c r="Q143" s="24"/>
      <c r="R143" s="24" t="b">
        <v>1</v>
      </c>
    </row>
    <row r="144" spans="1:18">
      <c r="A144" s="24" t="s">
        <v>2527</v>
      </c>
      <c r="B144" s="24" t="s">
        <v>1234</v>
      </c>
      <c r="C144" s="24" t="s">
        <v>1237</v>
      </c>
      <c r="D144" s="24">
        <v>0</v>
      </c>
      <c r="E144" s="24">
        <v>1</v>
      </c>
      <c r="F144" s="24" t="s">
        <v>197</v>
      </c>
      <c r="G144" s="24" t="s">
        <v>198</v>
      </c>
      <c r="H144" s="24"/>
      <c r="I144" s="24">
        <v>0</v>
      </c>
      <c r="J144" s="24" t="s">
        <v>838</v>
      </c>
      <c r="K144" s="24" t="s">
        <v>935</v>
      </c>
      <c r="L144" s="24">
        <v>50</v>
      </c>
      <c r="M144" s="24"/>
      <c r="N144" s="24" t="str">
        <f t="shared" si="2"/>
        <v>Status(AreaDamageRate, 50)</v>
      </c>
      <c r="O144" s="24">
        <v>0</v>
      </c>
      <c r="P144" s="24">
        <v>0</v>
      </c>
      <c r="Q144" s="24"/>
      <c r="R144" s="24" t="b">
        <v>1</v>
      </c>
    </row>
    <row r="145" spans="1:18">
      <c r="A145" s="24" t="s">
        <v>2528</v>
      </c>
      <c r="B145" s="24" t="s">
        <v>1234</v>
      </c>
      <c r="C145" s="24" t="s">
        <v>1237</v>
      </c>
      <c r="D145" s="24">
        <v>0</v>
      </c>
      <c r="E145" s="24">
        <v>1</v>
      </c>
      <c r="F145" s="24" t="s">
        <v>197</v>
      </c>
      <c r="G145" s="24" t="s">
        <v>198</v>
      </c>
      <c r="H145" s="24"/>
      <c r="I145" s="24">
        <v>0</v>
      </c>
      <c r="J145" s="24" t="s">
        <v>838</v>
      </c>
      <c r="K145" s="24" t="s">
        <v>935</v>
      </c>
      <c r="L145" s="24">
        <v>50</v>
      </c>
      <c r="M145" s="24"/>
      <c r="N145" s="24" t="str">
        <f t="shared" si="2"/>
        <v>Status(AreaDamageRate, 50)</v>
      </c>
      <c r="O145" s="24">
        <v>0</v>
      </c>
      <c r="P145" s="24">
        <v>0</v>
      </c>
      <c r="Q145" s="24"/>
      <c r="R145" s="24" t="b">
        <v>1</v>
      </c>
    </row>
    <row r="146" spans="1:18">
      <c r="A146" s="24" t="s">
        <v>2529</v>
      </c>
      <c r="B146" s="24" t="s">
        <v>1234</v>
      </c>
      <c r="C146" s="24" t="s">
        <v>1237</v>
      </c>
      <c r="D146" s="24">
        <v>0</v>
      </c>
      <c r="E146" s="24">
        <v>1</v>
      </c>
      <c r="F146" s="24" t="s">
        <v>197</v>
      </c>
      <c r="G146" s="24" t="s">
        <v>198</v>
      </c>
      <c r="H146" s="24"/>
      <c r="I146" s="24">
        <v>0</v>
      </c>
      <c r="J146" s="24" t="s">
        <v>838</v>
      </c>
      <c r="K146" s="24" t="s">
        <v>935</v>
      </c>
      <c r="L146" s="24">
        <v>50</v>
      </c>
      <c r="M146" s="24"/>
      <c r="N146" s="24" t="str">
        <f t="shared" si="2"/>
        <v>Status(AreaDamageRate, 50)</v>
      </c>
      <c r="O146" s="24">
        <v>0</v>
      </c>
      <c r="P146" s="24">
        <v>0</v>
      </c>
      <c r="Q146" s="24"/>
      <c r="R146" s="24" t="b">
        <v>1</v>
      </c>
    </row>
    <row r="147" spans="1:18">
      <c r="A147" s="24" t="s">
        <v>2530</v>
      </c>
      <c r="B147" s="24" t="s">
        <v>1234</v>
      </c>
      <c r="C147" s="24" t="s">
        <v>1237</v>
      </c>
      <c r="D147" s="24">
        <v>0</v>
      </c>
      <c r="E147" s="24">
        <v>1</v>
      </c>
      <c r="F147" s="24" t="s">
        <v>197</v>
      </c>
      <c r="G147" s="24" t="s">
        <v>198</v>
      </c>
      <c r="H147" s="24"/>
      <c r="I147" s="24">
        <v>0</v>
      </c>
      <c r="J147" s="24" t="s">
        <v>838</v>
      </c>
      <c r="K147" s="24" t="s">
        <v>935</v>
      </c>
      <c r="L147" s="24">
        <v>50</v>
      </c>
      <c r="M147" s="24"/>
      <c r="N147" s="24" t="str">
        <f t="shared" si="2"/>
        <v>Status(AreaDamageRate, 50)</v>
      </c>
      <c r="O147" s="24">
        <v>0</v>
      </c>
      <c r="P147" s="24">
        <v>0</v>
      </c>
      <c r="Q147" s="24"/>
      <c r="R147" s="24" t="b">
        <v>1</v>
      </c>
    </row>
    <row r="148" spans="1:18" s="12" customFormat="1">
      <c r="A148" s="41" t="s">
        <v>3217</v>
      </c>
      <c r="B148" s="41" t="s">
        <v>1234</v>
      </c>
      <c r="C148" s="41" t="s">
        <v>1237</v>
      </c>
      <c r="D148" s="41">
        <v>0</v>
      </c>
      <c r="E148" s="41">
        <v>1</v>
      </c>
      <c r="F148" s="41" t="s">
        <v>197</v>
      </c>
      <c r="G148" s="41" t="s">
        <v>198</v>
      </c>
      <c r="H148" s="41"/>
      <c r="I148" s="41">
        <v>0</v>
      </c>
      <c r="J148" s="41" t="s">
        <v>838</v>
      </c>
      <c r="K148" s="41" t="s">
        <v>935</v>
      </c>
      <c r="L148" s="41">
        <v>60</v>
      </c>
      <c r="M148" s="41"/>
      <c r="N148" s="41" t="str">
        <f t="shared" si="2"/>
        <v>Status(AreaDamageRate, 60)</v>
      </c>
      <c r="O148" s="41">
        <v>0</v>
      </c>
      <c r="P148" s="41">
        <v>0</v>
      </c>
      <c r="Q148" s="41"/>
      <c r="R148" s="41" t="b">
        <v>1</v>
      </c>
    </row>
    <row r="149" spans="1:18" s="12" customFormat="1">
      <c r="A149" s="41" t="s">
        <v>3219</v>
      </c>
      <c r="B149" s="41" t="s">
        <v>1234</v>
      </c>
      <c r="C149" s="41" t="s">
        <v>1237</v>
      </c>
      <c r="D149" s="41">
        <v>0</v>
      </c>
      <c r="E149" s="41">
        <v>1</v>
      </c>
      <c r="F149" s="41" t="s">
        <v>197</v>
      </c>
      <c r="G149" s="41" t="s">
        <v>198</v>
      </c>
      <c r="H149" s="41"/>
      <c r="I149" s="41">
        <v>0</v>
      </c>
      <c r="J149" s="41" t="s">
        <v>838</v>
      </c>
      <c r="K149" s="41" t="s">
        <v>935</v>
      </c>
      <c r="L149" s="41">
        <v>60</v>
      </c>
      <c r="M149" s="41"/>
      <c r="N149" s="41" t="str">
        <f t="shared" si="2"/>
        <v>Status(AreaDamageRate, 60)</v>
      </c>
      <c r="O149" s="41">
        <v>0</v>
      </c>
      <c r="P149" s="41">
        <v>0</v>
      </c>
      <c r="Q149" s="41"/>
      <c r="R149" s="41" t="b">
        <v>1</v>
      </c>
    </row>
    <row r="150" spans="1:18" s="12" customFormat="1">
      <c r="A150" s="41" t="s">
        <v>3221</v>
      </c>
      <c r="B150" s="41" t="s">
        <v>1234</v>
      </c>
      <c r="C150" s="41" t="s">
        <v>1237</v>
      </c>
      <c r="D150" s="41">
        <v>0</v>
      </c>
      <c r="E150" s="41">
        <v>1</v>
      </c>
      <c r="F150" s="41" t="s">
        <v>197</v>
      </c>
      <c r="G150" s="41" t="s">
        <v>198</v>
      </c>
      <c r="H150" s="41"/>
      <c r="I150" s="41">
        <v>0</v>
      </c>
      <c r="J150" s="41" t="s">
        <v>838</v>
      </c>
      <c r="K150" s="41" t="s">
        <v>935</v>
      </c>
      <c r="L150" s="41">
        <v>60</v>
      </c>
      <c r="M150" s="41"/>
      <c r="N150" s="41" t="str">
        <f t="shared" si="2"/>
        <v>Status(AreaDamageRate, 60)</v>
      </c>
      <c r="O150" s="41">
        <v>0</v>
      </c>
      <c r="P150" s="41">
        <v>0</v>
      </c>
      <c r="Q150" s="41"/>
      <c r="R150" s="41" t="b">
        <v>1</v>
      </c>
    </row>
    <row r="151" spans="1:18" s="12" customFormat="1">
      <c r="A151" s="41" t="s">
        <v>3223</v>
      </c>
      <c r="B151" s="41" t="s">
        <v>1234</v>
      </c>
      <c r="C151" s="41" t="s">
        <v>1237</v>
      </c>
      <c r="D151" s="41">
        <v>0</v>
      </c>
      <c r="E151" s="41">
        <v>1</v>
      </c>
      <c r="F151" s="41" t="s">
        <v>197</v>
      </c>
      <c r="G151" s="41" t="s">
        <v>198</v>
      </c>
      <c r="H151" s="41"/>
      <c r="I151" s="41">
        <v>0</v>
      </c>
      <c r="J151" s="41" t="s">
        <v>838</v>
      </c>
      <c r="K151" s="41" t="s">
        <v>935</v>
      </c>
      <c r="L151" s="41">
        <v>60</v>
      </c>
      <c r="M151" s="41"/>
      <c r="N151" s="41" t="str">
        <f t="shared" si="2"/>
        <v>Status(AreaDamageRate, 60)</v>
      </c>
      <c r="O151" s="41">
        <v>0</v>
      </c>
      <c r="P151" s="41">
        <v>0</v>
      </c>
      <c r="Q151" s="41"/>
      <c r="R151" s="41" t="b">
        <v>1</v>
      </c>
    </row>
    <row r="152" spans="1:18" s="12" customFormat="1">
      <c r="A152" s="41" t="s">
        <v>3225</v>
      </c>
      <c r="B152" s="41" t="s">
        <v>1234</v>
      </c>
      <c r="C152" s="41" t="s">
        <v>1237</v>
      </c>
      <c r="D152" s="41">
        <v>0</v>
      </c>
      <c r="E152" s="41">
        <v>1</v>
      </c>
      <c r="F152" s="41" t="s">
        <v>197</v>
      </c>
      <c r="G152" s="41" t="s">
        <v>198</v>
      </c>
      <c r="H152" s="41"/>
      <c r="I152" s="41">
        <v>0</v>
      </c>
      <c r="J152" s="41" t="s">
        <v>838</v>
      </c>
      <c r="K152" s="41" t="s">
        <v>935</v>
      </c>
      <c r="L152" s="41">
        <v>60</v>
      </c>
      <c r="M152" s="41"/>
      <c r="N152" s="41" t="str">
        <f t="shared" si="2"/>
        <v>Status(AreaDamageRate, 60)</v>
      </c>
      <c r="O152" s="41">
        <v>0</v>
      </c>
      <c r="P152" s="41">
        <v>0</v>
      </c>
      <c r="Q152" s="41"/>
      <c r="R152" s="41" t="b">
        <v>1</v>
      </c>
    </row>
    <row r="153" spans="1:18" s="12" customFormat="1">
      <c r="A153" s="41" t="s">
        <v>3227</v>
      </c>
      <c r="B153" s="41" t="s">
        <v>1234</v>
      </c>
      <c r="C153" s="41" t="s">
        <v>1237</v>
      </c>
      <c r="D153" s="41">
        <v>0</v>
      </c>
      <c r="E153" s="41">
        <v>1</v>
      </c>
      <c r="F153" s="41" t="s">
        <v>197</v>
      </c>
      <c r="G153" s="41" t="s">
        <v>198</v>
      </c>
      <c r="H153" s="41"/>
      <c r="I153" s="41">
        <v>0</v>
      </c>
      <c r="J153" s="41" t="s">
        <v>838</v>
      </c>
      <c r="K153" s="41" t="s">
        <v>935</v>
      </c>
      <c r="L153" s="41">
        <v>60</v>
      </c>
      <c r="M153" s="41"/>
      <c r="N153" s="41" t="str">
        <f t="shared" si="2"/>
        <v>Status(AreaDamageRate, 60)</v>
      </c>
      <c r="O153" s="41">
        <v>0</v>
      </c>
      <c r="P153" s="41">
        <v>0</v>
      </c>
      <c r="Q153" s="41"/>
      <c r="R153" s="41" t="b">
        <v>1</v>
      </c>
    </row>
    <row r="154" spans="1:18" s="12" customFormat="1">
      <c r="A154" s="41" t="s">
        <v>3229</v>
      </c>
      <c r="B154" s="41" t="s">
        <v>1234</v>
      </c>
      <c r="C154" s="41" t="s">
        <v>1237</v>
      </c>
      <c r="D154" s="41">
        <v>0</v>
      </c>
      <c r="E154" s="41">
        <v>1</v>
      </c>
      <c r="F154" s="41" t="s">
        <v>197</v>
      </c>
      <c r="G154" s="41" t="s">
        <v>198</v>
      </c>
      <c r="H154" s="41"/>
      <c r="I154" s="41">
        <v>0</v>
      </c>
      <c r="J154" s="41" t="s">
        <v>838</v>
      </c>
      <c r="K154" s="41" t="s">
        <v>935</v>
      </c>
      <c r="L154" s="41">
        <v>60</v>
      </c>
      <c r="M154" s="41"/>
      <c r="N154" s="41" t="str">
        <f t="shared" si="2"/>
        <v>Status(AreaDamageRate, 60)</v>
      </c>
      <c r="O154" s="41">
        <v>0</v>
      </c>
      <c r="P154" s="41">
        <v>0</v>
      </c>
      <c r="Q154" s="41"/>
      <c r="R154" s="41" t="b">
        <v>1</v>
      </c>
    </row>
    <row r="155" spans="1:18">
      <c r="A155" s="24" t="s">
        <v>4187</v>
      </c>
      <c r="B155" s="24"/>
      <c r="C155" s="24"/>
      <c r="D155" s="24">
        <v>0</v>
      </c>
      <c r="E155" s="24">
        <v>1</v>
      </c>
      <c r="F155" s="24" t="s">
        <v>417</v>
      </c>
      <c r="G155" s="24" t="s">
        <v>418</v>
      </c>
      <c r="H155" s="24"/>
      <c r="I155" s="24">
        <v>0</v>
      </c>
      <c r="J155" s="24" t="s">
        <v>1254</v>
      </c>
      <c r="K155" s="24" t="s">
        <v>4188</v>
      </c>
      <c r="L155" s="24"/>
      <c r="M155" s="24"/>
      <c r="N155" s="24" t="str">
        <f t="shared" si="2"/>
        <v>Passive(iras.passive.ex.ally.buff.01)</v>
      </c>
      <c r="O155" s="24">
        <v>0</v>
      </c>
      <c r="P155" s="24">
        <v>0</v>
      </c>
      <c r="Q155" s="24"/>
      <c r="R155" s="24" t="b">
        <v>1</v>
      </c>
    </row>
    <row r="156" spans="1:18">
      <c r="A156" s="24" t="s">
        <v>3156</v>
      </c>
      <c r="B156" s="24"/>
      <c r="C156" s="24"/>
      <c r="D156" s="24">
        <v>0</v>
      </c>
      <c r="E156" s="24">
        <v>1</v>
      </c>
      <c r="F156" s="24" t="s">
        <v>417</v>
      </c>
      <c r="G156" s="24" t="s">
        <v>418</v>
      </c>
      <c r="H156" s="24"/>
      <c r="I156" s="24">
        <v>0</v>
      </c>
      <c r="J156" s="24" t="s">
        <v>1254</v>
      </c>
      <c r="K156" s="24" t="s">
        <v>4189</v>
      </c>
      <c r="L156" s="24"/>
      <c r="M156" s="24"/>
      <c r="N156" s="24" t="str">
        <f t="shared" si="2"/>
        <v>Passive(iras.passive.ex.ally.buff.02)</v>
      </c>
      <c r="O156" s="24">
        <v>0</v>
      </c>
      <c r="P156" s="24">
        <v>0</v>
      </c>
      <c r="Q156" s="24"/>
      <c r="R156" s="24" t="b">
        <v>1</v>
      </c>
    </row>
    <row r="157" spans="1:18">
      <c r="A157" s="24" t="s">
        <v>3157</v>
      </c>
      <c r="B157" s="24"/>
      <c r="C157" s="24"/>
      <c r="D157" s="24">
        <v>0</v>
      </c>
      <c r="E157" s="24">
        <v>1</v>
      </c>
      <c r="F157" s="24" t="s">
        <v>417</v>
      </c>
      <c r="G157" s="24" t="s">
        <v>418</v>
      </c>
      <c r="H157" s="24"/>
      <c r="I157" s="24">
        <v>0</v>
      </c>
      <c r="J157" s="24" t="s">
        <v>1254</v>
      </c>
      <c r="K157" s="24" t="s">
        <v>4190</v>
      </c>
      <c r="L157" s="24"/>
      <c r="M157" s="24"/>
      <c r="N157" s="24" t="str">
        <f t="shared" si="2"/>
        <v>Passive(iras.passive.ex.ally.buff.03)</v>
      </c>
      <c r="O157" s="24">
        <v>0</v>
      </c>
      <c r="P157" s="24">
        <v>0</v>
      </c>
      <c r="Q157" s="24"/>
      <c r="R157" s="24" t="b">
        <v>1</v>
      </c>
    </row>
    <row r="158" spans="1:18">
      <c r="A158" s="24" t="s">
        <v>3158</v>
      </c>
      <c r="B158" s="24"/>
      <c r="C158" s="24"/>
      <c r="D158" s="24">
        <v>0</v>
      </c>
      <c r="E158" s="24">
        <v>1</v>
      </c>
      <c r="F158" s="24" t="s">
        <v>417</v>
      </c>
      <c r="G158" s="24" t="s">
        <v>418</v>
      </c>
      <c r="H158" s="24"/>
      <c r="I158" s="24">
        <v>0</v>
      </c>
      <c r="J158" s="24" t="s">
        <v>1254</v>
      </c>
      <c r="K158" s="24" t="s">
        <v>4191</v>
      </c>
      <c r="L158" s="24"/>
      <c r="M158" s="24"/>
      <c r="N158" s="24" t="str">
        <f t="shared" si="2"/>
        <v>Passive(iras.passive.ex.ally.buff.04)</v>
      </c>
      <c r="O158" s="24">
        <v>0</v>
      </c>
      <c r="P158" s="24">
        <v>0</v>
      </c>
      <c r="Q158" s="24"/>
      <c r="R158" s="24" t="b">
        <v>1</v>
      </c>
    </row>
    <row r="159" spans="1:18">
      <c r="A159" s="24" t="s">
        <v>3159</v>
      </c>
      <c r="B159" s="24"/>
      <c r="C159" s="24"/>
      <c r="D159" s="24">
        <v>0</v>
      </c>
      <c r="E159" s="24">
        <v>1</v>
      </c>
      <c r="F159" s="24" t="s">
        <v>417</v>
      </c>
      <c r="G159" s="24" t="s">
        <v>418</v>
      </c>
      <c r="H159" s="24"/>
      <c r="I159" s="24">
        <v>0</v>
      </c>
      <c r="J159" s="24" t="s">
        <v>1254</v>
      </c>
      <c r="K159" s="24" t="s">
        <v>4192</v>
      </c>
      <c r="L159" s="24"/>
      <c r="M159" s="24"/>
      <c r="N159" s="24" t="str">
        <f t="shared" si="2"/>
        <v>Passive(iras.passive.ex.ally.buff.05)</v>
      </c>
      <c r="O159" s="24">
        <v>0</v>
      </c>
      <c r="P159" s="24">
        <v>0</v>
      </c>
      <c r="Q159" s="24"/>
      <c r="R159" s="24" t="b">
        <v>1</v>
      </c>
    </row>
    <row r="160" spans="1:18">
      <c r="A160" s="24" t="s">
        <v>3160</v>
      </c>
      <c r="B160" s="24"/>
      <c r="C160" s="24"/>
      <c r="D160" s="24">
        <v>0</v>
      </c>
      <c r="E160" s="24">
        <v>1</v>
      </c>
      <c r="F160" s="24" t="s">
        <v>417</v>
      </c>
      <c r="G160" s="24" t="s">
        <v>418</v>
      </c>
      <c r="H160" s="24"/>
      <c r="I160" s="24">
        <v>0</v>
      </c>
      <c r="J160" s="24" t="s">
        <v>1254</v>
      </c>
      <c r="K160" s="24" t="s">
        <v>4193</v>
      </c>
      <c r="L160" s="24"/>
      <c r="M160" s="24"/>
      <c r="N160" s="24" t="str">
        <f t="shared" si="2"/>
        <v>Passive(iras.passive.ex.ally.buff.06)</v>
      </c>
      <c r="O160" s="24">
        <v>0</v>
      </c>
      <c r="P160" s="24">
        <v>0</v>
      </c>
      <c r="Q160" s="24"/>
      <c r="R160" s="24" t="b">
        <v>1</v>
      </c>
    </row>
    <row r="161" spans="1:18" s="143" customFormat="1">
      <c r="A161" s="25" t="s">
        <v>4194</v>
      </c>
      <c r="B161" s="25" t="s">
        <v>1234</v>
      </c>
      <c r="C161" s="25" t="s">
        <v>1237</v>
      </c>
      <c r="D161" s="25">
        <v>0</v>
      </c>
      <c r="E161" s="25">
        <v>1</v>
      </c>
      <c r="F161" s="25" t="s">
        <v>197</v>
      </c>
      <c r="G161" s="25" t="s">
        <v>198</v>
      </c>
      <c r="H161" s="25"/>
      <c r="I161" s="25">
        <v>0</v>
      </c>
      <c r="J161" s="25" t="s">
        <v>961</v>
      </c>
      <c r="K161" s="25" t="s">
        <v>908</v>
      </c>
      <c r="L161" s="25">
        <v>175</v>
      </c>
      <c r="M161" s="25" t="s">
        <v>4631</v>
      </c>
      <c r="N161" s="25" t="str">
        <f t="shared" si="2"/>
        <v>StatusTargetBuffEffect(AttackRatio, 175, Electric)</v>
      </c>
      <c r="O161" s="25">
        <v>0</v>
      </c>
      <c r="P161" s="25">
        <v>0</v>
      </c>
      <c r="Q161" s="25"/>
      <c r="R161" s="25" t="b">
        <v>1</v>
      </c>
    </row>
    <row r="162" spans="1:18" s="143" customFormat="1">
      <c r="A162" s="25" t="s">
        <v>4195</v>
      </c>
      <c r="B162" s="25" t="s">
        <v>1234</v>
      </c>
      <c r="C162" s="25" t="s">
        <v>1237</v>
      </c>
      <c r="D162" s="25">
        <v>0</v>
      </c>
      <c r="E162" s="25">
        <v>1</v>
      </c>
      <c r="F162" s="25" t="s">
        <v>197</v>
      </c>
      <c r="G162" s="25" t="s">
        <v>198</v>
      </c>
      <c r="H162" s="25"/>
      <c r="I162" s="25">
        <v>0</v>
      </c>
      <c r="J162" s="25" t="s">
        <v>961</v>
      </c>
      <c r="K162" s="25" t="s">
        <v>908</v>
      </c>
      <c r="L162" s="25">
        <v>200</v>
      </c>
      <c r="M162" s="25" t="s">
        <v>4631</v>
      </c>
      <c r="N162" s="25" t="str">
        <f t="shared" si="2"/>
        <v>StatusTargetBuffEffect(AttackRatio, 200, Electric)</v>
      </c>
      <c r="O162" s="25">
        <v>0</v>
      </c>
      <c r="P162" s="25">
        <v>0</v>
      </c>
      <c r="Q162" s="25"/>
      <c r="R162" s="25" t="b">
        <v>1</v>
      </c>
    </row>
    <row r="163" spans="1:18" s="143" customFormat="1">
      <c r="A163" s="25" t="s">
        <v>4196</v>
      </c>
      <c r="B163" s="25" t="s">
        <v>1234</v>
      </c>
      <c r="C163" s="25" t="s">
        <v>1237</v>
      </c>
      <c r="D163" s="25">
        <v>0</v>
      </c>
      <c r="E163" s="25">
        <v>1</v>
      </c>
      <c r="F163" s="25" t="s">
        <v>197</v>
      </c>
      <c r="G163" s="25" t="s">
        <v>198</v>
      </c>
      <c r="H163" s="25"/>
      <c r="I163" s="25">
        <v>0</v>
      </c>
      <c r="J163" s="25" t="s">
        <v>961</v>
      </c>
      <c r="K163" s="25" t="s">
        <v>908</v>
      </c>
      <c r="L163" s="25">
        <v>225</v>
      </c>
      <c r="M163" s="25" t="s">
        <v>4631</v>
      </c>
      <c r="N163" s="25" t="str">
        <f t="shared" si="2"/>
        <v>StatusTargetBuffEffect(AttackRatio, 225, Electric)</v>
      </c>
      <c r="O163" s="25">
        <v>0</v>
      </c>
      <c r="P163" s="25">
        <v>0</v>
      </c>
      <c r="Q163" s="25"/>
      <c r="R163" s="25" t="b">
        <v>1</v>
      </c>
    </row>
    <row r="164" spans="1:18" s="143" customFormat="1">
      <c r="A164" s="25" t="s">
        <v>4197</v>
      </c>
      <c r="B164" s="25" t="s">
        <v>1234</v>
      </c>
      <c r="C164" s="25" t="s">
        <v>1237</v>
      </c>
      <c r="D164" s="25">
        <v>0</v>
      </c>
      <c r="E164" s="25">
        <v>1</v>
      </c>
      <c r="F164" s="25" t="s">
        <v>197</v>
      </c>
      <c r="G164" s="25" t="s">
        <v>198</v>
      </c>
      <c r="H164" s="25"/>
      <c r="I164" s="25">
        <v>0</v>
      </c>
      <c r="J164" s="25" t="s">
        <v>961</v>
      </c>
      <c r="K164" s="25" t="s">
        <v>908</v>
      </c>
      <c r="L164" s="25">
        <v>250</v>
      </c>
      <c r="M164" s="25" t="s">
        <v>4631</v>
      </c>
      <c r="N164" s="25" t="str">
        <f t="shared" si="2"/>
        <v>StatusTargetBuffEffect(AttackRatio, 250, Electric)</v>
      </c>
      <c r="O164" s="25">
        <v>0</v>
      </c>
      <c r="P164" s="25">
        <v>0</v>
      </c>
      <c r="Q164" s="25"/>
      <c r="R164" s="25" t="b">
        <v>1</v>
      </c>
    </row>
    <row r="165" spans="1:18" s="143" customFormat="1">
      <c r="A165" s="25" t="s">
        <v>4198</v>
      </c>
      <c r="B165" s="25" t="s">
        <v>1234</v>
      </c>
      <c r="C165" s="25" t="s">
        <v>1237</v>
      </c>
      <c r="D165" s="25">
        <v>0</v>
      </c>
      <c r="E165" s="25">
        <v>1</v>
      </c>
      <c r="F165" s="25" t="s">
        <v>197</v>
      </c>
      <c r="G165" s="25" t="s">
        <v>198</v>
      </c>
      <c r="H165" s="25"/>
      <c r="I165" s="25">
        <v>0</v>
      </c>
      <c r="J165" s="25" t="s">
        <v>961</v>
      </c>
      <c r="K165" s="25" t="s">
        <v>908</v>
      </c>
      <c r="L165" s="25">
        <v>300</v>
      </c>
      <c r="M165" s="25" t="s">
        <v>4631</v>
      </c>
      <c r="N165" s="25" t="str">
        <f t="shared" si="2"/>
        <v>StatusTargetBuffEffect(AttackRatio, 300, Electric)</v>
      </c>
      <c r="O165" s="25">
        <v>0</v>
      </c>
      <c r="P165" s="25">
        <v>0</v>
      </c>
      <c r="Q165" s="25"/>
      <c r="R165" s="25" t="b">
        <v>1</v>
      </c>
    </row>
    <row r="166" spans="1:18" s="143" customFormat="1">
      <c r="A166" s="25" t="s">
        <v>4199</v>
      </c>
      <c r="B166" s="25" t="s">
        <v>1234</v>
      </c>
      <c r="C166" s="25" t="s">
        <v>1237</v>
      </c>
      <c r="D166" s="25">
        <v>0</v>
      </c>
      <c r="E166" s="25">
        <v>1</v>
      </c>
      <c r="F166" s="25" t="s">
        <v>197</v>
      </c>
      <c r="G166" s="25" t="s">
        <v>198</v>
      </c>
      <c r="H166" s="25"/>
      <c r="I166" s="25">
        <v>0</v>
      </c>
      <c r="J166" s="25" t="s">
        <v>961</v>
      </c>
      <c r="K166" s="25" t="s">
        <v>908</v>
      </c>
      <c r="L166" s="25">
        <v>300</v>
      </c>
      <c r="M166" s="25" t="s">
        <v>4631</v>
      </c>
      <c r="N166" s="25" t="str">
        <f t="shared" si="2"/>
        <v>StatusTargetBuffEffect(AttackRatio, 300, Electric)</v>
      </c>
      <c r="O166" s="25">
        <v>0</v>
      </c>
      <c r="P166" s="25">
        <v>0</v>
      </c>
      <c r="Q166" s="25"/>
      <c r="R166" s="25" t="b">
        <v>1</v>
      </c>
    </row>
    <row r="167" spans="1:18">
      <c r="A167" s="44" t="s">
        <v>7314</v>
      </c>
      <c r="B167" s="44"/>
      <c r="C167" s="44"/>
      <c r="D167" s="44">
        <v>0</v>
      </c>
      <c r="E167" s="44">
        <v>1</v>
      </c>
      <c r="F167" s="44" t="s">
        <v>197</v>
      </c>
      <c r="G167" s="44" t="s">
        <v>198</v>
      </c>
      <c r="H167" s="44"/>
      <c r="I167" s="44">
        <v>0</v>
      </c>
      <c r="J167" s="44" t="s">
        <v>7315</v>
      </c>
      <c r="K167" s="44" t="s">
        <v>7316</v>
      </c>
      <c r="L167" s="44">
        <v>-9999</v>
      </c>
      <c r="M167" s="44"/>
      <c r="N167" s="44" t="str">
        <f t="shared" si="2"/>
        <v>Status(CriticalRate, -9999)</v>
      </c>
      <c r="O167" s="44">
        <v>0</v>
      </c>
      <c r="P167" s="44">
        <v>0</v>
      </c>
      <c r="Q167" s="44"/>
      <c r="R167" s="44" t="b">
        <v>0</v>
      </c>
    </row>
    <row r="168" spans="1:18">
      <c r="A168" s="34" t="s">
        <v>7318</v>
      </c>
      <c r="B168" s="34"/>
      <c r="C168" s="34"/>
      <c r="D168" s="34">
        <v>0</v>
      </c>
      <c r="E168" s="34">
        <v>1</v>
      </c>
      <c r="F168" s="34" t="s">
        <v>197</v>
      </c>
      <c r="G168" s="34" t="s">
        <v>198</v>
      </c>
      <c r="H168" s="34"/>
      <c r="I168" s="34">
        <v>0</v>
      </c>
      <c r="J168" s="34" t="s">
        <v>7320</v>
      </c>
      <c r="K168" s="34" t="s">
        <v>7321</v>
      </c>
      <c r="L168" s="34"/>
      <c r="M168" s="34"/>
      <c r="N168" s="34" t="str">
        <f t="shared" ref="N168:N174" si="3">J168&amp;"("&amp;IF(K168="","",K168)&amp;IF(L168="","",", "&amp;L168)&amp;IF(M168="","",", "&amp;M168)&amp;")"</f>
        <v>Active(sia.ult.B.hp.cost.buffeffect.skilleffect)</v>
      </c>
      <c r="O168" s="34">
        <v>0</v>
      </c>
      <c r="P168" s="34">
        <v>0</v>
      </c>
      <c r="Q168" s="34"/>
      <c r="R168" s="34" t="b">
        <v>1</v>
      </c>
    </row>
    <row r="169" spans="1:18" s="143" customFormat="1">
      <c r="A169" s="25" t="s">
        <v>7333</v>
      </c>
      <c r="B169" s="25"/>
      <c r="C169" s="25"/>
      <c r="D169" s="25">
        <v>0</v>
      </c>
      <c r="E169" s="25">
        <v>1</v>
      </c>
      <c r="F169" s="25" t="s">
        <v>197</v>
      </c>
      <c r="G169" s="25" t="s">
        <v>198</v>
      </c>
      <c r="H169" s="25"/>
      <c r="I169" s="25">
        <v>0</v>
      </c>
      <c r="J169" s="25" t="s">
        <v>7320</v>
      </c>
      <c r="K169" s="25" t="s">
        <v>7347</v>
      </c>
      <c r="L169" s="25"/>
      <c r="M169" s="25"/>
      <c r="N169" s="25" t="str">
        <f t="shared" si="3"/>
        <v>Active(sia.ult.B.event.effect.01.01)</v>
      </c>
      <c r="O169" s="25">
        <v>0</v>
      </c>
      <c r="P169" s="25">
        <v>1000</v>
      </c>
      <c r="Q169" s="25"/>
      <c r="R169" s="25" t="b">
        <v>1</v>
      </c>
    </row>
    <row r="170" spans="1:18" s="143" customFormat="1">
      <c r="A170" s="25" t="s">
        <v>7334</v>
      </c>
      <c r="B170" s="25"/>
      <c r="C170" s="25"/>
      <c r="D170" s="25">
        <v>0</v>
      </c>
      <c r="E170" s="25">
        <v>1</v>
      </c>
      <c r="F170" s="25" t="s">
        <v>197</v>
      </c>
      <c r="G170" s="25" t="s">
        <v>198</v>
      </c>
      <c r="H170" s="25"/>
      <c r="I170" s="25">
        <v>0</v>
      </c>
      <c r="J170" s="25" t="s">
        <v>7320</v>
      </c>
      <c r="K170" s="25" t="s">
        <v>7339</v>
      </c>
      <c r="L170" s="25"/>
      <c r="M170" s="25"/>
      <c r="N170" s="25" t="str">
        <f t="shared" si="3"/>
        <v>Active(sia.ult.B.event.effect.01.02)</v>
      </c>
      <c r="O170" s="25">
        <v>0</v>
      </c>
      <c r="P170" s="25">
        <v>1000</v>
      </c>
      <c r="Q170" s="25"/>
      <c r="R170" s="25" t="b">
        <v>1</v>
      </c>
    </row>
    <row r="171" spans="1:18" s="143" customFormat="1">
      <c r="A171" s="25" t="s">
        <v>7335</v>
      </c>
      <c r="B171" s="25"/>
      <c r="C171" s="25"/>
      <c r="D171" s="25">
        <v>0</v>
      </c>
      <c r="E171" s="25">
        <v>1</v>
      </c>
      <c r="F171" s="25" t="s">
        <v>197</v>
      </c>
      <c r="G171" s="25" t="s">
        <v>198</v>
      </c>
      <c r="H171" s="25"/>
      <c r="I171" s="25">
        <v>0</v>
      </c>
      <c r="J171" s="25" t="s">
        <v>7320</v>
      </c>
      <c r="K171" s="25" t="s">
        <v>7340</v>
      </c>
      <c r="L171" s="25"/>
      <c r="M171" s="25"/>
      <c r="N171" s="25" t="str">
        <f t="shared" si="3"/>
        <v>Active(sia.ult.B.event.effect.01.03)</v>
      </c>
      <c r="O171" s="25">
        <v>0</v>
      </c>
      <c r="P171" s="25">
        <v>1000</v>
      </c>
      <c r="Q171" s="25"/>
      <c r="R171" s="25" t="b">
        <v>1</v>
      </c>
    </row>
    <row r="172" spans="1:18" s="143" customFormat="1">
      <c r="A172" s="25" t="s">
        <v>7336</v>
      </c>
      <c r="B172" s="25"/>
      <c r="C172" s="25"/>
      <c r="D172" s="25">
        <v>0</v>
      </c>
      <c r="E172" s="25">
        <v>1</v>
      </c>
      <c r="F172" s="25" t="s">
        <v>197</v>
      </c>
      <c r="G172" s="25" t="s">
        <v>198</v>
      </c>
      <c r="H172" s="25"/>
      <c r="I172" s="25">
        <v>0</v>
      </c>
      <c r="J172" s="25" t="s">
        <v>7320</v>
      </c>
      <c r="K172" s="25" t="s">
        <v>7341</v>
      </c>
      <c r="L172" s="25"/>
      <c r="M172" s="25"/>
      <c r="N172" s="25" t="str">
        <f t="shared" si="3"/>
        <v>Active(sia.ult.B.event.effect.01.04)</v>
      </c>
      <c r="O172" s="25">
        <v>0</v>
      </c>
      <c r="P172" s="25">
        <v>1000</v>
      </c>
      <c r="Q172" s="25"/>
      <c r="R172" s="25" t="b">
        <v>1</v>
      </c>
    </row>
    <row r="173" spans="1:18" s="143" customFormat="1">
      <c r="A173" s="25" t="s">
        <v>7337</v>
      </c>
      <c r="B173" s="25"/>
      <c r="C173" s="25"/>
      <c r="D173" s="25">
        <v>0</v>
      </c>
      <c r="E173" s="25">
        <v>1</v>
      </c>
      <c r="F173" s="25" t="s">
        <v>197</v>
      </c>
      <c r="G173" s="25" t="s">
        <v>198</v>
      </c>
      <c r="H173" s="25"/>
      <c r="I173" s="25">
        <v>0</v>
      </c>
      <c r="J173" s="25" t="s">
        <v>7320</v>
      </c>
      <c r="K173" s="25" t="s">
        <v>7342</v>
      </c>
      <c r="L173" s="25"/>
      <c r="M173" s="25"/>
      <c r="N173" s="25" t="str">
        <f t="shared" si="3"/>
        <v>Active(sia.ult.B.event.effect.01.05)</v>
      </c>
      <c r="O173" s="25">
        <v>0</v>
      </c>
      <c r="P173" s="25">
        <v>1000</v>
      </c>
      <c r="Q173" s="25"/>
      <c r="R173" s="25" t="b">
        <v>1</v>
      </c>
    </row>
    <row r="174" spans="1:18" s="143" customFormat="1">
      <c r="A174" s="25" t="s">
        <v>7338</v>
      </c>
      <c r="B174" s="25"/>
      <c r="C174" s="25"/>
      <c r="D174" s="25">
        <v>0</v>
      </c>
      <c r="E174" s="25">
        <v>1</v>
      </c>
      <c r="F174" s="25" t="s">
        <v>197</v>
      </c>
      <c r="G174" s="25" t="s">
        <v>198</v>
      </c>
      <c r="H174" s="25"/>
      <c r="I174" s="25">
        <v>0</v>
      </c>
      <c r="J174" s="25" t="s">
        <v>7320</v>
      </c>
      <c r="K174" s="25" t="s">
        <v>7343</v>
      </c>
      <c r="L174" s="25"/>
      <c r="M174" s="25"/>
      <c r="N174" s="25" t="str">
        <f t="shared" si="3"/>
        <v>Active(sia.ult.B.event.effect.01.06)</v>
      </c>
      <c r="O174" s="25">
        <v>0</v>
      </c>
      <c r="P174" s="25">
        <v>1000</v>
      </c>
      <c r="Q174" s="25"/>
      <c r="R174" s="25" t="b">
        <v>1</v>
      </c>
    </row>
    <row r="175" spans="1:18" s="143" customFormat="1">
      <c r="A175" s="25" t="s">
        <v>7345</v>
      </c>
      <c r="B175" s="25"/>
      <c r="C175" s="25"/>
      <c r="D175" s="25">
        <v>0</v>
      </c>
      <c r="E175" s="25">
        <v>1</v>
      </c>
      <c r="F175" s="25" t="s">
        <v>197</v>
      </c>
      <c r="G175" s="25" t="s">
        <v>198</v>
      </c>
      <c r="H175" s="25"/>
      <c r="I175" s="25">
        <v>0</v>
      </c>
      <c r="J175" s="25" t="s">
        <v>7320</v>
      </c>
      <c r="K175" s="25" t="s">
        <v>7344</v>
      </c>
      <c r="L175" s="25"/>
      <c r="M175" s="25"/>
      <c r="N175" s="25" t="str">
        <f t="shared" ref="N175:N176" si="4">J175&amp;"("&amp;IF(K175="","",K175)&amp;IF(L175="","",", "&amp;L175)&amp;IF(M175="","",", "&amp;M175)&amp;")"</f>
        <v>Active(sia.ult.B.event.effect.01.07)</v>
      </c>
      <c r="O175" s="25">
        <v>0</v>
      </c>
      <c r="P175" s="25">
        <v>1000</v>
      </c>
      <c r="Q175" s="25"/>
      <c r="R175" s="25" t="b">
        <v>1</v>
      </c>
    </row>
    <row r="176" spans="1:18" s="162" customFormat="1">
      <c r="A176" s="44" t="s">
        <v>7404</v>
      </c>
      <c r="B176" s="44"/>
      <c r="C176" s="44"/>
      <c r="D176" s="44">
        <v>0</v>
      </c>
      <c r="E176" s="44">
        <v>1</v>
      </c>
      <c r="F176" s="44" t="s">
        <v>197</v>
      </c>
      <c r="G176" s="44" t="s">
        <v>198</v>
      </c>
      <c r="H176" s="44"/>
      <c r="I176" s="44">
        <v>0</v>
      </c>
      <c r="J176" s="44" t="s">
        <v>7405</v>
      </c>
      <c r="K176" s="44" t="s">
        <v>7406</v>
      </c>
      <c r="L176" s="188"/>
      <c r="M176" s="44"/>
      <c r="N176" s="44" t="str">
        <f t="shared" si="4"/>
        <v>Active(sia.active2.damage.barrier.skilleffect)</v>
      </c>
      <c r="O176" s="44">
        <v>0</v>
      </c>
      <c r="P176" s="44">
        <v>0</v>
      </c>
      <c r="Q176" s="44"/>
      <c r="R176" s="44" t="b">
        <v>1</v>
      </c>
    </row>
    <row r="177" spans="1:18" s="143" customFormat="1">
      <c r="A177" s="25" t="s">
        <v>7408</v>
      </c>
      <c r="B177" s="25"/>
      <c r="C177" s="25"/>
      <c r="D177" s="25">
        <v>0</v>
      </c>
      <c r="E177" s="25">
        <v>1</v>
      </c>
      <c r="F177" s="25" t="s">
        <v>197</v>
      </c>
      <c r="G177" s="25" t="s">
        <v>198</v>
      </c>
      <c r="H177" s="25"/>
      <c r="I177" s="25">
        <v>0</v>
      </c>
      <c r="J177" s="25" t="s">
        <v>1004</v>
      </c>
      <c r="K177" s="25" t="s">
        <v>862</v>
      </c>
      <c r="L177" s="25">
        <v>100</v>
      </c>
      <c r="M177" s="25"/>
      <c r="N177" s="25" t="str">
        <f t="shared" ref="N177" si="5">J177&amp;"("&amp;IF(K177="","",K177)&amp;IF(L177="","",", "&amp;L177)&amp;IF(M177="","",", "&amp;M177)&amp;")"</f>
        <v>EffectImmune(Damage, 100)</v>
      </c>
      <c r="O177" s="25">
        <v>1</v>
      </c>
      <c r="P177" s="25">
        <v>0</v>
      </c>
      <c r="Q177" s="25"/>
      <c r="R177" s="25" t="b">
        <v>1</v>
      </c>
    </row>
    <row r="178" spans="1:18" s="153" customFormat="1">
      <c r="A178" s="26" t="s">
        <v>7359</v>
      </c>
      <c r="B178" s="26"/>
      <c r="C178" s="26"/>
      <c r="D178" s="26">
        <v>0</v>
      </c>
      <c r="E178" s="26">
        <v>1</v>
      </c>
      <c r="F178" s="26" t="s">
        <v>197</v>
      </c>
      <c r="G178" s="26" t="s">
        <v>198</v>
      </c>
      <c r="H178" s="26"/>
      <c r="I178" s="26">
        <v>0</v>
      </c>
      <c r="J178" s="26" t="s">
        <v>7411</v>
      </c>
      <c r="K178" s="26" t="s">
        <v>7413</v>
      </c>
      <c r="L178" s="26"/>
      <c r="M178" s="26"/>
      <c r="N178" s="26" t="str">
        <f t="shared" si="2"/>
        <v>Active(sia.passive.buff.buffeffect.skilleffect.01.01)</v>
      </c>
      <c r="O178" s="26">
        <v>0</v>
      </c>
      <c r="P178" s="26">
        <v>0</v>
      </c>
      <c r="Q178" s="26"/>
      <c r="R178" s="26" t="b">
        <v>1</v>
      </c>
    </row>
    <row r="179" spans="1:18" s="153" customFormat="1">
      <c r="A179" s="26" t="s">
        <v>7348</v>
      </c>
      <c r="B179" s="26"/>
      <c r="C179" s="26"/>
      <c r="D179" s="26">
        <v>0</v>
      </c>
      <c r="E179" s="26">
        <v>1</v>
      </c>
      <c r="F179" s="26" t="s">
        <v>197</v>
      </c>
      <c r="G179" s="26" t="s">
        <v>198</v>
      </c>
      <c r="H179" s="26"/>
      <c r="I179" s="26">
        <v>0</v>
      </c>
      <c r="J179" s="26" t="s">
        <v>7411</v>
      </c>
      <c r="K179" s="26" t="s">
        <v>7414</v>
      </c>
      <c r="L179" s="26"/>
      <c r="M179" s="26"/>
      <c r="N179" s="26" t="str">
        <f t="shared" si="2"/>
        <v>Active(sia.passive.buff.buffeffect.skilleffect.01.02)</v>
      </c>
      <c r="O179" s="26">
        <v>0</v>
      </c>
      <c r="P179" s="26">
        <v>0</v>
      </c>
      <c r="Q179" s="26"/>
      <c r="R179" s="26" t="b">
        <v>1</v>
      </c>
    </row>
    <row r="180" spans="1:18" s="153" customFormat="1">
      <c r="A180" s="26" t="s">
        <v>7349</v>
      </c>
      <c r="B180" s="26"/>
      <c r="C180" s="26"/>
      <c r="D180" s="26">
        <v>0</v>
      </c>
      <c r="E180" s="26">
        <v>1</v>
      </c>
      <c r="F180" s="26" t="s">
        <v>197</v>
      </c>
      <c r="G180" s="26" t="s">
        <v>198</v>
      </c>
      <c r="H180" s="26"/>
      <c r="I180" s="26">
        <v>0</v>
      </c>
      <c r="J180" s="26" t="s">
        <v>7411</v>
      </c>
      <c r="K180" s="26" t="s">
        <v>7415</v>
      </c>
      <c r="L180" s="26"/>
      <c r="M180" s="26"/>
      <c r="N180" s="26" t="str">
        <f t="shared" si="2"/>
        <v>Active(sia.passive.buff.buffeffect.skilleffect.01.03)</v>
      </c>
      <c r="O180" s="26">
        <v>0</v>
      </c>
      <c r="P180" s="26">
        <v>0</v>
      </c>
      <c r="Q180" s="26"/>
      <c r="R180" s="26" t="b">
        <v>1</v>
      </c>
    </row>
    <row r="181" spans="1:18" s="153" customFormat="1">
      <c r="A181" s="26" t="s">
        <v>7350</v>
      </c>
      <c r="B181" s="26"/>
      <c r="C181" s="26"/>
      <c r="D181" s="26">
        <v>0</v>
      </c>
      <c r="E181" s="26">
        <v>1</v>
      </c>
      <c r="F181" s="26" t="s">
        <v>197</v>
      </c>
      <c r="G181" s="26" t="s">
        <v>198</v>
      </c>
      <c r="H181" s="26"/>
      <c r="I181" s="26">
        <v>0</v>
      </c>
      <c r="J181" s="26" t="s">
        <v>7411</v>
      </c>
      <c r="K181" s="26" t="s">
        <v>7416</v>
      </c>
      <c r="L181" s="26"/>
      <c r="M181" s="26"/>
      <c r="N181" s="26" t="str">
        <f t="shared" si="2"/>
        <v>Active(sia.passive.buff.buffeffect.skilleffect.01.04)</v>
      </c>
      <c r="O181" s="26">
        <v>0</v>
      </c>
      <c r="P181" s="26">
        <v>0</v>
      </c>
      <c r="Q181" s="26"/>
      <c r="R181" s="26" t="b">
        <v>1</v>
      </c>
    </row>
    <row r="182" spans="1:18" s="153" customFormat="1">
      <c r="A182" s="26" t="s">
        <v>7351</v>
      </c>
      <c r="B182" s="26"/>
      <c r="C182" s="26"/>
      <c r="D182" s="26">
        <v>0</v>
      </c>
      <c r="E182" s="26">
        <v>1</v>
      </c>
      <c r="F182" s="26" t="s">
        <v>197</v>
      </c>
      <c r="G182" s="26" t="s">
        <v>198</v>
      </c>
      <c r="H182" s="26"/>
      <c r="I182" s="26">
        <v>0</v>
      </c>
      <c r="J182" s="26" t="s">
        <v>7411</v>
      </c>
      <c r="K182" s="26" t="s">
        <v>7417</v>
      </c>
      <c r="L182" s="26"/>
      <c r="M182" s="26"/>
      <c r="N182" s="26" t="str">
        <f t="shared" si="2"/>
        <v>Active(sia.passive.buff.buffeffect.skilleffect.01.05)</v>
      </c>
      <c r="O182" s="26">
        <v>0</v>
      </c>
      <c r="P182" s="26">
        <v>0</v>
      </c>
      <c r="Q182" s="26"/>
      <c r="R182" s="26" t="b">
        <v>1</v>
      </c>
    </row>
    <row r="183" spans="1:18" s="153" customFormat="1">
      <c r="A183" s="26" t="s">
        <v>7352</v>
      </c>
      <c r="B183" s="26"/>
      <c r="C183" s="26"/>
      <c r="D183" s="26">
        <v>0</v>
      </c>
      <c r="E183" s="26">
        <v>1</v>
      </c>
      <c r="F183" s="26" t="s">
        <v>197</v>
      </c>
      <c r="G183" s="26" t="s">
        <v>198</v>
      </c>
      <c r="H183" s="26"/>
      <c r="I183" s="26">
        <v>0</v>
      </c>
      <c r="J183" s="26" t="s">
        <v>7411</v>
      </c>
      <c r="K183" s="26" t="s">
        <v>7418</v>
      </c>
      <c r="L183" s="26"/>
      <c r="M183" s="26"/>
      <c r="N183" s="26" t="str">
        <f t="shared" si="2"/>
        <v>Active(sia.passive.buff.buffeffect.skilleffect.01.06)</v>
      </c>
      <c r="O183" s="26">
        <v>0</v>
      </c>
      <c r="P183" s="26">
        <v>0</v>
      </c>
      <c r="Q183" s="26"/>
      <c r="R183" s="26" t="b">
        <v>1</v>
      </c>
    </row>
    <row r="184" spans="1:18" s="143" customFormat="1">
      <c r="A184" s="25" t="s">
        <v>7361</v>
      </c>
      <c r="B184" s="25"/>
      <c r="C184" s="25"/>
      <c r="D184" s="25">
        <v>0</v>
      </c>
      <c r="E184" s="25">
        <v>1</v>
      </c>
      <c r="F184" s="25" t="s">
        <v>197</v>
      </c>
      <c r="G184" s="25" t="s">
        <v>198</v>
      </c>
      <c r="H184" s="25"/>
      <c r="I184" s="25">
        <v>0</v>
      </c>
      <c r="J184" s="25" t="s">
        <v>7367</v>
      </c>
      <c r="K184" s="25" t="s">
        <v>7368</v>
      </c>
      <c r="L184" s="69" t="s">
        <v>7412</v>
      </c>
      <c r="M184" s="25"/>
      <c r="N184" s="25" t="str">
        <f t="shared" ref="N184:N196" si="6">J184&amp;"("&amp;IF(K184="","",K184)&amp;IF(L184="","",", "&amp;L184)&amp;IF(M184="","",", "&amp;M184)&amp;")"</f>
        <v>Event(UseSkill, sia.passive.buff.buffeffect.skilleffect.02.01)</v>
      </c>
      <c r="O184" s="25">
        <v>0</v>
      </c>
      <c r="P184" s="25">
        <v>0</v>
      </c>
      <c r="Q184" s="25"/>
      <c r="R184" s="25" t="b">
        <v>1</v>
      </c>
    </row>
    <row r="185" spans="1:18" s="143" customFormat="1">
      <c r="A185" s="25" t="s">
        <v>7362</v>
      </c>
      <c r="B185" s="25"/>
      <c r="C185" s="25"/>
      <c r="D185" s="25">
        <v>0</v>
      </c>
      <c r="E185" s="25">
        <v>1</v>
      </c>
      <c r="F185" s="25" t="s">
        <v>197</v>
      </c>
      <c r="G185" s="25" t="s">
        <v>198</v>
      </c>
      <c r="H185" s="25"/>
      <c r="I185" s="25">
        <v>0</v>
      </c>
      <c r="J185" s="25" t="s">
        <v>7367</v>
      </c>
      <c r="K185" s="25" t="s">
        <v>7368</v>
      </c>
      <c r="L185" s="69" t="s">
        <v>7369</v>
      </c>
      <c r="M185" s="25"/>
      <c r="N185" s="25" t="str">
        <f t="shared" si="6"/>
        <v>Event(UseSkill, sia.passive.buff.buffeffect.skilleffect.02.02)</v>
      </c>
      <c r="O185" s="25">
        <v>0</v>
      </c>
      <c r="P185" s="25">
        <v>0</v>
      </c>
      <c r="Q185" s="25"/>
      <c r="R185" s="25" t="b">
        <v>1</v>
      </c>
    </row>
    <row r="186" spans="1:18" s="143" customFormat="1">
      <c r="A186" s="25" t="s">
        <v>7363</v>
      </c>
      <c r="B186" s="25"/>
      <c r="C186" s="25"/>
      <c r="D186" s="25">
        <v>0</v>
      </c>
      <c r="E186" s="25">
        <v>1</v>
      </c>
      <c r="F186" s="25" t="s">
        <v>197</v>
      </c>
      <c r="G186" s="25" t="s">
        <v>198</v>
      </c>
      <c r="H186" s="25"/>
      <c r="I186" s="25">
        <v>0</v>
      </c>
      <c r="J186" s="25" t="s">
        <v>7367</v>
      </c>
      <c r="K186" s="25" t="s">
        <v>7368</v>
      </c>
      <c r="L186" s="69" t="s">
        <v>7370</v>
      </c>
      <c r="M186" s="25"/>
      <c r="N186" s="25" t="str">
        <f t="shared" si="6"/>
        <v>Event(UseSkill, sia.passive.buff.buffeffect.skilleffect.02.03)</v>
      </c>
      <c r="O186" s="25">
        <v>0</v>
      </c>
      <c r="P186" s="25">
        <v>0</v>
      </c>
      <c r="Q186" s="25"/>
      <c r="R186" s="25" t="b">
        <v>1</v>
      </c>
    </row>
    <row r="187" spans="1:18" s="143" customFormat="1">
      <c r="A187" s="25" t="s">
        <v>7364</v>
      </c>
      <c r="B187" s="25"/>
      <c r="C187" s="25"/>
      <c r="D187" s="25">
        <v>0</v>
      </c>
      <c r="E187" s="25">
        <v>1</v>
      </c>
      <c r="F187" s="25" t="s">
        <v>197</v>
      </c>
      <c r="G187" s="25" t="s">
        <v>198</v>
      </c>
      <c r="H187" s="25"/>
      <c r="I187" s="25">
        <v>0</v>
      </c>
      <c r="J187" s="25" t="s">
        <v>7367</v>
      </c>
      <c r="K187" s="25" t="s">
        <v>7368</v>
      </c>
      <c r="L187" s="69" t="s">
        <v>7371</v>
      </c>
      <c r="M187" s="25"/>
      <c r="N187" s="25" t="str">
        <f t="shared" si="6"/>
        <v>Event(UseSkill, sia.passive.buff.buffeffect.skilleffect.02.04)</v>
      </c>
      <c r="O187" s="25">
        <v>0</v>
      </c>
      <c r="P187" s="25">
        <v>0</v>
      </c>
      <c r="Q187" s="25"/>
      <c r="R187" s="25" t="b">
        <v>1</v>
      </c>
    </row>
    <row r="188" spans="1:18" s="143" customFormat="1">
      <c r="A188" s="25" t="s">
        <v>7365</v>
      </c>
      <c r="B188" s="25"/>
      <c r="C188" s="25"/>
      <c r="D188" s="25">
        <v>0</v>
      </c>
      <c r="E188" s="25">
        <v>1</v>
      </c>
      <c r="F188" s="25" t="s">
        <v>197</v>
      </c>
      <c r="G188" s="25" t="s">
        <v>198</v>
      </c>
      <c r="H188" s="25"/>
      <c r="I188" s="25">
        <v>0</v>
      </c>
      <c r="J188" s="25" t="s">
        <v>7367</v>
      </c>
      <c r="K188" s="25" t="s">
        <v>7368</v>
      </c>
      <c r="L188" s="69" t="s">
        <v>7372</v>
      </c>
      <c r="M188" s="25"/>
      <c r="N188" s="25" t="str">
        <f t="shared" si="6"/>
        <v>Event(UseSkill, sia.passive.buff.buffeffect.skilleffect.02.05)</v>
      </c>
      <c r="O188" s="25">
        <v>0</v>
      </c>
      <c r="P188" s="25">
        <v>0</v>
      </c>
      <c r="Q188" s="25"/>
      <c r="R188" s="25" t="b">
        <v>1</v>
      </c>
    </row>
    <row r="189" spans="1:18" s="143" customFormat="1">
      <c r="A189" s="25" t="s">
        <v>7366</v>
      </c>
      <c r="B189" s="25"/>
      <c r="C189" s="25"/>
      <c r="D189" s="25">
        <v>0</v>
      </c>
      <c r="E189" s="25">
        <v>1</v>
      </c>
      <c r="F189" s="25" t="s">
        <v>197</v>
      </c>
      <c r="G189" s="25" t="s">
        <v>198</v>
      </c>
      <c r="H189" s="25"/>
      <c r="I189" s="25">
        <v>0</v>
      </c>
      <c r="J189" s="25" t="s">
        <v>7367</v>
      </c>
      <c r="K189" s="25" t="s">
        <v>7368</v>
      </c>
      <c r="L189" s="69" t="s">
        <v>7373</v>
      </c>
      <c r="M189" s="25"/>
      <c r="N189" s="25" t="str">
        <f t="shared" si="6"/>
        <v>Event(UseSkill, sia.passive.buff.buffeffect.skilleffect.02.06)</v>
      </c>
      <c r="O189" s="25">
        <v>0</v>
      </c>
      <c r="P189" s="25">
        <v>0</v>
      </c>
      <c r="Q189" s="25"/>
      <c r="R189" s="25" t="b">
        <v>1</v>
      </c>
    </row>
    <row r="190" spans="1:18" s="162" customFormat="1">
      <c r="A190" s="44" t="s">
        <v>7393</v>
      </c>
      <c r="B190" s="44"/>
      <c r="C190" s="44"/>
      <c r="D190" s="44">
        <v>0</v>
      </c>
      <c r="E190" s="44">
        <v>1</v>
      </c>
      <c r="F190" s="44" t="s">
        <v>197</v>
      </c>
      <c r="G190" s="44" t="s">
        <v>198</v>
      </c>
      <c r="H190" s="44"/>
      <c r="I190" s="44">
        <v>0</v>
      </c>
      <c r="J190" s="44" t="s">
        <v>7397</v>
      </c>
      <c r="K190" s="44"/>
      <c r="L190" s="44"/>
      <c r="M190" s="44"/>
      <c r="N190" s="44" t="str">
        <f t="shared" ref="N190" si="7">J190&amp;"("&amp;IF(K190="","",K190)&amp;IF(L190="","",", "&amp;L190)&amp;IF(M190="","",", "&amp;M190)&amp;")"</f>
        <v>None()</v>
      </c>
      <c r="O190" s="44">
        <v>0</v>
      </c>
      <c r="P190" s="44">
        <v>0</v>
      </c>
      <c r="Q190" s="44"/>
      <c r="R190" s="44" t="b">
        <v>1</v>
      </c>
    </row>
    <row r="191" spans="1:18" s="153" customFormat="1">
      <c r="A191" s="26" t="s">
        <v>7380</v>
      </c>
      <c r="B191" s="26"/>
      <c r="C191" s="26"/>
      <c r="D191" s="26">
        <v>0</v>
      </c>
      <c r="E191" s="26">
        <v>1</v>
      </c>
      <c r="F191" s="26" t="s">
        <v>197</v>
      </c>
      <c r="G191" s="26" t="s">
        <v>198</v>
      </c>
      <c r="H191" s="26"/>
      <c r="I191" s="26">
        <v>0</v>
      </c>
      <c r="J191" s="26" t="s">
        <v>838</v>
      </c>
      <c r="K191" s="26" t="s">
        <v>7360</v>
      </c>
      <c r="L191" s="26">
        <v>110</v>
      </c>
      <c r="M191" s="26"/>
      <c r="N191" s="26" t="str">
        <f t="shared" si="6"/>
        <v>Status(DamageDerate, 110)</v>
      </c>
      <c r="O191" s="26">
        <v>0</v>
      </c>
      <c r="P191" s="26">
        <v>0</v>
      </c>
      <c r="Q191" s="26"/>
      <c r="R191" s="26" t="b">
        <v>1</v>
      </c>
    </row>
    <row r="192" spans="1:18" s="153" customFormat="1">
      <c r="A192" s="26" t="s">
        <v>7381</v>
      </c>
      <c r="B192" s="26"/>
      <c r="C192" s="26"/>
      <c r="D192" s="26">
        <v>0</v>
      </c>
      <c r="E192" s="26">
        <v>1</v>
      </c>
      <c r="F192" s="26" t="s">
        <v>197</v>
      </c>
      <c r="G192" s="26" t="s">
        <v>198</v>
      </c>
      <c r="H192" s="26"/>
      <c r="I192" s="26">
        <v>0</v>
      </c>
      <c r="J192" s="26" t="s">
        <v>838</v>
      </c>
      <c r="K192" s="26" t="s">
        <v>7360</v>
      </c>
      <c r="L192" s="26">
        <v>120</v>
      </c>
      <c r="M192" s="26"/>
      <c r="N192" s="26" t="str">
        <f t="shared" si="6"/>
        <v>Status(DamageDerate, 120)</v>
      </c>
      <c r="O192" s="26">
        <v>0</v>
      </c>
      <c r="P192" s="26">
        <v>0</v>
      </c>
      <c r="Q192" s="26"/>
      <c r="R192" s="26" t="b">
        <v>1</v>
      </c>
    </row>
    <row r="193" spans="1:18" s="153" customFormat="1">
      <c r="A193" s="26" t="s">
        <v>7382</v>
      </c>
      <c r="B193" s="26"/>
      <c r="C193" s="26"/>
      <c r="D193" s="26">
        <v>0</v>
      </c>
      <c r="E193" s="26">
        <v>1</v>
      </c>
      <c r="F193" s="26" t="s">
        <v>197</v>
      </c>
      <c r="G193" s="26" t="s">
        <v>198</v>
      </c>
      <c r="H193" s="26"/>
      <c r="I193" s="26">
        <v>0</v>
      </c>
      <c r="J193" s="26" t="s">
        <v>838</v>
      </c>
      <c r="K193" s="26" t="s">
        <v>7360</v>
      </c>
      <c r="L193" s="26">
        <v>130</v>
      </c>
      <c r="M193" s="26"/>
      <c r="N193" s="26" t="str">
        <f t="shared" si="6"/>
        <v>Status(DamageDerate, 130)</v>
      </c>
      <c r="O193" s="26">
        <v>0</v>
      </c>
      <c r="P193" s="26">
        <v>0</v>
      </c>
      <c r="Q193" s="26"/>
      <c r="R193" s="26" t="b">
        <v>1</v>
      </c>
    </row>
    <row r="194" spans="1:18" s="153" customFormat="1">
      <c r="A194" s="26" t="s">
        <v>7383</v>
      </c>
      <c r="B194" s="26"/>
      <c r="C194" s="26"/>
      <c r="D194" s="26">
        <v>0</v>
      </c>
      <c r="E194" s="26">
        <v>1</v>
      </c>
      <c r="F194" s="26" t="s">
        <v>197</v>
      </c>
      <c r="G194" s="26" t="s">
        <v>198</v>
      </c>
      <c r="H194" s="26"/>
      <c r="I194" s="26">
        <v>0</v>
      </c>
      <c r="J194" s="26" t="s">
        <v>838</v>
      </c>
      <c r="K194" s="26" t="s">
        <v>7360</v>
      </c>
      <c r="L194" s="26">
        <v>140</v>
      </c>
      <c r="M194" s="26"/>
      <c r="N194" s="26" t="str">
        <f t="shared" si="6"/>
        <v>Status(DamageDerate, 140)</v>
      </c>
      <c r="O194" s="26">
        <v>0</v>
      </c>
      <c r="P194" s="26">
        <v>0</v>
      </c>
      <c r="Q194" s="26"/>
      <c r="R194" s="26" t="b">
        <v>1</v>
      </c>
    </row>
    <row r="195" spans="1:18" s="153" customFormat="1">
      <c r="A195" s="26" t="s">
        <v>7384</v>
      </c>
      <c r="B195" s="26"/>
      <c r="C195" s="26"/>
      <c r="D195" s="26">
        <v>0</v>
      </c>
      <c r="E195" s="26">
        <v>1</v>
      </c>
      <c r="F195" s="26" t="s">
        <v>197</v>
      </c>
      <c r="G195" s="26" t="s">
        <v>198</v>
      </c>
      <c r="H195" s="26"/>
      <c r="I195" s="26">
        <v>0</v>
      </c>
      <c r="J195" s="26" t="s">
        <v>838</v>
      </c>
      <c r="K195" s="26" t="s">
        <v>7360</v>
      </c>
      <c r="L195" s="26">
        <v>150</v>
      </c>
      <c r="M195" s="26"/>
      <c r="N195" s="26" t="str">
        <f t="shared" si="6"/>
        <v>Status(DamageDerate, 150)</v>
      </c>
      <c r="O195" s="26">
        <v>0</v>
      </c>
      <c r="P195" s="26">
        <v>0</v>
      </c>
      <c r="Q195" s="26"/>
      <c r="R195" s="26" t="b">
        <v>1</v>
      </c>
    </row>
    <row r="196" spans="1:18" s="153" customFormat="1">
      <c r="A196" s="26" t="s">
        <v>7385</v>
      </c>
      <c r="B196" s="26"/>
      <c r="C196" s="26"/>
      <c r="D196" s="26">
        <v>0</v>
      </c>
      <c r="E196" s="26">
        <v>1</v>
      </c>
      <c r="F196" s="26" t="s">
        <v>197</v>
      </c>
      <c r="G196" s="26" t="s">
        <v>198</v>
      </c>
      <c r="H196" s="26"/>
      <c r="I196" s="26">
        <v>0</v>
      </c>
      <c r="J196" s="26" t="s">
        <v>838</v>
      </c>
      <c r="K196" s="26" t="s">
        <v>7360</v>
      </c>
      <c r="L196" s="26">
        <v>160</v>
      </c>
      <c r="M196" s="26"/>
      <c r="N196" s="26" t="str">
        <f t="shared" si="6"/>
        <v>Status(DamageDerate, 160)</v>
      </c>
      <c r="O196" s="26">
        <v>0</v>
      </c>
      <c r="P196" s="26">
        <v>0</v>
      </c>
      <c r="Q196" s="26"/>
      <c r="R196" s="26" t="b">
        <v>1</v>
      </c>
    </row>
    <row r="197" spans="1:18" s="143" customFormat="1">
      <c r="A197" s="25" t="s">
        <v>7424</v>
      </c>
      <c r="B197" s="25" t="s">
        <v>7436</v>
      </c>
      <c r="C197" s="25" t="s">
        <v>7419</v>
      </c>
      <c r="D197" s="25">
        <v>0</v>
      </c>
      <c r="E197" s="25">
        <v>1</v>
      </c>
      <c r="F197" s="25" t="s">
        <v>197</v>
      </c>
      <c r="G197" s="25" t="s">
        <v>198</v>
      </c>
      <c r="H197" s="25"/>
      <c r="I197" s="25">
        <v>0</v>
      </c>
      <c r="J197" s="25" t="s">
        <v>838</v>
      </c>
      <c r="K197" s="25" t="s">
        <v>7434</v>
      </c>
      <c r="L197" s="25">
        <v>100</v>
      </c>
      <c r="M197" s="25"/>
      <c r="N197" s="25" t="str">
        <f t="shared" ref="N197:N201" si="8">J197&amp;"("&amp;IF(K197="","",K197)&amp;IF(L197="","",", "&amp;L197)&amp;IF(M197="","",", "&amp;M197)&amp;")"</f>
        <v>Status(IgnoreDefenseRate, 100)</v>
      </c>
      <c r="O197" s="25">
        <v>0</v>
      </c>
      <c r="P197" s="25">
        <v>0</v>
      </c>
      <c r="Q197" s="25"/>
      <c r="R197" s="25" t="b">
        <v>1</v>
      </c>
    </row>
    <row r="198" spans="1:18" s="143" customFormat="1">
      <c r="A198" s="25" t="s">
        <v>7425</v>
      </c>
      <c r="B198" s="25" t="s">
        <v>7436</v>
      </c>
      <c r="C198" s="25" t="s">
        <v>7437</v>
      </c>
      <c r="D198" s="25">
        <v>0</v>
      </c>
      <c r="E198" s="25">
        <v>1</v>
      </c>
      <c r="F198" s="25" t="s">
        <v>197</v>
      </c>
      <c r="G198" s="25" t="s">
        <v>198</v>
      </c>
      <c r="H198" s="25"/>
      <c r="I198" s="25">
        <v>0</v>
      </c>
      <c r="J198" s="25" t="s">
        <v>838</v>
      </c>
      <c r="K198" s="25" t="s">
        <v>7434</v>
      </c>
      <c r="L198" s="25">
        <v>100</v>
      </c>
      <c r="M198" s="25"/>
      <c r="N198" s="25" t="str">
        <f t="shared" si="8"/>
        <v>Status(IgnoreDefenseRate, 100)</v>
      </c>
      <c r="O198" s="25">
        <v>0</v>
      </c>
      <c r="P198" s="25">
        <v>0</v>
      </c>
      <c r="Q198" s="25"/>
      <c r="R198" s="25" t="b">
        <v>1</v>
      </c>
    </row>
    <row r="199" spans="1:18" s="143" customFormat="1">
      <c r="A199" s="25" t="s">
        <v>7426</v>
      </c>
      <c r="B199" s="25" t="s">
        <v>7436</v>
      </c>
      <c r="C199" s="25" t="s">
        <v>7438</v>
      </c>
      <c r="D199" s="25">
        <v>0</v>
      </c>
      <c r="E199" s="25">
        <v>1</v>
      </c>
      <c r="F199" s="25" t="s">
        <v>197</v>
      </c>
      <c r="G199" s="25" t="s">
        <v>198</v>
      </c>
      <c r="H199" s="25"/>
      <c r="I199" s="25">
        <v>0</v>
      </c>
      <c r="J199" s="25" t="s">
        <v>838</v>
      </c>
      <c r="K199" s="25" t="s">
        <v>7434</v>
      </c>
      <c r="L199" s="25">
        <v>100</v>
      </c>
      <c r="M199" s="25"/>
      <c r="N199" s="25" t="str">
        <f t="shared" si="8"/>
        <v>Status(IgnoreDefenseRate, 100)</v>
      </c>
      <c r="O199" s="25">
        <v>0</v>
      </c>
      <c r="P199" s="25">
        <v>0</v>
      </c>
      <c r="Q199" s="25"/>
      <c r="R199" s="25" t="b">
        <v>1</v>
      </c>
    </row>
    <row r="200" spans="1:18" s="143" customFormat="1">
      <c r="A200" s="25" t="s">
        <v>7427</v>
      </c>
      <c r="B200" s="25" t="s">
        <v>7436</v>
      </c>
      <c r="C200" s="25" t="s">
        <v>7439</v>
      </c>
      <c r="D200" s="25">
        <v>0</v>
      </c>
      <c r="E200" s="25">
        <v>1</v>
      </c>
      <c r="F200" s="25" t="s">
        <v>197</v>
      </c>
      <c r="G200" s="25" t="s">
        <v>198</v>
      </c>
      <c r="H200" s="25"/>
      <c r="I200" s="25">
        <v>0</v>
      </c>
      <c r="J200" s="25" t="s">
        <v>838</v>
      </c>
      <c r="K200" s="25" t="s">
        <v>7434</v>
      </c>
      <c r="L200" s="25">
        <v>100</v>
      </c>
      <c r="M200" s="25"/>
      <c r="N200" s="25" t="str">
        <f t="shared" si="8"/>
        <v>Status(IgnoreDefenseRate, 100)</v>
      </c>
      <c r="O200" s="25">
        <v>0</v>
      </c>
      <c r="P200" s="25">
        <v>0</v>
      </c>
      <c r="Q200" s="25"/>
      <c r="R200" s="25" t="b">
        <v>1</v>
      </c>
    </row>
    <row r="201" spans="1:18" s="143" customFormat="1">
      <c r="A201" s="25" t="s">
        <v>7428</v>
      </c>
      <c r="B201" s="25" t="s">
        <v>7436</v>
      </c>
      <c r="C201" s="25" t="s">
        <v>7440</v>
      </c>
      <c r="D201" s="25">
        <v>0</v>
      </c>
      <c r="E201" s="25">
        <v>1</v>
      </c>
      <c r="F201" s="25" t="s">
        <v>197</v>
      </c>
      <c r="G201" s="25" t="s">
        <v>198</v>
      </c>
      <c r="H201" s="25"/>
      <c r="I201" s="25">
        <v>0</v>
      </c>
      <c r="J201" s="25" t="s">
        <v>838</v>
      </c>
      <c r="K201" s="25" t="s">
        <v>7434</v>
      </c>
      <c r="L201" s="25">
        <v>100</v>
      </c>
      <c r="M201" s="25"/>
      <c r="N201" s="25" t="str">
        <f t="shared" si="8"/>
        <v>Status(IgnoreDefenseRate, 100)</v>
      </c>
      <c r="O201" s="25">
        <v>0</v>
      </c>
      <c r="P201" s="25">
        <v>0</v>
      </c>
      <c r="Q201" s="25"/>
      <c r="R201" s="25" t="b">
        <v>1</v>
      </c>
    </row>
    <row r="202" spans="1:18" s="153" customFormat="1">
      <c r="A202" s="26" t="s">
        <v>7429</v>
      </c>
      <c r="B202" s="26" t="s">
        <v>1414</v>
      </c>
      <c r="C202" s="26" t="s">
        <v>7419</v>
      </c>
      <c r="D202" s="26">
        <v>0</v>
      </c>
      <c r="E202" s="26">
        <v>1</v>
      </c>
      <c r="F202" s="26" t="s">
        <v>197</v>
      </c>
      <c r="G202" s="26" t="s">
        <v>198</v>
      </c>
      <c r="H202" s="26"/>
      <c r="I202" s="26">
        <v>0</v>
      </c>
      <c r="J202" s="26" t="s">
        <v>838</v>
      </c>
      <c r="K202" s="26" t="s">
        <v>908</v>
      </c>
      <c r="L202" s="26">
        <v>70</v>
      </c>
      <c r="M202" s="26"/>
      <c r="N202" s="26" t="str">
        <f t="shared" ref="N202:N211" si="9">J202&amp;"("&amp;IF(K202="","",K202)&amp;IF(L202="","",", "&amp;L202)&amp;IF(M202="","",", "&amp;M202)&amp;")"</f>
        <v>Status(AttackRatio, 70)</v>
      </c>
      <c r="O202" s="26">
        <v>0</v>
      </c>
      <c r="P202" s="26">
        <v>0</v>
      </c>
      <c r="Q202" s="26"/>
      <c r="R202" s="26" t="b">
        <v>1</v>
      </c>
    </row>
    <row r="203" spans="1:18" s="153" customFormat="1">
      <c r="A203" s="26" t="s">
        <v>7430</v>
      </c>
      <c r="B203" s="26" t="s">
        <v>1414</v>
      </c>
      <c r="C203" s="26" t="s">
        <v>7437</v>
      </c>
      <c r="D203" s="26">
        <v>0</v>
      </c>
      <c r="E203" s="26">
        <v>1</v>
      </c>
      <c r="F203" s="26" t="s">
        <v>197</v>
      </c>
      <c r="G203" s="26" t="s">
        <v>198</v>
      </c>
      <c r="H203" s="26"/>
      <c r="I203" s="26">
        <v>0</v>
      </c>
      <c r="J203" s="26" t="s">
        <v>838</v>
      </c>
      <c r="K203" s="26" t="s">
        <v>908</v>
      </c>
      <c r="L203" s="26">
        <v>70</v>
      </c>
      <c r="M203" s="26"/>
      <c r="N203" s="26" t="str">
        <f t="shared" si="9"/>
        <v>Status(AttackRatio, 70)</v>
      </c>
      <c r="O203" s="26">
        <v>0</v>
      </c>
      <c r="P203" s="26">
        <v>0</v>
      </c>
      <c r="Q203" s="26"/>
      <c r="R203" s="26" t="b">
        <v>1</v>
      </c>
    </row>
    <row r="204" spans="1:18" s="153" customFormat="1">
      <c r="A204" s="26" t="s">
        <v>7431</v>
      </c>
      <c r="B204" s="26" t="s">
        <v>1414</v>
      </c>
      <c r="C204" s="26" t="s">
        <v>7438</v>
      </c>
      <c r="D204" s="26">
        <v>0</v>
      </c>
      <c r="E204" s="26">
        <v>1</v>
      </c>
      <c r="F204" s="26" t="s">
        <v>197</v>
      </c>
      <c r="G204" s="26" t="s">
        <v>198</v>
      </c>
      <c r="H204" s="26"/>
      <c r="I204" s="26">
        <v>0</v>
      </c>
      <c r="J204" s="26" t="s">
        <v>838</v>
      </c>
      <c r="K204" s="26" t="s">
        <v>908</v>
      </c>
      <c r="L204" s="26">
        <v>70</v>
      </c>
      <c r="M204" s="26"/>
      <c r="N204" s="26" t="str">
        <f t="shared" si="9"/>
        <v>Status(AttackRatio, 70)</v>
      </c>
      <c r="O204" s="26">
        <v>0</v>
      </c>
      <c r="P204" s="26">
        <v>0</v>
      </c>
      <c r="Q204" s="26"/>
      <c r="R204" s="26" t="b">
        <v>1</v>
      </c>
    </row>
    <row r="205" spans="1:18" s="153" customFormat="1">
      <c r="A205" s="26" t="s">
        <v>7432</v>
      </c>
      <c r="B205" s="26" t="s">
        <v>1414</v>
      </c>
      <c r="C205" s="26" t="s">
        <v>7439</v>
      </c>
      <c r="D205" s="26">
        <v>0</v>
      </c>
      <c r="E205" s="26">
        <v>1</v>
      </c>
      <c r="F205" s="26" t="s">
        <v>197</v>
      </c>
      <c r="G205" s="26" t="s">
        <v>198</v>
      </c>
      <c r="H205" s="26"/>
      <c r="I205" s="26">
        <v>0</v>
      </c>
      <c r="J205" s="26" t="s">
        <v>838</v>
      </c>
      <c r="K205" s="26" t="s">
        <v>908</v>
      </c>
      <c r="L205" s="26">
        <v>70</v>
      </c>
      <c r="M205" s="26"/>
      <c r="N205" s="26" t="str">
        <f t="shared" si="9"/>
        <v>Status(AttackRatio, 70)</v>
      </c>
      <c r="O205" s="26">
        <v>0</v>
      </c>
      <c r="P205" s="26">
        <v>0</v>
      </c>
      <c r="Q205" s="26"/>
      <c r="R205" s="26" t="b">
        <v>1</v>
      </c>
    </row>
    <row r="206" spans="1:18" s="153" customFormat="1">
      <c r="A206" s="26" t="s">
        <v>7433</v>
      </c>
      <c r="B206" s="26" t="s">
        <v>1414</v>
      </c>
      <c r="C206" s="26" t="s">
        <v>7440</v>
      </c>
      <c r="D206" s="26">
        <v>0</v>
      </c>
      <c r="E206" s="26">
        <v>1</v>
      </c>
      <c r="F206" s="26" t="s">
        <v>197</v>
      </c>
      <c r="G206" s="26" t="s">
        <v>198</v>
      </c>
      <c r="H206" s="26"/>
      <c r="I206" s="26">
        <v>0</v>
      </c>
      <c r="J206" s="26" t="s">
        <v>838</v>
      </c>
      <c r="K206" s="26" t="s">
        <v>908</v>
      </c>
      <c r="L206" s="26">
        <v>70</v>
      </c>
      <c r="M206" s="26"/>
      <c r="N206" s="26" t="str">
        <f t="shared" si="9"/>
        <v>Status(AttackRatio, 70)</v>
      </c>
      <c r="O206" s="26">
        <v>0</v>
      </c>
      <c r="P206" s="26">
        <v>0</v>
      </c>
      <c r="Q206" s="26"/>
      <c r="R206" s="26" t="b">
        <v>1</v>
      </c>
    </row>
    <row r="207" spans="1:18" s="143" customFormat="1">
      <c r="A207" s="25" t="s">
        <v>7441</v>
      </c>
      <c r="B207" s="25" t="s">
        <v>7436</v>
      </c>
      <c r="C207" s="25" t="s">
        <v>7419</v>
      </c>
      <c r="D207" s="25">
        <v>0</v>
      </c>
      <c r="E207" s="25">
        <v>1</v>
      </c>
      <c r="F207" s="25" t="s">
        <v>197</v>
      </c>
      <c r="G207" s="25" t="s">
        <v>198</v>
      </c>
      <c r="H207" s="25"/>
      <c r="I207" s="25">
        <v>0</v>
      </c>
      <c r="J207" s="25" t="s">
        <v>838</v>
      </c>
      <c r="K207" s="25" t="s">
        <v>7434</v>
      </c>
      <c r="L207" s="25">
        <v>125</v>
      </c>
      <c r="M207" s="25"/>
      <c r="N207" s="25" t="str">
        <f t="shared" si="9"/>
        <v>Status(IgnoreDefenseRate, 125)</v>
      </c>
      <c r="O207" s="25">
        <v>0</v>
      </c>
      <c r="P207" s="25">
        <v>0</v>
      </c>
      <c r="Q207" s="25"/>
      <c r="R207" s="25" t="b">
        <v>1</v>
      </c>
    </row>
    <row r="208" spans="1:18" s="143" customFormat="1">
      <c r="A208" s="25" t="s">
        <v>7442</v>
      </c>
      <c r="B208" s="25" t="s">
        <v>7436</v>
      </c>
      <c r="C208" s="25" t="s">
        <v>7437</v>
      </c>
      <c r="D208" s="25">
        <v>0</v>
      </c>
      <c r="E208" s="25">
        <v>1</v>
      </c>
      <c r="F208" s="25" t="s">
        <v>197</v>
      </c>
      <c r="G208" s="25" t="s">
        <v>198</v>
      </c>
      <c r="H208" s="25"/>
      <c r="I208" s="25">
        <v>0</v>
      </c>
      <c r="J208" s="25" t="s">
        <v>838</v>
      </c>
      <c r="K208" s="25" t="s">
        <v>7434</v>
      </c>
      <c r="L208" s="25">
        <v>125</v>
      </c>
      <c r="M208" s="25"/>
      <c r="N208" s="25" t="str">
        <f t="shared" si="9"/>
        <v>Status(IgnoreDefenseRate, 125)</v>
      </c>
      <c r="O208" s="25">
        <v>0</v>
      </c>
      <c r="P208" s="25">
        <v>0</v>
      </c>
      <c r="Q208" s="25"/>
      <c r="R208" s="25" t="b">
        <v>1</v>
      </c>
    </row>
    <row r="209" spans="1:18" s="143" customFormat="1">
      <c r="A209" s="25" t="s">
        <v>7443</v>
      </c>
      <c r="B209" s="25" t="s">
        <v>7436</v>
      </c>
      <c r="C209" s="25" t="s">
        <v>7438</v>
      </c>
      <c r="D209" s="25">
        <v>0</v>
      </c>
      <c r="E209" s="25">
        <v>1</v>
      </c>
      <c r="F209" s="25" t="s">
        <v>197</v>
      </c>
      <c r="G209" s="25" t="s">
        <v>198</v>
      </c>
      <c r="H209" s="25"/>
      <c r="I209" s="25">
        <v>0</v>
      </c>
      <c r="J209" s="25" t="s">
        <v>838</v>
      </c>
      <c r="K209" s="25" t="s">
        <v>7434</v>
      </c>
      <c r="L209" s="25">
        <v>125</v>
      </c>
      <c r="M209" s="25"/>
      <c r="N209" s="25" t="str">
        <f t="shared" si="9"/>
        <v>Status(IgnoreDefenseRate, 125)</v>
      </c>
      <c r="O209" s="25">
        <v>0</v>
      </c>
      <c r="P209" s="25">
        <v>0</v>
      </c>
      <c r="Q209" s="25"/>
      <c r="R209" s="25" t="b">
        <v>1</v>
      </c>
    </row>
    <row r="210" spans="1:18" s="143" customFormat="1">
      <c r="A210" s="25" t="s">
        <v>7444</v>
      </c>
      <c r="B210" s="25" t="s">
        <v>7436</v>
      </c>
      <c r="C210" s="25" t="s">
        <v>7439</v>
      </c>
      <c r="D210" s="25">
        <v>0</v>
      </c>
      <c r="E210" s="25">
        <v>1</v>
      </c>
      <c r="F210" s="25" t="s">
        <v>197</v>
      </c>
      <c r="G210" s="25" t="s">
        <v>198</v>
      </c>
      <c r="H210" s="25"/>
      <c r="I210" s="25">
        <v>0</v>
      </c>
      <c r="J210" s="25" t="s">
        <v>838</v>
      </c>
      <c r="K210" s="25" t="s">
        <v>7434</v>
      </c>
      <c r="L210" s="25">
        <v>125</v>
      </c>
      <c r="M210" s="25"/>
      <c r="N210" s="25" t="str">
        <f t="shared" si="9"/>
        <v>Status(IgnoreDefenseRate, 125)</v>
      </c>
      <c r="O210" s="25">
        <v>0</v>
      </c>
      <c r="P210" s="25">
        <v>0</v>
      </c>
      <c r="Q210" s="25"/>
      <c r="R210" s="25" t="b">
        <v>1</v>
      </c>
    </row>
    <row r="211" spans="1:18" s="143" customFormat="1">
      <c r="A211" s="25" t="s">
        <v>7445</v>
      </c>
      <c r="B211" s="25" t="s">
        <v>7436</v>
      </c>
      <c r="C211" s="25" t="s">
        <v>7440</v>
      </c>
      <c r="D211" s="25">
        <v>0</v>
      </c>
      <c r="E211" s="25">
        <v>1</v>
      </c>
      <c r="F211" s="25" t="s">
        <v>197</v>
      </c>
      <c r="G211" s="25" t="s">
        <v>198</v>
      </c>
      <c r="H211" s="25"/>
      <c r="I211" s="25">
        <v>0</v>
      </c>
      <c r="J211" s="25" t="s">
        <v>838</v>
      </c>
      <c r="K211" s="25" t="s">
        <v>7434</v>
      </c>
      <c r="L211" s="25">
        <v>125</v>
      </c>
      <c r="M211" s="25"/>
      <c r="N211" s="25" t="str">
        <f t="shared" si="9"/>
        <v>Status(IgnoreDefenseRate, 125)</v>
      </c>
      <c r="O211" s="25">
        <v>0</v>
      </c>
      <c r="P211" s="25">
        <v>0</v>
      </c>
      <c r="Q211" s="25"/>
      <c r="R211" s="25" t="b">
        <v>1</v>
      </c>
    </row>
    <row r="212" spans="1:18" s="153" customFormat="1">
      <c r="A212" s="26" t="s">
        <v>7446</v>
      </c>
      <c r="B212" s="26" t="s">
        <v>1414</v>
      </c>
      <c r="C212" s="26" t="s">
        <v>7419</v>
      </c>
      <c r="D212" s="26">
        <v>0</v>
      </c>
      <c r="E212" s="26">
        <v>1</v>
      </c>
      <c r="F212" s="26" t="s">
        <v>197</v>
      </c>
      <c r="G212" s="26" t="s">
        <v>198</v>
      </c>
      <c r="H212" s="26"/>
      <c r="I212" s="26">
        <v>0</v>
      </c>
      <c r="J212" s="26" t="s">
        <v>838</v>
      </c>
      <c r="K212" s="26" t="s">
        <v>908</v>
      </c>
      <c r="L212" s="26">
        <v>90</v>
      </c>
      <c r="M212" s="26"/>
      <c r="N212" s="26" t="str">
        <f t="shared" ref="N212:N236" si="10">J212&amp;"("&amp;IF(K212="","",K212)&amp;IF(L212="","",", "&amp;L212)&amp;IF(M212="","",", "&amp;M212)&amp;")"</f>
        <v>Status(AttackRatio, 90)</v>
      </c>
      <c r="O212" s="26">
        <v>0</v>
      </c>
      <c r="P212" s="26">
        <v>0</v>
      </c>
      <c r="Q212" s="26"/>
      <c r="R212" s="26" t="b">
        <v>1</v>
      </c>
    </row>
    <row r="213" spans="1:18" s="153" customFormat="1">
      <c r="A213" s="26" t="s">
        <v>7447</v>
      </c>
      <c r="B213" s="26" t="s">
        <v>1414</v>
      </c>
      <c r="C213" s="26" t="s">
        <v>7437</v>
      </c>
      <c r="D213" s="26">
        <v>0</v>
      </c>
      <c r="E213" s="26">
        <v>1</v>
      </c>
      <c r="F213" s="26" t="s">
        <v>197</v>
      </c>
      <c r="G213" s="26" t="s">
        <v>198</v>
      </c>
      <c r="H213" s="26"/>
      <c r="I213" s="26">
        <v>0</v>
      </c>
      <c r="J213" s="26" t="s">
        <v>838</v>
      </c>
      <c r="K213" s="26" t="s">
        <v>908</v>
      </c>
      <c r="L213" s="26">
        <v>90</v>
      </c>
      <c r="M213" s="26"/>
      <c r="N213" s="26" t="str">
        <f t="shared" si="10"/>
        <v>Status(AttackRatio, 90)</v>
      </c>
      <c r="O213" s="26">
        <v>0</v>
      </c>
      <c r="P213" s="26">
        <v>0</v>
      </c>
      <c r="Q213" s="26"/>
      <c r="R213" s="26" t="b">
        <v>1</v>
      </c>
    </row>
    <row r="214" spans="1:18" s="153" customFormat="1">
      <c r="A214" s="26" t="s">
        <v>7448</v>
      </c>
      <c r="B214" s="26" t="s">
        <v>1414</v>
      </c>
      <c r="C214" s="26" t="s">
        <v>7438</v>
      </c>
      <c r="D214" s="26">
        <v>0</v>
      </c>
      <c r="E214" s="26">
        <v>1</v>
      </c>
      <c r="F214" s="26" t="s">
        <v>197</v>
      </c>
      <c r="G214" s="26" t="s">
        <v>198</v>
      </c>
      <c r="H214" s="26"/>
      <c r="I214" s="26">
        <v>0</v>
      </c>
      <c r="J214" s="26" t="s">
        <v>838</v>
      </c>
      <c r="K214" s="26" t="s">
        <v>908</v>
      </c>
      <c r="L214" s="26">
        <v>90</v>
      </c>
      <c r="M214" s="26"/>
      <c r="N214" s="26" t="str">
        <f t="shared" si="10"/>
        <v>Status(AttackRatio, 90)</v>
      </c>
      <c r="O214" s="26">
        <v>0</v>
      </c>
      <c r="P214" s="26">
        <v>0</v>
      </c>
      <c r="Q214" s="26"/>
      <c r="R214" s="26" t="b">
        <v>1</v>
      </c>
    </row>
    <row r="215" spans="1:18" s="153" customFormat="1">
      <c r="A215" s="26" t="s">
        <v>7449</v>
      </c>
      <c r="B215" s="26" t="s">
        <v>1414</v>
      </c>
      <c r="C215" s="26" t="s">
        <v>7439</v>
      </c>
      <c r="D215" s="26">
        <v>0</v>
      </c>
      <c r="E215" s="26">
        <v>1</v>
      </c>
      <c r="F215" s="26" t="s">
        <v>197</v>
      </c>
      <c r="G215" s="26" t="s">
        <v>198</v>
      </c>
      <c r="H215" s="26"/>
      <c r="I215" s="26">
        <v>0</v>
      </c>
      <c r="J215" s="26" t="s">
        <v>838</v>
      </c>
      <c r="K215" s="26" t="s">
        <v>908</v>
      </c>
      <c r="L215" s="26">
        <v>90</v>
      </c>
      <c r="M215" s="26"/>
      <c r="N215" s="26" t="str">
        <f t="shared" si="10"/>
        <v>Status(AttackRatio, 90)</v>
      </c>
      <c r="O215" s="26">
        <v>0</v>
      </c>
      <c r="P215" s="26">
        <v>0</v>
      </c>
      <c r="Q215" s="26"/>
      <c r="R215" s="26" t="b">
        <v>1</v>
      </c>
    </row>
    <row r="216" spans="1:18" s="153" customFormat="1">
      <c r="A216" s="26" t="s">
        <v>7450</v>
      </c>
      <c r="B216" s="26" t="s">
        <v>1414</v>
      </c>
      <c r="C216" s="26" t="s">
        <v>7440</v>
      </c>
      <c r="D216" s="26">
        <v>0</v>
      </c>
      <c r="E216" s="26">
        <v>1</v>
      </c>
      <c r="F216" s="26" t="s">
        <v>197</v>
      </c>
      <c r="G216" s="26" t="s">
        <v>198</v>
      </c>
      <c r="H216" s="26"/>
      <c r="I216" s="26">
        <v>0</v>
      </c>
      <c r="J216" s="26" t="s">
        <v>838</v>
      </c>
      <c r="K216" s="26" t="s">
        <v>908</v>
      </c>
      <c r="L216" s="26">
        <v>90</v>
      </c>
      <c r="M216" s="26"/>
      <c r="N216" s="26" t="str">
        <f t="shared" si="10"/>
        <v>Status(AttackRatio, 90)</v>
      </c>
      <c r="O216" s="26">
        <v>0</v>
      </c>
      <c r="P216" s="26">
        <v>0</v>
      </c>
      <c r="Q216" s="26"/>
      <c r="R216" s="26" t="b">
        <v>1</v>
      </c>
    </row>
    <row r="217" spans="1:18" s="143" customFormat="1">
      <c r="A217" s="25" t="s">
        <v>7451</v>
      </c>
      <c r="B217" s="25" t="s">
        <v>7436</v>
      </c>
      <c r="C217" s="25" t="s">
        <v>7419</v>
      </c>
      <c r="D217" s="25">
        <v>0</v>
      </c>
      <c r="E217" s="25">
        <v>1</v>
      </c>
      <c r="F217" s="25" t="s">
        <v>197</v>
      </c>
      <c r="G217" s="25" t="s">
        <v>198</v>
      </c>
      <c r="H217" s="25"/>
      <c r="I217" s="25">
        <v>0</v>
      </c>
      <c r="J217" s="25" t="s">
        <v>838</v>
      </c>
      <c r="K217" s="25" t="s">
        <v>7434</v>
      </c>
      <c r="L217" s="25">
        <v>150</v>
      </c>
      <c r="M217" s="25"/>
      <c r="N217" s="25" t="str">
        <f t="shared" si="10"/>
        <v>Status(IgnoreDefenseRate, 150)</v>
      </c>
      <c r="O217" s="25">
        <v>0</v>
      </c>
      <c r="P217" s="25">
        <v>0</v>
      </c>
      <c r="Q217" s="25"/>
      <c r="R217" s="25" t="b">
        <v>1</v>
      </c>
    </row>
    <row r="218" spans="1:18" s="143" customFormat="1">
      <c r="A218" s="25" t="s">
        <v>7452</v>
      </c>
      <c r="B218" s="25" t="s">
        <v>7436</v>
      </c>
      <c r="C218" s="25" t="s">
        <v>7437</v>
      </c>
      <c r="D218" s="25">
        <v>0</v>
      </c>
      <c r="E218" s="25">
        <v>1</v>
      </c>
      <c r="F218" s="25" t="s">
        <v>197</v>
      </c>
      <c r="G218" s="25" t="s">
        <v>198</v>
      </c>
      <c r="H218" s="25"/>
      <c r="I218" s="25">
        <v>0</v>
      </c>
      <c r="J218" s="25" t="s">
        <v>838</v>
      </c>
      <c r="K218" s="25" t="s">
        <v>7434</v>
      </c>
      <c r="L218" s="25">
        <v>150</v>
      </c>
      <c r="M218" s="25"/>
      <c r="N218" s="25" t="str">
        <f t="shared" si="10"/>
        <v>Status(IgnoreDefenseRate, 150)</v>
      </c>
      <c r="O218" s="25">
        <v>0</v>
      </c>
      <c r="P218" s="25">
        <v>0</v>
      </c>
      <c r="Q218" s="25"/>
      <c r="R218" s="25" t="b">
        <v>1</v>
      </c>
    </row>
    <row r="219" spans="1:18" s="143" customFormat="1">
      <c r="A219" s="25" t="s">
        <v>7453</v>
      </c>
      <c r="B219" s="25" t="s">
        <v>7436</v>
      </c>
      <c r="C219" s="25" t="s">
        <v>7438</v>
      </c>
      <c r="D219" s="25">
        <v>0</v>
      </c>
      <c r="E219" s="25">
        <v>1</v>
      </c>
      <c r="F219" s="25" t="s">
        <v>197</v>
      </c>
      <c r="G219" s="25" t="s">
        <v>198</v>
      </c>
      <c r="H219" s="25"/>
      <c r="I219" s="25">
        <v>0</v>
      </c>
      <c r="J219" s="25" t="s">
        <v>838</v>
      </c>
      <c r="K219" s="25" t="s">
        <v>7434</v>
      </c>
      <c r="L219" s="25">
        <v>150</v>
      </c>
      <c r="M219" s="25"/>
      <c r="N219" s="25" t="str">
        <f t="shared" si="10"/>
        <v>Status(IgnoreDefenseRate, 150)</v>
      </c>
      <c r="O219" s="25">
        <v>0</v>
      </c>
      <c r="P219" s="25">
        <v>0</v>
      </c>
      <c r="Q219" s="25"/>
      <c r="R219" s="25" t="b">
        <v>1</v>
      </c>
    </row>
    <row r="220" spans="1:18" s="143" customFormat="1">
      <c r="A220" s="25" t="s">
        <v>7454</v>
      </c>
      <c r="B220" s="25" t="s">
        <v>7436</v>
      </c>
      <c r="C220" s="25" t="s">
        <v>7439</v>
      </c>
      <c r="D220" s="25">
        <v>0</v>
      </c>
      <c r="E220" s="25">
        <v>1</v>
      </c>
      <c r="F220" s="25" t="s">
        <v>197</v>
      </c>
      <c r="G220" s="25" t="s">
        <v>198</v>
      </c>
      <c r="H220" s="25"/>
      <c r="I220" s="25">
        <v>0</v>
      </c>
      <c r="J220" s="25" t="s">
        <v>838</v>
      </c>
      <c r="K220" s="25" t="s">
        <v>7434</v>
      </c>
      <c r="L220" s="25">
        <v>150</v>
      </c>
      <c r="M220" s="25"/>
      <c r="N220" s="25" t="str">
        <f t="shared" si="10"/>
        <v>Status(IgnoreDefenseRate, 150)</v>
      </c>
      <c r="O220" s="25">
        <v>0</v>
      </c>
      <c r="P220" s="25">
        <v>0</v>
      </c>
      <c r="Q220" s="25"/>
      <c r="R220" s="25" t="b">
        <v>1</v>
      </c>
    </row>
    <row r="221" spans="1:18" s="143" customFormat="1">
      <c r="A221" s="25" t="s">
        <v>7455</v>
      </c>
      <c r="B221" s="25" t="s">
        <v>7436</v>
      </c>
      <c r="C221" s="25" t="s">
        <v>7440</v>
      </c>
      <c r="D221" s="25">
        <v>0</v>
      </c>
      <c r="E221" s="25">
        <v>1</v>
      </c>
      <c r="F221" s="25" t="s">
        <v>197</v>
      </c>
      <c r="G221" s="25" t="s">
        <v>198</v>
      </c>
      <c r="H221" s="25"/>
      <c r="I221" s="25">
        <v>0</v>
      </c>
      <c r="J221" s="25" t="s">
        <v>838</v>
      </c>
      <c r="K221" s="25" t="s">
        <v>7434</v>
      </c>
      <c r="L221" s="25">
        <v>150</v>
      </c>
      <c r="M221" s="25"/>
      <c r="N221" s="25" t="str">
        <f t="shared" si="10"/>
        <v>Status(IgnoreDefenseRate, 150)</v>
      </c>
      <c r="O221" s="25">
        <v>0</v>
      </c>
      <c r="P221" s="25">
        <v>0</v>
      </c>
      <c r="Q221" s="25"/>
      <c r="R221" s="25" t="b">
        <v>1</v>
      </c>
    </row>
    <row r="222" spans="1:18" s="153" customFormat="1">
      <c r="A222" s="26" t="s">
        <v>7456</v>
      </c>
      <c r="B222" s="26" t="s">
        <v>1414</v>
      </c>
      <c r="C222" s="26" t="s">
        <v>7419</v>
      </c>
      <c r="D222" s="26">
        <v>0</v>
      </c>
      <c r="E222" s="26">
        <v>1</v>
      </c>
      <c r="F222" s="26" t="s">
        <v>197</v>
      </c>
      <c r="G222" s="26" t="s">
        <v>198</v>
      </c>
      <c r="H222" s="26"/>
      <c r="I222" s="26">
        <v>0</v>
      </c>
      <c r="J222" s="26" t="s">
        <v>838</v>
      </c>
      <c r="K222" s="26" t="s">
        <v>908</v>
      </c>
      <c r="L222" s="26">
        <v>120</v>
      </c>
      <c r="M222" s="26"/>
      <c r="N222" s="26" t="str">
        <f t="shared" si="10"/>
        <v>Status(AttackRatio, 120)</v>
      </c>
      <c r="O222" s="26">
        <v>0</v>
      </c>
      <c r="P222" s="26">
        <v>0</v>
      </c>
      <c r="Q222" s="26"/>
      <c r="R222" s="26" t="b">
        <v>1</v>
      </c>
    </row>
    <row r="223" spans="1:18" s="153" customFormat="1">
      <c r="A223" s="26" t="s">
        <v>7457</v>
      </c>
      <c r="B223" s="26" t="s">
        <v>1414</v>
      </c>
      <c r="C223" s="26" t="s">
        <v>7437</v>
      </c>
      <c r="D223" s="26">
        <v>0</v>
      </c>
      <c r="E223" s="26">
        <v>1</v>
      </c>
      <c r="F223" s="26" t="s">
        <v>197</v>
      </c>
      <c r="G223" s="26" t="s">
        <v>198</v>
      </c>
      <c r="H223" s="26"/>
      <c r="I223" s="26">
        <v>0</v>
      </c>
      <c r="J223" s="26" t="s">
        <v>838</v>
      </c>
      <c r="K223" s="26" t="s">
        <v>908</v>
      </c>
      <c r="L223" s="26">
        <v>120</v>
      </c>
      <c r="M223" s="26"/>
      <c r="N223" s="26" t="str">
        <f t="shared" si="10"/>
        <v>Status(AttackRatio, 120)</v>
      </c>
      <c r="O223" s="26">
        <v>0</v>
      </c>
      <c r="P223" s="26">
        <v>0</v>
      </c>
      <c r="Q223" s="26"/>
      <c r="R223" s="26" t="b">
        <v>1</v>
      </c>
    </row>
    <row r="224" spans="1:18" s="153" customFormat="1">
      <c r="A224" s="26" t="s">
        <v>7458</v>
      </c>
      <c r="B224" s="26" t="s">
        <v>1414</v>
      </c>
      <c r="C224" s="26" t="s">
        <v>7438</v>
      </c>
      <c r="D224" s="26">
        <v>0</v>
      </c>
      <c r="E224" s="26">
        <v>1</v>
      </c>
      <c r="F224" s="26" t="s">
        <v>197</v>
      </c>
      <c r="G224" s="26" t="s">
        <v>198</v>
      </c>
      <c r="H224" s="26"/>
      <c r="I224" s="26">
        <v>0</v>
      </c>
      <c r="J224" s="26" t="s">
        <v>838</v>
      </c>
      <c r="K224" s="26" t="s">
        <v>908</v>
      </c>
      <c r="L224" s="26">
        <v>120</v>
      </c>
      <c r="M224" s="26"/>
      <c r="N224" s="26" t="str">
        <f t="shared" si="10"/>
        <v>Status(AttackRatio, 120)</v>
      </c>
      <c r="O224" s="26">
        <v>0</v>
      </c>
      <c r="P224" s="26">
        <v>0</v>
      </c>
      <c r="Q224" s="26"/>
      <c r="R224" s="26" t="b">
        <v>1</v>
      </c>
    </row>
    <row r="225" spans="1:18" s="153" customFormat="1">
      <c r="A225" s="26" t="s">
        <v>7459</v>
      </c>
      <c r="B225" s="26" t="s">
        <v>1414</v>
      </c>
      <c r="C225" s="26" t="s">
        <v>7439</v>
      </c>
      <c r="D225" s="26">
        <v>0</v>
      </c>
      <c r="E225" s="26">
        <v>1</v>
      </c>
      <c r="F225" s="26" t="s">
        <v>197</v>
      </c>
      <c r="G225" s="26" t="s">
        <v>198</v>
      </c>
      <c r="H225" s="26"/>
      <c r="I225" s="26">
        <v>0</v>
      </c>
      <c r="J225" s="26" t="s">
        <v>838</v>
      </c>
      <c r="K225" s="26" t="s">
        <v>908</v>
      </c>
      <c r="L225" s="26">
        <v>120</v>
      </c>
      <c r="M225" s="26"/>
      <c r="N225" s="26" t="str">
        <f t="shared" si="10"/>
        <v>Status(AttackRatio, 120)</v>
      </c>
      <c r="O225" s="26">
        <v>0</v>
      </c>
      <c r="P225" s="26">
        <v>0</v>
      </c>
      <c r="Q225" s="26"/>
      <c r="R225" s="26" t="b">
        <v>1</v>
      </c>
    </row>
    <row r="226" spans="1:18" s="153" customFormat="1">
      <c r="A226" s="26" t="s">
        <v>7460</v>
      </c>
      <c r="B226" s="26" t="s">
        <v>1414</v>
      </c>
      <c r="C226" s="26" t="s">
        <v>7440</v>
      </c>
      <c r="D226" s="26">
        <v>0</v>
      </c>
      <c r="E226" s="26">
        <v>1</v>
      </c>
      <c r="F226" s="26" t="s">
        <v>197</v>
      </c>
      <c r="G226" s="26" t="s">
        <v>198</v>
      </c>
      <c r="H226" s="26"/>
      <c r="I226" s="26">
        <v>0</v>
      </c>
      <c r="J226" s="26" t="s">
        <v>838</v>
      </c>
      <c r="K226" s="26" t="s">
        <v>908</v>
      </c>
      <c r="L226" s="26">
        <v>120</v>
      </c>
      <c r="M226" s="26"/>
      <c r="N226" s="26" t="str">
        <f t="shared" si="10"/>
        <v>Status(AttackRatio, 120)</v>
      </c>
      <c r="O226" s="26">
        <v>0</v>
      </c>
      <c r="P226" s="26">
        <v>0</v>
      </c>
      <c r="Q226" s="26"/>
      <c r="R226" s="26" t="b">
        <v>1</v>
      </c>
    </row>
    <row r="227" spans="1:18" s="143" customFormat="1">
      <c r="A227" s="25" t="s">
        <v>7461</v>
      </c>
      <c r="B227" s="25" t="s">
        <v>7436</v>
      </c>
      <c r="C227" s="25" t="s">
        <v>7419</v>
      </c>
      <c r="D227" s="25">
        <v>0</v>
      </c>
      <c r="E227" s="25">
        <v>1</v>
      </c>
      <c r="F227" s="25" t="s">
        <v>197</v>
      </c>
      <c r="G227" s="25" t="s">
        <v>198</v>
      </c>
      <c r="H227" s="25"/>
      <c r="I227" s="25">
        <v>0</v>
      </c>
      <c r="J227" s="25" t="s">
        <v>838</v>
      </c>
      <c r="K227" s="25" t="s">
        <v>7434</v>
      </c>
      <c r="L227" s="25">
        <v>200</v>
      </c>
      <c r="M227" s="25"/>
      <c r="N227" s="25" t="str">
        <f t="shared" si="10"/>
        <v>Status(IgnoreDefenseRate, 200)</v>
      </c>
      <c r="O227" s="25">
        <v>0</v>
      </c>
      <c r="P227" s="25">
        <v>0</v>
      </c>
      <c r="Q227" s="25"/>
      <c r="R227" s="25" t="b">
        <v>1</v>
      </c>
    </row>
    <row r="228" spans="1:18" s="143" customFormat="1">
      <c r="A228" s="25" t="s">
        <v>7462</v>
      </c>
      <c r="B228" s="25" t="s">
        <v>7436</v>
      </c>
      <c r="C228" s="25" t="s">
        <v>7437</v>
      </c>
      <c r="D228" s="25">
        <v>0</v>
      </c>
      <c r="E228" s="25">
        <v>1</v>
      </c>
      <c r="F228" s="25" t="s">
        <v>197</v>
      </c>
      <c r="G228" s="25" t="s">
        <v>198</v>
      </c>
      <c r="H228" s="25"/>
      <c r="I228" s="25">
        <v>0</v>
      </c>
      <c r="J228" s="25" t="s">
        <v>838</v>
      </c>
      <c r="K228" s="25" t="s">
        <v>7434</v>
      </c>
      <c r="L228" s="25">
        <v>200</v>
      </c>
      <c r="M228" s="25"/>
      <c r="N228" s="25" t="str">
        <f t="shared" si="10"/>
        <v>Status(IgnoreDefenseRate, 200)</v>
      </c>
      <c r="O228" s="25">
        <v>0</v>
      </c>
      <c r="P228" s="25">
        <v>0</v>
      </c>
      <c r="Q228" s="25"/>
      <c r="R228" s="25" t="b">
        <v>1</v>
      </c>
    </row>
    <row r="229" spans="1:18" s="143" customFormat="1">
      <c r="A229" s="25" t="s">
        <v>7463</v>
      </c>
      <c r="B229" s="25" t="s">
        <v>7436</v>
      </c>
      <c r="C229" s="25" t="s">
        <v>7438</v>
      </c>
      <c r="D229" s="25">
        <v>0</v>
      </c>
      <c r="E229" s="25">
        <v>1</v>
      </c>
      <c r="F229" s="25" t="s">
        <v>197</v>
      </c>
      <c r="G229" s="25" t="s">
        <v>198</v>
      </c>
      <c r="H229" s="25"/>
      <c r="I229" s="25">
        <v>0</v>
      </c>
      <c r="J229" s="25" t="s">
        <v>838</v>
      </c>
      <c r="K229" s="25" t="s">
        <v>7434</v>
      </c>
      <c r="L229" s="25">
        <v>200</v>
      </c>
      <c r="M229" s="25"/>
      <c r="N229" s="25" t="str">
        <f t="shared" si="10"/>
        <v>Status(IgnoreDefenseRate, 200)</v>
      </c>
      <c r="O229" s="25">
        <v>0</v>
      </c>
      <c r="P229" s="25">
        <v>0</v>
      </c>
      <c r="Q229" s="25"/>
      <c r="R229" s="25" t="b">
        <v>1</v>
      </c>
    </row>
    <row r="230" spans="1:18" s="143" customFormat="1">
      <c r="A230" s="25" t="s">
        <v>7464</v>
      </c>
      <c r="B230" s="25" t="s">
        <v>7436</v>
      </c>
      <c r="C230" s="25" t="s">
        <v>7439</v>
      </c>
      <c r="D230" s="25">
        <v>0</v>
      </c>
      <c r="E230" s="25">
        <v>1</v>
      </c>
      <c r="F230" s="25" t="s">
        <v>197</v>
      </c>
      <c r="G230" s="25" t="s">
        <v>198</v>
      </c>
      <c r="H230" s="25"/>
      <c r="I230" s="25">
        <v>0</v>
      </c>
      <c r="J230" s="25" t="s">
        <v>838</v>
      </c>
      <c r="K230" s="25" t="s">
        <v>7434</v>
      </c>
      <c r="L230" s="25">
        <v>200</v>
      </c>
      <c r="M230" s="25"/>
      <c r="N230" s="25" t="str">
        <f t="shared" si="10"/>
        <v>Status(IgnoreDefenseRate, 200)</v>
      </c>
      <c r="O230" s="25">
        <v>0</v>
      </c>
      <c r="P230" s="25">
        <v>0</v>
      </c>
      <c r="Q230" s="25"/>
      <c r="R230" s="25" t="b">
        <v>1</v>
      </c>
    </row>
    <row r="231" spans="1:18" s="143" customFormat="1">
      <c r="A231" s="25" t="s">
        <v>7465</v>
      </c>
      <c r="B231" s="25" t="s">
        <v>7436</v>
      </c>
      <c r="C231" s="25" t="s">
        <v>7440</v>
      </c>
      <c r="D231" s="25">
        <v>0</v>
      </c>
      <c r="E231" s="25">
        <v>1</v>
      </c>
      <c r="F231" s="25" t="s">
        <v>197</v>
      </c>
      <c r="G231" s="25" t="s">
        <v>198</v>
      </c>
      <c r="H231" s="25"/>
      <c r="I231" s="25">
        <v>0</v>
      </c>
      <c r="J231" s="25" t="s">
        <v>838</v>
      </c>
      <c r="K231" s="25" t="s">
        <v>7434</v>
      </c>
      <c r="L231" s="25">
        <v>200</v>
      </c>
      <c r="M231" s="25"/>
      <c r="N231" s="25" t="str">
        <f t="shared" si="10"/>
        <v>Status(IgnoreDefenseRate, 200)</v>
      </c>
      <c r="O231" s="25">
        <v>0</v>
      </c>
      <c r="P231" s="25">
        <v>0</v>
      </c>
      <c r="Q231" s="25"/>
      <c r="R231" s="25" t="b">
        <v>1</v>
      </c>
    </row>
    <row r="232" spans="1:18" s="153" customFormat="1">
      <c r="A232" s="26" t="s">
        <v>7466</v>
      </c>
      <c r="B232" s="26" t="s">
        <v>1414</v>
      </c>
      <c r="C232" s="26" t="s">
        <v>7419</v>
      </c>
      <c r="D232" s="26">
        <v>0</v>
      </c>
      <c r="E232" s="26">
        <v>1</v>
      </c>
      <c r="F232" s="26" t="s">
        <v>197</v>
      </c>
      <c r="G232" s="26" t="s">
        <v>198</v>
      </c>
      <c r="H232" s="26"/>
      <c r="I232" s="26">
        <v>0</v>
      </c>
      <c r="J232" s="26" t="s">
        <v>838</v>
      </c>
      <c r="K232" s="26" t="s">
        <v>908</v>
      </c>
      <c r="L232" s="26">
        <v>160</v>
      </c>
      <c r="M232" s="26"/>
      <c r="N232" s="26" t="str">
        <f t="shared" si="10"/>
        <v>Status(AttackRatio, 160)</v>
      </c>
      <c r="O232" s="26">
        <v>0</v>
      </c>
      <c r="P232" s="26">
        <v>0</v>
      </c>
      <c r="Q232" s="26"/>
      <c r="R232" s="26" t="b">
        <v>1</v>
      </c>
    </row>
    <row r="233" spans="1:18" s="153" customFormat="1">
      <c r="A233" s="26" t="s">
        <v>7467</v>
      </c>
      <c r="B233" s="26" t="s">
        <v>1414</v>
      </c>
      <c r="C233" s="26" t="s">
        <v>7437</v>
      </c>
      <c r="D233" s="26">
        <v>0</v>
      </c>
      <c r="E233" s="26">
        <v>1</v>
      </c>
      <c r="F233" s="26" t="s">
        <v>197</v>
      </c>
      <c r="G233" s="26" t="s">
        <v>198</v>
      </c>
      <c r="H233" s="26"/>
      <c r="I233" s="26">
        <v>0</v>
      </c>
      <c r="J233" s="26" t="s">
        <v>838</v>
      </c>
      <c r="K233" s="26" t="s">
        <v>908</v>
      </c>
      <c r="L233" s="26">
        <v>160</v>
      </c>
      <c r="M233" s="26"/>
      <c r="N233" s="26" t="str">
        <f t="shared" si="10"/>
        <v>Status(AttackRatio, 160)</v>
      </c>
      <c r="O233" s="26">
        <v>0</v>
      </c>
      <c r="P233" s="26">
        <v>0</v>
      </c>
      <c r="Q233" s="26"/>
      <c r="R233" s="26" t="b">
        <v>1</v>
      </c>
    </row>
    <row r="234" spans="1:18" s="153" customFormat="1">
      <c r="A234" s="26" t="s">
        <v>7468</v>
      </c>
      <c r="B234" s="26" t="s">
        <v>1414</v>
      </c>
      <c r="C234" s="26" t="s">
        <v>7438</v>
      </c>
      <c r="D234" s="26">
        <v>0</v>
      </c>
      <c r="E234" s="26">
        <v>1</v>
      </c>
      <c r="F234" s="26" t="s">
        <v>197</v>
      </c>
      <c r="G234" s="26" t="s">
        <v>198</v>
      </c>
      <c r="H234" s="26"/>
      <c r="I234" s="26">
        <v>0</v>
      </c>
      <c r="J234" s="26" t="s">
        <v>838</v>
      </c>
      <c r="K234" s="26" t="s">
        <v>908</v>
      </c>
      <c r="L234" s="26">
        <v>160</v>
      </c>
      <c r="M234" s="26"/>
      <c r="N234" s="26" t="str">
        <f t="shared" si="10"/>
        <v>Status(AttackRatio, 160)</v>
      </c>
      <c r="O234" s="26">
        <v>0</v>
      </c>
      <c r="P234" s="26">
        <v>0</v>
      </c>
      <c r="Q234" s="26"/>
      <c r="R234" s="26" t="b">
        <v>1</v>
      </c>
    </row>
    <row r="235" spans="1:18" s="153" customFormat="1">
      <c r="A235" s="26" t="s">
        <v>7469</v>
      </c>
      <c r="B235" s="26" t="s">
        <v>1414</v>
      </c>
      <c r="C235" s="26" t="s">
        <v>7439</v>
      </c>
      <c r="D235" s="26">
        <v>0</v>
      </c>
      <c r="E235" s="26">
        <v>1</v>
      </c>
      <c r="F235" s="26" t="s">
        <v>197</v>
      </c>
      <c r="G235" s="26" t="s">
        <v>198</v>
      </c>
      <c r="H235" s="26"/>
      <c r="I235" s="26">
        <v>0</v>
      </c>
      <c r="J235" s="26" t="s">
        <v>838</v>
      </c>
      <c r="K235" s="26" t="s">
        <v>908</v>
      </c>
      <c r="L235" s="26">
        <v>160</v>
      </c>
      <c r="M235" s="26"/>
      <c r="N235" s="26" t="str">
        <f t="shared" si="10"/>
        <v>Status(AttackRatio, 160)</v>
      </c>
      <c r="O235" s="26">
        <v>0</v>
      </c>
      <c r="P235" s="26">
        <v>0</v>
      </c>
      <c r="Q235" s="26"/>
      <c r="R235" s="26" t="b">
        <v>1</v>
      </c>
    </row>
    <row r="236" spans="1:18" s="153" customFormat="1">
      <c r="A236" s="26" t="s">
        <v>7470</v>
      </c>
      <c r="B236" s="26" t="s">
        <v>1414</v>
      </c>
      <c r="C236" s="26" t="s">
        <v>7440</v>
      </c>
      <c r="D236" s="26">
        <v>0</v>
      </c>
      <c r="E236" s="26">
        <v>1</v>
      </c>
      <c r="F236" s="26" t="s">
        <v>197</v>
      </c>
      <c r="G236" s="26" t="s">
        <v>198</v>
      </c>
      <c r="H236" s="26"/>
      <c r="I236" s="26">
        <v>0</v>
      </c>
      <c r="J236" s="26" t="s">
        <v>838</v>
      </c>
      <c r="K236" s="26" t="s">
        <v>908</v>
      </c>
      <c r="L236" s="26">
        <v>160</v>
      </c>
      <c r="M236" s="26"/>
      <c r="N236" s="26" t="str">
        <f t="shared" si="10"/>
        <v>Status(AttackRatio, 160)</v>
      </c>
      <c r="O236" s="26">
        <v>0</v>
      </c>
      <c r="P236" s="26">
        <v>0</v>
      </c>
      <c r="Q236" s="26"/>
      <c r="R236" s="26" t="b">
        <v>1</v>
      </c>
    </row>
    <row r="237" spans="1:18">
      <c r="A237" s="24" t="s">
        <v>6603</v>
      </c>
      <c r="B237" s="24"/>
      <c r="C237" s="24"/>
      <c r="D237" s="24">
        <v>0</v>
      </c>
      <c r="E237" s="24">
        <v>1</v>
      </c>
      <c r="F237" s="24" t="s">
        <v>197</v>
      </c>
      <c r="G237" s="24" t="s">
        <v>198</v>
      </c>
      <c r="H237" s="24"/>
      <c r="I237" s="24">
        <v>0</v>
      </c>
      <c r="J237" s="24" t="s">
        <v>838</v>
      </c>
      <c r="K237" s="24" t="s">
        <v>867</v>
      </c>
      <c r="L237" s="24">
        <v>150</v>
      </c>
      <c r="M237" s="24"/>
      <c r="N237" s="24" t="str">
        <f t="shared" si="2"/>
        <v>Status(CriticalRate, 150)</v>
      </c>
      <c r="O237" s="24">
        <v>0</v>
      </c>
      <c r="P237" s="24">
        <v>0</v>
      </c>
      <c r="Q237" s="24"/>
      <c r="R237" s="24" t="b">
        <v>1</v>
      </c>
    </row>
    <row r="238" spans="1:18">
      <c r="A238" s="24" t="s">
        <v>5791</v>
      </c>
      <c r="B238" s="24"/>
      <c r="C238" s="24"/>
      <c r="D238" s="24">
        <v>0</v>
      </c>
      <c r="E238" s="24">
        <v>1</v>
      </c>
      <c r="F238" s="24" t="s">
        <v>197</v>
      </c>
      <c r="G238" s="24" t="s">
        <v>198</v>
      </c>
      <c r="H238" s="24"/>
      <c r="I238" s="24">
        <v>0</v>
      </c>
      <c r="J238" s="24" t="s">
        <v>838</v>
      </c>
      <c r="K238" s="24" t="s">
        <v>867</v>
      </c>
      <c r="L238" s="24">
        <v>200</v>
      </c>
      <c r="M238" s="24"/>
      <c r="N238" s="24" t="str">
        <f t="shared" si="2"/>
        <v>Status(CriticalRate, 200)</v>
      </c>
      <c r="O238" s="24">
        <v>0</v>
      </c>
      <c r="P238" s="24">
        <v>0</v>
      </c>
      <c r="Q238" s="24"/>
      <c r="R238" s="24" t="b">
        <v>1</v>
      </c>
    </row>
    <row r="239" spans="1:18">
      <c r="A239" s="24" t="s">
        <v>5792</v>
      </c>
      <c r="B239" s="24"/>
      <c r="C239" s="24"/>
      <c r="D239" s="24">
        <v>0</v>
      </c>
      <c r="E239" s="24">
        <v>1</v>
      </c>
      <c r="F239" s="24" t="s">
        <v>197</v>
      </c>
      <c r="G239" s="24" t="s">
        <v>198</v>
      </c>
      <c r="H239" s="24"/>
      <c r="I239" s="24">
        <v>0</v>
      </c>
      <c r="J239" s="24" t="s">
        <v>838</v>
      </c>
      <c r="K239" s="24" t="s">
        <v>867</v>
      </c>
      <c r="L239" s="24">
        <v>250</v>
      </c>
      <c r="M239" s="24"/>
      <c r="N239" s="24" t="str">
        <f t="shared" si="2"/>
        <v>Status(CriticalRate, 250)</v>
      </c>
      <c r="O239" s="24">
        <v>0</v>
      </c>
      <c r="P239" s="24">
        <v>0</v>
      </c>
      <c r="Q239" s="24"/>
      <c r="R239" s="24" t="b">
        <v>1</v>
      </c>
    </row>
    <row r="240" spans="1:18">
      <c r="A240" s="24" t="s">
        <v>5793</v>
      </c>
      <c r="B240" s="24"/>
      <c r="C240" s="24"/>
      <c r="D240" s="24">
        <v>0</v>
      </c>
      <c r="E240" s="24">
        <v>1</v>
      </c>
      <c r="F240" s="24" t="s">
        <v>197</v>
      </c>
      <c r="G240" s="24" t="s">
        <v>198</v>
      </c>
      <c r="H240" s="24"/>
      <c r="I240" s="24">
        <v>0</v>
      </c>
      <c r="J240" s="24" t="s">
        <v>838</v>
      </c>
      <c r="K240" s="24" t="s">
        <v>867</v>
      </c>
      <c r="L240" s="24">
        <v>300</v>
      </c>
      <c r="M240" s="24"/>
      <c r="N240" s="24" t="str">
        <f t="shared" si="2"/>
        <v>Status(CriticalRate, 300)</v>
      </c>
      <c r="O240" s="24">
        <v>0</v>
      </c>
      <c r="P240" s="24">
        <v>0</v>
      </c>
      <c r="Q240" s="24"/>
      <c r="R240" s="24" t="b">
        <v>1</v>
      </c>
    </row>
    <row r="241" spans="1:18">
      <c r="A241" s="24" t="s">
        <v>5794</v>
      </c>
      <c r="B241" s="24"/>
      <c r="C241" s="24"/>
      <c r="D241" s="24">
        <v>0</v>
      </c>
      <c r="E241" s="24">
        <v>1</v>
      </c>
      <c r="F241" s="24" t="s">
        <v>197</v>
      </c>
      <c r="G241" s="24" t="s">
        <v>198</v>
      </c>
      <c r="H241" s="24"/>
      <c r="I241" s="24">
        <v>0</v>
      </c>
      <c r="J241" s="24" t="s">
        <v>838</v>
      </c>
      <c r="K241" s="24" t="s">
        <v>867</v>
      </c>
      <c r="L241" s="24">
        <v>300</v>
      </c>
      <c r="M241" s="24"/>
      <c r="N241" s="24" t="str">
        <f t="shared" si="2"/>
        <v>Status(CriticalRate, 300)</v>
      </c>
      <c r="O241" s="24">
        <v>0</v>
      </c>
      <c r="P241" s="24">
        <v>0</v>
      </c>
      <c r="Q241" s="24"/>
      <c r="R241" s="24" t="b">
        <v>1</v>
      </c>
    </row>
    <row r="242" spans="1:18">
      <c r="A242" s="24" t="s">
        <v>5795</v>
      </c>
      <c r="B242" s="24"/>
      <c r="C242" s="24"/>
      <c r="D242" s="24">
        <v>0</v>
      </c>
      <c r="E242" s="24">
        <v>1</v>
      </c>
      <c r="F242" s="24" t="s">
        <v>197</v>
      </c>
      <c r="G242" s="24" t="s">
        <v>198</v>
      </c>
      <c r="H242" s="24"/>
      <c r="I242" s="24">
        <v>0</v>
      </c>
      <c r="J242" s="24" t="s">
        <v>838</v>
      </c>
      <c r="K242" s="24" t="s">
        <v>867</v>
      </c>
      <c r="L242" s="24">
        <v>300</v>
      </c>
      <c r="M242" s="24"/>
      <c r="N242" s="24" t="str">
        <f t="shared" si="2"/>
        <v>Status(CriticalRate, 300)</v>
      </c>
      <c r="O242" s="24">
        <v>0</v>
      </c>
      <c r="P242" s="24">
        <v>0</v>
      </c>
      <c r="Q242" s="24"/>
      <c r="R242" s="24" t="b">
        <v>1</v>
      </c>
    </row>
    <row r="243" spans="1:18">
      <c r="A243" s="34" t="s">
        <v>5499</v>
      </c>
      <c r="B243" s="34"/>
      <c r="C243" s="34"/>
      <c r="D243" s="34">
        <v>0</v>
      </c>
      <c r="E243" s="34">
        <v>1</v>
      </c>
      <c r="F243" s="34" t="s">
        <v>197</v>
      </c>
      <c r="G243" s="34" t="s">
        <v>198</v>
      </c>
      <c r="H243" s="34"/>
      <c r="I243" s="34">
        <v>0</v>
      </c>
      <c r="J243" s="34" t="s">
        <v>893</v>
      </c>
      <c r="K243" s="34" t="s">
        <v>6845</v>
      </c>
      <c r="L243" s="34"/>
      <c r="M243" s="34"/>
      <c r="N243" s="34" t="str">
        <f t="shared" si="2"/>
        <v>Active(mea.ult.target.taunt.skilleffect)</v>
      </c>
      <c r="O243" s="34">
        <v>0</v>
      </c>
      <c r="P243" s="34">
        <v>0</v>
      </c>
      <c r="Q243" s="34"/>
      <c r="R243" s="34" t="b">
        <v>1</v>
      </c>
    </row>
    <row r="244" spans="1:18" s="143" customFormat="1">
      <c r="A244" s="25" t="s">
        <v>2677</v>
      </c>
      <c r="B244" s="25"/>
      <c r="C244" s="25"/>
      <c r="D244" s="25">
        <v>0</v>
      </c>
      <c r="E244" s="25">
        <v>1</v>
      </c>
      <c r="F244" s="25" t="s">
        <v>197</v>
      </c>
      <c r="G244" s="25" t="s">
        <v>198</v>
      </c>
      <c r="H244" s="25"/>
      <c r="I244" s="25">
        <v>0</v>
      </c>
      <c r="J244" s="25" t="s">
        <v>191</v>
      </c>
      <c r="K244" s="25" t="s">
        <v>1044</v>
      </c>
      <c r="L244" s="25" t="s">
        <v>5770</v>
      </c>
      <c r="M244" s="25"/>
      <c r="N244" s="25" t="str">
        <f t="shared" si="2"/>
        <v>Effect(OnDie, mea.ult.B.target.buff.effect.01)</v>
      </c>
      <c r="O244" s="25">
        <v>0</v>
      </c>
      <c r="P244" s="25">
        <v>0</v>
      </c>
      <c r="Q244" s="25"/>
      <c r="R244" s="25" t="b">
        <v>1</v>
      </c>
    </row>
    <row r="245" spans="1:18" s="143" customFormat="1">
      <c r="A245" s="25" t="s">
        <v>2678</v>
      </c>
      <c r="B245" s="25"/>
      <c r="C245" s="25"/>
      <c r="D245" s="25">
        <v>0</v>
      </c>
      <c r="E245" s="25">
        <v>1</v>
      </c>
      <c r="F245" s="25" t="s">
        <v>197</v>
      </c>
      <c r="G245" s="25" t="s">
        <v>198</v>
      </c>
      <c r="H245" s="25"/>
      <c r="I245" s="25">
        <v>0</v>
      </c>
      <c r="J245" s="25" t="s">
        <v>191</v>
      </c>
      <c r="K245" s="25" t="s">
        <v>1044</v>
      </c>
      <c r="L245" s="25" t="s">
        <v>5764</v>
      </c>
      <c r="M245" s="25"/>
      <c r="N245" s="25" t="str">
        <f t="shared" si="2"/>
        <v>Effect(OnDie, mea.ult.B.target.buff.effect.02)</v>
      </c>
      <c r="O245" s="25">
        <v>0</v>
      </c>
      <c r="P245" s="25">
        <v>0</v>
      </c>
      <c r="Q245" s="25"/>
      <c r="R245" s="25" t="b">
        <v>1</v>
      </c>
    </row>
    <row r="246" spans="1:18" s="143" customFormat="1">
      <c r="A246" s="25" t="s">
        <v>2679</v>
      </c>
      <c r="B246" s="25"/>
      <c r="C246" s="25"/>
      <c r="D246" s="25">
        <v>0</v>
      </c>
      <c r="E246" s="25">
        <v>1</v>
      </c>
      <c r="F246" s="25" t="s">
        <v>197</v>
      </c>
      <c r="G246" s="25" t="s">
        <v>198</v>
      </c>
      <c r="H246" s="25"/>
      <c r="I246" s="25">
        <v>0</v>
      </c>
      <c r="J246" s="25" t="s">
        <v>191</v>
      </c>
      <c r="K246" s="25" t="s">
        <v>1044</v>
      </c>
      <c r="L246" s="25" t="s">
        <v>5765</v>
      </c>
      <c r="M246" s="25"/>
      <c r="N246" s="25" t="str">
        <f t="shared" si="2"/>
        <v>Effect(OnDie, mea.ult.B.target.buff.effect.03)</v>
      </c>
      <c r="O246" s="25">
        <v>0</v>
      </c>
      <c r="P246" s="25">
        <v>0</v>
      </c>
      <c r="Q246" s="25"/>
      <c r="R246" s="25" t="b">
        <v>1</v>
      </c>
    </row>
    <row r="247" spans="1:18" s="143" customFormat="1">
      <c r="A247" s="25" t="s">
        <v>2680</v>
      </c>
      <c r="B247" s="25"/>
      <c r="C247" s="25"/>
      <c r="D247" s="25">
        <v>0</v>
      </c>
      <c r="E247" s="25">
        <v>1</v>
      </c>
      <c r="F247" s="25" t="s">
        <v>197</v>
      </c>
      <c r="G247" s="25" t="s">
        <v>198</v>
      </c>
      <c r="H247" s="25"/>
      <c r="I247" s="25">
        <v>0</v>
      </c>
      <c r="J247" s="25" t="s">
        <v>191</v>
      </c>
      <c r="K247" s="25" t="s">
        <v>1044</v>
      </c>
      <c r="L247" s="25" t="s">
        <v>5766</v>
      </c>
      <c r="M247" s="25"/>
      <c r="N247" s="25" t="str">
        <f t="shared" si="2"/>
        <v>Effect(OnDie, mea.ult.B.target.buff.effect.04)</v>
      </c>
      <c r="O247" s="25">
        <v>0</v>
      </c>
      <c r="P247" s="25">
        <v>0</v>
      </c>
      <c r="Q247" s="25"/>
      <c r="R247" s="25" t="b">
        <v>1</v>
      </c>
    </row>
    <row r="248" spans="1:18" s="143" customFormat="1">
      <c r="A248" s="25" t="s">
        <v>2681</v>
      </c>
      <c r="B248" s="25"/>
      <c r="C248" s="25"/>
      <c r="D248" s="25">
        <v>0</v>
      </c>
      <c r="E248" s="25">
        <v>1</v>
      </c>
      <c r="F248" s="25" t="s">
        <v>197</v>
      </c>
      <c r="G248" s="25" t="s">
        <v>198</v>
      </c>
      <c r="H248" s="25"/>
      <c r="I248" s="25">
        <v>0</v>
      </c>
      <c r="J248" s="25" t="s">
        <v>191</v>
      </c>
      <c r="K248" s="25" t="s">
        <v>1044</v>
      </c>
      <c r="L248" s="25" t="s">
        <v>5767</v>
      </c>
      <c r="M248" s="25"/>
      <c r="N248" s="25" t="str">
        <f t="shared" si="2"/>
        <v>Effect(OnDie, mea.ult.B.target.buff.effect.05)</v>
      </c>
      <c r="O248" s="25">
        <v>0</v>
      </c>
      <c r="P248" s="25">
        <v>0</v>
      </c>
      <c r="Q248" s="25"/>
      <c r="R248" s="25" t="b">
        <v>1</v>
      </c>
    </row>
    <row r="249" spans="1:18" s="143" customFormat="1">
      <c r="A249" s="25" t="s">
        <v>2682</v>
      </c>
      <c r="B249" s="25"/>
      <c r="C249" s="25"/>
      <c r="D249" s="25">
        <v>0</v>
      </c>
      <c r="E249" s="25">
        <v>1</v>
      </c>
      <c r="F249" s="25" t="s">
        <v>197</v>
      </c>
      <c r="G249" s="25" t="s">
        <v>198</v>
      </c>
      <c r="H249" s="25"/>
      <c r="I249" s="25">
        <v>0</v>
      </c>
      <c r="J249" s="25" t="s">
        <v>191</v>
      </c>
      <c r="K249" s="25" t="s">
        <v>1044</v>
      </c>
      <c r="L249" s="25" t="s">
        <v>5768</v>
      </c>
      <c r="M249" s="25"/>
      <c r="N249" s="25" t="str">
        <f t="shared" si="2"/>
        <v>Effect(OnDie, mea.ult.B.target.buff.effect.06)</v>
      </c>
      <c r="O249" s="25">
        <v>0</v>
      </c>
      <c r="P249" s="25">
        <v>0</v>
      </c>
      <c r="Q249" s="25"/>
      <c r="R249" s="25" t="b">
        <v>1</v>
      </c>
    </row>
    <row r="250" spans="1:18" s="143" customFormat="1">
      <c r="A250" s="25" t="s">
        <v>2683</v>
      </c>
      <c r="B250" s="25"/>
      <c r="C250" s="25"/>
      <c r="D250" s="25">
        <v>0</v>
      </c>
      <c r="E250" s="25">
        <v>1</v>
      </c>
      <c r="F250" s="25" t="s">
        <v>197</v>
      </c>
      <c r="G250" s="25" t="s">
        <v>198</v>
      </c>
      <c r="H250" s="25"/>
      <c r="I250" s="25">
        <v>0</v>
      </c>
      <c r="J250" s="25" t="s">
        <v>191</v>
      </c>
      <c r="K250" s="25" t="s">
        <v>1044</v>
      </c>
      <c r="L250" s="25" t="s">
        <v>5769</v>
      </c>
      <c r="M250" s="25"/>
      <c r="N250" s="25" t="str">
        <f t="shared" si="2"/>
        <v>Effect(OnDie, mea.ult.B.target.buff.effect.07)</v>
      </c>
      <c r="O250" s="25">
        <v>0</v>
      </c>
      <c r="P250" s="25">
        <v>0</v>
      </c>
      <c r="Q250" s="25"/>
      <c r="R250" s="25" t="b">
        <v>1</v>
      </c>
    </row>
    <row r="251" spans="1:18">
      <c r="A251" s="24" t="s">
        <v>5777</v>
      </c>
      <c r="B251" s="24"/>
      <c r="C251" s="24"/>
      <c r="D251" s="24">
        <v>0</v>
      </c>
      <c r="E251" s="24">
        <v>1</v>
      </c>
      <c r="F251" s="24" t="s">
        <v>197</v>
      </c>
      <c r="G251" s="24" t="s">
        <v>198</v>
      </c>
      <c r="H251" s="24"/>
      <c r="I251" s="24">
        <v>0</v>
      </c>
      <c r="J251" s="24" t="s">
        <v>838</v>
      </c>
      <c r="K251" s="24" t="s">
        <v>897</v>
      </c>
      <c r="L251" s="24">
        <v>-80</v>
      </c>
      <c r="M251" s="24"/>
      <c r="N251" s="24" t="str">
        <f t="shared" si="2"/>
        <v>Status(DefenseRatio, -80)</v>
      </c>
      <c r="O251" s="24">
        <v>0</v>
      </c>
      <c r="P251" s="24">
        <v>0</v>
      </c>
      <c r="Q251" s="24"/>
      <c r="R251" s="24" t="b">
        <v>1</v>
      </c>
    </row>
    <row r="252" spans="1:18">
      <c r="A252" s="24" t="s">
        <v>5778</v>
      </c>
      <c r="B252" s="24"/>
      <c r="C252" s="24"/>
      <c r="D252" s="24">
        <v>0</v>
      </c>
      <c r="E252" s="24">
        <v>1</v>
      </c>
      <c r="F252" s="24" t="s">
        <v>197</v>
      </c>
      <c r="G252" s="24" t="s">
        <v>198</v>
      </c>
      <c r="H252" s="24"/>
      <c r="I252" s="24">
        <v>0</v>
      </c>
      <c r="J252" s="24" t="s">
        <v>838</v>
      </c>
      <c r="K252" s="24" t="s">
        <v>897</v>
      </c>
      <c r="L252" s="24">
        <v>-90</v>
      </c>
      <c r="M252" s="24"/>
      <c r="N252" s="24" t="str">
        <f t="shared" si="2"/>
        <v>Status(DefenseRatio, -90)</v>
      </c>
      <c r="O252" s="24">
        <v>0</v>
      </c>
      <c r="P252" s="24">
        <v>0</v>
      </c>
      <c r="Q252" s="24"/>
      <c r="R252" s="24" t="b">
        <v>1</v>
      </c>
    </row>
    <row r="253" spans="1:18">
      <c r="A253" s="24" t="s">
        <v>5779</v>
      </c>
      <c r="B253" s="24"/>
      <c r="C253" s="24"/>
      <c r="D253" s="24">
        <v>0</v>
      </c>
      <c r="E253" s="24">
        <v>1</v>
      </c>
      <c r="F253" s="24" t="s">
        <v>197</v>
      </c>
      <c r="G253" s="24" t="s">
        <v>198</v>
      </c>
      <c r="H253" s="24"/>
      <c r="I253" s="24">
        <v>0</v>
      </c>
      <c r="J253" s="24" t="s">
        <v>838</v>
      </c>
      <c r="K253" s="24" t="s">
        <v>897</v>
      </c>
      <c r="L253" s="24">
        <v>-100</v>
      </c>
      <c r="M253" s="24"/>
      <c r="N253" s="24" t="str">
        <f t="shared" si="2"/>
        <v>Status(DefenseRatio, -100)</v>
      </c>
      <c r="O253" s="24">
        <v>0</v>
      </c>
      <c r="P253" s="24">
        <v>0</v>
      </c>
      <c r="Q253" s="24"/>
      <c r="R253" s="24" t="b">
        <v>1</v>
      </c>
    </row>
    <row r="254" spans="1:18">
      <c r="A254" s="34" t="s">
        <v>5780</v>
      </c>
      <c r="B254" s="34"/>
      <c r="C254" s="34"/>
      <c r="D254" s="34">
        <v>0</v>
      </c>
      <c r="E254" s="34">
        <v>1</v>
      </c>
      <c r="F254" s="34" t="s">
        <v>197</v>
      </c>
      <c r="G254" s="34" t="s">
        <v>198</v>
      </c>
      <c r="H254" s="34"/>
      <c r="I254" s="34">
        <v>0</v>
      </c>
      <c r="J254" s="34" t="s">
        <v>838</v>
      </c>
      <c r="K254" s="34" t="s">
        <v>897</v>
      </c>
      <c r="L254" s="34">
        <v>-110</v>
      </c>
      <c r="M254" s="34"/>
      <c r="N254" s="34" t="str">
        <f t="shared" si="2"/>
        <v>Status(DefenseRatio, -110)</v>
      </c>
      <c r="O254" s="34">
        <v>0</v>
      </c>
      <c r="P254" s="34">
        <v>0</v>
      </c>
      <c r="Q254" s="34"/>
      <c r="R254" s="34" t="b">
        <v>1</v>
      </c>
    </row>
    <row r="255" spans="1:18">
      <c r="A255" s="34" t="s">
        <v>5781</v>
      </c>
      <c r="B255" s="34"/>
      <c r="C255" s="34"/>
      <c r="D255" s="34">
        <v>0</v>
      </c>
      <c r="E255" s="34">
        <v>1</v>
      </c>
      <c r="F255" s="34" t="s">
        <v>197</v>
      </c>
      <c r="G255" s="34" t="s">
        <v>198</v>
      </c>
      <c r="H255" s="34"/>
      <c r="I255" s="34">
        <v>0</v>
      </c>
      <c r="J255" s="34" t="s">
        <v>838</v>
      </c>
      <c r="K255" s="34" t="s">
        <v>897</v>
      </c>
      <c r="L255" s="34">
        <v>-120</v>
      </c>
      <c r="M255" s="34"/>
      <c r="N255" s="34" t="str">
        <f t="shared" si="2"/>
        <v>Status(DefenseRatio, -120)</v>
      </c>
      <c r="O255" s="34">
        <v>0</v>
      </c>
      <c r="P255" s="34">
        <v>0</v>
      </c>
      <c r="Q255" s="34"/>
      <c r="R255" s="34" t="b">
        <v>1</v>
      </c>
    </row>
    <row r="256" spans="1:18">
      <c r="A256" s="34" t="s">
        <v>5782</v>
      </c>
      <c r="B256" s="34"/>
      <c r="C256" s="34"/>
      <c r="D256" s="34">
        <v>0</v>
      </c>
      <c r="E256" s="34">
        <v>1</v>
      </c>
      <c r="F256" s="34" t="s">
        <v>197</v>
      </c>
      <c r="G256" s="34" t="s">
        <v>198</v>
      </c>
      <c r="H256" s="34"/>
      <c r="I256" s="34">
        <v>0</v>
      </c>
      <c r="J256" s="34" t="s">
        <v>838</v>
      </c>
      <c r="K256" s="34" t="s">
        <v>897</v>
      </c>
      <c r="L256" s="34">
        <v>-130</v>
      </c>
      <c r="M256" s="34"/>
      <c r="N256" s="34" t="str">
        <f t="shared" si="2"/>
        <v>Status(DefenseRatio, -130)</v>
      </c>
      <c r="O256" s="34">
        <v>0</v>
      </c>
      <c r="P256" s="34">
        <v>0</v>
      </c>
      <c r="Q256" s="34"/>
      <c r="R256" s="34" t="b">
        <v>1</v>
      </c>
    </row>
    <row r="257" spans="1:18">
      <c r="A257" s="24" t="s">
        <v>5818</v>
      </c>
      <c r="B257" s="24"/>
      <c r="C257" s="24"/>
      <c r="D257" s="24">
        <v>0</v>
      </c>
      <c r="E257" s="24">
        <v>1</v>
      </c>
      <c r="F257" s="24" t="s">
        <v>197</v>
      </c>
      <c r="G257" s="24" t="s">
        <v>198</v>
      </c>
      <c r="H257" s="24"/>
      <c r="I257" s="24">
        <v>0</v>
      </c>
      <c r="J257" s="24" t="s">
        <v>191</v>
      </c>
      <c r="K257" s="24" t="s">
        <v>974</v>
      </c>
      <c r="L257" s="24" t="s">
        <v>6846</v>
      </c>
      <c r="M257" s="24"/>
      <c r="N257" s="24" t="str">
        <f t="shared" si="2"/>
        <v>Effect(OnCritical, mea.passive.shield.skilleffect.01)</v>
      </c>
      <c r="O257" s="24">
        <v>0</v>
      </c>
      <c r="P257" s="24">
        <v>0</v>
      </c>
      <c r="Q257" s="24"/>
      <c r="R257" s="24" t="b">
        <v>1</v>
      </c>
    </row>
    <row r="258" spans="1:18">
      <c r="A258" s="24" t="s">
        <v>5819</v>
      </c>
      <c r="B258" s="24"/>
      <c r="C258" s="24"/>
      <c r="D258" s="24">
        <v>0</v>
      </c>
      <c r="E258" s="24">
        <v>1</v>
      </c>
      <c r="F258" s="24" t="s">
        <v>197</v>
      </c>
      <c r="G258" s="24" t="s">
        <v>198</v>
      </c>
      <c r="H258" s="24"/>
      <c r="I258" s="24">
        <v>0</v>
      </c>
      <c r="J258" s="24" t="s">
        <v>191</v>
      </c>
      <c r="K258" s="24" t="s">
        <v>974</v>
      </c>
      <c r="L258" s="24" t="s">
        <v>5824</v>
      </c>
      <c r="M258" s="24"/>
      <c r="N258" s="24" t="str">
        <f t="shared" ref="N258:N322" si="11">J258&amp;"("&amp;IF(K258="","",K258)&amp;IF(L258="","",", "&amp;L258)&amp;IF(M258="","",", "&amp;M258)&amp;")"</f>
        <v>Effect(OnCritical, mea.passive.shield.skilleffect.02)</v>
      </c>
      <c r="O258" s="24">
        <v>0</v>
      </c>
      <c r="P258" s="24">
        <v>0</v>
      </c>
      <c r="Q258" s="24"/>
      <c r="R258" s="24" t="b">
        <v>1</v>
      </c>
    </row>
    <row r="259" spans="1:18">
      <c r="A259" s="24" t="s">
        <v>5820</v>
      </c>
      <c r="B259" s="24"/>
      <c r="C259" s="24"/>
      <c r="D259" s="24">
        <v>0</v>
      </c>
      <c r="E259" s="24">
        <v>1</v>
      </c>
      <c r="F259" s="24" t="s">
        <v>197</v>
      </c>
      <c r="G259" s="24" t="s">
        <v>198</v>
      </c>
      <c r="H259" s="24"/>
      <c r="I259" s="24">
        <v>0</v>
      </c>
      <c r="J259" s="24" t="s">
        <v>191</v>
      </c>
      <c r="K259" s="24" t="s">
        <v>974</v>
      </c>
      <c r="L259" s="24" t="s">
        <v>5825</v>
      </c>
      <c r="M259" s="24"/>
      <c r="N259" s="24" t="str">
        <f t="shared" si="11"/>
        <v>Effect(OnCritical, mea.passive.shield.skilleffect.03)</v>
      </c>
      <c r="O259" s="24">
        <v>0</v>
      </c>
      <c r="P259" s="24">
        <v>0</v>
      </c>
      <c r="Q259" s="24"/>
      <c r="R259" s="24" t="b">
        <v>1</v>
      </c>
    </row>
    <row r="260" spans="1:18">
      <c r="A260" s="34" t="s">
        <v>5821</v>
      </c>
      <c r="B260" s="34"/>
      <c r="C260" s="34"/>
      <c r="D260" s="34">
        <v>0</v>
      </c>
      <c r="E260" s="34">
        <v>1</v>
      </c>
      <c r="F260" s="34" t="s">
        <v>197</v>
      </c>
      <c r="G260" s="34" t="s">
        <v>198</v>
      </c>
      <c r="H260" s="34"/>
      <c r="I260" s="34">
        <v>0</v>
      </c>
      <c r="J260" s="34" t="s">
        <v>191</v>
      </c>
      <c r="K260" s="34" t="s">
        <v>974</v>
      </c>
      <c r="L260" s="34" t="s">
        <v>5826</v>
      </c>
      <c r="M260" s="34"/>
      <c r="N260" s="34" t="str">
        <f t="shared" si="11"/>
        <v>Effect(OnCritical, mea.passive.shield.skilleffect.04)</v>
      </c>
      <c r="O260" s="34">
        <v>0</v>
      </c>
      <c r="P260" s="34">
        <v>0</v>
      </c>
      <c r="Q260" s="34"/>
      <c r="R260" s="34" t="b">
        <v>1</v>
      </c>
    </row>
    <row r="261" spans="1:18">
      <c r="A261" s="34" t="s">
        <v>5822</v>
      </c>
      <c r="B261" s="34"/>
      <c r="C261" s="34"/>
      <c r="D261" s="34">
        <v>0</v>
      </c>
      <c r="E261" s="34">
        <v>1</v>
      </c>
      <c r="F261" s="34" t="s">
        <v>197</v>
      </c>
      <c r="G261" s="34" t="s">
        <v>198</v>
      </c>
      <c r="H261" s="34"/>
      <c r="I261" s="34">
        <v>0</v>
      </c>
      <c r="J261" s="34" t="s">
        <v>191</v>
      </c>
      <c r="K261" s="34" t="s">
        <v>974</v>
      </c>
      <c r="L261" s="34" t="s">
        <v>5827</v>
      </c>
      <c r="M261" s="34"/>
      <c r="N261" s="34" t="str">
        <f t="shared" si="11"/>
        <v>Effect(OnCritical, mea.passive.shield.skilleffect.05)</v>
      </c>
      <c r="O261" s="34">
        <v>0</v>
      </c>
      <c r="P261" s="34">
        <v>0</v>
      </c>
      <c r="Q261" s="34"/>
      <c r="R261" s="34" t="b">
        <v>1</v>
      </c>
    </row>
    <row r="262" spans="1:18">
      <c r="A262" s="34" t="s">
        <v>5823</v>
      </c>
      <c r="B262" s="34"/>
      <c r="C262" s="34"/>
      <c r="D262" s="34">
        <v>0</v>
      </c>
      <c r="E262" s="34">
        <v>1</v>
      </c>
      <c r="F262" s="34" t="s">
        <v>197</v>
      </c>
      <c r="G262" s="34" t="s">
        <v>198</v>
      </c>
      <c r="H262" s="34"/>
      <c r="I262" s="34">
        <v>0</v>
      </c>
      <c r="J262" s="34" t="s">
        <v>191</v>
      </c>
      <c r="K262" s="34" t="s">
        <v>974</v>
      </c>
      <c r="L262" s="34" t="s">
        <v>5828</v>
      </c>
      <c r="M262" s="34"/>
      <c r="N262" s="34" t="str">
        <f t="shared" si="11"/>
        <v>Effect(OnCritical, mea.passive.shield.skilleffect.06)</v>
      </c>
      <c r="O262" s="34">
        <v>0</v>
      </c>
      <c r="P262" s="34">
        <v>0</v>
      </c>
      <c r="Q262" s="34"/>
      <c r="R262" s="34" t="b">
        <v>1</v>
      </c>
    </row>
    <row r="263" spans="1:18">
      <c r="A263" s="24" t="s">
        <v>6627</v>
      </c>
      <c r="B263" s="24"/>
      <c r="C263" s="24"/>
      <c r="D263" s="24">
        <v>0</v>
      </c>
      <c r="E263" s="24">
        <v>1</v>
      </c>
      <c r="F263" s="24" t="s">
        <v>197</v>
      </c>
      <c r="G263" s="24" t="s">
        <v>198</v>
      </c>
      <c r="H263" s="24"/>
      <c r="I263" s="24">
        <v>0</v>
      </c>
      <c r="J263" s="24" t="s">
        <v>889</v>
      </c>
      <c r="K263" s="24" t="s">
        <v>875</v>
      </c>
      <c r="L263" s="24">
        <v>2500</v>
      </c>
      <c r="M263" s="24"/>
      <c r="N263" s="24" t="str">
        <f t="shared" si="11"/>
        <v>Shield(Attack, 2500)</v>
      </c>
      <c r="O263" s="24">
        <v>0</v>
      </c>
      <c r="P263" s="24">
        <v>0</v>
      </c>
      <c r="Q263" s="24"/>
      <c r="R263" s="24" t="b">
        <v>1</v>
      </c>
    </row>
    <row r="264" spans="1:18">
      <c r="A264" s="24" t="s">
        <v>5834</v>
      </c>
      <c r="B264" s="24"/>
      <c r="C264" s="24"/>
      <c r="D264" s="24">
        <v>0</v>
      </c>
      <c r="E264" s="24">
        <v>1</v>
      </c>
      <c r="F264" s="24" t="s">
        <v>197</v>
      </c>
      <c r="G264" s="24" t="s">
        <v>198</v>
      </c>
      <c r="H264" s="24"/>
      <c r="I264" s="24">
        <v>0</v>
      </c>
      <c r="J264" s="24" t="s">
        <v>889</v>
      </c>
      <c r="K264" s="24" t="s">
        <v>875</v>
      </c>
      <c r="L264" s="24">
        <v>2500</v>
      </c>
      <c r="M264" s="24"/>
      <c r="N264" s="24" t="str">
        <f t="shared" si="11"/>
        <v>Shield(Attack, 2500)</v>
      </c>
      <c r="O264" s="24">
        <v>0</v>
      </c>
      <c r="P264" s="24">
        <v>0</v>
      </c>
      <c r="Q264" s="24"/>
      <c r="R264" s="24" t="b">
        <v>1</v>
      </c>
    </row>
    <row r="265" spans="1:18">
      <c r="A265" s="24" t="s">
        <v>5835</v>
      </c>
      <c r="B265" s="24"/>
      <c r="C265" s="24"/>
      <c r="D265" s="24">
        <v>0</v>
      </c>
      <c r="E265" s="24">
        <v>1</v>
      </c>
      <c r="F265" s="24" t="s">
        <v>197</v>
      </c>
      <c r="G265" s="24" t="s">
        <v>198</v>
      </c>
      <c r="H265" s="24"/>
      <c r="I265" s="24">
        <v>0</v>
      </c>
      <c r="J265" s="24" t="s">
        <v>889</v>
      </c>
      <c r="K265" s="24" t="s">
        <v>875</v>
      </c>
      <c r="L265" s="24">
        <v>3250</v>
      </c>
      <c r="M265" s="24"/>
      <c r="N265" s="24" t="str">
        <f t="shared" si="11"/>
        <v>Shield(Attack, 3250)</v>
      </c>
      <c r="O265" s="24">
        <v>0</v>
      </c>
      <c r="P265" s="24">
        <v>0</v>
      </c>
      <c r="Q265" s="24"/>
      <c r="R265" s="24" t="b">
        <v>1</v>
      </c>
    </row>
    <row r="266" spans="1:18">
      <c r="A266" s="34" t="s">
        <v>5836</v>
      </c>
      <c r="B266" s="34"/>
      <c r="C266" s="34"/>
      <c r="D266" s="34">
        <v>0</v>
      </c>
      <c r="E266" s="34">
        <v>1</v>
      </c>
      <c r="F266" s="34" t="s">
        <v>197</v>
      </c>
      <c r="G266" s="34" t="s">
        <v>198</v>
      </c>
      <c r="H266" s="34"/>
      <c r="I266" s="34">
        <v>0</v>
      </c>
      <c r="J266" s="34" t="s">
        <v>889</v>
      </c>
      <c r="K266" s="34" t="s">
        <v>875</v>
      </c>
      <c r="L266" s="34">
        <v>3250</v>
      </c>
      <c r="M266" s="34"/>
      <c r="N266" s="34" t="str">
        <f t="shared" si="11"/>
        <v>Shield(Attack, 3250)</v>
      </c>
      <c r="O266" s="34">
        <v>0</v>
      </c>
      <c r="P266" s="34">
        <v>0</v>
      </c>
      <c r="Q266" s="34"/>
      <c r="R266" s="34" t="b">
        <v>1</v>
      </c>
    </row>
    <row r="267" spans="1:18">
      <c r="A267" s="34" t="s">
        <v>5837</v>
      </c>
      <c r="B267" s="34"/>
      <c r="C267" s="34"/>
      <c r="D267" s="34">
        <v>0</v>
      </c>
      <c r="E267" s="34">
        <v>1</v>
      </c>
      <c r="F267" s="34" t="s">
        <v>197</v>
      </c>
      <c r="G267" s="34" t="s">
        <v>198</v>
      </c>
      <c r="H267" s="34"/>
      <c r="I267" s="34">
        <v>0</v>
      </c>
      <c r="J267" s="34" t="s">
        <v>889</v>
      </c>
      <c r="K267" s="34" t="s">
        <v>875</v>
      </c>
      <c r="L267" s="34">
        <v>4000</v>
      </c>
      <c r="M267" s="34"/>
      <c r="N267" s="34" t="str">
        <f t="shared" si="11"/>
        <v>Shield(Attack, 4000)</v>
      </c>
      <c r="O267" s="34">
        <v>0</v>
      </c>
      <c r="P267" s="34">
        <v>0</v>
      </c>
      <c r="Q267" s="34"/>
      <c r="R267" s="34" t="b">
        <v>1</v>
      </c>
    </row>
    <row r="268" spans="1:18">
      <c r="A268" s="34" t="s">
        <v>5838</v>
      </c>
      <c r="B268" s="34"/>
      <c r="C268" s="34"/>
      <c r="D268" s="34">
        <v>0</v>
      </c>
      <c r="E268" s="34">
        <v>1</v>
      </c>
      <c r="F268" s="34" t="s">
        <v>197</v>
      </c>
      <c r="G268" s="34" t="s">
        <v>198</v>
      </c>
      <c r="H268" s="34"/>
      <c r="I268" s="34">
        <v>0</v>
      </c>
      <c r="J268" s="34" t="s">
        <v>889</v>
      </c>
      <c r="K268" s="34" t="s">
        <v>875</v>
      </c>
      <c r="L268" s="34">
        <v>4000</v>
      </c>
      <c r="M268" s="34"/>
      <c r="N268" s="34" t="str">
        <f t="shared" si="11"/>
        <v>Shield(Attack, 4000)</v>
      </c>
      <c r="O268" s="34">
        <v>0</v>
      </c>
      <c r="P268" s="34">
        <v>0</v>
      </c>
      <c r="Q268" s="34"/>
      <c r="R268" s="34" t="b">
        <v>1</v>
      </c>
    </row>
    <row r="269" spans="1:18">
      <c r="A269" s="38" t="s">
        <v>5845</v>
      </c>
      <c r="B269" s="24"/>
      <c r="C269" s="24"/>
      <c r="D269" s="24">
        <v>0</v>
      </c>
      <c r="E269" s="24">
        <v>1</v>
      </c>
      <c r="F269" s="24" t="s">
        <v>197</v>
      </c>
      <c r="G269" s="24" t="s">
        <v>198</v>
      </c>
      <c r="H269" s="24"/>
      <c r="I269" s="24">
        <v>0</v>
      </c>
      <c r="J269" s="24" t="s">
        <v>838</v>
      </c>
      <c r="K269" s="24" t="s">
        <v>926</v>
      </c>
      <c r="L269" s="24">
        <v>1000</v>
      </c>
      <c r="M269" s="24"/>
      <c r="N269" s="24" t="str">
        <f t="shared" si="11"/>
        <v>Status(CriticalDamageRate, 1000)</v>
      </c>
      <c r="O269" s="24">
        <v>0</v>
      </c>
      <c r="P269" s="24">
        <v>0</v>
      </c>
      <c r="Q269" s="24"/>
      <c r="R269" s="24" t="b">
        <v>1</v>
      </c>
    </row>
    <row r="270" spans="1:18">
      <c r="A270" s="38" t="s">
        <v>5847</v>
      </c>
      <c r="B270" s="24"/>
      <c r="C270" s="24"/>
      <c r="D270" s="24">
        <v>0</v>
      </c>
      <c r="E270" s="24">
        <v>1</v>
      </c>
      <c r="F270" s="24" t="s">
        <v>197</v>
      </c>
      <c r="G270" s="24" t="s">
        <v>198</v>
      </c>
      <c r="H270" s="24"/>
      <c r="I270" s="24">
        <v>0</v>
      </c>
      <c r="J270" s="24" t="s">
        <v>838</v>
      </c>
      <c r="K270" s="24" t="s">
        <v>926</v>
      </c>
      <c r="L270" s="24">
        <v>1000</v>
      </c>
      <c r="M270" s="24"/>
      <c r="N270" s="24" t="str">
        <f t="shared" si="11"/>
        <v>Status(CriticalDamageRate, 1000)</v>
      </c>
      <c r="O270" s="24">
        <v>0</v>
      </c>
      <c r="P270" s="24">
        <v>0</v>
      </c>
      <c r="Q270" s="24"/>
      <c r="R270" s="24" t="b">
        <v>1</v>
      </c>
    </row>
    <row r="271" spans="1:18">
      <c r="A271" s="38" t="s">
        <v>5849</v>
      </c>
      <c r="B271" s="24"/>
      <c r="C271" s="24"/>
      <c r="D271" s="24">
        <v>0</v>
      </c>
      <c r="E271" s="24">
        <v>1</v>
      </c>
      <c r="F271" s="24" t="s">
        <v>197</v>
      </c>
      <c r="G271" s="24" t="s">
        <v>198</v>
      </c>
      <c r="H271" s="24"/>
      <c r="I271" s="24">
        <v>0</v>
      </c>
      <c r="J271" s="24" t="s">
        <v>838</v>
      </c>
      <c r="K271" s="24" t="s">
        <v>926</v>
      </c>
      <c r="L271" s="24">
        <v>1000</v>
      </c>
      <c r="M271" s="24"/>
      <c r="N271" s="24" t="str">
        <f t="shared" si="11"/>
        <v>Status(CriticalDamageRate, 1000)</v>
      </c>
      <c r="O271" s="24">
        <v>0</v>
      </c>
      <c r="P271" s="24">
        <v>0</v>
      </c>
      <c r="Q271" s="24"/>
      <c r="R271" s="24" t="b">
        <v>1</v>
      </c>
    </row>
    <row r="272" spans="1:18">
      <c r="A272" s="40" t="s">
        <v>5851</v>
      </c>
      <c r="B272" s="34"/>
      <c r="C272" s="34"/>
      <c r="D272" s="34">
        <v>0</v>
      </c>
      <c r="E272" s="34">
        <v>1</v>
      </c>
      <c r="F272" s="34" t="s">
        <v>197</v>
      </c>
      <c r="G272" s="34" t="s">
        <v>198</v>
      </c>
      <c r="H272" s="34"/>
      <c r="I272" s="34">
        <v>0</v>
      </c>
      <c r="J272" s="34" t="s">
        <v>838</v>
      </c>
      <c r="K272" s="34" t="s">
        <v>926</v>
      </c>
      <c r="L272" s="34">
        <v>1000</v>
      </c>
      <c r="M272" s="34"/>
      <c r="N272" s="34" t="str">
        <f t="shared" si="11"/>
        <v>Status(CriticalDamageRate, 1000)</v>
      </c>
      <c r="O272" s="34">
        <v>0</v>
      </c>
      <c r="P272" s="34">
        <v>0</v>
      </c>
      <c r="Q272" s="34"/>
      <c r="R272" s="34" t="b">
        <v>1</v>
      </c>
    </row>
    <row r="273" spans="1:18">
      <c r="A273" s="40" t="s">
        <v>5853</v>
      </c>
      <c r="B273" s="34"/>
      <c r="C273" s="34"/>
      <c r="D273" s="34">
        <v>0</v>
      </c>
      <c r="E273" s="34">
        <v>1</v>
      </c>
      <c r="F273" s="34" t="s">
        <v>197</v>
      </c>
      <c r="G273" s="34" t="s">
        <v>198</v>
      </c>
      <c r="H273" s="34"/>
      <c r="I273" s="34">
        <v>0</v>
      </c>
      <c r="J273" s="34" t="s">
        <v>838</v>
      </c>
      <c r="K273" s="34" t="s">
        <v>926</v>
      </c>
      <c r="L273" s="34">
        <v>1000</v>
      </c>
      <c r="M273" s="34"/>
      <c r="N273" s="34" t="str">
        <f t="shared" si="11"/>
        <v>Status(CriticalDamageRate, 1000)</v>
      </c>
      <c r="O273" s="34">
        <v>0</v>
      </c>
      <c r="P273" s="34">
        <v>0</v>
      </c>
      <c r="Q273" s="34"/>
      <c r="R273" s="34" t="b">
        <v>1</v>
      </c>
    </row>
    <row r="274" spans="1:18">
      <c r="A274" s="40" t="s">
        <v>5855</v>
      </c>
      <c r="B274" s="34"/>
      <c r="C274" s="34"/>
      <c r="D274" s="34">
        <v>0</v>
      </c>
      <c r="E274" s="34">
        <v>1</v>
      </c>
      <c r="F274" s="34" t="s">
        <v>197</v>
      </c>
      <c r="G274" s="34" t="s">
        <v>198</v>
      </c>
      <c r="H274" s="34"/>
      <c r="I274" s="34">
        <v>0</v>
      </c>
      <c r="J274" s="34" t="s">
        <v>838</v>
      </c>
      <c r="K274" s="34" t="s">
        <v>926</v>
      </c>
      <c r="L274" s="34">
        <v>1000</v>
      </c>
      <c r="M274" s="34"/>
      <c r="N274" s="34" t="str">
        <f t="shared" si="11"/>
        <v>Status(CriticalDamageRate, 1000)</v>
      </c>
      <c r="O274" s="34">
        <v>0</v>
      </c>
      <c r="P274" s="34">
        <v>0</v>
      </c>
      <c r="Q274" s="34"/>
      <c r="R274" s="34" t="b">
        <v>1</v>
      </c>
    </row>
    <row r="275" spans="1:18">
      <c r="A275" s="38" t="s">
        <v>6847</v>
      </c>
      <c r="B275" s="24"/>
      <c r="C275" s="24"/>
      <c r="D275" s="24">
        <v>0</v>
      </c>
      <c r="E275" s="24">
        <v>1</v>
      </c>
      <c r="F275" s="24" t="s">
        <v>197</v>
      </c>
      <c r="G275" s="24" t="s">
        <v>198</v>
      </c>
      <c r="H275" s="24"/>
      <c r="I275" s="24">
        <v>0</v>
      </c>
      <c r="J275" s="24" t="s">
        <v>838</v>
      </c>
      <c r="K275" s="24" t="s">
        <v>870</v>
      </c>
      <c r="L275" s="24">
        <v>200</v>
      </c>
      <c r="M275" s="24"/>
      <c r="N275" s="24" t="str">
        <f t="shared" si="11"/>
        <v>Status(AccuracyRate, 200)</v>
      </c>
      <c r="O275" s="24">
        <v>0</v>
      </c>
      <c r="P275" s="24">
        <v>0</v>
      </c>
      <c r="Q275" s="24"/>
      <c r="R275" s="24" t="b">
        <v>1</v>
      </c>
    </row>
    <row r="276" spans="1:18">
      <c r="A276" s="38" t="s">
        <v>5856</v>
      </c>
      <c r="B276" s="24"/>
      <c r="C276" s="24"/>
      <c r="D276" s="24">
        <v>0</v>
      </c>
      <c r="E276" s="24">
        <v>1</v>
      </c>
      <c r="F276" s="24" t="s">
        <v>197</v>
      </c>
      <c r="G276" s="24" t="s">
        <v>198</v>
      </c>
      <c r="H276" s="24"/>
      <c r="I276" s="24">
        <v>0</v>
      </c>
      <c r="J276" s="24" t="s">
        <v>838</v>
      </c>
      <c r="K276" s="24" t="s">
        <v>870</v>
      </c>
      <c r="L276" s="24">
        <v>250</v>
      </c>
      <c r="M276" s="24"/>
      <c r="N276" s="24" t="str">
        <f t="shared" si="11"/>
        <v>Status(AccuracyRate, 250)</v>
      </c>
      <c r="O276" s="24">
        <v>0</v>
      </c>
      <c r="P276" s="24">
        <v>0</v>
      </c>
      <c r="Q276" s="24"/>
      <c r="R276" s="24" t="b">
        <v>1</v>
      </c>
    </row>
    <row r="277" spans="1:18">
      <c r="A277" s="38" t="s">
        <v>5857</v>
      </c>
      <c r="B277" s="24"/>
      <c r="C277" s="24"/>
      <c r="D277" s="24">
        <v>0</v>
      </c>
      <c r="E277" s="24">
        <v>1</v>
      </c>
      <c r="F277" s="24" t="s">
        <v>197</v>
      </c>
      <c r="G277" s="24" t="s">
        <v>198</v>
      </c>
      <c r="H277" s="24"/>
      <c r="I277" s="24">
        <v>0</v>
      </c>
      <c r="J277" s="24" t="s">
        <v>838</v>
      </c>
      <c r="K277" s="24" t="s">
        <v>870</v>
      </c>
      <c r="L277" s="24">
        <v>300</v>
      </c>
      <c r="M277" s="24"/>
      <c r="N277" s="24" t="str">
        <f t="shared" si="11"/>
        <v>Status(AccuracyRate, 300)</v>
      </c>
      <c r="O277" s="24">
        <v>0</v>
      </c>
      <c r="P277" s="24">
        <v>0</v>
      </c>
      <c r="Q277" s="24"/>
      <c r="R277" s="24" t="b">
        <v>1</v>
      </c>
    </row>
    <row r="278" spans="1:18">
      <c r="A278" s="40" t="s">
        <v>5858</v>
      </c>
      <c r="B278" s="34"/>
      <c r="C278" s="34"/>
      <c r="D278" s="34">
        <v>0</v>
      </c>
      <c r="E278" s="34">
        <v>1</v>
      </c>
      <c r="F278" s="34" t="s">
        <v>197</v>
      </c>
      <c r="G278" s="34" t="s">
        <v>198</v>
      </c>
      <c r="H278" s="34"/>
      <c r="I278" s="34">
        <v>0</v>
      </c>
      <c r="J278" s="34" t="s">
        <v>838</v>
      </c>
      <c r="K278" s="34" t="s">
        <v>870</v>
      </c>
      <c r="L278" s="34">
        <v>350</v>
      </c>
      <c r="M278" s="34"/>
      <c r="N278" s="34" t="str">
        <f t="shared" si="11"/>
        <v>Status(AccuracyRate, 350)</v>
      </c>
      <c r="O278" s="34">
        <v>0</v>
      </c>
      <c r="P278" s="34">
        <v>0</v>
      </c>
      <c r="Q278" s="34"/>
      <c r="R278" s="34" t="b">
        <v>1</v>
      </c>
    </row>
    <row r="279" spans="1:18">
      <c r="A279" s="40" t="s">
        <v>5859</v>
      </c>
      <c r="B279" s="34"/>
      <c r="C279" s="34"/>
      <c r="D279" s="34">
        <v>0</v>
      </c>
      <c r="E279" s="34">
        <v>1</v>
      </c>
      <c r="F279" s="34" t="s">
        <v>197</v>
      </c>
      <c r="G279" s="34" t="s">
        <v>198</v>
      </c>
      <c r="H279" s="34"/>
      <c r="I279" s="34">
        <v>0</v>
      </c>
      <c r="J279" s="34" t="s">
        <v>838</v>
      </c>
      <c r="K279" s="34" t="s">
        <v>870</v>
      </c>
      <c r="L279" s="34">
        <v>400</v>
      </c>
      <c r="M279" s="34"/>
      <c r="N279" s="34" t="str">
        <f t="shared" si="11"/>
        <v>Status(AccuracyRate, 400)</v>
      </c>
      <c r="O279" s="34">
        <v>0</v>
      </c>
      <c r="P279" s="34">
        <v>0</v>
      </c>
      <c r="Q279" s="34"/>
      <c r="R279" s="34" t="b">
        <v>1</v>
      </c>
    </row>
    <row r="280" spans="1:18">
      <c r="A280" s="40" t="s">
        <v>5860</v>
      </c>
      <c r="B280" s="34"/>
      <c r="C280" s="34"/>
      <c r="D280" s="34">
        <v>0</v>
      </c>
      <c r="E280" s="34">
        <v>1</v>
      </c>
      <c r="F280" s="34" t="s">
        <v>197</v>
      </c>
      <c r="G280" s="34" t="s">
        <v>198</v>
      </c>
      <c r="H280" s="34"/>
      <c r="I280" s="34">
        <v>0</v>
      </c>
      <c r="J280" s="34" t="s">
        <v>838</v>
      </c>
      <c r="K280" s="34" t="s">
        <v>870</v>
      </c>
      <c r="L280" s="34">
        <v>1000</v>
      </c>
      <c r="M280" s="34"/>
      <c r="N280" s="34" t="str">
        <f t="shared" si="11"/>
        <v>Status(AccuracyRate, 1000)</v>
      </c>
      <c r="O280" s="34">
        <v>0</v>
      </c>
      <c r="P280" s="34">
        <v>0</v>
      </c>
      <c r="Q280" s="34"/>
      <c r="R280" s="34" t="b">
        <v>1</v>
      </c>
    </row>
    <row r="281" spans="1:18">
      <c r="A281" s="24" t="s">
        <v>6848</v>
      </c>
      <c r="B281" s="24"/>
      <c r="C281" s="24"/>
      <c r="D281" s="24">
        <v>0</v>
      </c>
      <c r="E281" s="24">
        <v>1</v>
      </c>
      <c r="F281" s="24" t="s">
        <v>197</v>
      </c>
      <c r="G281" s="24" t="s">
        <v>198</v>
      </c>
      <c r="H281" s="24"/>
      <c r="I281" s="24">
        <v>0</v>
      </c>
      <c r="J281" s="24" t="s">
        <v>961</v>
      </c>
      <c r="K281" s="24" t="s">
        <v>867</v>
      </c>
      <c r="L281" s="24">
        <v>75</v>
      </c>
      <c r="M281" s="24" t="s">
        <v>841</v>
      </c>
      <c r="N281" s="24" t="str">
        <f t="shared" si="11"/>
        <v>StatusTargetBuffEffect(CriticalRate, 75, CrowdControl)</v>
      </c>
      <c r="O281" s="24">
        <v>0</v>
      </c>
      <c r="P281" s="24">
        <v>0</v>
      </c>
      <c r="Q281" s="24"/>
      <c r="R281" s="24" t="b">
        <v>1</v>
      </c>
    </row>
    <row r="282" spans="1:18">
      <c r="A282" s="24" t="s">
        <v>3811</v>
      </c>
      <c r="B282" s="24"/>
      <c r="C282" s="24"/>
      <c r="D282" s="24">
        <v>0</v>
      </c>
      <c r="E282" s="24">
        <v>1</v>
      </c>
      <c r="F282" s="24" t="s">
        <v>197</v>
      </c>
      <c r="G282" s="24" t="s">
        <v>198</v>
      </c>
      <c r="H282" s="24"/>
      <c r="I282" s="24">
        <v>0</v>
      </c>
      <c r="J282" s="24" t="s">
        <v>961</v>
      </c>
      <c r="K282" s="24" t="s">
        <v>867</v>
      </c>
      <c r="L282" s="24">
        <v>100</v>
      </c>
      <c r="M282" s="24" t="s">
        <v>841</v>
      </c>
      <c r="N282" s="24" t="str">
        <f t="shared" si="11"/>
        <v>StatusTargetBuffEffect(CriticalRate, 100, CrowdControl)</v>
      </c>
      <c r="O282" s="24">
        <v>0</v>
      </c>
      <c r="P282" s="24">
        <v>0</v>
      </c>
      <c r="Q282" s="24"/>
      <c r="R282" s="24" t="b">
        <v>1</v>
      </c>
    </row>
    <row r="283" spans="1:18">
      <c r="A283" s="24" t="s">
        <v>3812</v>
      </c>
      <c r="B283" s="24"/>
      <c r="C283" s="24"/>
      <c r="D283" s="24">
        <v>0</v>
      </c>
      <c r="E283" s="24">
        <v>1</v>
      </c>
      <c r="F283" s="24" t="s">
        <v>197</v>
      </c>
      <c r="G283" s="24" t="s">
        <v>198</v>
      </c>
      <c r="H283" s="24"/>
      <c r="I283" s="24">
        <v>0</v>
      </c>
      <c r="J283" s="24" t="s">
        <v>961</v>
      </c>
      <c r="K283" s="24" t="s">
        <v>867</v>
      </c>
      <c r="L283" s="24">
        <v>125</v>
      </c>
      <c r="M283" s="24" t="s">
        <v>841</v>
      </c>
      <c r="N283" s="24" t="str">
        <f t="shared" si="11"/>
        <v>StatusTargetBuffEffect(CriticalRate, 125, CrowdControl)</v>
      </c>
      <c r="O283" s="24">
        <v>0</v>
      </c>
      <c r="P283" s="24">
        <v>0</v>
      </c>
      <c r="Q283" s="24"/>
      <c r="R283" s="24" t="b">
        <v>1</v>
      </c>
    </row>
    <row r="284" spans="1:18">
      <c r="A284" s="34" t="s">
        <v>3813</v>
      </c>
      <c r="B284" s="34"/>
      <c r="C284" s="34"/>
      <c r="D284" s="34">
        <v>0</v>
      </c>
      <c r="E284" s="34">
        <v>1</v>
      </c>
      <c r="F284" s="34" t="s">
        <v>197</v>
      </c>
      <c r="G284" s="34" t="s">
        <v>198</v>
      </c>
      <c r="H284" s="34"/>
      <c r="I284" s="34">
        <v>0</v>
      </c>
      <c r="J284" s="34" t="s">
        <v>961</v>
      </c>
      <c r="K284" s="34" t="s">
        <v>867</v>
      </c>
      <c r="L284" s="34">
        <v>150</v>
      </c>
      <c r="M284" s="34" t="s">
        <v>841</v>
      </c>
      <c r="N284" s="34" t="str">
        <f t="shared" si="11"/>
        <v>StatusTargetBuffEffect(CriticalRate, 150, CrowdControl)</v>
      </c>
      <c r="O284" s="34">
        <v>0</v>
      </c>
      <c r="P284" s="34">
        <v>0</v>
      </c>
      <c r="Q284" s="34"/>
      <c r="R284" s="34" t="b">
        <v>1</v>
      </c>
    </row>
    <row r="285" spans="1:18">
      <c r="A285" s="34" t="s">
        <v>3814</v>
      </c>
      <c r="B285" s="34"/>
      <c r="C285" s="34"/>
      <c r="D285" s="34">
        <v>0</v>
      </c>
      <c r="E285" s="34">
        <v>1</v>
      </c>
      <c r="F285" s="34" t="s">
        <v>197</v>
      </c>
      <c r="G285" s="34" t="s">
        <v>198</v>
      </c>
      <c r="H285" s="34"/>
      <c r="I285" s="34">
        <v>0</v>
      </c>
      <c r="J285" s="34" t="s">
        <v>961</v>
      </c>
      <c r="K285" s="34" t="s">
        <v>867</v>
      </c>
      <c r="L285" s="34">
        <v>250</v>
      </c>
      <c r="M285" s="34" t="s">
        <v>841</v>
      </c>
      <c r="N285" s="34" t="str">
        <f t="shared" si="11"/>
        <v>StatusTargetBuffEffect(CriticalRate, 250, CrowdControl)</v>
      </c>
      <c r="O285" s="34">
        <v>0</v>
      </c>
      <c r="P285" s="34">
        <v>0</v>
      </c>
      <c r="Q285" s="34"/>
      <c r="R285" s="34" t="b">
        <v>1</v>
      </c>
    </row>
    <row r="286" spans="1:18">
      <c r="A286" s="34" t="s">
        <v>3815</v>
      </c>
      <c r="B286" s="34"/>
      <c r="C286" s="34"/>
      <c r="D286" s="34">
        <v>0</v>
      </c>
      <c r="E286" s="34">
        <v>1</v>
      </c>
      <c r="F286" s="34" t="s">
        <v>197</v>
      </c>
      <c r="G286" s="34" t="s">
        <v>198</v>
      </c>
      <c r="H286" s="34"/>
      <c r="I286" s="34">
        <v>0</v>
      </c>
      <c r="J286" s="34" t="s">
        <v>961</v>
      </c>
      <c r="K286" s="34" t="s">
        <v>867</v>
      </c>
      <c r="L286" s="34">
        <v>200</v>
      </c>
      <c r="M286" s="34" t="s">
        <v>841</v>
      </c>
      <c r="N286" s="34" t="str">
        <f t="shared" si="11"/>
        <v>StatusTargetBuffEffect(CriticalRate, 200, CrowdControl)</v>
      </c>
      <c r="O286" s="34">
        <v>0</v>
      </c>
      <c r="P286" s="34">
        <v>0</v>
      </c>
      <c r="Q286" s="34"/>
      <c r="R286" s="34" t="b">
        <v>1</v>
      </c>
    </row>
    <row r="287" spans="1:18">
      <c r="A287" s="24" t="s">
        <v>6849</v>
      </c>
      <c r="B287" s="24"/>
      <c r="C287" s="24"/>
      <c r="D287" s="24">
        <v>0</v>
      </c>
      <c r="E287" s="24">
        <v>1</v>
      </c>
      <c r="F287" s="24" t="s">
        <v>417</v>
      </c>
      <c r="G287" s="24" t="s">
        <v>418</v>
      </c>
      <c r="H287" s="24"/>
      <c r="I287" s="24">
        <v>0</v>
      </c>
      <c r="J287" s="24" t="s">
        <v>1254</v>
      </c>
      <c r="K287" s="24" t="s">
        <v>4541</v>
      </c>
      <c r="L287" s="24"/>
      <c r="M287" s="24"/>
      <c r="N287" s="24" t="str">
        <f t="shared" si="11"/>
        <v>Passive(mea.passive.ex.ally.buff.01)</v>
      </c>
      <c r="O287" s="24">
        <v>0</v>
      </c>
      <c r="P287" s="24">
        <v>0</v>
      </c>
      <c r="Q287" s="24"/>
      <c r="R287" s="24" t="b">
        <v>1</v>
      </c>
    </row>
    <row r="288" spans="1:18">
      <c r="A288" s="24" t="s">
        <v>3820</v>
      </c>
      <c r="B288" s="24"/>
      <c r="C288" s="24"/>
      <c r="D288" s="24">
        <v>0</v>
      </c>
      <c r="E288" s="24">
        <v>1</v>
      </c>
      <c r="F288" s="24" t="s">
        <v>417</v>
      </c>
      <c r="G288" s="24" t="s">
        <v>418</v>
      </c>
      <c r="H288" s="24"/>
      <c r="I288" s="24">
        <v>0</v>
      </c>
      <c r="J288" s="24" t="s">
        <v>1254</v>
      </c>
      <c r="K288" s="24" t="s">
        <v>4542</v>
      </c>
      <c r="L288" s="24"/>
      <c r="M288" s="24"/>
      <c r="N288" s="24" t="str">
        <f t="shared" si="11"/>
        <v>Passive(mea.passive.ex.ally.buff.02)</v>
      </c>
      <c r="O288" s="24">
        <v>0</v>
      </c>
      <c r="P288" s="24">
        <v>0</v>
      </c>
      <c r="Q288" s="24"/>
      <c r="R288" s="24" t="b">
        <v>1</v>
      </c>
    </row>
    <row r="289" spans="1:18">
      <c r="A289" s="24" t="s">
        <v>3821</v>
      </c>
      <c r="B289" s="24"/>
      <c r="C289" s="24"/>
      <c r="D289" s="24">
        <v>0</v>
      </c>
      <c r="E289" s="24">
        <v>1</v>
      </c>
      <c r="F289" s="24" t="s">
        <v>417</v>
      </c>
      <c r="G289" s="24" t="s">
        <v>418</v>
      </c>
      <c r="H289" s="24"/>
      <c r="I289" s="24">
        <v>0</v>
      </c>
      <c r="J289" s="24" t="s">
        <v>1254</v>
      </c>
      <c r="K289" s="24" t="s">
        <v>4543</v>
      </c>
      <c r="L289" s="24"/>
      <c r="M289" s="24"/>
      <c r="N289" s="24" t="str">
        <f t="shared" si="11"/>
        <v>Passive(mea.passive.ex.ally.buff.03)</v>
      </c>
      <c r="O289" s="24">
        <v>0</v>
      </c>
      <c r="P289" s="24">
        <v>0</v>
      </c>
      <c r="Q289" s="24"/>
      <c r="R289" s="24" t="b">
        <v>1</v>
      </c>
    </row>
    <row r="290" spans="1:18">
      <c r="A290" s="34" t="s">
        <v>3822</v>
      </c>
      <c r="B290" s="34"/>
      <c r="C290" s="34"/>
      <c r="D290" s="34">
        <v>0</v>
      </c>
      <c r="E290" s="34">
        <v>1</v>
      </c>
      <c r="F290" s="34" t="s">
        <v>417</v>
      </c>
      <c r="G290" s="34" t="s">
        <v>418</v>
      </c>
      <c r="H290" s="34"/>
      <c r="I290" s="34">
        <v>0</v>
      </c>
      <c r="J290" s="34" t="s">
        <v>1254</v>
      </c>
      <c r="K290" s="34" t="s">
        <v>4544</v>
      </c>
      <c r="L290" s="34"/>
      <c r="M290" s="34"/>
      <c r="N290" s="34" t="str">
        <f t="shared" si="11"/>
        <v>Passive(mea.passive.ex.ally.buff.04)</v>
      </c>
      <c r="O290" s="34">
        <v>0</v>
      </c>
      <c r="P290" s="34">
        <v>0</v>
      </c>
      <c r="Q290" s="34"/>
      <c r="R290" s="34" t="b">
        <v>1</v>
      </c>
    </row>
    <row r="291" spans="1:18">
      <c r="A291" s="34" t="s">
        <v>3823</v>
      </c>
      <c r="B291" s="34"/>
      <c r="C291" s="34"/>
      <c r="D291" s="34">
        <v>0</v>
      </c>
      <c r="E291" s="34">
        <v>1</v>
      </c>
      <c r="F291" s="34" t="s">
        <v>417</v>
      </c>
      <c r="G291" s="34" t="s">
        <v>418</v>
      </c>
      <c r="H291" s="34"/>
      <c r="I291" s="34">
        <v>0</v>
      </c>
      <c r="J291" s="34" t="s">
        <v>1254</v>
      </c>
      <c r="K291" s="34" t="s">
        <v>4545</v>
      </c>
      <c r="L291" s="34"/>
      <c r="M291" s="34"/>
      <c r="N291" s="34" t="str">
        <f t="shared" si="11"/>
        <v>Passive(mea.passive.ex.ally.buff.05)</v>
      </c>
      <c r="O291" s="34">
        <v>0</v>
      </c>
      <c r="P291" s="34">
        <v>0</v>
      </c>
      <c r="Q291" s="34"/>
      <c r="R291" s="34" t="b">
        <v>1</v>
      </c>
    </row>
    <row r="292" spans="1:18">
      <c r="A292" s="34" t="s">
        <v>3824</v>
      </c>
      <c r="B292" s="34"/>
      <c r="C292" s="34"/>
      <c r="D292" s="34">
        <v>0</v>
      </c>
      <c r="E292" s="34">
        <v>1</v>
      </c>
      <c r="F292" s="34" t="s">
        <v>417</v>
      </c>
      <c r="G292" s="34" t="s">
        <v>418</v>
      </c>
      <c r="H292" s="34"/>
      <c r="I292" s="34">
        <v>0</v>
      </c>
      <c r="J292" s="34" t="s">
        <v>1254</v>
      </c>
      <c r="K292" s="34" t="s">
        <v>4546</v>
      </c>
      <c r="L292" s="34"/>
      <c r="M292" s="34"/>
      <c r="N292" s="34" t="str">
        <f t="shared" si="11"/>
        <v>Passive(mea.passive.ex.ally.buff.06)</v>
      </c>
      <c r="O292" s="34">
        <v>0</v>
      </c>
      <c r="P292" s="34">
        <v>0</v>
      </c>
      <c r="Q292" s="34"/>
      <c r="R292" s="34" t="b">
        <v>1</v>
      </c>
    </row>
    <row r="293" spans="1:18" s="143" customFormat="1">
      <c r="A293" s="25" t="s">
        <v>4547</v>
      </c>
      <c r="B293" s="25"/>
      <c r="C293" s="25"/>
      <c r="D293" s="25">
        <v>0</v>
      </c>
      <c r="E293" s="25">
        <v>1</v>
      </c>
      <c r="F293" s="25" t="s">
        <v>197</v>
      </c>
      <c r="G293" s="25" t="s">
        <v>198</v>
      </c>
      <c r="H293" s="25"/>
      <c r="I293" s="25">
        <v>0</v>
      </c>
      <c r="J293" s="25" t="s">
        <v>961</v>
      </c>
      <c r="K293" s="25" t="s">
        <v>908</v>
      </c>
      <c r="L293" s="25">
        <v>200</v>
      </c>
      <c r="M293" s="25" t="s">
        <v>841</v>
      </c>
      <c r="N293" s="25" t="str">
        <f t="shared" si="11"/>
        <v>StatusTargetBuffEffect(AttackRatio, 200, CrowdControl)</v>
      </c>
      <c r="O293" s="25">
        <v>0</v>
      </c>
      <c r="P293" s="25">
        <v>0</v>
      </c>
      <c r="Q293" s="25"/>
      <c r="R293" s="25" t="b">
        <v>1</v>
      </c>
    </row>
    <row r="294" spans="1:18" s="143" customFormat="1">
      <c r="A294" s="25" t="s">
        <v>4548</v>
      </c>
      <c r="B294" s="25"/>
      <c r="C294" s="25"/>
      <c r="D294" s="25">
        <v>0</v>
      </c>
      <c r="E294" s="25">
        <v>1</v>
      </c>
      <c r="F294" s="25" t="s">
        <v>197</v>
      </c>
      <c r="G294" s="25" t="s">
        <v>198</v>
      </c>
      <c r="H294" s="25"/>
      <c r="I294" s="25">
        <v>0</v>
      </c>
      <c r="J294" s="25" t="s">
        <v>961</v>
      </c>
      <c r="K294" s="25" t="s">
        <v>908</v>
      </c>
      <c r="L294" s="25">
        <v>200</v>
      </c>
      <c r="M294" s="25" t="s">
        <v>841</v>
      </c>
      <c r="N294" s="25" t="str">
        <f t="shared" si="11"/>
        <v>StatusTargetBuffEffect(AttackRatio, 200, CrowdControl)</v>
      </c>
      <c r="O294" s="25">
        <v>0</v>
      </c>
      <c r="P294" s="25">
        <v>0</v>
      </c>
      <c r="Q294" s="25"/>
      <c r="R294" s="25" t="b">
        <v>1</v>
      </c>
    </row>
    <row r="295" spans="1:18" s="143" customFormat="1">
      <c r="A295" s="25" t="s">
        <v>4549</v>
      </c>
      <c r="B295" s="25"/>
      <c r="C295" s="25"/>
      <c r="D295" s="25">
        <v>0</v>
      </c>
      <c r="E295" s="25">
        <v>1</v>
      </c>
      <c r="F295" s="25" t="s">
        <v>197</v>
      </c>
      <c r="G295" s="25" t="s">
        <v>198</v>
      </c>
      <c r="H295" s="25"/>
      <c r="I295" s="25">
        <v>0</v>
      </c>
      <c r="J295" s="25" t="s">
        <v>961</v>
      </c>
      <c r="K295" s="25" t="s">
        <v>908</v>
      </c>
      <c r="L295" s="25">
        <v>200</v>
      </c>
      <c r="M295" s="25" t="s">
        <v>841</v>
      </c>
      <c r="N295" s="25" t="str">
        <f t="shared" si="11"/>
        <v>StatusTargetBuffEffect(AttackRatio, 200, CrowdControl)</v>
      </c>
      <c r="O295" s="25">
        <v>0</v>
      </c>
      <c r="P295" s="25">
        <v>0</v>
      </c>
      <c r="Q295" s="25"/>
      <c r="R295" s="25" t="b">
        <v>1</v>
      </c>
    </row>
    <row r="296" spans="1:18" s="143" customFormat="1">
      <c r="A296" s="25" t="s">
        <v>4550</v>
      </c>
      <c r="B296" s="25"/>
      <c r="C296" s="25"/>
      <c r="D296" s="25">
        <v>0</v>
      </c>
      <c r="E296" s="25">
        <v>1</v>
      </c>
      <c r="F296" s="25" t="s">
        <v>197</v>
      </c>
      <c r="G296" s="25" t="s">
        <v>198</v>
      </c>
      <c r="H296" s="25"/>
      <c r="I296" s="25">
        <v>0</v>
      </c>
      <c r="J296" s="25" t="s">
        <v>961</v>
      </c>
      <c r="K296" s="25" t="s">
        <v>908</v>
      </c>
      <c r="L296" s="25">
        <v>200</v>
      </c>
      <c r="M296" s="25" t="s">
        <v>841</v>
      </c>
      <c r="N296" s="25" t="str">
        <f t="shared" si="11"/>
        <v>StatusTargetBuffEffect(AttackRatio, 200, CrowdControl)</v>
      </c>
      <c r="O296" s="25">
        <v>0</v>
      </c>
      <c r="P296" s="25">
        <v>0</v>
      </c>
      <c r="Q296" s="25"/>
      <c r="R296" s="25" t="b">
        <v>1</v>
      </c>
    </row>
    <row r="297" spans="1:18" s="143" customFormat="1">
      <c r="A297" s="25" t="s">
        <v>4551</v>
      </c>
      <c r="B297" s="25"/>
      <c r="C297" s="25"/>
      <c r="D297" s="25">
        <v>0</v>
      </c>
      <c r="E297" s="25">
        <v>1</v>
      </c>
      <c r="F297" s="25" t="s">
        <v>197</v>
      </c>
      <c r="G297" s="25" t="s">
        <v>198</v>
      </c>
      <c r="H297" s="25"/>
      <c r="I297" s="25">
        <v>0</v>
      </c>
      <c r="J297" s="25" t="s">
        <v>961</v>
      </c>
      <c r="K297" s="25" t="s">
        <v>908</v>
      </c>
      <c r="L297" s="25">
        <v>200</v>
      </c>
      <c r="M297" s="25" t="s">
        <v>841</v>
      </c>
      <c r="N297" s="25" t="str">
        <f t="shared" si="11"/>
        <v>StatusTargetBuffEffect(AttackRatio, 200, CrowdControl)</v>
      </c>
      <c r="O297" s="25">
        <v>0</v>
      </c>
      <c r="P297" s="25">
        <v>0</v>
      </c>
      <c r="Q297" s="25"/>
      <c r="R297" s="25" t="b">
        <v>1</v>
      </c>
    </row>
    <row r="298" spans="1:18" s="143" customFormat="1">
      <c r="A298" s="25" t="s">
        <v>4552</v>
      </c>
      <c r="B298" s="25"/>
      <c r="C298" s="25"/>
      <c r="D298" s="25">
        <v>0</v>
      </c>
      <c r="E298" s="25">
        <v>1</v>
      </c>
      <c r="F298" s="25" t="s">
        <v>197</v>
      </c>
      <c r="G298" s="25" t="s">
        <v>198</v>
      </c>
      <c r="H298" s="25"/>
      <c r="I298" s="25">
        <v>0</v>
      </c>
      <c r="J298" s="25" t="s">
        <v>961</v>
      </c>
      <c r="K298" s="25" t="s">
        <v>908</v>
      </c>
      <c r="L298" s="25">
        <v>350</v>
      </c>
      <c r="M298" s="25" t="s">
        <v>841</v>
      </c>
      <c r="N298" s="25" t="str">
        <f t="shared" si="11"/>
        <v>StatusTargetBuffEffect(AttackRatio, 350, CrowdControl)</v>
      </c>
      <c r="O298" s="25">
        <v>0</v>
      </c>
      <c r="P298" s="25">
        <v>0</v>
      </c>
      <c r="Q298" s="25"/>
      <c r="R298" s="25" t="b">
        <v>1</v>
      </c>
    </row>
    <row r="299" spans="1:18" s="13" customFormat="1">
      <c r="A299" s="26" t="s">
        <v>469</v>
      </c>
      <c r="B299" s="26"/>
      <c r="C299" s="26"/>
      <c r="D299" s="26">
        <v>0</v>
      </c>
      <c r="E299" s="26">
        <v>1</v>
      </c>
      <c r="F299" s="26" t="s">
        <v>197</v>
      </c>
      <c r="G299" s="26" t="s">
        <v>198</v>
      </c>
      <c r="H299" s="26"/>
      <c r="I299" s="26">
        <v>0</v>
      </c>
      <c r="J299" s="26" t="s">
        <v>865</v>
      </c>
      <c r="K299" s="26" t="s">
        <v>875</v>
      </c>
      <c r="L299" s="26">
        <v>250</v>
      </c>
      <c r="M299" s="26"/>
      <c r="N299" s="26" t="str">
        <f t="shared" si="11"/>
        <v>Bleed(Attack, 250)</v>
      </c>
      <c r="O299" s="26">
        <v>0</v>
      </c>
      <c r="P299" s="26">
        <v>1000</v>
      </c>
      <c r="Q299" s="26"/>
      <c r="R299" s="26" t="b">
        <v>1</v>
      </c>
    </row>
    <row r="300" spans="1:18" s="13" customFormat="1">
      <c r="A300" s="26" t="s">
        <v>471</v>
      </c>
      <c r="B300" s="26"/>
      <c r="C300" s="26"/>
      <c r="D300" s="26">
        <v>0</v>
      </c>
      <c r="E300" s="26">
        <v>1</v>
      </c>
      <c r="F300" s="26" t="s">
        <v>197</v>
      </c>
      <c r="G300" s="26" t="s">
        <v>198</v>
      </c>
      <c r="H300" s="26"/>
      <c r="I300" s="26">
        <v>0</v>
      </c>
      <c r="J300" s="26" t="s">
        <v>865</v>
      </c>
      <c r="K300" s="26" t="s">
        <v>875</v>
      </c>
      <c r="L300" s="26">
        <v>300</v>
      </c>
      <c r="M300" s="26"/>
      <c r="N300" s="26" t="str">
        <f t="shared" si="11"/>
        <v>Bleed(Attack, 300)</v>
      </c>
      <c r="O300" s="26">
        <v>0</v>
      </c>
      <c r="P300" s="26">
        <v>1000</v>
      </c>
      <c r="Q300" s="26"/>
      <c r="R300" s="26" t="b">
        <v>1</v>
      </c>
    </row>
    <row r="301" spans="1:18" s="13" customFormat="1">
      <c r="A301" s="26" t="s">
        <v>473</v>
      </c>
      <c r="B301" s="26"/>
      <c r="C301" s="26"/>
      <c r="D301" s="26">
        <v>0</v>
      </c>
      <c r="E301" s="26">
        <v>1</v>
      </c>
      <c r="F301" s="26" t="s">
        <v>197</v>
      </c>
      <c r="G301" s="26" t="s">
        <v>198</v>
      </c>
      <c r="H301" s="26"/>
      <c r="I301" s="26">
        <v>0</v>
      </c>
      <c r="J301" s="26" t="s">
        <v>865</v>
      </c>
      <c r="K301" s="26" t="s">
        <v>875</v>
      </c>
      <c r="L301" s="26">
        <v>300</v>
      </c>
      <c r="M301" s="26"/>
      <c r="N301" s="26" t="str">
        <f t="shared" si="11"/>
        <v>Bleed(Attack, 300)</v>
      </c>
      <c r="O301" s="26">
        <v>0</v>
      </c>
      <c r="P301" s="26">
        <v>1000</v>
      </c>
      <c r="Q301" s="26"/>
      <c r="R301" s="26" t="b">
        <v>1</v>
      </c>
    </row>
    <row r="302" spans="1:18" s="13" customFormat="1">
      <c r="A302" s="26" t="s">
        <v>588</v>
      </c>
      <c r="B302" s="26"/>
      <c r="C302" s="26"/>
      <c r="D302" s="26">
        <v>0</v>
      </c>
      <c r="E302" s="26">
        <v>1</v>
      </c>
      <c r="F302" s="26" t="s">
        <v>197</v>
      </c>
      <c r="G302" s="26" t="s">
        <v>198</v>
      </c>
      <c r="H302" s="26"/>
      <c r="I302" s="26">
        <v>0</v>
      </c>
      <c r="J302" s="26" t="s">
        <v>865</v>
      </c>
      <c r="K302" s="26" t="s">
        <v>875</v>
      </c>
      <c r="L302" s="26">
        <v>350</v>
      </c>
      <c r="M302" s="26"/>
      <c r="N302" s="26" t="str">
        <f t="shared" si="11"/>
        <v>Bleed(Attack, 350)</v>
      </c>
      <c r="O302" s="26">
        <v>0</v>
      </c>
      <c r="P302" s="26">
        <v>1000</v>
      </c>
      <c r="Q302" s="26"/>
      <c r="R302" s="26" t="b">
        <v>1</v>
      </c>
    </row>
    <row r="303" spans="1:18" s="13" customFormat="1">
      <c r="A303" s="44" t="s">
        <v>1011</v>
      </c>
      <c r="B303" s="44"/>
      <c r="C303" s="44"/>
      <c r="D303" s="44">
        <v>0</v>
      </c>
      <c r="E303" s="44">
        <v>1</v>
      </c>
      <c r="F303" s="44" t="s">
        <v>197</v>
      </c>
      <c r="G303" s="44" t="s">
        <v>198</v>
      </c>
      <c r="H303" s="44"/>
      <c r="I303" s="44">
        <v>0</v>
      </c>
      <c r="J303" s="44" t="s">
        <v>895</v>
      </c>
      <c r="K303" s="44" t="s">
        <v>896</v>
      </c>
      <c r="L303" s="44" t="str">
        <f>A303&amp;".skilleffectmodifier"</f>
        <v>rachel.ult.ex.buff.buffeffect.skilleffectmodifier</v>
      </c>
      <c r="M303" s="44"/>
      <c r="N303" s="44" t="str">
        <f t="shared" si="11"/>
        <v>SkillEffectModifier(Op, rachel.ult.ex.buff.buffeffect.skilleffectmodifier)</v>
      </c>
      <c r="O303" s="44">
        <v>0</v>
      </c>
      <c r="P303" s="44">
        <v>0</v>
      </c>
      <c r="Q303" s="44"/>
      <c r="R303" s="44" t="b">
        <v>0</v>
      </c>
    </row>
    <row r="304" spans="1:18" s="13" customFormat="1">
      <c r="A304" s="25" t="s">
        <v>478</v>
      </c>
      <c r="B304" s="25"/>
      <c r="C304" s="25"/>
      <c r="D304" s="25">
        <v>0</v>
      </c>
      <c r="E304" s="25">
        <v>1</v>
      </c>
      <c r="F304" s="25" t="s">
        <v>197</v>
      </c>
      <c r="G304" s="25" t="s">
        <v>198</v>
      </c>
      <c r="H304" s="25"/>
      <c r="I304" s="25">
        <v>0</v>
      </c>
      <c r="J304" s="25" t="s">
        <v>865</v>
      </c>
      <c r="K304" s="25" t="s">
        <v>875</v>
      </c>
      <c r="L304" s="25">
        <v>250</v>
      </c>
      <c r="M304" s="25"/>
      <c r="N304" s="25" t="str">
        <f t="shared" si="11"/>
        <v>Bleed(Attack, 250)</v>
      </c>
      <c r="O304" s="25">
        <v>0</v>
      </c>
      <c r="P304" s="25">
        <v>1000</v>
      </c>
      <c r="Q304" s="25"/>
      <c r="R304" s="25" t="b">
        <v>1</v>
      </c>
    </row>
    <row r="305" spans="1:18" s="13" customFormat="1">
      <c r="A305" s="25" t="s">
        <v>480</v>
      </c>
      <c r="B305" s="25"/>
      <c r="C305" s="25"/>
      <c r="D305" s="25">
        <v>0</v>
      </c>
      <c r="E305" s="25">
        <v>1</v>
      </c>
      <c r="F305" s="25" t="s">
        <v>197</v>
      </c>
      <c r="G305" s="25" t="s">
        <v>198</v>
      </c>
      <c r="H305" s="25"/>
      <c r="I305" s="25">
        <v>0</v>
      </c>
      <c r="J305" s="25" t="s">
        <v>865</v>
      </c>
      <c r="K305" s="25" t="s">
        <v>875</v>
      </c>
      <c r="L305" s="25">
        <v>300</v>
      </c>
      <c r="M305" s="25"/>
      <c r="N305" s="25" t="str">
        <f t="shared" si="11"/>
        <v>Bleed(Attack, 300)</v>
      </c>
      <c r="O305" s="25">
        <v>0</v>
      </c>
      <c r="P305" s="25">
        <v>1000</v>
      </c>
      <c r="Q305" s="25"/>
      <c r="R305" s="25" t="b">
        <v>1</v>
      </c>
    </row>
    <row r="306" spans="1:18" s="13" customFormat="1">
      <c r="A306" s="25" t="s">
        <v>482</v>
      </c>
      <c r="B306" s="25"/>
      <c r="C306" s="25"/>
      <c r="D306" s="25">
        <v>0</v>
      </c>
      <c r="E306" s="25">
        <v>1</v>
      </c>
      <c r="F306" s="25" t="s">
        <v>197</v>
      </c>
      <c r="G306" s="25" t="s">
        <v>198</v>
      </c>
      <c r="H306" s="25"/>
      <c r="I306" s="25">
        <v>0</v>
      </c>
      <c r="J306" s="25" t="s">
        <v>865</v>
      </c>
      <c r="K306" s="25" t="s">
        <v>875</v>
      </c>
      <c r="L306" s="25">
        <v>300</v>
      </c>
      <c r="M306" s="25"/>
      <c r="N306" s="25" t="str">
        <f t="shared" si="11"/>
        <v>Bleed(Attack, 300)</v>
      </c>
      <c r="O306" s="25">
        <v>0</v>
      </c>
      <c r="P306" s="25">
        <v>1000</v>
      </c>
      <c r="Q306" s="25"/>
      <c r="R306" s="25" t="b">
        <v>1</v>
      </c>
    </row>
    <row r="307" spans="1:18" s="13" customFormat="1">
      <c r="A307" s="25" t="s">
        <v>484</v>
      </c>
      <c r="B307" s="25"/>
      <c r="C307" s="25"/>
      <c r="D307" s="25">
        <v>0</v>
      </c>
      <c r="E307" s="25">
        <v>1</v>
      </c>
      <c r="F307" s="25" t="s">
        <v>197</v>
      </c>
      <c r="G307" s="25" t="s">
        <v>198</v>
      </c>
      <c r="H307" s="25"/>
      <c r="I307" s="25">
        <v>0</v>
      </c>
      <c r="J307" s="25" t="s">
        <v>865</v>
      </c>
      <c r="K307" s="25" t="s">
        <v>875</v>
      </c>
      <c r="L307" s="25">
        <v>350</v>
      </c>
      <c r="M307" s="25"/>
      <c r="N307" s="25" t="str">
        <f t="shared" si="11"/>
        <v>Bleed(Attack, 350)</v>
      </c>
      <c r="O307" s="25">
        <v>0</v>
      </c>
      <c r="P307" s="25">
        <v>1000</v>
      </c>
      <c r="Q307" s="25"/>
      <c r="R307" s="25" t="b">
        <v>1</v>
      </c>
    </row>
    <row r="308" spans="1:18">
      <c r="A308" s="26" t="s">
        <v>486</v>
      </c>
      <c r="B308" s="26"/>
      <c r="C308" s="26"/>
      <c r="D308" s="26">
        <v>0</v>
      </c>
      <c r="E308" s="26">
        <v>1</v>
      </c>
      <c r="F308" s="26" t="s">
        <v>197</v>
      </c>
      <c r="G308" s="26" t="s">
        <v>198</v>
      </c>
      <c r="H308" s="26"/>
      <c r="I308" s="26">
        <v>0</v>
      </c>
      <c r="J308" s="26" t="s">
        <v>191</v>
      </c>
      <c r="K308" s="26" t="s">
        <v>928</v>
      </c>
      <c r="L308" s="26" t="s">
        <v>929</v>
      </c>
      <c r="M308" s="26"/>
      <c r="N308" s="26" t="str">
        <f t="shared" si="11"/>
        <v>Effect(OnBackHitNormal, rachel.passive.buff.effect.skilleffect.01)</v>
      </c>
      <c r="O308" s="26">
        <v>0</v>
      </c>
      <c r="P308" s="26">
        <v>0</v>
      </c>
      <c r="Q308" s="26"/>
      <c r="R308" s="26" t="b">
        <v>1</v>
      </c>
    </row>
    <row r="309" spans="1:18">
      <c r="A309" s="26" t="s">
        <v>488</v>
      </c>
      <c r="B309" s="26"/>
      <c r="C309" s="26"/>
      <c r="D309" s="26">
        <v>0</v>
      </c>
      <c r="E309" s="26">
        <v>1</v>
      </c>
      <c r="F309" s="26" t="s">
        <v>197</v>
      </c>
      <c r="G309" s="26" t="s">
        <v>198</v>
      </c>
      <c r="H309" s="26"/>
      <c r="I309" s="26">
        <v>0</v>
      </c>
      <c r="J309" s="26" t="s">
        <v>191</v>
      </c>
      <c r="K309" s="26" t="s">
        <v>928</v>
      </c>
      <c r="L309" s="26" t="s">
        <v>930</v>
      </c>
      <c r="M309" s="26"/>
      <c r="N309" s="26" t="str">
        <f t="shared" si="11"/>
        <v>Effect(OnBackHitNormal, rachel.passive.buff.effect.skilleffect.02)</v>
      </c>
      <c r="O309" s="26">
        <v>0</v>
      </c>
      <c r="P309" s="26">
        <v>0</v>
      </c>
      <c r="Q309" s="26"/>
      <c r="R309" s="26" t="b">
        <v>1</v>
      </c>
    </row>
    <row r="310" spans="1:18">
      <c r="A310" s="26" t="s">
        <v>490</v>
      </c>
      <c r="B310" s="26"/>
      <c r="C310" s="26"/>
      <c r="D310" s="26">
        <v>0</v>
      </c>
      <c r="E310" s="26">
        <v>1</v>
      </c>
      <c r="F310" s="26" t="s">
        <v>197</v>
      </c>
      <c r="G310" s="26" t="s">
        <v>198</v>
      </c>
      <c r="H310" s="26"/>
      <c r="I310" s="26">
        <v>0</v>
      </c>
      <c r="J310" s="26" t="s">
        <v>191</v>
      </c>
      <c r="K310" s="26" t="s">
        <v>928</v>
      </c>
      <c r="L310" s="26" t="s">
        <v>931</v>
      </c>
      <c r="M310" s="26"/>
      <c r="N310" s="26" t="str">
        <f t="shared" si="11"/>
        <v>Effect(OnBackHitNormal, rachel.passive.buff.effect.skilleffect.03)</v>
      </c>
      <c r="O310" s="26">
        <v>0</v>
      </c>
      <c r="P310" s="26">
        <v>0</v>
      </c>
      <c r="Q310" s="26"/>
      <c r="R310" s="26" t="b">
        <v>1</v>
      </c>
    </row>
    <row r="311" spans="1:18">
      <c r="A311" s="34" t="s">
        <v>492</v>
      </c>
      <c r="B311" s="34"/>
      <c r="C311" s="34"/>
      <c r="D311" s="34">
        <v>0</v>
      </c>
      <c r="E311" s="34">
        <v>1</v>
      </c>
      <c r="F311" s="34" t="s">
        <v>197</v>
      </c>
      <c r="G311" s="34" t="s">
        <v>198</v>
      </c>
      <c r="H311" s="34"/>
      <c r="I311" s="34">
        <v>0</v>
      </c>
      <c r="J311" s="34" t="s">
        <v>191</v>
      </c>
      <c r="K311" s="34" t="s">
        <v>928</v>
      </c>
      <c r="L311" s="34" t="s">
        <v>932</v>
      </c>
      <c r="M311" s="34"/>
      <c r="N311" s="34" t="str">
        <f t="shared" si="11"/>
        <v>Effect(OnBackHitNormal, rachel.passive.buff.effect.skilleffect.04)</v>
      </c>
      <c r="O311" s="34">
        <v>0</v>
      </c>
      <c r="P311" s="34">
        <v>0</v>
      </c>
      <c r="Q311" s="34"/>
      <c r="R311" s="34" t="b">
        <v>1</v>
      </c>
    </row>
    <row r="312" spans="1:18">
      <c r="A312" s="34" t="s">
        <v>494</v>
      </c>
      <c r="B312" s="34"/>
      <c r="C312" s="34"/>
      <c r="D312" s="34">
        <v>0</v>
      </c>
      <c r="E312" s="34">
        <v>1</v>
      </c>
      <c r="F312" s="34" t="s">
        <v>197</v>
      </c>
      <c r="G312" s="34" t="s">
        <v>198</v>
      </c>
      <c r="H312" s="34"/>
      <c r="I312" s="34">
        <v>0</v>
      </c>
      <c r="J312" s="34" t="s">
        <v>191</v>
      </c>
      <c r="K312" s="34" t="s">
        <v>928</v>
      </c>
      <c r="L312" s="34" t="s">
        <v>933</v>
      </c>
      <c r="M312" s="34"/>
      <c r="N312" s="34" t="str">
        <f t="shared" si="11"/>
        <v>Effect(OnBackHitNormal, rachel.passive.buff.effect.skilleffect.05)</v>
      </c>
      <c r="O312" s="34">
        <v>0</v>
      </c>
      <c r="P312" s="34">
        <v>0</v>
      </c>
      <c r="Q312" s="34"/>
      <c r="R312" s="34" t="b">
        <v>1</v>
      </c>
    </row>
    <row r="313" spans="1:18" s="13" customFormat="1">
      <c r="A313" s="34" t="s">
        <v>495</v>
      </c>
      <c r="B313" s="34"/>
      <c r="C313" s="34"/>
      <c r="D313" s="34">
        <v>0</v>
      </c>
      <c r="E313" s="34">
        <v>1</v>
      </c>
      <c r="F313" s="34" t="s">
        <v>197</v>
      </c>
      <c r="G313" s="34" t="s">
        <v>198</v>
      </c>
      <c r="H313" s="34"/>
      <c r="I313" s="34">
        <v>0</v>
      </c>
      <c r="J313" s="34" t="s">
        <v>191</v>
      </c>
      <c r="K313" s="34" t="s">
        <v>928</v>
      </c>
      <c r="L313" s="34" t="s">
        <v>934</v>
      </c>
      <c r="M313" s="34"/>
      <c r="N313" s="34" t="str">
        <f t="shared" si="11"/>
        <v>Effect(OnBackHitNormal, rachel.passive.buff.effect.skilleffect.06)</v>
      </c>
      <c r="O313" s="34">
        <v>0</v>
      </c>
      <c r="P313" s="34">
        <v>0</v>
      </c>
      <c r="Q313" s="34"/>
      <c r="R313" s="34" t="b">
        <v>1</v>
      </c>
    </row>
    <row r="314" spans="1:18">
      <c r="A314" s="25" t="s">
        <v>6637</v>
      </c>
      <c r="B314" s="25" t="s">
        <v>6850</v>
      </c>
      <c r="C314" s="25">
        <v>1</v>
      </c>
      <c r="D314" s="25">
        <v>18000</v>
      </c>
      <c r="E314" s="25"/>
      <c r="F314" s="25" t="s">
        <v>197</v>
      </c>
      <c r="G314" s="25" t="s">
        <v>198</v>
      </c>
      <c r="H314" s="25"/>
      <c r="I314" s="25">
        <v>0</v>
      </c>
      <c r="J314" s="25" t="s">
        <v>893</v>
      </c>
      <c r="K314" s="25" t="s">
        <v>6851</v>
      </c>
      <c r="L314" s="25"/>
      <c r="M314" s="25"/>
      <c r="N314" s="25" t="str">
        <f t="shared" si="11"/>
        <v>Active(rachel.passive.barrier.buff.buffeffect.skilleffect.01)</v>
      </c>
      <c r="O314" s="25">
        <v>0</v>
      </c>
      <c r="P314" s="25">
        <v>0</v>
      </c>
      <c r="Q314" s="25"/>
      <c r="R314" s="25" t="b">
        <v>1</v>
      </c>
    </row>
    <row r="315" spans="1:18">
      <c r="A315" s="25" t="s">
        <v>1096</v>
      </c>
      <c r="B315" s="25" t="s">
        <v>6850</v>
      </c>
      <c r="C315" s="25">
        <v>1</v>
      </c>
      <c r="D315" s="25">
        <v>16000</v>
      </c>
      <c r="E315" s="25"/>
      <c r="F315" s="25" t="s">
        <v>197</v>
      </c>
      <c r="G315" s="25" t="s">
        <v>198</v>
      </c>
      <c r="H315" s="25"/>
      <c r="I315" s="25">
        <v>0</v>
      </c>
      <c r="J315" s="25" t="s">
        <v>893</v>
      </c>
      <c r="K315" s="25" t="s">
        <v>6852</v>
      </c>
      <c r="L315" s="25"/>
      <c r="M315" s="25"/>
      <c r="N315" s="25" t="str">
        <f t="shared" si="11"/>
        <v>Active(rachel.passive.barrier.buff.buffeffect.skilleffect.02)</v>
      </c>
      <c r="O315" s="25">
        <v>0</v>
      </c>
      <c r="P315" s="25">
        <v>0</v>
      </c>
      <c r="Q315" s="25"/>
      <c r="R315" s="25" t="b">
        <v>1</v>
      </c>
    </row>
    <row r="316" spans="1:18">
      <c r="A316" s="25" t="s">
        <v>1097</v>
      </c>
      <c r="B316" s="25" t="s">
        <v>6850</v>
      </c>
      <c r="C316" s="25">
        <v>1</v>
      </c>
      <c r="D316" s="25">
        <v>12000</v>
      </c>
      <c r="E316" s="25"/>
      <c r="F316" s="25" t="s">
        <v>197</v>
      </c>
      <c r="G316" s="25" t="s">
        <v>198</v>
      </c>
      <c r="H316" s="25"/>
      <c r="I316" s="25">
        <v>0</v>
      </c>
      <c r="J316" s="25" t="s">
        <v>893</v>
      </c>
      <c r="K316" s="25" t="s">
        <v>6853</v>
      </c>
      <c r="L316" s="25"/>
      <c r="M316" s="25"/>
      <c r="N316" s="25" t="str">
        <f t="shared" si="11"/>
        <v>Active(rachel.passive.barrier.buff.buffeffect.skilleffect.03)</v>
      </c>
      <c r="O316" s="25">
        <v>0</v>
      </c>
      <c r="P316" s="25">
        <v>0</v>
      </c>
      <c r="Q316" s="25"/>
      <c r="R316" s="25" t="b">
        <v>1</v>
      </c>
    </row>
    <row r="317" spans="1:18">
      <c r="A317" s="26" t="s">
        <v>1091</v>
      </c>
      <c r="B317" s="26"/>
      <c r="C317" s="26"/>
      <c r="D317" s="26">
        <v>0</v>
      </c>
      <c r="E317" s="26">
        <v>1</v>
      </c>
      <c r="F317" s="26" t="s">
        <v>197</v>
      </c>
      <c r="G317" s="26" t="s">
        <v>198</v>
      </c>
      <c r="H317" s="26"/>
      <c r="I317" s="26">
        <v>0</v>
      </c>
      <c r="J317" s="26" t="s">
        <v>1004</v>
      </c>
      <c r="K317" s="26" t="s">
        <v>862</v>
      </c>
      <c r="L317" s="26">
        <v>100</v>
      </c>
      <c r="M317" s="26"/>
      <c r="N317" s="26" t="str">
        <f t="shared" si="11"/>
        <v>EffectImmune(Damage, 100)</v>
      </c>
      <c r="O317" s="26">
        <v>1</v>
      </c>
      <c r="P317" s="26">
        <v>0</v>
      </c>
      <c r="Q317" s="26"/>
      <c r="R317" s="26" t="b">
        <v>1</v>
      </c>
    </row>
    <row r="318" spans="1:18">
      <c r="A318" s="26" t="s">
        <v>1092</v>
      </c>
      <c r="B318" s="26"/>
      <c r="C318" s="26"/>
      <c r="D318" s="26">
        <v>0</v>
      </c>
      <c r="E318" s="26">
        <v>1</v>
      </c>
      <c r="F318" s="26" t="s">
        <v>197</v>
      </c>
      <c r="G318" s="26" t="s">
        <v>198</v>
      </c>
      <c r="H318" s="26"/>
      <c r="I318" s="26">
        <v>0</v>
      </c>
      <c r="J318" s="26" t="s">
        <v>1004</v>
      </c>
      <c r="K318" s="26" t="s">
        <v>862</v>
      </c>
      <c r="L318" s="26">
        <v>100</v>
      </c>
      <c r="M318" s="26"/>
      <c r="N318" s="26" t="str">
        <f t="shared" si="11"/>
        <v>EffectImmune(Damage, 100)</v>
      </c>
      <c r="O318" s="26">
        <v>1</v>
      </c>
      <c r="P318" s="26">
        <v>0</v>
      </c>
      <c r="Q318" s="26"/>
      <c r="R318" s="26" t="b">
        <v>1</v>
      </c>
    </row>
    <row r="319" spans="1:18">
      <c r="A319" s="26" t="s">
        <v>1093</v>
      </c>
      <c r="B319" s="26"/>
      <c r="C319" s="26"/>
      <c r="D319" s="26">
        <v>0</v>
      </c>
      <c r="E319" s="26">
        <v>1</v>
      </c>
      <c r="F319" s="26" t="s">
        <v>197</v>
      </c>
      <c r="G319" s="26" t="s">
        <v>198</v>
      </c>
      <c r="H319" s="26"/>
      <c r="I319" s="26">
        <v>0</v>
      </c>
      <c r="J319" s="26" t="s">
        <v>1004</v>
      </c>
      <c r="K319" s="26" t="s">
        <v>862</v>
      </c>
      <c r="L319" s="26">
        <v>100</v>
      </c>
      <c r="M319" s="26"/>
      <c r="N319" s="26" t="str">
        <f t="shared" si="11"/>
        <v>EffectImmune(Damage, 100)</v>
      </c>
      <c r="O319" s="26">
        <v>1</v>
      </c>
      <c r="P319" s="26">
        <v>0</v>
      </c>
      <c r="Q319" s="26"/>
      <c r="R319" s="26" t="b">
        <v>1</v>
      </c>
    </row>
    <row r="320" spans="1:18">
      <c r="A320" s="24" t="s">
        <v>8186</v>
      </c>
      <c r="B320" s="24"/>
      <c r="C320" s="24"/>
      <c r="D320" s="24">
        <v>0</v>
      </c>
      <c r="E320" s="24">
        <v>1</v>
      </c>
      <c r="F320" s="24" t="s">
        <v>197</v>
      </c>
      <c r="G320" s="24" t="s">
        <v>198</v>
      </c>
      <c r="H320" s="24"/>
      <c r="I320" s="24">
        <v>0</v>
      </c>
      <c r="J320" s="24" t="s">
        <v>838</v>
      </c>
      <c r="K320" s="24" t="s">
        <v>8188</v>
      </c>
      <c r="L320" s="24">
        <v>400</v>
      </c>
      <c r="M320" s="24"/>
      <c r="N320" s="24" t="str">
        <f t="shared" si="11"/>
        <v>Status(BossDamageRate, 400)</v>
      </c>
      <c r="O320" s="24">
        <v>0</v>
      </c>
      <c r="P320" s="24">
        <v>0</v>
      </c>
      <c r="Q320" s="24"/>
      <c r="R320" s="24" t="b">
        <v>0</v>
      </c>
    </row>
    <row r="321" spans="1:18">
      <c r="A321" s="23" t="s">
        <v>7956</v>
      </c>
      <c r="B321" s="23"/>
      <c r="C321" s="23"/>
      <c r="D321" s="23">
        <v>0</v>
      </c>
      <c r="E321" s="23">
        <v>1</v>
      </c>
      <c r="F321" s="23" t="s">
        <v>197</v>
      </c>
      <c r="G321" s="23" t="s">
        <v>198</v>
      </c>
      <c r="H321" s="23"/>
      <c r="I321" s="23">
        <v>0</v>
      </c>
      <c r="J321" s="23" t="s">
        <v>893</v>
      </c>
      <c r="K321" s="23" t="s">
        <v>8054</v>
      </c>
      <c r="L321" s="23"/>
      <c r="M321" s="23"/>
      <c r="N321" s="23" t="str">
        <f t="shared" si="11"/>
        <v>Active(isabella.passive.killswitch.buffeffect.skilleffect.01)</v>
      </c>
      <c r="O321" s="23">
        <v>0</v>
      </c>
      <c r="P321" s="23">
        <v>0</v>
      </c>
      <c r="Q321" s="23"/>
      <c r="R321" s="23" t="b">
        <v>1</v>
      </c>
    </row>
    <row r="322" spans="1:18">
      <c r="A322" s="24" t="s">
        <v>7959</v>
      </c>
      <c r="B322" s="24"/>
      <c r="C322" s="24"/>
      <c r="D322" s="24">
        <v>0</v>
      </c>
      <c r="E322" s="24">
        <v>1</v>
      </c>
      <c r="F322" s="24" t="s">
        <v>197</v>
      </c>
      <c r="G322" s="24" t="s">
        <v>198</v>
      </c>
      <c r="H322" s="24"/>
      <c r="I322" s="24">
        <v>0</v>
      </c>
      <c r="J322" s="24" t="s">
        <v>191</v>
      </c>
      <c r="K322" s="24" t="s">
        <v>1044</v>
      </c>
      <c r="L322" s="24" t="s">
        <v>8055</v>
      </c>
      <c r="M322" s="24"/>
      <c r="N322" s="24" t="str">
        <f t="shared" si="11"/>
        <v>Effect(OnDie, isabella.passive.killswitch.buffeffect.skilleffect.02)</v>
      </c>
      <c r="O322" s="24">
        <v>0</v>
      </c>
      <c r="P322" s="24">
        <v>900</v>
      </c>
      <c r="Q322" s="24"/>
      <c r="R322" s="24" t="b">
        <v>1</v>
      </c>
    </row>
    <row r="323" spans="1:18" s="13" customFormat="1">
      <c r="A323" s="23" t="s">
        <v>7962</v>
      </c>
      <c r="B323" s="23"/>
      <c r="C323" s="23"/>
      <c r="D323" s="23">
        <v>0</v>
      </c>
      <c r="E323" s="23">
        <v>1</v>
      </c>
      <c r="F323" s="23" t="s">
        <v>197</v>
      </c>
      <c r="G323" s="23" t="s">
        <v>198</v>
      </c>
      <c r="H323" s="23"/>
      <c r="I323" s="23">
        <v>0</v>
      </c>
      <c r="J323" s="23" t="s">
        <v>838</v>
      </c>
      <c r="K323" s="23" t="s">
        <v>867</v>
      </c>
      <c r="L323" s="23">
        <v>150</v>
      </c>
      <c r="M323" s="23"/>
      <c r="N323" s="23" t="str">
        <f t="shared" ref="N323:N384" si="12">J323&amp;"("&amp;IF(K323="","",K323)&amp;IF(L323="","",", "&amp;L323)&amp;IF(M323="","",", "&amp;M323)&amp;")"</f>
        <v>Status(CriticalRate, 150)</v>
      </c>
      <c r="O323" s="23">
        <v>0</v>
      </c>
      <c r="P323" s="23">
        <v>0</v>
      </c>
      <c r="Q323" s="23"/>
      <c r="R323" s="23" t="b">
        <v>1</v>
      </c>
    </row>
    <row r="324" spans="1:18" s="13" customFormat="1">
      <c r="A324" s="23" t="s">
        <v>7964</v>
      </c>
      <c r="B324" s="23"/>
      <c r="C324" s="23"/>
      <c r="D324" s="23">
        <v>0</v>
      </c>
      <c r="E324" s="23">
        <v>1</v>
      </c>
      <c r="F324" s="23" t="s">
        <v>197</v>
      </c>
      <c r="G324" s="23" t="s">
        <v>198</v>
      </c>
      <c r="H324" s="23"/>
      <c r="I324" s="23">
        <v>0</v>
      </c>
      <c r="J324" s="23" t="s">
        <v>838</v>
      </c>
      <c r="K324" s="23" t="s">
        <v>867</v>
      </c>
      <c r="L324" s="23">
        <v>200</v>
      </c>
      <c r="M324" s="23"/>
      <c r="N324" s="23" t="str">
        <f t="shared" si="12"/>
        <v>Status(CriticalRate, 200)</v>
      </c>
      <c r="O324" s="23">
        <v>0</v>
      </c>
      <c r="P324" s="23">
        <v>0</v>
      </c>
      <c r="Q324" s="23"/>
      <c r="R324" s="23" t="b">
        <v>1</v>
      </c>
    </row>
    <row r="325" spans="1:18" s="13" customFormat="1">
      <c r="A325" s="23" t="s">
        <v>7966</v>
      </c>
      <c r="B325" s="23"/>
      <c r="C325" s="23"/>
      <c r="D325" s="23">
        <v>0</v>
      </c>
      <c r="E325" s="23">
        <v>1</v>
      </c>
      <c r="F325" s="23" t="s">
        <v>197</v>
      </c>
      <c r="G325" s="23" t="s">
        <v>198</v>
      </c>
      <c r="H325" s="23"/>
      <c r="I325" s="23">
        <v>0</v>
      </c>
      <c r="J325" s="23" t="s">
        <v>838</v>
      </c>
      <c r="K325" s="23" t="s">
        <v>867</v>
      </c>
      <c r="L325" s="23">
        <v>250</v>
      </c>
      <c r="M325" s="23"/>
      <c r="N325" s="23" t="str">
        <f t="shared" si="12"/>
        <v>Status(CriticalRate, 250)</v>
      </c>
      <c r="O325" s="23">
        <v>0</v>
      </c>
      <c r="P325" s="23">
        <v>0</v>
      </c>
      <c r="Q325" s="23"/>
      <c r="R325" s="23" t="b">
        <v>1</v>
      </c>
    </row>
    <row r="326" spans="1:18" s="13" customFormat="1">
      <c r="A326" s="34" t="s">
        <v>7968</v>
      </c>
      <c r="B326" s="34"/>
      <c r="C326" s="34"/>
      <c r="D326" s="34">
        <v>0</v>
      </c>
      <c r="E326" s="34">
        <v>1</v>
      </c>
      <c r="F326" s="34" t="s">
        <v>197</v>
      </c>
      <c r="G326" s="34" t="s">
        <v>198</v>
      </c>
      <c r="H326" s="34"/>
      <c r="I326" s="34">
        <v>0</v>
      </c>
      <c r="J326" s="34" t="s">
        <v>838</v>
      </c>
      <c r="K326" s="34" t="s">
        <v>867</v>
      </c>
      <c r="L326" s="34">
        <v>300</v>
      </c>
      <c r="M326" s="34"/>
      <c r="N326" s="34" t="str">
        <f t="shared" si="12"/>
        <v>Status(CriticalRate, 300)</v>
      </c>
      <c r="O326" s="34">
        <v>0</v>
      </c>
      <c r="P326" s="34">
        <v>0</v>
      </c>
      <c r="Q326" s="34"/>
      <c r="R326" s="34" t="b">
        <v>1</v>
      </c>
    </row>
    <row r="327" spans="1:18" s="13" customFormat="1">
      <c r="A327" s="34" t="s">
        <v>7970</v>
      </c>
      <c r="B327" s="34"/>
      <c r="C327" s="34"/>
      <c r="D327" s="34">
        <v>0</v>
      </c>
      <c r="E327" s="34">
        <v>1</v>
      </c>
      <c r="F327" s="34" t="s">
        <v>197</v>
      </c>
      <c r="G327" s="34" t="s">
        <v>198</v>
      </c>
      <c r="H327" s="34"/>
      <c r="I327" s="34">
        <v>0</v>
      </c>
      <c r="J327" s="34" t="s">
        <v>838</v>
      </c>
      <c r="K327" s="34" t="s">
        <v>867</v>
      </c>
      <c r="L327" s="34">
        <v>200</v>
      </c>
      <c r="M327" s="34"/>
      <c r="N327" s="34" t="str">
        <f t="shared" si="12"/>
        <v>Status(CriticalRate, 200)</v>
      </c>
      <c r="O327" s="34">
        <v>0</v>
      </c>
      <c r="P327" s="34">
        <v>0</v>
      </c>
      <c r="Q327" s="34"/>
      <c r="R327" s="34" t="b">
        <v>1</v>
      </c>
    </row>
    <row r="328" spans="1:18" s="13" customFormat="1">
      <c r="A328" s="34" t="s">
        <v>7972</v>
      </c>
      <c r="B328" s="34"/>
      <c r="C328" s="34"/>
      <c r="D328" s="34">
        <v>0</v>
      </c>
      <c r="E328" s="34">
        <v>1</v>
      </c>
      <c r="F328" s="34" t="s">
        <v>197</v>
      </c>
      <c r="G328" s="34" t="s">
        <v>198</v>
      </c>
      <c r="H328" s="34"/>
      <c r="I328" s="34">
        <v>0</v>
      </c>
      <c r="J328" s="34" t="s">
        <v>838</v>
      </c>
      <c r="K328" s="34" t="s">
        <v>867</v>
      </c>
      <c r="L328" s="34">
        <v>200</v>
      </c>
      <c r="M328" s="34"/>
      <c r="N328" s="34" t="str">
        <f t="shared" si="12"/>
        <v>Status(CriticalRate, 200)</v>
      </c>
      <c r="O328" s="34">
        <v>0</v>
      </c>
      <c r="P328" s="34">
        <v>0</v>
      </c>
      <c r="Q328" s="34"/>
      <c r="R328" s="34" t="b">
        <v>1</v>
      </c>
    </row>
    <row r="329" spans="1:18" s="13" customFormat="1">
      <c r="A329" s="24" t="s">
        <v>7974</v>
      </c>
      <c r="B329" s="24"/>
      <c r="C329" s="24"/>
      <c r="D329" s="24">
        <v>0</v>
      </c>
      <c r="E329" s="24">
        <v>1</v>
      </c>
      <c r="F329" s="24" t="s">
        <v>197</v>
      </c>
      <c r="G329" s="24" t="s">
        <v>198</v>
      </c>
      <c r="H329" s="24"/>
      <c r="I329" s="24">
        <v>0</v>
      </c>
      <c r="J329" s="24" t="s">
        <v>838</v>
      </c>
      <c r="K329" s="24" t="s">
        <v>897</v>
      </c>
      <c r="L329" s="24">
        <v>-200</v>
      </c>
      <c r="M329" s="24"/>
      <c r="N329" s="24" t="str">
        <f t="shared" si="12"/>
        <v>Status(DefenseRatio, -200)</v>
      </c>
      <c r="O329" s="24">
        <v>0</v>
      </c>
      <c r="P329" s="24">
        <v>0</v>
      </c>
      <c r="Q329" s="24"/>
      <c r="R329" s="24" t="b">
        <v>1</v>
      </c>
    </row>
    <row r="330" spans="1:18" s="13" customFormat="1">
      <c r="A330" s="24" t="s">
        <v>7976</v>
      </c>
      <c r="B330" s="24"/>
      <c r="C330" s="24"/>
      <c r="D330" s="24">
        <v>0</v>
      </c>
      <c r="E330" s="24">
        <v>1</v>
      </c>
      <c r="F330" s="24" t="s">
        <v>197</v>
      </c>
      <c r="G330" s="24" t="s">
        <v>198</v>
      </c>
      <c r="H330" s="24"/>
      <c r="I330" s="24">
        <v>0</v>
      </c>
      <c r="J330" s="24" t="s">
        <v>838</v>
      </c>
      <c r="K330" s="24" t="s">
        <v>897</v>
      </c>
      <c r="L330" s="24">
        <v>-250</v>
      </c>
      <c r="M330" s="24"/>
      <c r="N330" s="24" t="str">
        <f t="shared" si="12"/>
        <v>Status(DefenseRatio, -250)</v>
      </c>
      <c r="O330" s="24">
        <v>0</v>
      </c>
      <c r="P330" s="24">
        <v>0</v>
      </c>
      <c r="Q330" s="24"/>
      <c r="R330" s="24" t="b">
        <v>1</v>
      </c>
    </row>
    <row r="331" spans="1:18" s="13" customFormat="1">
      <c r="A331" s="24" t="s">
        <v>7978</v>
      </c>
      <c r="B331" s="24"/>
      <c r="C331" s="24"/>
      <c r="D331" s="24">
        <v>0</v>
      </c>
      <c r="E331" s="24">
        <v>1</v>
      </c>
      <c r="F331" s="24" t="s">
        <v>197</v>
      </c>
      <c r="G331" s="24" t="s">
        <v>198</v>
      </c>
      <c r="H331" s="24"/>
      <c r="I331" s="24">
        <v>0</v>
      </c>
      <c r="J331" s="24" t="s">
        <v>838</v>
      </c>
      <c r="K331" s="24" t="s">
        <v>897</v>
      </c>
      <c r="L331" s="24">
        <v>-300</v>
      </c>
      <c r="M331" s="24"/>
      <c r="N331" s="24" t="str">
        <f t="shared" si="12"/>
        <v>Status(DefenseRatio, -300)</v>
      </c>
      <c r="O331" s="24">
        <v>0</v>
      </c>
      <c r="P331" s="24">
        <v>0</v>
      </c>
      <c r="Q331" s="24"/>
      <c r="R331" s="24" t="b">
        <v>1</v>
      </c>
    </row>
    <row r="332" spans="1:18" s="13" customFormat="1">
      <c r="A332" s="34" t="s">
        <v>7980</v>
      </c>
      <c r="B332" s="34"/>
      <c r="C332" s="34"/>
      <c r="D332" s="34">
        <v>0</v>
      </c>
      <c r="E332" s="34">
        <v>1</v>
      </c>
      <c r="F332" s="34" t="s">
        <v>197</v>
      </c>
      <c r="G332" s="34" t="s">
        <v>198</v>
      </c>
      <c r="H332" s="34"/>
      <c r="I332" s="34">
        <v>0</v>
      </c>
      <c r="J332" s="34" t="s">
        <v>838</v>
      </c>
      <c r="K332" s="34" t="s">
        <v>897</v>
      </c>
      <c r="L332" s="34">
        <v>-350</v>
      </c>
      <c r="M332" s="34"/>
      <c r="N332" s="34" t="str">
        <f t="shared" si="12"/>
        <v>Status(DefenseRatio, -350)</v>
      </c>
      <c r="O332" s="34">
        <v>0</v>
      </c>
      <c r="P332" s="34">
        <v>0</v>
      </c>
      <c r="Q332" s="34"/>
      <c r="R332" s="34" t="b">
        <v>1</v>
      </c>
    </row>
    <row r="333" spans="1:18" s="13" customFormat="1">
      <c r="A333" s="34" t="s">
        <v>7982</v>
      </c>
      <c r="B333" s="34"/>
      <c r="C333" s="34"/>
      <c r="D333" s="34">
        <v>0</v>
      </c>
      <c r="E333" s="34">
        <v>1</v>
      </c>
      <c r="F333" s="34" t="s">
        <v>197</v>
      </c>
      <c r="G333" s="34" t="s">
        <v>198</v>
      </c>
      <c r="H333" s="34"/>
      <c r="I333" s="34">
        <v>0</v>
      </c>
      <c r="J333" s="34" t="s">
        <v>838</v>
      </c>
      <c r="K333" s="34" t="s">
        <v>897</v>
      </c>
      <c r="L333" s="34">
        <v>-150</v>
      </c>
      <c r="M333" s="34"/>
      <c r="N333" s="34" t="str">
        <f t="shared" si="12"/>
        <v>Status(DefenseRatio, -150)</v>
      </c>
      <c r="O333" s="34">
        <v>0</v>
      </c>
      <c r="P333" s="34">
        <v>0</v>
      </c>
      <c r="Q333" s="34"/>
      <c r="R333" s="34" t="b">
        <v>1</v>
      </c>
    </row>
    <row r="334" spans="1:18" s="13" customFormat="1">
      <c r="A334" s="34" t="s">
        <v>7984</v>
      </c>
      <c r="B334" s="34"/>
      <c r="C334" s="34"/>
      <c r="D334" s="34">
        <v>0</v>
      </c>
      <c r="E334" s="34">
        <v>1</v>
      </c>
      <c r="F334" s="34" t="s">
        <v>197</v>
      </c>
      <c r="G334" s="34" t="s">
        <v>198</v>
      </c>
      <c r="H334" s="34"/>
      <c r="I334" s="34">
        <v>0</v>
      </c>
      <c r="J334" s="34" t="s">
        <v>838</v>
      </c>
      <c r="K334" s="34" t="s">
        <v>897</v>
      </c>
      <c r="L334" s="34">
        <v>-150</v>
      </c>
      <c r="M334" s="34"/>
      <c r="N334" s="34" t="str">
        <f t="shared" si="12"/>
        <v>Status(DefenseRatio, -150)</v>
      </c>
      <c r="O334" s="34">
        <v>0</v>
      </c>
      <c r="P334" s="34">
        <v>0</v>
      </c>
      <c r="Q334" s="34"/>
      <c r="R334" s="34" t="b">
        <v>1</v>
      </c>
    </row>
    <row r="335" spans="1:18" s="13" customFormat="1">
      <c r="A335" s="65" t="s">
        <v>8113</v>
      </c>
      <c r="B335" s="65" t="s">
        <v>1367</v>
      </c>
      <c r="C335" s="65" t="s">
        <v>8231</v>
      </c>
      <c r="D335" s="65">
        <v>0</v>
      </c>
      <c r="E335" s="65">
        <v>1</v>
      </c>
      <c r="F335" s="65" t="s">
        <v>197</v>
      </c>
      <c r="G335" s="65" t="s">
        <v>198</v>
      </c>
      <c r="H335" s="65"/>
      <c r="I335" s="65">
        <v>0</v>
      </c>
      <c r="J335" s="65" t="s">
        <v>191</v>
      </c>
      <c r="K335" s="65" t="s">
        <v>974</v>
      </c>
      <c r="L335" s="65" t="s">
        <v>8115</v>
      </c>
      <c r="M335" s="65"/>
      <c r="N335" s="65" t="str">
        <f t="shared" ref="N335" si="13">J335&amp;"("&amp;IF(K335="","",K335)&amp;IF(L335="","",", "&amp;L335)&amp;IF(M335="","",", "&amp;M335)&amp;")"</f>
        <v>Effect(OnCritical, isabella.active2.private.skilleffect.01)</v>
      </c>
      <c r="O335" s="65">
        <v>0</v>
      </c>
      <c r="P335" s="65">
        <v>0</v>
      </c>
      <c r="Q335" s="65"/>
      <c r="R335" s="65" t="b">
        <v>1</v>
      </c>
    </row>
    <row r="336" spans="1:18">
      <c r="A336" s="23" t="s">
        <v>8056</v>
      </c>
      <c r="B336" s="23"/>
      <c r="C336" s="23"/>
      <c r="D336" s="23">
        <v>0</v>
      </c>
      <c r="E336" s="23">
        <v>1</v>
      </c>
      <c r="F336" s="23" t="s">
        <v>197</v>
      </c>
      <c r="G336" s="23" t="s">
        <v>198</v>
      </c>
      <c r="H336" s="23"/>
      <c r="I336" s="23">
        <v>0</v>
      </c>
      <c r="J336" s="23" t="s">
        <v>838</v>
      </c>
      <c r="K336" s="23" t="s">
        <v>8230</v>
      </c>
      <c r="L336" s="23">
        <v>200</v>
      </c>
      <c r="M336" s="23"/>
      <c r="N336" s="23" t="str">
        <f t="shared" si="12"/>
        <v>Status(CriticalDamageRate, 200)</v>
      </c>
      <c r="O336" s="23">
        <v>0</v>
      </c>
      <c r="P336" s="23">
        <v>0</v>
      </c>
      <c r="Q336" s="23"/>
      <c r="R336" s="23" t="b">
        <v>1</v>
      </c>
    </row>
    <row r="337" spans="1:18">
      <c r="A337" s="23" t="s">
        <v>8057</v>
      </c>
      <c r="B337" s="23"/>
      <c r="C337" s="23"/>
      <c r="D337" s="23">
        <v>0</v>
      </c>
      <c r="E337" s="23">
        <v>1</v>
      </c>
      <c r="F337" s="23" t="s">
        <v>197</v>
      </c>
      <c r="G337" s="23" t="s">
        <v>198</v>
      </c>
      <c r="H337" s="23"/>
      <c r="I337" s="23">
        <v>0</v>
      </c>
      <c r="J337" s="23" t="s">
        <v>838</v>
      </c>
      <c r="K337" s="23" t="s">
        <v>926</v>
      </c>
      <c r="L337" s="23">
        <v>250</v>
      </c>
      <c r="M337" s="23"/>
      <c r="N337" s="23" t="str">
        <f t="shared" si="12"/>
        <v>Status(CriticalDamageRate, 250)</v>
      </c>
      <c r="O337" s="23">
        <v>0</v>
      </c>
      <c r="P337" s="23">
        <v>0</v>
      </c>
      <c r="Q337" s="23"/>
      <c r="R337" s="23" t="b">
        <v>1</v>
      </c>
    </row>
    <row r="338" spans="1:18">
      <c r="A338" s="23" t="s">
        <v>8058</v>
      </c>
      <c r="B338" s="23"/>
      <c r="C338" s="23"/>
      <c r="D338" s="23">
        <v>0</v>
      </c>
      <c r="E338" s="23">
        <v>1</v>
      </c>
      <c r="F338" s="23" t="s">
        <v>197</v>
      </c>
      <c r="G338" s="23" t="s">
        <v>198</v>
      </c>
      <c r="H338" s="23"/>
      <c r="I338" s="23">
        <v>0</v>
      </c>
      <c r="J338" s="23" t="s">
        <v>838</v>
      </c>
      <c r="K338" s="23" t="s">
        <v>926</v>
      </c>
      <c r="L338" s="23">
        <v>300</v>
      </c>
      <c r="M338" s="23"/>
      <c r="N338" s="23" t="str">
        <f t="shared" si="12"/>
        <v>Status(CriticalDamageRate, 300)</v>
      </c>
      <c r="O338" s="23">
        <v>0</v>
      </c>
      <c r="P338" s="23">
        <v>0</v>
      </c>
      <c r="Q338" s="23"/>
      <c r="R338" s="23" t="b">
        <v>1</v>
      </c>
    </row>
    <row r="339" spans="1:18">
      <c r="A339" s="34" t="s">
        <v>8059</v>
      </c>
      <c r="B339" s="34"/>
      <c r="C339" s="34"/>
      <c r="D339" s="34">
        <v>0</v>
      </c>
      <c r="E339" s="34">
        <v>1</v>
      </c>
      <c r="F339" s="34" t="s">
        <v>197</v>
      </c>
      <c r="G339" s="34" t="s">
        <v>198</v>
      </c>
      <c r="H339" s="34"/>
      <c r="I339" s="34">
        <v>0</v>
      </c>
      <c r="J339" s="34" t="s">
        <v>838</v>
      </c>
      <c r="K339" s="34" t="s">
        <v>926</v>
      </c>
      <c r="L339" s="34">
        <v>350</v>
      </c>
      <c r="M339" s="34"/>
      <c r="N339" s="34" t="str">
        <f t="shared" si="12"/>
        <v>Status(CriticalDamageRate, 350)</v>
      </c>
      <c r="O339" s="34">
        <v>0</v>
      </c>
      <c r="P339" s="34">
        <v>0</v>
      </c>
      <c r="Q339" s="34"/>
      <c r="R339" s="34" t="b">
        <v>1</v>
      </c>
    </row>
    <row r="340" spans="1:18">
      <c r="A340" s="34" t="s">
        <v>8060</v>
      </c>
      <c r="B340" s="34"/>
      <c r="C340" s="34"/>
      <c r="D340" s="34">
        <v>0</v>
      </c>
      <c r="E340" s="34">
        <v>1</v>
      </c>
      <c r="F340" s="34" t="s">
        <v>197</v>
      </c>
      <c r="G340" s="34" t="s">
        <v>198</v>
      </c>
      <c r="H340" s="34"/>
      <c r="I340" s="34">
        <v>0</v>
      </c>
      <c r="J340" s="34" t="s">
        <v>838</v>
      </c>
      <c r="K340" s="34" t="s">
        <v>926</v>
      </c>
      <c r="L340" s="34">
        <v>400</v>
      </c>
      <c r="M340" s="34"/>
      <c r="N340" s="34" t="str">
        <f t="shared" si="12"/>
        <v>Status(CriticalDamageRate, 400)</v>
      </c>
      <c r="O340" s="34">
        <v>0</v>
      </c>
      <c r="P340" s="34">
        <v>0</v>
      </c>
      <c r="Q340" s="34"/>
      <c r="R340" s="34" t="b">
        <v>1</v>
      </c>
    </row>
    <row r="341" spans="1:18" s="13" customFormat="1">
      <c r="A341" s="34" t="s">
        <v>8061</v>
      </c>
      <c r="B341" s="34"/>
      <c r="C341" s="34"/>
      <c r="D341" s="34">
        <v>0</v>
      </c>
      <c r="E341" s="34">
        <v>1</v>
      </c>
      <c r="F341" s="34" t="s">
        <v>197</v>
      </c>
      <c r="G341" s="34" t="s">
        <v>198</v>
      </c>
      <c r="H341" s="34"/>
      <c r="I341" s="34">
        <v>0</v>
      </c>
      <c r="J341" s="34" t="s">
        <v>838</v>
      </c>
      <c r="K341" s="34" t="s">
        <v>926</v>
      </c>
      <c r="L341" s="34">
        <v>400</v>
      </c>
      <c r="M341" s="34"/>
      <c r="N341" s="34" t="str">
        <f t="shared" si="12"/>
        <v>Status(CriticalDamageRate, 400)</v>
      </c>
      <c r="O341" s="34">
        <v>0</v>
      </c>
      <c r="P341" s="34">
        <v>0</v>
      </c>
      <c r="Q341" s="34"/>
      <c r="R341" s="34" t="b">
        <v>1</v>
      </c>
    </row>
    <row r="342" spans="1:18" s="13" customFormat="1">
      <c r="A342" s="23" t="s">
        <v>8062</v>
      </c>
      <c r="B342" s="23"/>
      <c r="C342" s="23"/>
      <c r="D342" s="23">
        <v>0</v>
      </c>
      <c r="E342" s="23">
        <v>1</v>
      </c>
      <c r="F342" s="23" t="s">
        <v>197</v>
      </c>
      <c r="G342" s="23" t="s">
        <v>198</v>
      </c>
      <c r="H342" s="23"/>
      <c r="I342" s="23">
        <v>0</v>
      </c>
      <c r="J342" s="23" t="s">
        <v>191</v>
      </c>
      <c r="K342" s="23" t="s">
        <v>974</v>
      </c>
      <c r="L342" s="23" t="s">
        <v>8063</v>
      </c>
      <c r="M342" s="23"/>
      <c r="N342" s="23" t="str">
        <f t="shared" si="12"/>
        <v>Effect(OnCritical, isabella.passive.critical.event.skilleffect.01)</v>
      </c>
      <c r="O342" s="23">
        <v>0</v>
      </c>
      <c r="P342" s="23">
        <v>0</v>
      </c>
      <c r="Q342" s="23"/>
      <c r="R342" s="23" t="b">
        <v>1</v>
      </c>
    </row>
    <row r="343" spans="1:18" s="13" customFormat="1">
      <c r="A343" s="23" t="s">
        <v>8064</v>
      </c>
      <c r="B343" s="23"/>
      <c r="C343" s="23"/>
      <c r="D343" s="23">
        <v>0</v>
      </c>
      <c r="E343" s="23">
        <v>1</v>
      </c>
      <c r="F343" s="23" t="s">
        <v>197</v>
      </c>
      <c r="G343" s="23" t="s">
        <v>198</v>
      </c>
      <c r="H343" s="23"/>
      <c r="I343" s="23">
        <v>0</v>
      </c>
      <c r="J343" s="23" t="s">
        <v>191</v>
      </c>
      <c r="K343" s="23" t="s">
        <v>974</v>
      </c>
      <c r="L343" s="23" t="s">
        <v>8065</v>
      </c>
      <c r="M343" s="23"/>
      <c r="N343" s="23" t="str">
        <f t="shared" si="12"/>
        <v>Effect(OnCritical, isabella.passive.critical.event.skilleffect.02)</v>
      </c>
      <c r="O343" s="23">
        <v>0</v>
      </c>
      <c r="P343" s="23">
        <v>0</v>
      </c>
      <c r="Q343" s="23"/>
      <c r="R343" s="23" t="b">
        <v>1</v>
      </c>
    </row>
    <row r="344" spans="1:18" s="13" customFormat="1">
      <c r="A344" s="23" t="s">
        <v>8066</v>
      </c>
      <c r="B344" s="23"/>
      <c r="C344" s="23"/>
      <c r="D344" s="23">
        <v>0</v>
      </c>
      <c r="E344" s="23">
        <v>1</v>
      </c>
      <c r="F344" s="23" t="s">
        <v>197</v>
      </c>
      <c r="G344" s="23" t="s">
        <v>198</v>
      </c>
      <c r="H344" s="23"/>
      <c r="I344" s="23">
        <v>0</v>
      </c>
      <c r="J344" s="23" t="s">
        <v>191</v>
      </c>
      <c r="K344" s="23" t="s">
        <v>974</v>
      </c>
      <c r="L344" s="23" t="s">
        <v>8067</v>
      </c>
      <c r="M344" s="23"/>
      <c r="N344" s="23" t="str">
        <f t="shared" si="12"/>
        <v>Effect(OnCritical, isabella.passive.critical.event.skilleffect.03)</v>
      </c>
      <c r="O344" s="23">
        <v>0</v>
      </c>
      <c r="P344" s="23">
        <v>0</v>
      </c>
      <c r="Q344" s="23"/>
      <c r="R344" s="23" t="b">
        <v>1</v>
      </c>
    </row>
    <row r="345" spans="1:18" s="13" customFormat="1">
      <c r="A345" s="34" t="s">
        <v>8068</v>
      </c>
      <c r="B345" s="34"/>
      <c r="C345" s="34"/>
      <c r="D345" s="34">
        <v>0</v>
      </c>
      <c r="E345" s="34">
        <v>1</v>
      </c>
      <c r="F345" s="34" t="s">
        <v>197</v>
      </c>
      <c r="G345" s="34" t="s">
        <v>198</v>
      </c>
      <c r="H345" s="34"/>
      <c r="I345" s="34">
        <v>0</v>
      </c>
      <c r="J345" s="34" t="s">
        <v>191</v>
      </c>
      <c r="K345" s="34" t="s">
        <v>974</v>
      </c>
      <c r="L345" s="34" t="s">
        <v>8069</v>
      </c>
      <c r="M345" s="34"/>
      <c r="N345" s="34" t="str">
        <f t="shared" si="12"/>
        <v>Effect(OnCritical, isabella.passive.critical.event.skilleffect.04)</v>
      </c>
      <c r="O345" s="34">
        <v>0</v>
      </c>
      <c r="P345" s="34">
        <v>0</v>
      </c>
      <c r="Q345" s="34"/>
      <c r="R345" s="34" t="b">
        <v>1</v>
      </c>
    </row>
    <row r="346" spans="1:18" s="13" customFormat="1">
      <c r="A346" s="34" t="s">
        <v>8070</v>
      </c>
      <c r="B346" s="34"/>
      <c r="C346" s="34"/>
      <c r="D346" s="34">
        <v>0</v>
      </c>
      <c r="E346" s="34">
        <v>1</v>
      </c>
      <c r="F346" s="34" t="s">
        <v>197</v>
      </c>
      <c r="G346" s="34" t="s">
        <v>198</v>
      </c>
      <c r="H346" s="34"/>
      <c r="I346" s="34">
        <v>0</v>
      </c>
      <c r="J346" s="34" t="s">
        <v>191</v>
      </c>
      <c r="K346" s="34" t="s">
        <v>974</v>
      </c>
      <c r="L346" s="34" t="s">
        <v>8071</v>
      </c>
      <c r="M346" s="34"/>
      <c r="N346" s="34" t="str">
        <f t="shared" si="12"/>
        <v>Effect(OnCritical, isabella.passive.critical.event.skilleffect.05)</v>
      </c>
      <c r="O346" s="34">
        <v>0</v>
      </c>
      <c r="P346" s="34">
        <v>0</v>
      </c>
      <c r="Q346" s="34"/>
      <c r="R346" s="34" t="b">
        <v>1</v>
      </c>
    </row>
    <row r="347" spans="1:18" s="13" customFormat="1">
      <c r="A347" s="34" t="s">
        <v>8072</v>
      </c>
      <c r="B347" s="34"/>
      <c r="C347" s="34"/>
      <c r="D347" s="34">
        <v>0</v>
      </c>
      <c r="E347" s="34">
        <v>1</v>
      </c>
      <c r="F347" s="34" t="s">
        <v>197</v>
      </c>
      <c r="G347" s="34" t="s">
        <v>198</v>
      </c>
      <c r="H347" s="34"/>
      <c r="I347" s="34">
        <v>0</v>
      </c>
      <c r="J347" s="34" t="s">
        <v>191</v>
      </c>
      <c r="K347" s="34" t="s">
        <v>974</v>
      </c>
      <c r="L347" s="34" t="s">
        <v>8073</v>
      </c>
      <c r="M347" s="34"/>
      <c r="N347" s="34" t="str">
        <f t="shared" si="12"/>
        <v>Effect(OnCritical, isabella.passive.critical.event.skilleffect.06)</v>
      </c>
      <c r="O347" s="34">
        <v>0</v>
      </c>
      <c r="P347" s="34">
        <v>0</v>
      </c>
      <c r="Q347" s="34"/>
      <c r="R347" s="34" t="b">
        <v>1</v>
      </c>
    </row>
    <row r="348" spans="1:18" s="13" customFormat="1">
      <c r="A348" s="24" t="s">
        <v>7992</v>
      </c>
      <c r="B348" s="24"/>
      <c r="C348" s="24"/>
      <c r="D348" s="24">
        <v>0</v>
      </c>
      <c r="E348" s="24">
        <v>1</v>
      </c>
      <c r="F348" s="24" t="s">
        <v>197</v>
      </c>
      <c r="G348" s="24" t="s">
        <v>198</v>
      </c>
      <c r="H348" s="24"/>
      <c r="I348" s="24">
        <v>0</v>
      </c>
      <c r="J348" s="24" t="s">
        <v>838</v>
      </c>
      <c r="K348" s="24" t="s">
        <v>7954</v>
      </c>
      <c r="L348" s="24">
        <v>100</v>
      </c>
      <c r="M348" s="24"/>
      <c r="N348" s="24" t="str">
        <f t="shared" si="12"/>
        <v>Status(AttackRatio, 100)</v>
      </c>
      <c r="O348" s="24">
        <v>0</v>
      </c>
      <c r="P348" s="24">
        <v>0</v>
      </c>
      <c r="Q348" s="24"/>
      <c r="R348" s="24" t="b">
        <v>1</v>
      </c>
    </row>
    <row r="349" spans="1:18" s="13" customFormat="1">
      <c r="A349" s="24" t="s">
        <v>7994</v>
      </c>
      <c r="B349" s="24"/>
      <c r="C349" s="24"/>
      <c r="D349" s="24">
        <v>0</v>
      </c>
      <c r="E349" s="24">
        <v>1</v>
      </c>
      <c r="F349" s="24" t="s">
        <v>197</v>
      </c>
      <c r="G349" s="24" t="s">
        <v>198</v>
      </c>
      <c r="H349" s="24"/>
      <c r="I349" s="24">
        <v>0</v>
      </c>
      <c r="J349" s="24" t="s">
        <v>838</v>
      </c>
      <c r="K349" s="24" t="s">
        <v>908</v>
      </c>
      <c r="L349" s="24">
        <v>110</v>
      </c>
      <c r="M349" s="24"/>
      <c r="N349" s="24" t="str">
        <f t="shared" si="12"/>
        <v>Status(AttackRatio, 110)</v>
      </c>
      <c r="O349" s="24">
        <v>0</v>
      </c>
      <c r="P349" s="24">
        <v>0</v>
      </c>
      <c r="Q349" s="24"/>
      <c r="R349" s="24" t="b">
        <v>1</v>
      </c>
    </row>
    <row r="350" spans="1:18" s="13" customFormat="1">
      <c r="A350" s="24" t="s">
        <v>7996</v>
      </c>
      <c r="B350" s="24"/>
      <c r="C350" s="24"/>
      <c r="D350" s="24">
        <v>0</v>
      </c>
      <c r="E350" s="24">
        <v>1</v>
      </c>
      <c r="F350" s="24" t="s">
        <v>197</v>
      </c>
      <c r="G350" s="24" t="s">
        <v>198</v>
      </c>
      <c r="H350" s="24"/>
      <c r="I350" s="24">
        <v>0</v>
      </c>
      <c r="J350" s="24" t="s">
        <v>838</v>
      </c>
      <c r="K350" s="24" t="s">
        <v>908</v>
      </c>
      <c r="L350" s="24">
        <v>120</v>
      </c>
      <c r="M350" s="24"/>
      <c r="N350" s="24" t="str">
        <f t="shared" si="12"/>
        <v>Status(AttackRatio, 120)</v>
      </c>
      <c r="O350" s="24">
        <v>0</v>
      </c>
      <c r="P350" s="24">
        <v>0</v>
      </c>
      <c r="Q350" s="24"/>
      <c r="R350" s="24" t="b">
        <v>1</v>
      </c>
    </row>
    <row r="351" spans="1:18" s="13" customFormat="1">
      <c r="A351" s="34" t="s">
        <v>7998</v>
      </c>
      <c r="B351" s="34"/>
      <c r="C351" s="34"/>
      <c r="D351" s="34">
        <v>0</v>
      </c>
      <c r="E351" s="34">
        <v>1</v>
      </c>
      <c r="F351" s="34" t="s">
        <v>197</v>
      </c>
      <c r="G351" s="34" t="s">
        <v>198</v>
      </c>
      <c r="H351" s="34"/>
      <c r="I351" s="34">
        <v>0</v>
      </c>
      <c r="J351" s="34" t="s">
        <v>838</v>
      </c>
      <c r="K351" s="34" t="s">
        <v>908</v>
      </c>
      <c r="L351" s="34">
        <v>130</v>
      </c>
      <c r="M351" s="34"/>
      <c r="N351" s="34" t="str">
        <f t="shared" si="12"/>
        <v>Status(AttackRatio, 130)</v>
      </c>
      <c r="O351" s="34">
        <v>0</v>
      </c>
      <c r="P351" s="34">
        <v>0</v>
      </c>
      <c r="Q351" s="34"/>
      <c r="R351" s="34" t="b">
        <v>1</v>
      </c>
    </row>
    <row r="352" spans="1:18" s="13" customFormat="1">
      <c r="A352" s="34" t="s">
        <v>8000</v>
      </c>
      <c r="B352" s="34"/>
      <c r="C352" s="34"/>
      <c r="D352" s="34">
        <v>0</v>
      </c>
      <c r="E352" s="34">
        <v>1</v>
      </c>
      <c r="F352" s="34" t="s">
        <v>197</v>
      </c>
      <c r="G352" s="34" t="s">
        <v>198</v>
      </c>
      <c r="H352" s="34"/>
      <c r="I352" s="34">
        <v>0</v>
      </c>
      <c r="J352" s="34" t="s">
        <v>838</v>
      </c>
      <c r="K352" s="34" t="s">
        <v>908</v>
      </c>
      <c r="L352" s="34">
        <v>150</v>
      </c>
      <c r="M352" s="34"/>
      <c r="N352" s="34" t="str">
        <f t="shared" si="12"/>
        <v>Status(AttackRatio, 150)</v>
      </c>
      <c r="O352" s="34">
        <v>0</v>
      </c>
      <c r="P352" s="34">
        <v>0</v>
      </c>
      <c r="Q352" s="34"/>
      <c r="R352" s="34" t="b">
        <v>1</v>
      </c>
    </row>
    <row r="353" spans="1:18" s="13" customFormat="1">
      <c r="A353" s="34" t="s">
        <v>8002</v>
      </c>
      <c r="B353" s="34"/>
      <c r="C353" s="34"/>
      <c r="D353" s="34">
        <v>0</v>
      </c>
      <c r="E353" s="34">
        <v>1</v>
      </c>
      <c r="F353" s="34" t="s">
        <v>197</v>
      </c>
      <c r="G353" s="34" t="s">
        <v>198</v>
      </c>
      <c r="H353" s="34"/>
      <c r="I353" s="34">
        <v>0</v>
      </c>
      <c r="J353" s="34" t="s">
        <v>838</v>
      </c>
      <c r="K353" s="34" t="s">
        <v>908</v>
      </c>
      <c r="L353" s="34">
        <v>100</v>
      </c>
      <c r="M353" s="34"/>
      <c r="N353" s="34" t="str">
        <f t="shared" si="12"/>
        <v>Status(AttackRatio, 100)</v>
      </c>
      <c r="O353" s="34">
        <v>0</v>
      </c>
      <c r="P353" s="34">
        <v>0</v>
      </c>
      <c r="Q353" s="34"/>
      <c r="R353" s="34" t="b">
        <v>1</v>
      </c>
    </row>
    <row r="354" spans="1:18" s="13" customFormat="1">
      <c r="A354" s="65" t="s">
        <v>8108</v>
      </c>
      <c r="B354" s="65"/>
      <c r="C354" s="65"/>
      <c r="D354" s="65">
        <v>0</v>
      </c>
      <c r="E354" s="65">
        <v>1</v>
      </c>
      <c r="F354" s="65" t="s">
        <v>197</v>
      </c>
      <c r="G354" s="65" t="s">
        <v>198</v>
      </c>
      <c r="H354" s="65"/>
      <c r="I354" s="65">
        <v>0</v>
      </c>
      <c r="J354" s="65" t="s">
        <v>838</v>
      </c>
      <c r="K354" s="65" t="s">
        <v>4557</v>
      </c>
      <c r="L354" s="65">
        <v>200</v>
      </c>
      <c r="M354" s="65"/>
      <c r="N354" s="65" t="str">
        <f t="shared" ref="N354" si="14">J354&amp;"("&amp;IF(K354="","",K354)&amp;IF(L354="","",", "&amp;L354)&amp;IF(M354="","",", "&amp;M354)&amp;")"</f>
        <v>Status(BossDamageRate, 200)</v>
      </c>
      <c r="O354" s="65">
        <v>0</v>
      </c>
      <c r="P354" s="65">
        <v>0</v>
      </c>
      <c r="Q354" s="65"/>
      <c r="R354" s="65" t="b">
        <v>1</v>
      </c>
    </row>
    <row r="355" spans="1:18" s="13" customFormat="1">
      <c r="A355" s="65" t="s">
        <v>8003</v>
      </c>
      <c r="B355" s="65"/>
      <c r="C355" s="65"/>
      <c r="D355" s="65">
        <v>0</v>
      </c>
      <c r="E355" s="65">
        <v>1</v>
      </c>
      <c r="F355" s="65" t="s">
        <v>197</v>
      </c>
      <c r="G355" s="65" t="s">
        <v>198</v>
      </c>
      <c r="H355" s="65"/>
      <c r="I355" s="65">
        <v>0</v>
      </c>
      <c r="J355" s="65" t="s">
        <v>838</v>
      </c>
      <c r="K355" s="65" t="s">
        <v>4557</v>
      </c>
      <c r="L355" s="65">
        <v>200</v>
      </c>
      <c r="M355" s="65"/>
      <c r="N355" s="65" t="str">
        <f t="shared" si="12"/>
        <v>Status(BossDamageRate, 200)</v>
      </c>
      <c r="O355" s="65">
        <v>0</v>
      </c>
      <c r="P355" s="65">
        <v>0</v>
      </c>
      <c r="Q355" s="65"/>
      <c r="R355" s="65" t="b">
        <v>1</v>
      </c>
    </row>
    <row r="356" spans="1:18">
      <c r="A356" s="23" t="s">
        <v>8074</v>
      </c>
      <c r="B356" s="23" t="s">
        <v>1367</v>
      </c>
      <c r="C356" s="23" t="s">
        <v>8041</v>
      </c>
      <c r="D356" s="23">
        <v>0</v>
      </c>
      <c r="E356" s="23">
        <v>1</v>
      </c>
      <c r="F356" s="23" t="s">
        <v>197</v>
      </c>
      <c r="G356" s="23" t="s">
        <v>198</v>
      </c>
      <c r="H356" s="23"/>
      <c r="I356" s="23">
        <v>0</v>
      </c>
      <c r="J356" s="23" t="s">
        <v>838</v>
      </c>
      <c r="K356" s="23" t="s">
        <v>999</v>
      </c>
      <c r="L356" s="23">
        <v>400</v>
      </c>
      <c r="M356" s="23"/>
      <c r="N356" s="23" t="str">
        <f t="shared" si="12"/>
        <v>Status(UltimateDamageRate, 400)</v>
      </c>
      <c r="O356" s="23">
        <v>0</v>
      </c>
      <c r="P356" s="23">
        <v>0</v>
      </c>
      <c r="Q356" s="23"/>
      <c r="R356" s="23" t="b">
        <v>1</v>
      </c>
    </row>
    <row r="357" spans="1:18">
      <c r="A357" s="23" t="s">
        <v>8075</v>
      </c>
      <c r="B357" s="23" t="s">
        <v>1367</v>
      </c>
      <c r="C357" s="23" t="s">
        <v>8041</v>
      </c>
      <c r="D357" s="23">
        <v>0</v>
      </c>
      <c r="E357" s="23">
        <v>1</v>
      </c>
      <c r="F357" s="23" t="s">
        <v>197</v>
      </c>
      <c r="G357" s="23" t="s">
        <v>198</v>
      </c>
      <c r="H357" s="23"/>
      <c r="I357" s="23">
        <v>0</v>
      </c>
      <c r="J357" s="23" t="s">
        <v>838</v>
      </c>
      <c r="K357" s="23" t="s">
        <v>999</v>
      </c>
      <c r="L357" s="23">
        <v>450</v>
      </c>
      <c r="M357" s="23"/>
      <c r="N357" s="23" t="str">
        <f t="shared" si="12"/>
        <v>Status(UltimateDamageRate, 450)</v>
      </c>
      <c r="O357" s="23">
        <v>0</v>
      </c>
      <c r="P357" s="23">
        <v>0</v>
      </c>
      <c r="Q357" s="23"/>
      <c r="R357" s="23" t="b">
        <v>1</v>
      </c>
    </row>
    <row r="358" spans="1:18">
      <c r="A358" s="23" t="s">
        <v>8076</v>
      </c>
      <c r="B358" s="23" t="s">
        <v>1367</v>
      </c>
      <c r="C358" s="23" t="s">
        <v>8041</v>
      </c>
      <c r="D358" s="23">
        <v>0</v>
      </c>
      <c r="E358" s="23">
        <v>1</v>
      </c>
      <c r="F358" s="23" t="s">
        <v>197</v>
      </c>
      <c r="G358" s="23" t="s">
        <v>198</v>
      </c>
      <c r="H358" s="23"/>
      <c r="I358" s="23">
        <v>0</v>
      </c>
      <c r="J358" s="23" t="s">
        <v>838</v>
      </c>
      <c r="K358" s="23" t="s">
        <v>999</v>
      </c>
      <c r="L358" s="23">
        <v>500</v>
      </c>
      <c r="M358" s="23"/>
      <c r="N358" s="23" t="str">
        <f t="shared" si="12"/>
        <v>Status(UltimateDamageRate, 500)</v>
      </c>
      <c r="O358" s="23">
        <v>0</v>
      </c>
      <c r="P358" s="23">
        <v>0</v>
      </c>
      <c r="Q358" s="23"/>
      <c r="R358" s="23" t="b">
        <v>1</v>
      </c>
    </row>
    <row r="359" spans="1:18">
      <c r="A359" s="34" t="s">
        <v>8077</v>
      </c>
      <c r="B359" s="34" t="s">
        <v>1367</v>
      </c>
      <c r="C359" s="34" t="s">
        <v>8041</v>
      </c>
      <c r="D359" s="34">
        <v>0</v>
      </c>
      <c r="E359" s="34">
        <v>1</v>
      </c>
      <c r="F359" s="34" t="s">
        <v>197</v>
      </c>
      <c r="G359" s="34" t="s">
        <v>198</v>
      </c>
      <c r="H359" s="34"/>
      <c r="I359" s="34">
        <v>0</v>
      </c>
      <c r="J359" s="34" t="s">
        <v>838</v>
      </c>
      <c r="K359" s="34" t="s">
        <v>999</v>
      </c>
      <c r="L359" s="34">
        <v>550</v>
      </c>
      <c r="M359" s="34"/>
      <c r="N359" s="34" t="str">
        <f t="shared" si="12"/>
        <v>Status(UltimateDamageRate, 550)</v>
      </c>
      <c r="O359" s="34">
        <v>0</v>
      </c>
      <c r="P359" s="34">
        <v>0</v>
      </c>
      <c r="Q359" s="34"/>
      <c r="R359" s="34" t="b">
        <v>1</v>
      </c>
    </row>
    <row r="360" spans="1:18">
      <c r="A360" s="34" t="s">
        <v>8078</v>
      </c>
      <c r="B360" s="34" t="s">
        <v>1367</v>
      </c>
      <c r="C360" s="34" t="s">
        <v>8041</v>
      </c>
      <c r="D360" s="34">
        <v>0</v>
      </c>
      <c r="E360" s="34">
        <v>1</v>
      </c>
      <c r="F360" s="34" t="s">
        <v>197</v>
      </c>
      <c r="G360" s="34" t="s">
        <v>198</v>
      </c>
      <c r="H360" s="34"/>
      <c r="I360" s="34">
        <v>0</v>
      </c>
      <c r="J360" s="34" t="s">
        <v>838</v>
      </c>
      <c r="K360" s="34" t="s">
        <v>999</v>
      </c>
      <c r="L360" s="34">
        <v>550</v>
      </c>
      <c r="M360" s="34"/>
      <c r="N360" s="34" t="str">
        <f t="shared" si="12"/>
        <v>Status(UltimateDamageRate, 550)</v>
      </c>
      <c r="O360" s="34">
        <v>0</v>
      </c>
      <c r="P360" s="34">
        <v>0</v>
      </c>
      <c r="Q360" s="34"/>
      <c r="R360" s="34" t="b">
        <v>1</v>
      </c>
    </row>
    <row r="361" spans="1:18" s="13" customFormat="1">
      <c r="A361" s="34" t="s">
        <v>8079</v>
      </c>
      <c r="B361" s="34" t="s">
        <v>1367</v>
      </c>
      <c r="C361" s="34" t="s">
        <v>8041</v>
      </c>
      <c r="D361" s="34">
        <v>0</v>
      </c>
      <c r="E361" s="34">
        <v>1</v>
      </c>
      <c r="F361" s="34" t="s">
        <v>197</v>
      </c>
      <c r="G361" s="34" t="s">
        <v>198</v>
      </c>
      <c r="H361" s="34"/>
      <c r="I361" s="34">
        <v>0</v>
      </c>
      <c r="J361" s="34" t="s">
        <v>838</v>
      </c>
      <c r="K361" s="34" t="s">
        <v>999</v>
      </c>
      <c r="L361" s="34">
        <v>550</v>
      </c>
      <c r="M361" s="34"/>
      <c r="N361" s="34" t="str">
        <f t="shared" si="12"/>
        <v>Status(UltimateDamageRate, 550)</v>
      </c>
      <c r="O361" s="34">
        <v>0</v>
      </c>
      <c r="P361" s="34">
        <v>0</v>
      </c>
      <c r="Q361" s="34"/>
      <c r="R361" s="34" t="b">
        <v>1</v>
      </c>
    </row>
    <row r="362" spans="1:18">
      <c r="A362" s="24" t="s">
        <v>8080</v>
      </c>
      <c r="B362" s="24" t="s">
        <v>1367</v>
      </c>
      <c r="C362" s="24" t="s">
        <v>8041</v>
      </c>
      <c r="D362" s="24">
        <v>0</v>
      </c>
      <c r="E362" s="24">
        <v>1</v>
      </c>
      <c r="F362" s="24" t="s">
        <v>197</v>
      </c>
      <c r="G362" s="24" t="s">
        <v>198</v>
      </c>
      <c r="H362" s="24"/>
      <c r="I362" s="24">
        <v>0</v>
      </c>
      <c r="J362" s="24" t="s">
        <v>838</v>
      </c>
      <c r="K362" s="24" t="s">
        <v>925</v>
      </c>
      <c r="L362" s="24">
        <v>200</v>
      </c>
      <c r="M362" s="24"/>
      <c r="N362" s="24" t="str">
        <f t="shared" si="12"/>
        <v>Status(AddEnergyRate, 200)</v>
      </c>
      <c r="O362" s="24">
        <v>0</v>
      </c>
      <c r="P362" s="24">
        <v>0</v>
      </c>
      <c r="Q362" s="24"/>
      <c r="R362" s="24" t="b">
        <v>1</v>
      </c>
    </row>
    <row r="363" spans="1:18">
      <c r="A363" s="24" t="s">
        <v>8081</v>
      </c>
      <c r="B363" s="24" t="s">
        <v>1367</v>
      </c>
      <c r="C363" s="24" t="s">
        <v>8041</v>
      </c>
      <c r="D363" s="24">
        <v>0</v>
      </c>
      <c r="E363" s="24">
        <v>1</v>
      </c>
      <c r="F363" s="24" t="s">
        <v>197</v>
      </c>
      <c r="G363" s="24" t="s">
        <v>198</v>
      </c>
      <c r="H363" s="24"/>
      <c r="I363" s="24">
        <v>0</v>
      </c>
      <c r="J363" s="24" t="s">
        <v>838</v>
      </c>
      <c r="K363" s="24" t="s">
        <v>925</v>
      </c>
      <c r="L363" s="24">
        <v>250</v>
      </c>
      <c r="M363" s="24"/>
      <c r="N363" s="24" t="str">
        <f t="shared" si="12"/>
        <v>Status(AddEnergyRate, 250)</v>
      </c>
      <c r="O363" s="24">
        <v>0</v>
      </c>
      <c r="P363" s="24">
        <v>0</v>
      </c>
      <c r="Q363" s="24"/>
      <c r="R363" s="24" t="b">
        <v>1</v>
      </c>
    </row>
    <row r="364" spans="1:18">
      <c r="A364" s="24" t="s">
        <v>8082</v>
      </c>
      <c r="B364" s="24" t="s">
        <v>1367</v>
      </c>
      <c r="C364" s="24" t="s">
        <v>8041</v>
      </c>
      <c r="D364" s="24">
        <v>0</v>
      </c>
      <c r="E364" s="24">
        <v>1</v>
      </c>
      <c r="F364" s="24" t="s">
        <v>197</v>
      </c>
      <c r="G364" s="24" t="s">
        <v>198</v>
      </c>
      <c r="H364" s="24"/>
      <c r="I364" s="24">
        <v>0</v>
      </c>
      <c r="J364" s="24" t="s">
        <v>838</v>
      </c>
      <c r="K364" s="24" t="s">
        <v>925</v>
      </c>
      <c r="L364" s="24">
        <v>300</v>
      </c>
      <c r="M364" s="24"/>
      <c r="N364" s="24" t="str">
        <f t="shared" si="12"/>
        <v>Status(AddEnergyRate, 300)</v>
      </c>
      <c r="O364" s="24">
        <v>0</v>
      </c>
      <c r="P364" s="24">
        <v>0</v>
      </c>
      <c r="Q364" s="24"/>
      <c r="R364" s="24" t="b">
        <v>1</v>
      </c>
    </row>
    <row r="365" spans="1:18">
      <c r="A365" s="34" t="s">
        <v>8083</v>
      </c>
      <c r="B365" s="34" t="s">
        <v>1367</v>
      </c>
      <c r="C365" s="34" t="s">
        <v>8041</v>
      </c>
      <c r="D365" s="34">
        <v>0</v>
      </c>
      <c r="E365" s="34">
        <v>1</v>
      </c>
      <c r="F365" s="34" t="s">
        <v>197</v>
      </c>
      <c r="G365" s="34" t="s">
        <v>198</v>
      </c>
      <c r="H365" s="34"/>
      <c r="I365" s="34">
        <v>0</v>
      </c>
      <c r="J365" s="34" t="s">
        <v>838</v>
      </c>
      <c r="K365" s="34" t="s">
        <v>925</v>
      </c>
      <c r="L365" s="34">
        <v>350</v>
      </c>
      <c r="M365" s="34"/>
      <c r="N365" s="34" t="str">
        <f t="shared" si="12"/>
        <v>Status(AddEnergyRate, 350)</v>
      </c>
      <c r="O365" s="34">
        <v>0</v>
      </c>
      <c r="P365" s="34">
        <v>0</v>
      </c>
      <c r="Q365" s="34"/>
      <c r="R365" s="34" t="b">
        <v>1</v>
      </c>
    </row>
    <row r="366" spans="1:18">
      <c r="A366" s="34" t="s">
        <v>8084</v>
      </c>
      <c r="B366" s="34" t="s">
        <v>1367</v>
      </c>
      <c r="C366" s="34" t="s">
        <v>8041</v>
      </c>
      <c r="D366" s="34">
        <v>0</v>
      </c>
      <c r="E366" s="34">
        <v>1</v>
      </c>
      <c r="F366" s="34" t="s">
        <v>197</v>
      </c>
      <c r="G366" s="34" t="s">
        <v>198</v>
      </c>
      <c r="H366" s="34"/>
      <c r="I366" s="34">
        <v>0</v>
      </c>
      <c r="J366" s="34" t="s">
        <v>838</v>
      </c>
      <c r="K366" s="34" t="s">
        <v>925</v>
      </c>
      <c r="L366" s="34">
        <v>400</v>
      </c>
      <c r="M366" s="34"/>
      <c r="N366" s="34" t="str">
        <f t="shared" si="12"/>
        <v>Status(AddEnergyRate, 400)</v>
      </c>
      <c r="O366" s="34">
        <v>0</v>
      </c>
      <c r="P366" s="34">
        <v>0</v>
      </c>
      <c r="Q366" s="34"/>
      <c r="R366" s="34" t="b">
        <v>1</v>
      </c>
    </row>
    <row r="367" spans="1:18" s="13" customFormat="1">
      <c r="A367" s="34" t="s">
        <v>8085</v>
      </c>
      <c r="B367" s="34" t="s">
        <v>1367</v>
      </c>
      <c r="C367" s="34" t="s">
        <v>8041</v>
      </c>
      <c r="D367" s="34">
        <v>0</v>
      </c>
      <c r="E367" s="34">
        <v>1</v>
      </c>
      <c r="F367" s="34" t="s">
        <v>197</v>
      </c>
      <c r="G367" s="34" t="s">
        <v>198</v>
      </c>
      <c r="H367" s="34"/>
      <c r="I367" s="34">
        <v>0</v>
      </c>
      <c r="J367" s="34" t="s">
        <v>838</v>
      </c>
      <c r="K367" s="34" t="s">
        <v>925</v>
      </c>
      <c r="L367" s="34">
        <v>450</v>
      </c>
      <c r="M367" s="34"/>
      <c r="N367" s="34" t="str">
        <f t="shared" si="12"/>
        <v>Status(AddEnergyRate, 450)</v>
      </c>
      <c r="O367" s="34">
        <v>0</v>
      </c>
      <c r="P367" s="34">
        <v>0</v>
      </c>
      <c r="Q367" s="34"/>
      <c r="R367" s="34" t="b">
        <v>1</v>
      </c>
    </row>
    <row r="368" spans="1:18" s="13" customFormat="1">
      <c r="A368" s="23" t="s">
        <v>8109</v>
      </c>
      <c r="B368" s="23" t="s">
        <v>1367</v>
      </c>
      <c r="C368" s="23" t="s">
        <v>8111</v>
      </c>
      <c r="D368" s="23">
        <v>0</v>
      </c>
      <c r="E368" s="23">
        <v>1</v>
      </c>
      <c r="F368" s="23" t="s">
        <v>197</v>
      </c>
      <c r="G368" s="23" t="s">
        <v>198</v>
      </c>
      <c r="H368" s="23"/>
      <c r="I368" s="23">
        <v>0</v>
      </c>
      <c r="J368" s="23" t="s">
        <v>893</v>
      </c>
      <c r="K368" s="23" t="s">
        <v>8086</v>
      </c>
      <c r="L368" s="23"/>
      <c r="M368" s="23"/>
      <c r="N368" s="23" t="str">
        <f t="shared" si="12"/>
        <v>Active(isabella.passive.ex.token.buff.skilleffect)</v>
      </c>
      <c r="O368" s="23">
        <v>0</v>
      </c>
      <c r="P368" s="23">
        <v>0</v>
      </c>
      <c r="Q368" s="23"/>
      <c r="R368" s="23" t="b">
        <v>1</v>
      </c>
    </row>
    <row r="369" spans="1:18" s="13" customFormat="1">
      <c r="A369" s="23" t="s">
        <v>8110</v>
      </c>
      <c r="B369" s="23" t="s">
        <v>1367</v>
      </c>
      <c r="C369" s="23" t="s">
        <v>8016</v>
      </c>
      <c r="D369" s="23">
        <v>0</v>
      </c>
      <c r="E369" s="23">
        <v>1</v>
      </c>
      <c r="F369" s="23" t="s">
        <v>197</v>
      </c>
      <c r="G369" s="23" t="s">
        <v>198</v>
      </c>
      <c r="H369" s="23"/>
      <c r="I369" s="23">
        <v>0</v>
      </c>
      <c r="J369" s="23" t="s">
        <v>893</v>
      </c>
      <c r="K369" s="23" t="s">
        <v>8086</v>
      </c>
      <c r="L369" s="23"/>
      <c r="M369" s="23"/>
      <c r="N369" s="23" t="str">
        <f t="shared" ref="N369" si="15">J369&amp;"("&amp;IF(K369="","",K369)&amp;IF(L369="","",", "&amp;L369)&amp;IF(M369="","",", "&amp;M369)&amp;")"</f>
        <v>Active(isabella.passive.ex.token.buff.skilleffect)</v>
      </c>
      <c r="O369" s="23">
        <v>0</v>
      </c>
      <c r="P369" s="23">
        <v>30000</v>
      </c>
      <c r="Q369" s="23"/>
      <c r="R369" s="23" t="b">
        <v>1</v>
      </c>
    </row>
    <row r="370" spans="1:18" s="13" customFormat="1">
      <c r="A370" s="24" t="s">
        <v>8018</v>
      </c>
      <c r="B370" s="24"/>
      <c r="C370" s="24"/>
      <c r="D370" s="24">
        <v>0</v>
      </c>
      <c r="E370" s="24">
        <v>1</v>
      </c>
      <c r="F370" s="24" t="s">
        <v>197</v>
      </c>
      <c r="G370" s="24" t="s">
        <v>198</v>
      </c>
      <c r="H370" s="24"/>
      <c r="I370" s="24">
        <v>0</v>
      </c>
      <c r="J370" s="24" t="s">
        <v>838</v>
      </c>
      <c r="K370" s="24" t="s">
        <v>867</v>
      </c>
      <c r="L370" s="24">
        <v>75</v>
      </c>
      <c r="M370" s="24"/>
      <c r="N370" s="24" t="str">
        <f t="shared" si="12"/>
        <v>Status(CriticalRate, 75)</v>
      </c>
      <c r="O370" s="24">
        <v>0</v>
      </c>
      <c r="P370" s="24">
        <v>0</v>
      </c>
      <c r="Q370" s="24"/>
      <c r="R370" s="24" t="b">
        <v>1</v>
      </c>
    </row>
    <row r="371" spans="1:18" s="13" customFormat="1">
      <c r="A371" s="24" t="s">
        <v>8020</v>
      </c>
      <c r="B371" s="24"/>
      <c r="C371" s="24"/>
      <c r="D371" s="24">
        <v>0</v>
      </c>
      <c r="E371" s="24">
        <v>1</v>
      </c>
      <c r="F371" s="24" t="s">
        <v>197</v>
      </c>
      <c r="G371" s="24" t="s">
        <v>198</v>
      </c>
      <c r="H371" s="24"/>
      <c r="I371" s="24">
        <v>0</v>
      </c>
      <c r="J371" s="24" t="s">
        <v>838</v>
      </c>
      <c r="K371" s="24" t="s">
        <v>867</v>
      </c>
      <c r="L371" s="24">
        <v>100</v>
      </c>
      <c r="M371" s="24"/>
      <c r="N371" s="24" t="str">
        <f t="shared" si="12"/>
        <v>Status(CriticalRate, 100)</v>
      </c>
      <c r="O371" s="24">
        <v>0</v>
      </c>
      <c r="P371" s="24">
        <v>0</v>
      </c>
      <c r="Q371" s="24"/>
      <c r="R371" s="24" t="b">
        <v>1</v>
      </c>
    </row>
    <row r="372" spans="1:18" s="13" customFormat="1">
      <c r="A372" s="24" t="s">
        <v>8022</v>
      </c>
      <c r="B372" s="24"/>
      <c r="C372" s="24"/>
      <c r="D372" s="24">
        <v>0</v>
      </c>
      <c r="E372" s="24">
        <v>1</v>
      </c>
      <c r="F372" s="24" t="s">
        <v>197</v>
      </c>
      <c r="G372" s="24" t="s">
        <v>198</v>
      </c>
      <c r="H372" s="24"/>
      <c r="I372" s="24">
        <v>0</v>
      </c>
      <c r="J372" s="24" t="s">
        <v>838</v>
      </c>
      <c r="K372" s="24" t="s">
        <v>867</v>
      </c>
      <c r="L372" s="24">
        <v>125</v>
      </c>
      <c r="M372" s="24"/>
      <c r="N372" s="24" t="str">
        <f t="shared" si="12"/>
        <v>Status(CriticalRate, 125)</v>
      </c>
      <c r="O372" s="24">
        <v>0</v>
      </c>
      <c r="P372" s="24">
        <v>0</v>
      </c>
      <c r="Q372" s="24"/>
      <c r="R372" s="24" t="b">
        <v>1</v>
      </c>
    </row>
    <row r="373" spans="1:18" s="13" customFormat="1">
      <c r="A373" s="34" t="s">
        <v>8024</v>
      </c>
      <c r="B373" s="34"/>
      <c r="C373" s="34"/>
      <c r="D373" s="34">
        <v>0</v>
      </c>
      <c r="E373" s="34">
        <v>1</v>
      </c>
      <c r="F373" s="34" t="s">
        <v>197</v>
      </c>
      <c r="G373" s="34" t="s">
        <v>198</v>
      </c>
      <c r="H373" s="34"/>
      <c r="I373" s="34">
        <v>0</v>
      </c>
      <c r="J373" s="34" t="s">
        <v>838</v>
      </c>
      <c r="K373" s="34" t="s">
        <v>867</v>
      </c>
      <c r="L373" s="34">
        <v>150</v>
      </c>
      <c r="M373" s="34"/>
      <c r="N373" s="34" t="str">
        <f t="shared" si="12"/>
        <v>Status(CriticalRate, 150)</v>
      </c>
      <c r="O373" s="34">
        <v>0</v>
      </c>
      <c r="P373" s="34">
        <v>0</v>
      </c>
      <c r="Q373" s="34"/>
      <c r="R373" s="34" t="b">
        <v>1</v>
      </c>
    </row>
    <row r="374" spans="1:18" s="13" customFormat="1">
      <c r="A374" s="34" t="s">
        <v>8026</v>
      </c>
      <c r="B374" s="34"/>
      <c r="C374" s="34"/>
      <c r="D374" s="34">
        <v>0</v>
      </c>
      <c r="E374" s="34">
        <v>1</v>
      </c>
      <c r="F374" s="34" t="s">
        <v>197</v>
      </c>
      <c r="G374" s="34" t="s">
        <v>198</v>
      </c>
      <c r="H374" s="34"/>
      <c r="I374" s="34">
        <v>0</v>
      </c>
      <c r="J374" s="34" t="s">
        <v>838</v>
      </c>
      <c r="K374" s="34" t="s">
        <v>867</v>
      </c>
      <c r="L374" s="34">
        <v>175</v>
      </c>
      <c r="M374" s="34"/>
      <c r="N374" s="34" t="str">
        <f t="shared" si="12"/>
        <v>Status(CriticalRate, 175)</v>
      </c>
      <c r="O374" s="34">
        <v>0</v>
      </c>
      <c r="P374" s="34">
        <v>0</v>
      </c>
      <c r="Q374" s="34"/>
      <c r="R374" s="34" t="b">
        <v>1</v>
      </c>
    </row>
    <row r="375" spans="1:18" s="13" customFormat="1">
      <c r="A375" s="34" t="s">
        <v>8028</v>
      </c>
      <c r="B375" s="34"/>
      <c r="C375" s="34"/>
      <c r="D375" s="34">
        <v>0</v>
      </c>
      <c r="E375" s="34">
        <v>1</v>
      </c>
      <c r="F375" s="34" t="s">
        <v>197</v>
      </c>
      <c r="G375" s="34" t="s">
        <v>198</v>
      </c>
      <c r="H375" s="34"/>
      <c r="I375" s="34">
        <v>0</v>
      </c>
      <c r="J375" s="34" t="s">
        <v>838</v>
      </c>
      <c r="K375" s="34" t="s">
        <v>867</v>
      </c>
      <c r="L375" s="34">
        <v>200</v>
      </c>
      <c r="M375" s="34"/>
      <c r="N375" s="34" t="str">
        <f t="shared" si="12"/>
        <v>Status(CriticalRate, 200)</v>
      </c>
      <c r="O375" s="34">
        <v>0</v>
      </c>
      <c r="P375" s="34">
        <v>0</v>
      </c>
      <c r="Q375" s="34"/>
      <c r="R375" s="34" t="b">
        <v>1</v>
      </c>
    </row>
    <row r="376" spans="1:18" s="13" customFormat="1">
      <c r="A376" s="23" t="s">
        <v>8030</v>
      </c>
      <c r="B376" s="23"/>
      <c r="C376" s="23"/>
      <c r="D376" s="23">
        <v>0</v>
      </c>
      <c r="E376" s="23">
        <v>1</v>
      </c>
      <c r="F376" s="23" t="s">
        <v>197</v>
      </c>
      <c r="G376" s="23" t="s">
        <v>198</v>
      </c>
      <c r="H376" s="23"/>
      <c r="I376" s="23">
        <v>0</v>
      </c>
      <c r="J376" s="23" t="s">
        <v>838</v>
      </c>
      <c r="K376" s="23" t="s">
        <v>897</v>
      </c>
      <c r="L376" s="23">
        <v>-100</v>
      </c>
      <c r="M376" s="23"/>
      <c r="N376" s="23" t="str">
        <f t="shared" si="12"/>
        <v>Status(DefenseRatio, -100)</v>
      </c>
      <c r="O376" s="23">
        <v>0</v>
      </c>
      <c r="P376" s="23">
        <v>0</v>
      </c>
      <c r="Q376" s="23"/>
      <c r="R376" s="23" t="b">
        <v>1</v>
      </c>
    </row>
    <row r="377" spans="1:18" s="13" customFormat="1">
      <c r="A377" s="23" t="s">
        <v>8032</v>
      </c>
      <c r="B377" s="23"/>
      <c r="C377" s="23"/>
      <c r="D377" s="23">
        <v>0</v>
      </c>
      <c r="E377" s="23">
        <v>1</v>
      </c>
      <c r="F377" s="23" t="s">
        <v>197</v>
      </c>
      <c r="G377" s="23" t="s">
        <v>198</v>
      </c>
      <c r="H377" s="23"/>
      <c r="I377" s="23">
        <v>0</v>
      </c>
      <c r="J377" s="23" t="s">
        <v>838</v>
      </c>
      <c r="K377" s="23" t="s">
        <v>897</v>
      </c>
      <c r="L377" s="23">
        <v>-125</v>
      </c>
      <c r="M377" s="23"/>
      <c r="N377" s="23" t="str">
        <f t="shared" si="12"/>
        <v>Status(DefenseRatio, -125)</v>
      </c>
      <c r="O377" s="23">
        <v>0</v>
      </c>
      <c r="P377" s="23">
        <v>0</v>
      </c>
      <c r="Q377" s="23"/>
      <c r="R377" s="23" t="b">
        <v>1</v>
      </c>
    </row>
    <row r="378" spans="1:18" s="13" customFormat="1">
      <c r="A378" s="23" t="s">
        <v>8034</v>
      </c>
      <c r="B378" s="23"/>
      <c r="C378" s="23"/>
      <c r="D378" s="23">
        <v>0</v>
      </c>
      <c r="E378" s="23">
        <v>1</v>
      </c>
      <c r="F378" s="23" t="s">
        <v>197</v>
      </c>
      <c r="G378" s="23" t="s">
        <v>198</v>
      </c>
      <c r="H378" s="23"/>
      <c r="I378" s="23">
        <v>0</v>
      </c>
      <c r="J378" s="23" t="s">
        <v>838</v>
      </c>
      <c r="K378" s="23" t="s">
        <v>897</v>
      </c>
      <c r="L378" s="23">
        <v>-150</v>
      </c>
      <c r="M378" s="23"/>
      <c r="N378" s="23" t="str">
        <f t="shared" si="12"/>
        <v>Status(DefenseRatio, -150)</v>
      </c>
      <c r="O378" s="23">
        <v>0</v>
      </c>
      <c r="P378" s="23">
        <v>0</v>
      </c>
      <c r="Q378" s="23"/>
      <c r="R378" s="23" t="b">
        <v>1</v>
      </c>
    </row>
    <row r="379" spans="1:18" s="13" customFormat="1">
      <c r="A379" s="34" t="s">
        <v>8036</v>
      </c>
      <c r="B379" s="34"/>
      <c r="C379" s="34"/>
      <c r="D379" s="34">
        <v>0</v>
      </c>
      <c r="E379" s="34">
        <v>1</v>
      </c>
      <c r="F379" s="34" t="s">
        <v>197</v>
      </c>
      <c r="G379" s="34" t="s">
        <v>198</v>
      </c>
      <c r="H379" s="34"/>
      <c r="I379" s="34">
        <v>0</v>
      </c>
      <c r="J379" s="34" t="s">
        <v>838</v>
      </c>
      <c r="K379" s="34" t="s">
        <v>897</v>
      </c>
      <c r="L379" s="34">
        <v>-175</v>
      </c>
      <c r="M379" s="34"/>
      <c r="N379" s="34" t="str">
        <f t="shared" si="12"/>
        <v>Status(DefenseRatio, -175)</v>
      </c>
      <c r="O379" s="34">
        <v>0</v>
      </c>
      <c r="P379" s="34">
        <v>0</v>
      </c>
      <c r="Q379" s="34"/>
      <c r="R379" s="34" t="b">
        <v>1</v>
      </c>
    </row>
    <row r="380" spans="1:18" s="13" customFormat="1">
      <c r="A380" s="34" t="s">
        <v>8038</v>
      </c>
      <c r="B380" s="34"/>
      <c r="C380" s="34"/>
      <c r="D380" s="34">
        <v>0</v>
      </c>
      <c r="E380" s="34">
        <v>1</v>
      </c>
      <c r="F380" s="34" t="s">
        <v>197</v>
      </c>
      <c r="G380" s="34" t="s">
        <v>198</v>
      </c>
      <c r="H380" s="34"/>
      <c r="I380" s="34">
        <v>0</v>
      </c>
      <c r="J380" s="34" t="s">
        <v>838</v>
      </c>
      <c r="K380" s="34" t="s">
        <v>897</v>
      </c>
      <c r="L380" s="34">
        <v>-200</v>
      </c>
      <c r="M380" s="34"/>
      <c r="N380" s="34" t="str">
        <f t="shared" si="12"/>
        <v>Status(DefenseRatio, -200)</v>
      </c>
      <c r="O380" s="34">
        <v>0</v>
      </c>
      <c r="P380" s="34">
        <v>0</v>
      </c>
      <c r="Q380" s="34"/>
      <c r="R380" s="34" t="b">
        <v>1</v>
      </c>
    </row>
    <row r="381" spans="1:18" s="13" customFormat="1">
      <c r="A381" s="34" t="s">
        <v>8040</v>
      </c>
      <c r="B381" s="34"/>
      <c r="C381" s="34"/>
      <c r="D381" s="34">
        <v>0</v>
      </c>
      <c r="E381" s="34">
        <v>1</v>
      </c>
      <c r="F381" s="34" t="s">
        <v>197</v>
      </c>
      <c r="G381" s="34" t="s">
        <v>198</v>
      </c>
      <c r="H381" s="34"/>
      <c r="I381" s="34">
        <v>0</v>
      </c>
      <c r="J381" s="34" t="s">
        <v>838</v>
      </c>
      <c r="K381" s="34" t="s">
        <v>897</v>
      </c>
      <c r="L381" s="34">
        <v>-250</v>
      </c>
      <c r="M381" s="34"/>
      <c r="N381" s="34" t="str">
        <f t="shared" si="12"/>
        <v>Status(DefenseRatio, -250)</v>
      </c>
      <c r="O381" s="34">
        <v>0</v>
      </c>
      <c r="P381" s="34">
        <v>0</v>
      </c>
      <c r="Q381" s="34"/>
      <c r="R381" s="34" t="b">
        <v>1</v>
      </c>
    </row>
    <row r="382" spans="1:18" s="153" customFormat="1">
      <c r="A382" s="26" t="s">
        <v>8087</v>
      </c>
      <c r="B382" s="26" t="s">
        <v>1367</v>
      </c>
      <c r="C382" s="26" t="s">
        <v>7957</v>
      </c>
      <c r="D382" s="26">
        <v>0</v>
      </c>
      <c r="E382" s="26">
        <v>1</v>
      </c>
      <c r="F382" s="26" t="s">
        <v>197</v>
      </c>
      <c r="G382" s="26" t="s">
        <v>198</v>
      </c>
      <c r="H382" s="26"/>
      <c r="I382" s="26">
        <v>0</v>
      </c>
      <c r="J382" s="26" t="s">
        <v>893</v>
      </c>
      <c r="K382" s="26" t="s">
        <v>6854</v>
      </c>
      <c r="L382" s="26"/>
      <c r="M382" s="26"/>
      <c r="N382" s="26" t="str">
        <f t="shared" si="12"/>
        <v>Active(Isbella.passive.summon.killswitch.skilleffect)</v>
      </c>
      <c r="O382" s="26">
        <v>0</v>
      </c>
      <c r="P382" s="26">
        <v>0</v>
      </c>
      <c r="Q382" s="26"/>
      <c r="R382" s="26" t="b">
        <v>1</v>
      </c>
    </row>
    <row r="383" spans="1:18" s="153" customFormat="1">
      <c r="A383" s="26" t="s">
        <v>8088</v>
      </c>
      <c r="B383" s="26" t="s">
        <v>1367</v>
      </c>
      <c r="C383" s="26" t="s">
        <v>7960</v>
      </c>
      <c r="D383" s="26">
        <v>0</v>
      </c>
      <c r="E383" s="26">
        <v>1</v>
      </c>
      <c r="F383" s="26" t="s">
        <v>197</v>
      </c>
      <c r="G383" s="26" t="s">
        <v>198</v>
      </c>
      <c r="H383" s="26"/>
      <c r="I383" s="26">
        <v>0</v>
      </c>
      <c r="J383" s="26" t="s">
        <v>893</v>
      </c>
      <c r="K383" s="26" t="s">
        <v>6854</v>
      </c>
      <c r="L383" s="26"/>
      <c r="M383" s="26"/>
      <c r="N383" s="26" t="str">
        <f t="shared" si="12"/>
        <v>Active(Isbella.passive.summon.killswitch.skilleffect)</v>
      </c>
      <c r="O383" s="26">
        <v>0</v>
      </c>
      <c r="P383" s="26">
        <v>0</v>
      </c>
      <c r="Q383" s="26"/>
      <c r="R383" s="26" t="b">
        <v>1</v>
      </c>
    </row>
    <row r="384" spans="1:18">
      <c r="A384" s="24" t="s">
        <v>8089</v>
      </c>
      <c r="B384" s="24"/>
      <c r="C384" s="24"/>
      <c r="D384" s="24">
        <v>0</v>
      </c>
      <c r="E384" s="24">
        <v>1</v>
      </c>
      <c r="F384" s="24" t="s">
        <v>197</v>
      </c>
      <c r="G384" s="24" t="s">
        <v>198</v>
      </c>
      <c r="H384" s="24"/>
      <c r="I384" s="24">
        <v>0</v>
      </c>
      <c r="J384" s="24" t="s">
        <v>838</v>
      </c>
      <c r="K384" s="24" t="s">
        <v>908</v>
      </c>
      <c r="L384" s="24">
        <v>-700</v>
      </c>
      <c r="M384" s="24"/>
      <c r="N384" s="24" t="str">
        <f t="shared" si="12"/>
        <v>Status(AttackRatio, -700)</v>
      </c>
      <c r="O384" s="24">
        <v>0</v>
      </c>
      <c r="P384" s="24">
        <v>0</v>
      </c>
      <c r="Q384" s="24"/>
      <c r="R384" s="24" t="b">
        <v>1</v>
      </c>
    </row>
    <row r="385" spans="1:18">
      <c r="A385" s="24" t="s">
        <v>8090</v>
      </c>
      <c r="B385" s="24"/>
      <c r="C385" s="24"/>
      <c r="D385" s="24">
        <v>0</v>
      </c>
      <c r="E385" s="24">
        <v>1</v>
      </c>
      <c r="F385" s="24" t="s">
        <v>197</v>
      </c>
      <c r="G385" s="24" t="s">
        <v>198</v>
      </c>
      <c r="H385" s="24"/>
      <c r="I385" s="24">
        <v>0</v>
      </c>
      <c r="J385" s="24" t="s">
        <v>838</v>
      </c>
      <c r="K385" s="24" t="s">
        <v>908</v>
      </c>
      <c r="L385" s="24">
        <v>-650</v>
      </c>
      <c r="M385" s="24"/>
      <c r="N385" s="24" t="str">
        <f t="shared" ref="N385:N464" si="16">J385&amp;"("&amp;IF(K385="","",K385)&amp;IF(L385="","",", "&amp;L385)&amp;IF(M385="","",", "&amp;M385)&amp;")"</f>
        <v>Status(AttackRatio, -650)</v>
      </c>
      <c r="O385" s="24">
        <v>0</v>
      </c>
      <c r="P385" s="24">
        <v>0</v>
      </c>
      <c r="Q385" s="24"/>
      <c r="R385" s="24" t="b">
        <v>1</v>
      </c>
    </row>
    <row r="386" spans="1:18">
      <c r="A386" s="24" t="s">
        <v>8091</v>
      </c>
      <c r="B386" s="24"/>
      <c r="C386" s="24"/>
      <c r="D386" s="24">
        <v>0</v>
      </c>
      <c r="E386" s="24">
        <v>1</v>
      </c>
      <c r="F386" s="24" t="s">
        <v>197</v>
      </c>
      <c r="G386" s="24" t="s">
        <v>198</v>
      </c>
      <c r="H386" s="24"/>
      <c r="I386" s="24">
        <v>0</v>
      </c>
      <c r="J386" s="24" t="s">
        <v>838</v>
      </c>
      <c r="K386" s="24" t="s">
        <v>908</v>
      </c>
      <c r="L386" s="24">
        <v>-600</v>
      </c>
      <c r="M386" s="24"/>
      <c r="N386" s="24" t="str">
        <f t="shared" si="16"/>
        <v>Status(AttackRatio, -600)</v>
      </c>
      <c r="O386" s="24">
        <v>0</v>
      </c>
      <c r="P386" s="24">
        <v>0</v>
      </c>
      <c r="Q386" s="24"/>
      <c r="R386" s="24" t="b">
        <v>1</v>
      </c>
    </row>
    <row r="387" spans="1:18">
      <c r="A387" s="34" t="s">
        <v>8092</v>
      </c>
      <c r="B387" s="34"/>
      <c r="C387" s="34"/>
      <c r="D387" s="34">
        <v>0</v>
      </c>
      <c r="E387" s="34">
        <v>1</v>
      </c>
      <c r="F387" s="34" t="s">
        <v>197</v>
      </c>
      <c r="G387" s="34" t="s">
        <v>198</v>
      </c>
      <c r="H387" s="34"/>
      <c r="I387" s="34">
        <v>0</v>
      </c>
      <c r="J387" s="34" t="s">
        <v>838</v>
      </c>
      <c r="K387" s="34" t="s">
        <v>908</v>
      </c>
      <c r="L387" s="34">
        <v>-550</v>
      </c>
      <c r="M387" s="34"/>
      <c r="N387" s="34" t="str">
        <f t="shared" si="16"/>
        <v>Status(AttackRatio, -550)</v>
      </c>
      <c r="O387" s="34">
        <v>0</v>
      </c>
      <c r="P387" s="34">
        <v>0</v>
      </c>
      <c r="Q387" s="34"/>
      <c r="R387" s="34" t="b">
        <v>1</v>
      </c>
    </row>
    <row r="388" spans="1:18">
      <c r="A388" s="34" t="s">
        <v>8093</v>
      </c>
      <c r="B388" s="34"/>
      <c r="C388" s="34"/>
      <c r="D388" s="34">
        <v>0</v>
      </c>
      <c r="E388" s="34">
        <v>1</v>
      </c>
      <c r="F388" s="34" t="s">
        <v>197</v>
      </c>
      <c r="G388" s="34" t="s">
        <v>198</v>
      </c>
      <c r="H388" s="34"/>
      <c r="I388" s="34">
        <v>0</v>
      </c>
      <c r="J388" s="34" t="s">
        <v>838</v>
      </c>
      <c r="K388" s="34" t="s">
        <v>908</v>
      </c>
      <c r="L388" s="34">
        <v>-500</v>
      </c>
      <c r="M388" s="34"/>
      <c r="N388" s="34" t="str">
        <f t="shared" si="16"/>
        <v>Status(AttackRatio, -500)</v>
      </c>
      <c r="O388" s="34">
        <v>0</v>
      </c>
      <c r="P388" s="34">
        <v>0</v>
      </c>
      <c r="Q388" s="34"/>
      <c r="R388" s="34" t="b">
        <v>1</v>
      </c>
    </row>
    <row r="389" spans="1:18" s="13" customFormat="1">
      <c r="A389" s="34" t="s">
        <v>8094</v>
      </c>
      <c r="B389" s="34"/>
      <c r="C389" s="34"/>
      <c r="D389" s="34">
        <v>0</v>
      </c>
      <c r="E389" s="34">
        <v>1</v>
      </c>
      <c r="F389" s="34" t="s">
        <v>197</v>
      </c>
      <c r="G389" s="34" t="s">
        <v>198</v>
      </c>
      <c r="H389" s="34"/>
      <c r="I389" s="34">
        <v>0</v>
      </c>
      <c r="J389" s="34" t="s">
        <v>838</v>
      </c>
      <c r="K389" s="34" t="s">
        <v>908</v>
      </c>
      <c r="L389" s="34">
        <v>-450</v>
      </c>
      <c r="M389" s="34"/>
      <c r="N389" s="34" t="str">
        <f t="shared" si="16"/>
        <v>Status(AttackRatio, -450)</v>
      </c>
      <c r="O389" s="34">
        <v>0</v>
      </c>
      <c r="P389" s="34">
        <v>0</v>
      </c>
      <c r="Q389" s="34"/>
      <c r="R389" s="34" t="b">
        <v>1</v>
      </c>
    </row>
    <row r="390" spans="1:18">
      <c r="A390" s="24" t="s">
        <v>8095</v>
      </c>
      <c r="B390" s="24"/>
      <c r="C390" s="24"/>
      <c r="D390" s="24">
        <v>0</v>
      </c>
      <c r="E390" s="24">
        <v>1</v>
      </c>
      <c r="F390" s="24" t="s">
        <v>197</v>
      </c>
      <c r="G390" s="24" t="s">
        <v>198</v>
      </c>
      <c r="H390" s="24"/>
      <c r="I390" s="24">
        <v>0</v>
      </c>
      <c r="J390" s="24" t="s">
        <v>838</v>
      </c>
      <c r="K390" s="24" t="s">
        <v>839</v>
      </c>
      <c r="L390" s="24">
        <v>-700</v>
      </c>
      <c r="M390" s="24"/>
      <c r="N390" s="24" t="str">
        <f t="shared" si="16"/>
        <v>Status(DamageDerate, -700)</v>
      </c>
      <c r="O390" s="24">
        <v>0</v>
      </c>
      <c r="P390" s="24">
        <v>0</v>
      </c>
      <c r="Q390" s="24"/>
      <c r="R390" s="24" t="b">
        <v>1</v>
      </c>
    </row>
    <row r="391" spans="1:18">
      <c r="A391" s="24" t="s">
        <v>8096</v>
      </c>
      <c r="B391" s="24"/>
      <c r="C391" s="24"/>
      <c r="D391" s="24">
        <v>0</v>
      </c>
      <c r="E391" s="24">
        <v>1</v>
      </c>
      <c r="F391" s="24" t="s">
        <v>197</v>
      </c>
      <c r="G391" s="24" t="s">
        <v>198</v>
      </c>
      <c r="H391" s="24"/>
      <c r="I391" s="24">
        <v>0</v>
      </c>
      <c r="J391" s="24" t="s">
        <v>838</v>
      </c>
      <c r="K391" s="24" t="s">
        <v>839</v>
      </c>
      <c r="L391" s="24">
        <v>-650</v>
      </c>
      <c r="M391" s="24"/>
      <c r="N391" s="24" t="str">
        <f t="shared" si="16"/>
        <v>Status(DamageDerate, -650)</v>
      </c>
      <c r="O391" s="24">
        <v>0</v>
      </c>
      <c r="P391" s="24">
        <v>0</v>
      </c>
      <c r="Q391" s="24"/>
      <c r="R391" s="24" t="b">
        <v>1</v>
      </c>
    </row>
    <row r="392" spans="1:18">
      <c r="A392" s="24" t="s">
        <v>8097</v>
      </c>
      <c r="B392" s="24"/>
      <c r="C392" s="24"/>
      <c r="D392" s="24">
        <v>0</v>
      </c>
      <c r="E392" s="24">
        <v>1</v>
      </c>
      <c r="F392" s="24" t="s">
        <v>197</v>
      </c>
      <c r="G392" s="24" t="s">
        <v>198</v>
      </c>
      <c r="H392" s="24"/>
      <c r="I392" s="24">
        <v>0</v>
      </c>
      <c r="J392" s="24" t="s">
        <v>838</v>
      </c>
      <c r="K392" s="24" t="s">
        <v>839</v>
      </c>
      <c r="L392" s="24">
        <v>-600</v>
      </c>
      <c r="M392" s="24"/>
      <c r="N392" s="24" t="str">
        <f t="shared" si="16"/>
        <v>Status(DamageDerate, -600)</v>
      </c>
      <c r="O392" s="24">
        <v>0</v>
      </c>
      <c r="P392" s="24">
        <v>0</v>
      </c>
      <c r="Q392" s="24"/>
      <c r="R392" s="24" t="b">
        <v>1</v>
      </c>
    </row>
    <row r="393" spans="1:18">
      <c r="A393" s="34" t="s">
        <v>8098</v>
      </c>
      <c r="B393" s="34"/>
      <c r="C393" s="34"/>
      <c r="D393" s="34">
        <v>0</v>
      </c>
      <c r="E393" s="34">
        <v>1</v>
      </c>
      <c r="F393" s="34" t="s">
        <v>197</v>
      </c>
      <c r="G393" s="34" t="s">
        <v>198</v>
      </c>
      <c r="H393" s="34"/>
      <c r="I393" s="34">
        <v>0</v>
      </c>
      <c r="J393" s="34" t="s">
        <v>838</v>
      </c>
      <c r="K393" s="34" t="s">
        <v>839</v>
      </c>
      <c r="L393" s="34">
        <v>-550</v>
      </c>
      <c r="M393" s="34"/>
      <c r="N393" s="34" t="str">
        <f t="shared" si="16"/>
        <v>Status(DamageDerate, -550)</v>
      </c>
      <c r="O393" s="34">
        <v>0</v>
      </c>
      <c r="P393" s="34">
        <v>0</v>
      </c>
      <c r="Q393" s="34"/>
      <c r="R393" s="34" t="b">
        <v>1</v>
      </c>
    </row>
    <row r="394" spans="1:18">
      <c r="A394" s="34" t="s">
        <v>8099</v>
      </c>
      <c r="B394" s="34"/>
      <c r="C394" s="34"/>
      <c r="D394" s="34">
        <v>0</v>
      </c>
      <c r="E394" s="34">
        <v>1</v>
      </c>
      <c r="F394" s="34" t="s">
        <v>197</v>
      </c>
      <c r="G394" s="34" t="s">
        <v>198</v>
      </c>
      <c r="H394" s="34"/>
      <c r="I394" s="34">
        <v>0</v>
      </c>
      <c r="J394" s="34" t="s">
        <v>838</v>
      </c>
      <c r="K394" s="34" t="s">
        <v>839</v>
      </c>
      <c r="L394" s="34">
        <v>-500</v>
      </c>
      <c r="M394" s="34"/>
      <c r="N394" s="34" t="str">
        <f t="shared" si="16"/>
        <v>Status(DamageDerate, -500)</v>
      </c>
      <c r="O394" s="34">
        <v>0</v>
      </c>
      <c r="P394" s="34">
        <v>0</v>
      </c>
      <c r="Q394" s="34"/>
      <c r="R394" s="34" t="b">
        <v>1</v>
      </c>
    </row>
    <row r="395" spans="1:18" s="13" customFormat="1">
      <c r="A395" s="34" t="s">
        <v>8100</v>
      </c>
      <c r="B395" s="34"/>
      <c r="C395" s="34"/>
      <c r="D395" s="34">
        <v>0</v>
      </c>
      <c r="E395" s="34">
        <v>1</v>
      </c>
      <c r="F395" s="34" t="s">
        <v>197</v>
      </c>
      <c r="G395" s="34" t="s">
        <v>198</v>
      </c>
      <c r="H395" s="34"/>
      <c r="I395" s="34">
        <v>0</v>
      </c>
      <c r="J395" s="34" t="s">
        <v>838</v>
      </c>
      <c r="K395" s="34" t="s">
        <v>839</v>
      </c>
      <c r="L395" s="34">
        <v>-450</v>
      </c>
      <c r="M395" s="34"/>
      <c r="N395" s="34" t="str">
        <f t="shared" si="16"/>
        <v>Status(DamageDerate, -450)</v>
      </c>
      <c r="O395" s="34">
        <v>0</v>
      </c>
      <c r="P395" s="34">
        <v>0</v>
      </c>
      <c r="Q395" s="34"/>
      <c r="R395" s="34" t="b">
        <v>1</v>
      </c>
    </row>
    <row r="396" spans="1:18" s="154" customFormat="1">
      <c r="A396" s="25" t="s">
        <v>6643</v>
      </c>
      <c r="B396" s="25"/>
      <c r="C396" s="25"/>
      <c r="D396" s="25">
        <v>0</v>
      </c>
      <c r="E396" s="25">
        <v>1</v>
      </c>
      <c r="F396" s="25" t="s">
        <v>197</v>
      </c>
      <c r="G396" s="25" t="s">
        <v>198</v>
      </c>
      <c r="H396" s="25"/>
      <c r="I396" s="25">
        <v>0</v>
      </c>
      <c r="J396" s="25" t="s">
        <v>2327</v>
      </c>
      <c r="K396" s="25">
        <v>400</v>
      </c>
      <c r="L396" s="25"/>
      <c r="M396" s="25"/>
      <c r="N396" s="25" t="str">
        <f t="shared" si="16"/>
        <v>AccelerationSkillTime(400)</v>
      </c>
      <c r="O396" s="25">
        <v>0</v>
      </c>
      <c r="P396" s="25">
        <v>0</v>
      </c>
      <c r="Q396" s="25"/>
      <c r="R396" s="25" t="b">
        <v>1</v>
      </c>
    </row>
    <row r="397" spans="1:18" s="154" customFormat="1">
      <c r="A397" s="194" t="s">
        <v>4617</v>
      </c>
      <c r="B397" s="25"/>
      <c r="C397" s="25"/>
      <c r="D397" s="25">
        <v>0</v>
      </c>
      <c r="E397" s="25">
        <v>1</v>
      </c>
      <c r="F397" s="25" t="s">
        <v>197</v>
      </c>
      <c r="G397" s="25" t="s">
        <v>198</v>
      </c>
      <c r="H397" s="25"/>
      <c r="I397" s="25">
        <v>0</v>
      </c>
      <c r="J397" s="25" t="s">
        <v>2327</v>
      </c>
      <c r="K397" s="25">
        <v>400</v>
      </c>
      <c r="L397" s="25"/>
      <c r="M397" s="25"/>
      <c r="N397" s="25" t="str">
        <f t="shared" si="16"/>
        <v>AccelerationSkillTime(400)</v>
      </c>
      <c r="O397" s="25">
        <v>0</v>
      </c>
      <c r="P397" s="25">
        <v>0</v>
      </c>
      <c r="Q397" s="25"/>
      <c r="R397" s="25" t="b">
        <v>1</v>
      </c>
    </row>
    <row r="398" spans="1:18" s="154" customFormat="1">
      <c r="A398" s="25" t="s">
        <v>4618</v>
      </c>
      <c r="B398" s="25"/>
      <c r="C398" s="25"/>
      <c r="D398" s="25">
        <v>0</v>
      </c>
      <c r="E398" s="25">
        <v>1</v>
      </c>
      <c r="F398" s="25" t="s">
        <v>197</v>
      </c>
      <c r="G398" s="25" t="s">
        <v>198</v>
      </c>
      <c r="H398" s="25"/>
      <c r="I398" s="25">
        <v>0</v>
      </c>
      <c r="J398" s="25" t="s">
        <v>2327</v>
      </c>
      <c r="K398" s="25">
        <v>500</v>
      </c>
      <c r="L398" s="25"/>
      <c r="M398" s="25"/>
      <c r="N398" s="25" t="str">
        <f t="shared" si="16"/>
        <v>AccelerationSkillTime(500)</v>
      </c>
      <c r="O398" s="25">
        <v>0</v>
      </c>
      <c r="P398" s="25">
        <v>0</v>
      </c>
      <c r="Q398" s="25"/>
      <c r="R398" s="25" t="b">
        <v>1</v>
      </c>
    </row>
    <row r="399" spans="1:18" s="154" customFormat="1">
      <c r="A399" s="25" t="s">
        <v>4619</v>
      </c>
      <c r="B399" s="25"/>
      <c r="C399" s="25"/>
      <c r="D399" s="25">
        <v>0</v>
      </c>
      <c r="E399" s="25">
        <v>1</v>
      </c>
      <c r="F399" s="25" t="s">
        <v>197</v>
      </c>
      <c r="G399" s="25" t="s">
        <v>198</v>
      </c>
      <c r="H399" s="25"/>
      <c r="I399" s="25">
        <v>0</v>
      </c>
      <c r="J399" s="25" t="s">
        <v>2327</v>
      </c>
      <c r="K399" s="25">
        <v>500</v>
      </c>
      <c r="L399" s="25"/>
      <c r="M399" s="25"/>
      <c r="N399" s="25" t="str">
        <f t="shared" si="16"/>
        <v>AccelerationSkillTime(500)</v>
      </c>
      <c r="O399" s="25">
        <v>0</v>
      </c>
      <c r="P399" s="25">
        <v>0</v>
      </c>
      <c r="Q399" s="25"/>
      <c r="R399" s="25" t="b">
        <v>1</v>
      </c>
    </row>
    <row r="400" spans="1:18" s="154" customFormat="1">
      <c r="A400" s="25" t="s">
        <v>4620</v>
      </c>
      <c r="B400" s="25"/>
      <c r="C400" s="25"/>
      <c r="D400" s="25">
        <v>0</v>
      </c>
      <c r="E400" s="25">
        <v>1</v>
      </c>
      <c r="F400" s="25" t="s">
        <v>197</v>
      </c>
      <c r="G400" s="25" t="s">
        <v>198</v>
      </c>
      <c r="H400" s="25"/>
      <c r="I400" s="25">
        <v>0</v>
      </c>
      <c r="J400" s="25" t="s">
        <v>2327</v>
      </c>
      <c r="K400" s="25">
        <v>500</v>
      </c>
      <c r="L400" s="25"/>
      <c r="M400" s="25"/>
      <c r="N400" s="25" t="str">
        <f t="shared" si="16"/>
        <v>AccelerationSkillTime(500)</v>
      </c>
      <c r="O400" s="25">
        <v>0</v>
      </c>
      <c r="P400" s="25">
        <v>0</v>
      </c>
      <c r="Q400" s="25"/>
      <c r="R400" s="25" t="b">
        <v>1</v>
      </c>
    </row>
    <row r="401" spans="1:18" s="154" customFormat="1">
      <c r="A401" s="34" t="s">
        <v>4621</v>
      </c>
      <c r="B401" s="34"/>
      <c r="C401" s="34"/>
      <c r="D401" s="34">
        <v>0</v>
      </c>
      <c r="E401" s="34">
        <v>1</v>
      </c>
      <c r="F401" s="34" t="s">
        <v>197</v>
      </c>
      <c r="G401" s="34" t="s">
        <v>198</v>
      </c>
      <c r="H401" s="34"/>
      <c r="I401" s="34">
        <v>0</v>
      </c>
      <c r="J401" s="34" t="s">
        <v>2327</v>
      </c>
      <c r="K401" s="34">
        <v>500</v>
      </c>
      <c r="L401" s="34"/>
      <c r="M401" s="34"/>
      <c r="N401" s="34" t="str">
        <f t="shared" si="16"/>
        <v>AccelerationSkillTime(500)</v>
      </c>
      <c r="O401" s="34">
        <v>0</v>
      </c>
      <c r="P401" s="34">
        <v>0</v>
      </c>
      <c r="Q401" s="34"/>
      <c r="R401" s="34" t="b">
        <v>1</v>
      </c>
    </row>
    <row r="402" spans="1:18" s="154" customFormat="1">
      <c r="A402" s="34" t="s">
        <v>4622</v>
      </c>
      <c r="B402" s="34"/>
      <c r="C402" s="34"/>
      <c r="D402" s="34">
        <v>0</v>
      </c>
      <c r="E402" s="34">
        <v>1</v>
      </c>
      <c r="F402" s="34" t="s">
        <v>197</v>
      </c>
      <c r="G402" s="34" t="s">
        <v>198</v>
      </c>
      <c r="H402" s="34"/>
      <c r="I402" s="34">
        <v>0</v>
      </c>
      <c r="J402" s="34" t="s">
        <v>2327</v>
      </c>
      <c r="K402" s="34">
        <v>500</v>
      </c>
      <c r="L402" s="34"/>
      <c r="M402" s="34"/>
      <c r="N402" s="34" t="str">
        <f t="shared" si="16"/>
        <v>AccelerationSkillTime(500)</v>
      </c>
      <c r="O402" s="34">
        <v>0</v>
      </c>
      <c r="P402" s="34">
        <v>0</v>
      </c>
      <c r="Q402" s="34"/>
      <c r="R402" s="34" t="b">
        <v>1</v>
      </c>
    </row>
    <row r="403" spans="1:18" s="153" customFormat="1">
      <c r="A403" s="26" t="s">
        <v>3244</v>
      </c>
      <c r="B403" s="26"/>
      <c r="C403" s="26"/>
      <c r="D403" s="26">
        <v>0</v>
      </c>
      <c r="E403" s="26">
        <v>1</v>
      </c>
      <c r="F403" s="26" t="s">
        <v>197</v>
      </c>
      <c r="G403" s="26" t="s">
        <v>198</v>
      </c>
      <c r="H403" s="26"/>
      <c r="I403" s="26">
        <v>0</v>
      </c>
      <c r="J403" s="26" t="s">
        <v>895</v>
      </c>
      <c r="K403" s="26" t="s">
        <v>896</v>
      </c>
      <c r="L403" s="26" t="s">
        <v>6855</v>
      </c>
      <c r="M403" s="26"/>
      <c r="N403" s="26" t="str">
        <f t="shared" si="16"/>
        <v>SkillEffectModifier(Op, balencia.ult.attack.skillmodifier.01)</v>
      </c>
      <c r="O403" s="26">
        <v>0</v>
      </c>
      <c r="P403" s="26">
        <v>0</v>
      </c>
      <c r="Q403" s="26"/>
      <c r="R403" s="26" t="b">
        <v>1</v>
      </c>
    </row>
    <row r="404" spans="1:18" s="153" customFormat="1">
      <c r="A404" s="26" t="s">
        <v>3245</v>
      </c>
      <c r="B404" s="26"/>
      <c r="C404" s="26"/>
      <c r="D404" s="26">
        <v>0</v>
      </c>
      <c r="E404" s="26">
        <v>1</v>
      </c>
      <c r="F404" s="26" t="s">
        <v>197</v>
      </c>
      <c r="G404" s="26" t="s">
        <v>198</v>
      </c>
      <c r="H404" s="26"/>
      <c r="I404" s="26">
        <v>0</v>
      </c>
      <c r="J404" s="26" t="s">
        <v>895</v>
      </c>
      <c r="K404" s="26" t="s">
        <v>896</v>
      </c>
      <c r="L404" s="26" t="s">
        <v>3251</v>
      </c>
      <c r="M404" s="26"/>
      <c r="N404" s="26" t="str">
        <f t="shared" si="16"/>
        <v>SkillEffectModifier(Op, balencia.ult.attack.skillmodifier.02)</v>
      </c>
      <c r="O404" s="26">
        <v>0</v>
      </c>
      <c r="P404" s="26">
        <v>0</v>
      </c>
      <c r="Q404" s="26"/>
      <c r="R404" s="26" t="b">
        <v>1</v>
      </c>
    </row>
    <row r="405" spans="1:18" s="153" customFormat="1">
      <c r="A405" s="26" t="s">
        <v>3246</v>
      </c>
      <c r="B405" s="26"/>
      <c r="C405" s="26"/>
      <c r="D405" s="26">
        <v>0</v>
      </c>
      <c r="E405" s="26">
        <v>1</v>
      </c>
      <c r="F405" s="26" t="s">
        <v>197</v>
      </c>
      <c r="G405" s="26" t="s">
        <v>198</v>
      </c>
      <c r="H405" s="26"/>
      <c r="I405" s="26">
        <v>0</v>
      </c>
      <c r="J405" s="26" t="s">
        <v>895</v>
      </c>
      <c r="K405" s="26" t="s">
        <v>896</v>
      </c>
      <c r="L405" s="26" t="s">
        <v>3252</v>
      </c>
      <c r="M405" s="26"/>
      <c r="N405" s="26" t="str">
        <f t="shared" si="16"/>
        <v>SkillEffectModifier(Op, balencia.ult.attack.skillmodifier.03)</v>
      </c>
      <c r="O405" s="26">
        <v>0</v>
      </c>
      <c r="P405" s="26">
        <v>0</v>
      </c>
      <c r="Q405" s="26"/>
      <c r="R405" s="26" t="b">
        <v>1</v>
      </c>
    </row>
    <row r="406" spans="1:18" s="153" customFormat="1">
      <c r="A406" s="26" t="s">
        <v>3247</v>
      </c>
      <c r="B406" s="26"/>
      <c r="C406" s="26"/>
      <c r="D406" s="26">
        <v>0</v>
      </c>
      <c r="E406" s="26">
        <v>1</v>
      </c>
      <c r="F406" s="26" t="s">
        <v>197</v>
      </c>
      <c r="G406" s="26" t="s">
        <v>198</v>
      </c>
      <c r="H406" s="26"/>
      <c r="I406" s="26">
        <v>0</v>
      </c>
      <c r="J406" s="26" t="s">
        <v>895</v>
      </c>
      <c r="K406" s="26" t="s">
        <v>896</v>
      </c>
      <c r="L406" s="26" t="s">
        <v>3253</v>
      </c>
      <c r="M406" s="26"/>
      <c r="N406" s="26" t="str">
        <f t="shared" si="16"/>
        <v>SkillEffectModifier(Op, balencia.ult.attack.skillmodifier.04)</v>
      </c>
      <c r="O406" s="26">
        <v>0</v>
      </c>
      <c r="P406" s="26">
        <v>0</v>
      </c>
      <c r="Q406" s="26"/>
      <c r="R406" s="26" t="b">
        <v>1</v>
      </c>
    </row>
    <row r="407" spans="1:18" s="153" customFormat="1">
      <c r="A407" s="26" t="s">
        <v>3248</v>
      </c>
      <c r="B407" s="26"/>
      <c r="C407" s="26"/>
      <c r="D407" s="26">
        <v>0</v>
      </c>
      <c r="E407" s="26">
        <v>1</v>
      </c>
      <c r="F407" s="26" t="s">
        <v>197</v>
      </c>
      <c r="G407" s="26" t="s">
        <v>198</v>
      </c>
      <c r="H407" s="26"/>
      <c r="I407" s="26">
        <v>0</v>
      </c>
      <c r="J407" s="26" t="s">
        <v>895</v>
      </c>
      <c r="K407" s="26" t="s">
        <v>896</v>
      </c>
      <c r="L407" s="26" t="s">
        <v>3254</v>
      </c>
      <c r="M407" s="26"/>
      <c r="N407" s="26" t="str">
        <f t="shared" si="16"/>
        <v>SkillEffectModifier(Op, balencia.ult.attack.skillmodifier.05)</v>
      </c>
      <c r="O407" s="26">
        <v>0</v>
      </c>
      <c r="P407" s="26">
        <v>0</v>
      </c>
      <c r="Q407" s="26"/>
      <c r="R407" s="26" t="b">
        <v>1</v>
      </c>
    </row>
    <row r="408" spans="1:18" s="153" customFormat="1">
      <c r="A408" s="34" t="s">
        <v>3249</v>
      </c>
      <c r="B408" s="34"/>
      <c r="C408" s="34"/>
      <c r="D408" s="34">
        <v>0</v>
      </c>
      <c r="E408" s="34">
        <v>1</v>
      </c>
      <c r="F408" s="34" t="s">
        <v>197</v>
      </c>
      <c r="G408" s="34" t="s">
        <v>198</v>
      </c>
      <c r="H408" s="34"/>
      <c r="I408" s="34">
        <v>0</v>
      </c>
      <c r="J408" s="34" t="s">
        <v>895</v>
      </c>
      <c r="K408" s="34" t="s">
        <v>896</v>
      </c>
      <c r="L408" s="34" t="s">
        <v>3255</v>
      </c>
      <c r="M408" s="34"/>
      <c r="N408" s="34" t="str">
        <f t="shared" si="16"/>
        <v>SkillEffectModifier(Op, balencia.ult.attack.skillmodifier.06)</v>
      </c>
      <c r="O408" s="34">
        <v>0</v>
      </c>
      <c r="P408" s="34">
        <v>0</v>
      </c>
      <c r="Q408" s="34"/>
      <c r="R408" s="34" t="b">
        <v>1</v>
      </c>
    </row>
    <row r="409" spans="1:18" s="153" customFormat="1">
      <c r="A409" s="34" t="s">
        <v>3250</v>
      </c>
      <c r="B409" s="34"/>
      <c r="C409" s="34"/>
      <c r="D409" s="34">
        <v>0</v>
      </c>
      <c r="E409" s="34">
        <v>1</v>
      </c>
      <c r="F409" s="34" t="s">
        <v>197</v>
      </c>
      <c r="G409" s="34" t="s">
        <v>198</v>
      </c>
      <c r="H409" s="34"/>
      <c r="I409" s="34">
        <v>0</v>
      </c>
      <c r="J409" s="34" t="s">
        <v>895</v>
      </c>
      <c r="K409" s="34" t="s">
        <v>896</v>
      </c>
      <c r="L409" s="34" t="s">
        <v>3256</v>
      </c>
      <c r="M409" s="34"/>
      <c r="N409" s="34" t="str">
        <f t="shared" si="16"/>
        <v>SkillEffectModifier(Op, balencia.ult.attack.skillmodifier.07)</v>
      </c>
      <c r="O409" s="34">
        <v>0</v>
      </c>
      <c r="P409" s="34">
        <v>0</v>
      </c>
      <c r="Q409" s="34"/>
      <c r="R409" s="34" t="b">
        <v>1</v>
      </c>
    </row>
    <row r="410" spans="1:18" s="13" customFormat="1">
      <c r="A410" s="44" t="s">
        <v>6645</v>
      </c>
      <c r="B410" s="44"/>
      <c r="C410" s="44"/>
      <c r="D410" s="44">
        <v>0</v>
      </c>
      <c r="E410" s="44">
        <v>1</v>
      </c>
      <c r="F410" s="44" t="s">
        <v>197</v>
      </c>
      <c r="G410" s="44" t="s">
        <v>198</v>
      </c>
      <c r="H410" s="44"/>
      <c r="I410" s="44">
        <v>0</v>
      </c>
      <c r="J410" s="44" t="s">
        <v>916</v>
      </c>
      <c r="K410" s="44" t="s">
        <v>917</v>
      </c>
      <c r="L410" s="44"/>
      <c r="M410" s="44"/>
      <c r="N410" s="44" t="str">
        <f t="shared" si="16"/>
        <v>ChangeSkill(Normal)</v>
      </c>
      <c r="O410" s="44">
        <v>0</v>
      </c>
      <c r="P410" s="44">
        <v>0</v>
      </c>
      <c r="Q410" s="44"/>
      <c r="R410" s="44" t="b">
        <v>1</v>
      </c>
    </row>
    <row r="411" spans="1:18" s="13" customFormat="1">
      <c r="A411" s="44" t="s">
        <v>6648</v>
      </c>
      <c r="B411" s="44"/>
      <c r="C411" s="44"/>
      <c r="D411" s="44">
        <v>0</v>
      </c>
      <c r="E411" s="44">
        <v>1</v>
      </c>
      <c r="F411" s="44" t="s">
        <v>197</v>
      </c>
      <c r="G411" s="44" t="s">
        <v>198</v>
      </c>
      <c r="H411" s="44"/>
      <c r="I411" s="44">
        <v>0</v>
      </c>
      <c r="J411" s="44" t="s">
        <v>893</v>
      </c>
      <c r="K411" s="44" t="s">
        <v>6856</v>
      </c>
      <c r="L411" s="44"/>
      <c r="M411" s="44"/>
      <c r="N411" s="44" t="str">
        <f t="shared" si="16"/>
        <v>Active(balencia.ult.B.fist.end)</v>
      </c>
      <c r="O411" s="44">
        <v>0</v>
      </c>
      <c r="P411" s="44">
        <v>0</v>
      </c>
      <c r="Q411" s="44"/>
      <c r="R411" s="44" t="b">
        <v>1</v>
      </c>
    </row>
    <row r="412" spans="1:18" s="13" customFormat="1">
      <c r="A412" s="26" t="s">
        <v>1920</v>
      </c>
      <c r="B412" s="26"/>
      <c r="C412" s="26"/>
      <c r="D412" s="26">
        <v>0</v>
      </c>
      <c r="E412" s="26">
        <v>1</v>
      </c>
      <c r="F412" s="26" t="s">
        <v>197</v>
      </c>
      <c r="G412" s="26" t="s">
        <v>198</v>
      </c>
      <c r="H412" s="26"/>
      <c r="I412" s="26">
        <v>0</v>
      </c>
      <c r="J412" s="26" t="s">
        <v>889</v>
      </c>
      <c r="K412" s="26" t="s">
        <v>875</v>
      </c>
      <c r="L412" s="26">
        <v>3250</v>
      </c>
      <c r="M412" s="26"/>
      <c r="N412" s="26" t="str">
        <f t="shared" si="16"/>
        <v>Shield(Attack, 3250)</v>
      </c>
      <c r="O412" s="26">
        <v>0</v>
      </c>
      <c r="P412" s="26">
        <v>0</v>
      </c>
      <c r="Q412" s="26"/>
      <c r="R412" s="26" t="b">
        <v>1</v>
      </c>
    </row>
    <row r="413" spans="1:18" s="13" customFormat="1">
      <c r="A413" s="26" t="s">
        <v>1921</v>
      </c>
      <c r="B413" s="26"/>
      <c r="C413" s="26"/>
      <c r="D413" s="26">
        <v>0</v>
      </c>
      <c r="E413" s="26">
        <v>1</v>
      </c>
      <c r="F413" s="26" t="s">
        <v>197</v>
      </c>
      <c r="G413" s="26" t="s">
        <v>198</v>
      </c>
      <c r="H413" s="26"/>
      <c r="I413" s="26">
        <v>0</v>
      </c>
      <c r="J413" s="26" t="s">
        <v>889</v>
      </c>
      <c r="K413" s="26" t="s">
        <v>875</v>
      </c>
      <c r="L413" s="26">
        <v>3250</v>
      </c>
      <c r="M413" s="26"/>
      <c r="N413" s="26" t="str">
        <f t="shared" si="16"/>
        <v>Shield(Attack, 3250)</v>
      </c>
      <c r="O413" s="26">
        <v>0</v>
      </c>
      <c r="P413" s="26">
        <v>0</v>
      </c>
      <c r="Q413" s="26"/>
      <c r="R413" s="26" t="b">
        <v>1</v>
      </c>
    </row>
    <row r="414" spans="1:18" s="13" customFormat="1">
      <c r="A414" s="26" t="s">
        <v>1922</v>
      </c>
      <c r="B414" s="26"/>
      <c r="C414" s="26"/>
      <c r="D414" s="26">
        <v>0</v>
      </c>
      <c r="E414" s="26">
        <v>1</v>
      </c>
      <c r="F414" s="26" t="s">
        <v>197</v>
      </c>
      <c r="G414" s="26" t="s">
        <v>198</v>
      </c>
      <c r="H414" s="26"/>
      <c r="I414" s="26">
        <v>0</v>
      </c>
      <c r="J414" s="26" t="s">
        <v>889</v>
      </c>
      <c r="K414" s="26" t="s">
        <v>875</v>
      </c>
      <c r="L414" s="26">
        <v>4000</v>
      </c>
      <c r="M414" s="26"/>
      <c r="N414" s="26" t="str">
        <f t="shared" si="16"/>
        <v>Shield(Attack, 4000)</v>
      </c>
      <c r="O414" s="26">
        <v>0</v>
      </c>
      <c r="P414" s="26">
        <v>0</v>
      </c>
      <c r="Q414" s="26"/>
      <c r="R414" s="26" t="b">
        <v>1</v>
      </c>
    </row>
    <row r="415" spans="1:18" s="13" customFormat="1">
      <c r="A415" s="26" t="s">
        <v>1923</v>
      </c>
      <c r="B415" s="26"/>
      <c r="C415" s="26"/>
      <c r="D415" s="26">
        <v>0</v>
      </c>
      <c r="E415" s="26">
        <v>1</v>
      </c>
      <c r="F415" s="26" t="s">
        <v>197</v>
      </c>
      <c r="G415" s="26" t="s">
        <v>198</v>
      </c>
      <c r="H415" s="26"/>
      <c r="I415" s="26">
        <v>0</v>
      </c>
      <c r="J415" s="26" t="s">
        <v>889</v>
      </c>
      <c r="K415" s="26" t="s">
        <v>875</v>
      </c>
      <c r="L415" s="26">
        <v>4000</v>
      </c>
      <c r="M415" s="26"/>
      <c r="N415" s="26" t="str">
        <f t="shared" si="16"/>
        <v>Shield(Attack, 4000)</v>
      </c>
      <c r="O415" s="26">
        <v>0</v>
      </c>
      <c r="P415" s="26">
        <v>0</v>
      </c>
      <c r="Q415" s="26"/>
      <c r="R415" s="26" t="b">
        <v>1</v>
      </c>
    </row>
    <row r="416" spans="1:18" s="13" customFormat="1">
      <c r="A416" s="34" t="s">
        <v>1924</v>
      </c>
      <c r="B416" s="34"/>
      <c r="C416" s="34"/>
      <c r="D416" s="34">
        <v>0</v>
      </c>
      <c r="E416" s="34">
        <v>1</v>
      </c>
      <c r="F416" s="34" t="s">
        <v>197</v>
      </c>
      <c r="G416" s="34" t="s">
        <v>198</v>
      </c>
      <c r="H416" s="34"/>
      <c r="I416" s="34">
        <v>0</v>
      </c>
      <c r="J416" s="34" t="s">
        <v>889</v>
      </c>
      <c r="K416" s="34" t="s">
        <v>875</v>
      </c>
      <c r="L416" s="34">
        <v>4000</v>
      </c>
      <c r="M416" s="34"/>
      <c r="N416" s="34" t="str">
        <f t="shared" si="16"/>
        <v>Shield(Attack, 4000)</v>
      </c>
      <c r="O416" s="34">
        <v>0</v>
      </c>
      <c r="P416" s="34">
        <v>0</v>
      </c>
      <c r="Q416" s="34"/>
      <c r="R416" s="34" t="b">
        <v>1</v>
      </c>
    </row>
    <row r="417" spans="1:18" s="13" customFormat="1">
      <c r="A417" s="34" t="s">
        <v>1925</v>
      </c>
      <c r="B417" s="34"/>
      <c r="C417" s="34"/>
      <c r="D417" s="34">
        <v>0</v>
      </c>
      <c r="E417" s="34">
        <v>1</v>
      </c>
      <c r="F417" s="34" t="s">
        <v>197</v>
      </c>
      <c r="G417" s="34" t="s">
        <v>198</v>
      </c>
      <c r="H417" s="34"/>
      <c r="I417" s="34">
        <v>0</v>
      </c>
      <c r="J417" s="34" t="s">
        <v>889</v>
      </c>
      <c r="K417" s="34" t="s">
        <v>875</v>
      </c>
      <c r="L417" s="34">
        <v>4000</v>
      </c>
      <c r="M417" s="34"/>
      <c r="N417" s="34" t="str">
        <f t="shared" si="16"/>
        <v>Shield(Attack, 4000)</v>
      </c>
      <c r="O417" s="34">
        <v>0</v>
      </c>
      <c r="P417" s="34">
        <v>0</v>
      </c>
      <c r="Q417" s="34"/>
      <c r="R417" s="34" t="b">
        <v>1</v>
      </c>
    </row>
    <row r="418" spans="1:18" s="143" customFormat="1">
      <c r="A418" s="25" t="s">
        <v>8142</v>
      </c>
      <c r="B418" s="25"/>
      <c r="C418" s="25"/>
      <c r="D418" s="25">
        <v>0</v>
      </c>
      <c r="E418" s="25">
        <v>1</v>
      </c>
      <c r="F418" s="25" t="s">
        <v>197</v>
      </c>
      <c r="G418" s="25" t="s">
        <v>198</v>
      </c>
      <c r="H418" s="25"/>
      <c r="I418" s="25">
        <v>0</v>
      </c>
      <c r="J418" s="25" t="s">
        <v>191</v>
      </c>
      <c r="K418" s="25" t="s">
        <v>927</v>
      </c>
      <c r="L418" s="25" t="s">
        <v>8162</v>
      </c>
      <c r="M418" s="25"/>
      <c r="N418" s="25" t="str">
        <f t="shared" si="16"/>
        <v>Effect(OnHitNormal, balencia.passive.cooldown.middle.skilleffect.01)</v>
      </c>
      <c r="O418" s="25">
        <v>0</v>
      </c>
      <c r="P418" s="25">
        <v>0</v>
      </c>
      <c r="Q418" s="25"/>
      <c r="R418" s="25" t="b">
        <v>1</v>
      </c>
    </row>
    <row r="419" spans="1:18" s="143" customFormat="1">
      <c r="A419" s="25" t="s">
        <v>8149</v>
      </c>
      <c r="B419" s="25"/>
      <c r="C419" s="25"/>
      <c r="D419" s="25">
        <v>0</v>
      </c>
      <c r="E419" s="25">
        <v>1</v>
      </c>
      <c r="F419" s="25" t="s">
        <v>197</v>
      </c>
      <c r="G419" s="25" t="s">
        <v>198</v>
      </c>
      <c r="H419" s="25"/>
      <c r="I419" s="25">
        <v>0</v>
      </c>
      <c r="J419" s="25" t="s">
        <v>191</v>
      </c>
      <c r="K419" s="25" t="s">
        <v>927</v>
      </c>
      <c r="L419" s="25" t="s">
        <v>8163</v>
      </c>
      <c r="M419" s="25"/>
      <c r="N419" s="25" t="str">
        <f t="shared" si="16"/>
        <v>Effect(OnHitNormal, balencia.passive.cooldown.middle.skilleffect.02)</v>
      </c>
      <c r="O419" s="25">
        <v>0</v>
      </c>
      <c r="P419" s="25">
        <v>0</v>
      </c>
      <c r="Q419" s="25"/>
      <c r="R419" s="25" t="b">
        <v>1</v>
      </c>
    </row>
    <row r="420" spans="1:18" s="143" customFormat="1">
      <c r="A420" s="25" t="s">
        <v>8150</v>
      </c>
      <c r="B420" s="25"/>
      <c r="C420" s="25"/>
      <c r="D420" s="25">
        <v>0</v>
      </c>
      <c r="E420" s="25">
        <v>1</v>
      </c>
      <c r="F420" s="25" t="s">
        <v>197</v>
      </c>
      <c r="G420" s="25" t="s">
        <v>198</v>
      </c>
      <c r="H420" s="25"/>
      <c r="I420" s="25">
        <v>0</v>
      </c>
      <c r="J420" s="25" t="s">
        <v>191</v>
      </c>
      <c r="K420" s="25" t="s">
        <v>927</v>
      </c>
      <c r="L420" s="25" t="s">
        <v>8164</v>
      </c>
      <c r="M420" s="25"/>
      <c r="N420" s="25" t="str">
        <f t="shared" si="16"/>
        <v>Effect(OnHitNormal, balencia.passive.cooldown.middle.skilleffect.03)</v>
      </c>
      <c r="O420" s="25">
        <v>0</v>
      </c>
      <c r="P420" s="25">
        <v>0</v>
      </c>
      <c r="Q420" s="25"/>
      <c r="R420" s="25" t="b">
        <v>1</v>
      </c>
    </row>
    <row r="421" spans="1:18" s="143" customFormat="1">
      <c r="A421" s="34" t="s">
        <v>8151</v>
      </c>
      <c r="B421" s="34"/>
      <c r="C421" s="34"/>
      <c r="D421" s="34">
        <v>0</v>
      </c>
      <c r="E421" s="34">
        <v>1</v>
      </c>
      <c r="F421" s="34" t="s">
        <v>197</v>
      </c>
      <c r="G421" s="34" t="s">
        <v>198</v>
      </c>
      <c r="H421" s="34"/>
      <c r="I421" s="34">
        <v>0</v>
      </c>
      <c r="J421" s="34" t="s">
        <v>191</v>
      </c>
      <c r="K421" s="34" t="s">
        <v>927</v>
      </c>
      <c r="L421" s="34" t="s">
        <v>8165</v>
      </c>
      <c r="M421" s="34"/>
      <c r="N421" s="34" t="str">
        <f t="shared" si="16"/>
        <v>Effect(OnHitNormal, balencia.passive.cooldown.middle.skilleffect.04)</v>
      </c>
      <c r="O421" s="34">
        <v>0</v>
      </c>
      <c r="P421" s="34">
        <v>0</v>
      </c>
      <c r="Q421" s="34"/>
      <c r="R421" s="34" t="b">
        <v>1</v>
      </c>
    </row>
    <row r="422" spans="1:18" s="143" customFormat="1">
      <c r="A422" s="34" t="s">
        <v>8152</v>
      </c>
      <c r="B422" s="34"/>
      <c r="C422" s="34"/>
      <c r="D422" s="34">
        <v>0</v>
      </c>
      <c r="E422" s="34">
        <v>1</v>
      </c>
      <c r="F422" s="34" t="s">
        <v>197</v>
      </c>
      <c r="G422" s="34" t="s">
        <v>198</v>
      </c>
      <c r="H422" s="34"/>
      <c r="I422" s="34">
        <v>0</v>
      </c>
      <c r="J422" s="34" t="s">
        <v>191</v>
      </c>
      <c r="K422" s="34" t="s">
        <v>927</v>
      </c>
      <c r="L422" s="34" t="s">
        <v>8166</v>
      </c>
      <c r="M422" s="34"/>
      <c r="N422" s="34" t="str">
        <f t="shared" si="16"/>
        <v>Effect(OnHitNormal, balencia.passive.cooldown.middle.skilleffect.05)</v>
      </c>
      <c r="O422" s="34">
        <v>0</v>
      </c>
      <c r="P422" s="34">
        <v>0</v>
      </c>
      <c r="Q422" s="34"/>
      <c r="R422" s="34" t="b">
        <v>1</v>
      </c>
    </row>
    <row r="423" spans="1:18" s="143" customFormat="1">
      <c r="A423" s="34" t="s">
        <v>8160</v>
      </c>
      <c r="B423" s="34"/>
      <c r="C423" s="34"/>
      <c r="D423" s="34">
        <v>0</v>
      </c>
      <c r="E423" s="34">
        <v>1</v>
      </c>
      <c r="F423" s="34" t="s">
        <v>197</v>
      </c>
      <c r="G423" s="34" t="s">
        <v>198</v>
      </c>
      <c r="H423" s="34"/>
      <c r="I423" s="34">
        <v>0</v>
      </c>
      <c r="J423" s="34" t="s">
        <v>191</v>
      </c>
      <c r="K423" s="34" t="s">
        <v>927</v>
      </c>
      <c r="L423" s="34" t="s">
        <v>8167</v>
      </c>
      <c r="M423" s="34"/>
      <c r="N423" s="34" t="str">
        <f t="shared" ref="N423" si="17">J423&amp;"("&amp;IF(K423="","",K423)&amp;IF(L423="","",", "&amp;L423)&amp;IF(M423="","",", "&amp;M423)&amp;")"</f>
        <v>Effect(OnHitNormal, balencia.passive.cooldown.middle.skilleffect.06)</v>
      </c>
      <c r="O423" s="34">
        <v>0</v>
      </c>
      <c r="P423" s="34">
        <v>0</v>
      </c>
      <c r="Q423" s="34"/>
      <c r="R423" s="34" t="b">
        <v>1</v>
      </c>
    </row>
    <row r="424" spans="1:18" s="143" customFormat="1">
      <c r="A424" s="25" t="s">
        <v>8153</v>
      </c>
      <c r="B424" s="25"/>
      <c r="C424" s="25"/>
      <c r="D424" s="25">
        <v>0</v>
      </c>
      <c r="E424" s="25">
        <v>1</v>
      </c>
      <c r="F424" s="25" t="s">
        <v>197</v>
      </c>
      <c r="G424" s="25" t="s">
        <v>198</v>
      </c>
      <c r="H424" s="25"/>
      <c r="I424" s="25">
        <v>0</v>
      </c>
      <c r="J424" s="25" t="s">
        <v>191</v>
      </c>
      <c r="K424" s="25" t="s">
        <v>927</v>
      </c>
      <c r="L424" s="25" t="s">
        <v>8168</v>
      </c>
      <c r="M424" s="25"/>
      <c r="N424" s="25" t="str">
        <f t="shared" ref="N424:N428" si="18">J424&amp;"("&amp;IF(K424="","",K424)&amp;IF(L424="","",", "&amp;L424)&amp;IF(M424="","",", "&amp;M424)&amp;")"</f>
        <v>Effect(OnHitNormal, balencia.passive.cooldown.back.skilleffect.01)</v>
      </c>
      <c r="O424" s="25">
        <v>0</v>
      </c>
      <c r="P424" s="25">
        <v>0</v>
      </c>
      <c r="Q424" s="25"/>
      <c r="R424" s="25" t="b">
        <v>1</v>
      </c>
    </row>
    <row r="425" spans="1:18" s="143" customFormat="1">
      <c r="A425" s="25" t="s">
        <v>8154</v>
      </c>
      <c r="B425" s="25"/>
      <c r="C425" s="25"/>
      <c r="D425" s="25">
        <v>0</v>
      </c>
      <c r="E425" s="25">
        <v>1</v>
      </c>
      <c r="F425" s="25" t="s">
        <v>197</v>
      </c>
      <c r="G425" s="25" t="s">
        <v>198</v>
      </c>
      <c r="H425" s="25"/>
      <c r="I425" s="25">
        <v>0</v>
      </c>
      <c r="J425" s="25" t="s">
        <v>191</v>
      </c>
      <c r="K425" s="25" t="s">
        <v>927</v>
      </c>
      <c r="L425" s="25" t="s">
        <v>8169</v>
      </c>
      <c r="M425" s="25"/>
      <c r="N425" s="25" t="str">
        <f t="shared" si="18"/>
        <v>Effect(OnHitNormal, balencia.passive.cooldown.back.skilleffect.02)</v>
      </c>
      <c r="O425" s="25">
        <v>0</v>
      </c>
      <c r="P425" s="25">
        <v>0</v>
      </c>
      <c r="Q425" s="25"/>
      <c r="R425" s="25" t="b">
        <v>1</v>
      </c>
    </row>
    <row r="426" spans="1:18" s="143" customFormat="1">
      <c r="A426" s="25" t="s">
        <v>8155</v>
      </c>
      <c r="B426" s="25"/>
      <c r="C426" s="25"/>
      <c r="D426" s="25">
        <v>0</v>
      </c>
      <c r="E426" s="25">
        <v>1</v>
      </c>
      <c r="F426" s="25" t="s">
        <v>197</v>
      </c>
      <c r="G426" s="25" t="s">
        <v>198</v>
      </c>
      <c r="H426" s="25"/>
      <c r="I426" s="25">
        <v>0</v>
      </c>
      <c r="J426" s="25" t="s">
        <v>191</v>
      </c>
      <c r="K426" s="25" t="s">
        <v>927</v>
      </c>
      <c r="L426" s="25" t="s">
        <v>8170</v>
      </c>
      <c r="M426" s="25"/>
      <c r="N426" s="25" t="str">
        <f t="shared" si="18"/>
        <v>Effect(OnHitNormal, balencia.passive.cooldown.back.skilleffect.03)</v>
      </c>
      <c r="O426" s="25">
        <v>0</v>
      </c>
      <c r="P426" s="25">
        <v>0</v>
      </c>
      <c r="Q426" s="25"/>
      <c r="R426" s="25" t="b">
        <v>1</v>
      </c>
    </row>
    <row r="427" spans="1:18" s="143" customFormat="1">
      <c r="A427" s="34" t="s">
        <v>8156</v>
      </c>
      <c r="B427" s="34"/>
      <c r="C427" s="34"/>
      <c r="D427" s="34">
        <v>0</v>
      </c>
      <c r="E427" s="34">
        <v>1</v>
      </c>
      <c r="F427" s="34" t="s">
        <v>197</v>
      </c>
      <c r="G427" s="34" t="s">
        <v>198</v>
      </c>
      <c r="H427" s="34"/>
      <c r="I427" s="34">
        <v>0</v>
      </c>
      <c r="J427" s="34" t="s">
        <v>191</v>
      </c>
      <c r="K427" s="34" t="s">
        <v>927</v>
      </c>
      <c r="L427" s="34" t="s">
        <v>8171</v>
      </c>
      <c r="M427" s="34"/>
      <c r="N427" s="34" t="str">
        <f t="shared" si="18"/>
        <v>Effect(OnHitNormal, balencia.passive.cooldown.back.skilleffect.04)</v>
      </c>
      <c r="O427" s="34">
        <v>0</v>
      </c>
      <c r="P427" s="34">
        <v>0</v>
      </c>
      <c r="Q427" s="34"/>
      <c r="R427" s="34" t="b">
        <v>1</v>
      </c>
    </row>
    <row r="428" spans="1:18" s="143" customFormat="1">
      <c r="A428" s="34" t="s">
        <v>8157</v>
      </c>
      <c r="B428" s="34"/>
      <c r="C428" s="34"/>
      <c r="D428" s="34">
        <v>0</v>
      </c>
      <c r="E428" s="34">
        <v>1</v>
      </c>
      <c r="F428" s="34" t="s">
        <v>197</v>
      </c>
      <c r="G428" s="34" t="s">
        <v>198</v>
      </c>
      <c r="H428" s="34"/>
      <c r="I428" s="34">
        <v>0</v>
      </c>
      <c r="J428" s="34" t="s">
        <v>191</v>
      </c>
      <c r="K428" s="34" t="s">
        <v>927</v>
      </c>
      <c r="L428" s="34" t="s">
        <v>8172</v>
      </c>
      <c r="M428" s="34"/>
      <c r="N428" s="34" t="str">
        <f t="shared" si="18"/>
        <v>Effect(OnHitNormal, balencia.passive.cooldown.back.skilleffect.05)</v>
      </c>
      <c r="O428" s="34">
        <v>0</v>
      </c>
      <c r="P428" s="34">
        <v>0</v>
      </c>
      <c r="Q428" s="34"/>
      <c r="R428" s="34" t="b">
        <v>1</v>
      </c>
    </row>
    <row r="429" spans="1:18" s="143" customFormat="1">
      <c r="A429" s="34" t="s">
        <v>8161</v>
      </c>
      <c r="B429" s="34"/>
      <c r="C429" s="34"/>
      <c r="D429" s="34">
        <v>0</v>
      </c>
      <c r="E429" s="34">
        <v>1</v>
      </c>
      <c r="F429" s="34" t="s">
        <v>197</v>
      </c>
      <c r="G429" s="34" t="s">
        <v>198</v>
      </c>
      <c r="H429" s="34"/>
      <c r="I429" s="34">
        <v>0</v>
      </c>
      <c r="J429" s="34" t="s">
        <v>191</v>
      </c>
      <c r="K429" s="34" t="s">
        <v>927</v>
      </c>
      <c r="L429" s="34" t="s">
        <v>8173</v>
      </c>
      <c r="M429" s="34"/>
      <c r="N429" s="34" t="str">
        <f t="shared" ref="N429" si="19">J429&amp;"("&amp;IF(K429="","",K429)&amp;IF(L429="","",", "&amp;L429)&amp;IF(M429="","",", "&amp;M429)&amp;")"</f>
        <v>Effect(OnHitNormal, balencia.passive.cooldown.back.skilleffect.06)</v>
      </c>
      <c r="O429" s="34">
        <v>0</v>
      </c>
      <c r="P429" s="34">
        <v>0</v>
      </c>
      <c r="Q429" s="34"/>
      <c r="R429" s="34" t="b">
        <v>1</v>
      </c>
    </row>
    <row r="430" spans="1:18" s="153" customFormat="1">
      <c r="A430" s="26" t="s">
        <v>3090</v>
      </c>
      <c r="B430" s="26"/>
      <c r="C430" s="26"/>
      <c r="D430" s="26">
        <v>0</v>
      </c>
      <c r="E430" s="26">
        <v>1</v>
      </c>
      <c r="F430" s="26" t="s">
        <v>197</v>
      </c>
      <c r="G430" s="26" t="s">
        <v>198</v>
      </c>
      <c r="H430" s="26"/>
      <c r="I430" s="26">
        <v>0</v>
      </c>
      <c r="J430" s="26" t="s">
        <v>191</v>
      </c>
      <c r="K430" s="26" t="s">
        <v>923</v>
      </c>
      <c r="L430" s="26" t="s">
        <v>6857</v>
      </c>
      <c r="M430" s="26"/>
      <c r="N430" s="26" t="str">
        <f t="shared" si="16"/>
        <v>Effect(OnHit, balencia.passive.ex.buff.skilleffect.01)</v>
      </c>
      <c r="O430" s="26">
        <v>0</v>
      </c>
      <c r="P430" s="26">
        <v>0</v>
      </c>
      <c r="Q430" s="26"/>
      <c r="R430" s="26" t="b">
        <v>1</v>
      </c>
    </row>
    <row r="431" spans="1:18" s="153" customFormat="1">
      <c r="A431" s="26" t="s">
        <v>3091</v>
      </c>
      <c r="B431" s="26"/>
      <c r="C431" s="26"/>
      <c r="D431" s="26">
        <v>0</v>
      </c>
      <c r="E431" s="26">
        <v>1</v>
      </c>
      <c r="F431" s="26" t="s">
        <v>197</v>
      </c>
      <c r="G431" s="26" t="s">
        <v>198</v>
      </c>
      <c r="H431" s="26"/>
      <c r="I431" s="26">
        <v>0</v>
      </c>
      <c r="J431" s="26" t="s">
        <v>191</v>
      </c>
      <c r="K431" s="26" t="s">
        <v>923</v>
      </c>
      <c r="L431" s="26" t="s">
        <v>3096</v>
      </c>
      <c r="M431" s="26"/>
      <c r="N431" s="26" t="str">
        <f t="shared" si="16"/>
        <v>Effect(OnHit, balencia.passive.ex.buff.skilleffect.02)</v>
      </c>
      <c r="O431" s="26">
        <v>0</v>
      </c>
      <c r="P431" s="26">
        <v>0</v>
      </c>
      <c r="Q431" s="26"/>
      <c r="R431" s="26" t="b">
        <v>1</v>
      </c>
    </row>
    <row r="432" spans="1:18" s="153" customFormat="1">
      <c r="A432" s="26" t="s">
        <v>3092</v>
      </c>
      <c r="B432" s="26"/>
      <c r="C432" s="26"/>
      <c r="D432" s="26">
        <v>0</v>
      </c>
      <c r="E432" s="26">
        <v>1</v>
      </c>
      <c r="F432" s="26" t="s">
        <v>197</v>
      </c>
      <c r="G432" s="26" t="s">
        <v>198</v>
      </c>
      <c r="H432" s="26"/>
      <c r="I432" s="26">
        <v>0</v>
      </c>
      <c r="J432" s="26" t="s">
        <v>191</v>
      </c>
      <c r="K432" s="26" t="s">
        <v>923</v>
      </c>
      <c r="L432" s="26" t="s">
        <v>3097</v>
      </c>
      <c r="M432" s="26"/>
      <c r="N432" s="26" t="str">
        <f t="shared" si="16"/>
        <v>Effect(OnHit, balencia.passive.ex.buff.skilleffect.03)</v>
      </c>
      <c r="O432" s="26">
        <v>0</v>
      </c>
      <c r="P432" s="26">
        <v>0</v>
      </c>
      <c r="Q432" s="26"/>
      <c r="R432" s="26" t="b">
        <v>1</v>
      </c>
    </row>
    <row r="433" spans="1:18" s="153" customFormat="1">
      <c r="A433" s="26" t="s">
        <v>3093</v>
      </c>
      <c r="B433" s="26"/>
      <c r="C433" s="26"/>
      <c r="D433" s="26">
        <v>0</v>
      </c>
      <c r="E433" s="26">
        <v>1</v>
      </c>
      <c r="F433" s="26" t="s">
        <v>197</v>
      </c>
      <c r="G433" s="26" t="s">
        <v>198</v>
      </c>
      <c r="H433" s="26"/>
      <c r="I433" s="26">
        <v>0</v>
      </c>
      <c r="J433" s="26" t="s">
        <v>191</v>
      </c>
      <c r="K433" s="26" t="s">
        <v>923</v>
      </c>
      <c r="L433" s="26" t="s">
        <v>3098</v>
      </c>
      <c r="M433" s="26"/>
      <c r="N433" s="26" t="str">
        <f t="shared" si="16"/>
        <v>Effect(OnHit, balencia.passive.ex.buff.skilleffect.04)</v>
      </c>
      <c r="O433" s="26">
        <v>0</v>
      </c>
      <c r="P433" s="26">
        <v>0</v>
      </c>
      <c r="Q433" s="26"/>
      <c r="R433" s="26" t="b">
        <v>1</v>
      </c>
    </row>
    <row r="434" spans="1:18" s="153" customFormat="1">
      <c r="A434" s="34" t="s">
        <v>3094</v>
      </c>
      <c r="B434" s="34"/>
      <c r="C434" s="34"/>
      <c r="D434" s="34">
        <v>0</v>
      </c>
      <c r="E434" s="34">
        <v>1</v>
      </c>
      <c r="F434" s="34" t="s">
        <v>197</v>
      </c>
      <c r="G434" s="34" t="s">
        <v>198</v>
      </c>
      <c r="H434" s="34"/>
      <c r="I434" s="34">
        <v>0</v>
      </c>
      <c r="J434" s="34" t="s">
        <v>191</v>
      </c>
      <c r="K434" s="34" t="s">
        <v>923</v>
      </c>
      <c r="L434" s="34" t="s">
        <v>3099</v>
      </c>
      <c r="M434" s="34"/>
      <c r="N434" s="34" t="str">
        <f t="shared" si="16"/>
        <v>Effect(OnHit, balencia.passive.ex.buff.skilleffect.05)</v>
      </c>
      <c r="O434" s="34">
        <v>0</v>
      </c>
      <c r="P434" s="34">
        <v>0</v>
      </c>
      <c r="Q434" s="34"/>
      <c r="R434" s="34" t="b">
        <v>1</v>
      </c>
    </row>
    <row r="435" spans="1:18" s="153" customFormat="1">
      <c r="A435" s="34" t="s">
        <v>3095</v>
      </c>
      <c r="B435" s="34"/>
      <c r="C435" s="34"/>
      <c r="D435" s="34">
        <v>0</v>
      </c>
      <c r="E435" s="34">
        <v>1</v>
      </c>
      <c r="F435" s="34" t="s">
        <v>197</v>
      </c>
      <c r="G435" s="34" t="s">
        <v>198</v>
      </c>
      <c r="H435" s="34"/>
      <c r="I435" s="34">
        <v>0</v>
      </c>
      <c r="J435" s="34" t="s">
        <v>191</v>
      </c>
      <c r="K435" s="34" t="s">
        <v>923</v>
      </c>
      <c r="L435" s="34" t="s">
        <v>3100</v>
      </c>
      <c r="M435" s="34"/>
      <c r="N435" s="34" t="str">
        <f t="shared" si="16"/>
        <v>Effect(OnHit, balencia.passive.ex.buff.skilleffect.06)</v>
      </c>
      <c r="O435" s="34">
        <v>0</v>
      </c>
      <c r="P435" s="34">
        <v>0</v>
      </c>
      <c r="Q435" s="34"/>
      <c r="R435" s="34" t="b">
        <v>1</v>
      </c>
    </row>
    <row r="436" spans="1:18" s="162" customFormat="1">
      <c r="A436" s="44" t="s">
        <v>8205</v>
      </c>
      <c r="B436" s="44"/>
      <c r="C436" s="44"/>
      <c r="D436" s="44">
        <v>0</v>
      </c>
      <c r="E436" s="44">
        <v>1</v>
      </c>
      <c r="F436" s="44" t="s">
        <v>197</v>
      </c>
      <c r="G436" s="44" t="s">
        <v>198</v>
      </c>
      <c r="H436" s="44"/>
      <c r="I436" s="44">
        <v>0</v>
      </c>
      <c r="J436" s="44" t="s">
        <v>838</v>
      </c>
      <c r="K436" s="44" t="s">
        <v>839</v>
      </c>
      <c r="L436" s="44">
        <v>30</v>
      </c>
      <c r="M436" s="44"/>
      <c r="N436" s="44" t="str">
        <f t="shared" si="16"/>
        <v>Status(DamageDerate, 30)</v>
      </c>
      <c r="O436" s="44">
        <v>0</v>
      </c>
      <c r="P436" s="44">
        <v>0</v>
      </c>
      <c r="Q436" s="44"/>
      <c r="R436" s="44" t="b">
        <v>1</v>
      </c>
    </row>
    <row r="437" spans="1:18" s="162" customFormat="1">
      <c r="A437" s="44" t="s">
        <v>8207</v>
      </c>
      <c r="B437" s="44"/>
      <c r="C437" s="44"/>
      <c r="D437" s="44">
        <v>0</v>
      </c>
      <c r="E437" s="44">
        <v>1</v>
      </c>
      <c r="F437" s="44" t="s">
        <v>197</v>
      </c>
      <c r="G437" s="44" t="s">
        <v>198</v>
      </c>
      <c r="H437" s="44"/>
      <c r="I437" s="44">
        <v>0</v>
      </c>
      <c r="J437" s="44" t="s">
        <v>838</v>
      </c>
      <c r="K437" s="44" t="s">
        <v>839</v>
      </c>
      <c r="L437" s="44">
        <v>35</v>
      </c>
      <c r="M437" s="44"/>
      <c r="N437" s="44" t="str">
        <f t="shared" si="16"/>
        <v>Status(DamageDerate, 35)</v>
      </c>
      <c r="O437" s="44">
        <v>0</v>
      </c>
      <c r="P437" s="44">
        <v>0</v>
      </c>
      <c r="Q437" s="44"/>
      <c r="R437" s="44" t="b">
        <v>1</v>
      </c>
    </row>
    <row r="438" spans="1:18" s="162" customFormat="1">
      <c r="A438" s="44" t="s">
        <v>8209</v>
      </c>
      <c r="B438" s="44"/>
      <c r="C438" s="44"/>
      <c r="D438" s="44">
        <v>0</v>
      </c>
      <c r="E438" s="44">
        <v>1</v>
      </c>
      <c r="F438" s="44" t="s">
        <v>197</v>
      </c>
      <c r="G438" s="44" t="s">
        <v>198</v>
      </c>
      <c r="H438" s="44"/>
      <c r="I438" s="44">
        <v>0</v>
      </c>
      <c r="J438" s="44" t="s">
        <v>838</v>
      </c>
      <c r="K438" s="44" t="s">
        <v>839</v>
      </c>
      <c r="L438" s="44">
        <v>40</v>
      </c>
      <c r="M438" s="44"/>
      <c r="N438" s="44" t="str">
        <f t="shared" si="16"/>
        <v>Status(DamageDerate, 40)</v>
      </c>
      <c r="O438" s="44">
        <v>0</v>
      </c>
      <c r="P438" s="44">
        <v>0</v>
      </c>
      <c r="Q438" s="44"/>
      <c r="R438" s="44" t="b">
        <v>1</v>
      </c>
    </row>
    <row r="439" spans="1:18" s="162" customFormat="1">
      <c r="A439" s="44" t="s">
        <v>8211</v>
      </c>
      <c r="B439" s="44"/>
      <c r="C439" s="44"/>
      <c r="D439" s="44">
        <v>0</v>
      </c>
      <c r="E439" s="44">
        <v>1</v>
      </c>
      <c r="F439" s="44" t="s">
        <v>197</v>
      </c>
      <c r="G439" s="44" t="s">
        <v>198</v>
      </c>
      <c r="H439" s="44"/>
      <c r="I439" s="44">
        <v>0</v>
      </c>
      <c r="J439" s="44" t="s">
        <v>838</v>
      </c>
      <c r="K439" s="44" t="s">
        <v>839</v>
      </c>
      <c r="L439" s="44">
        <v>45</v>
      </c>
      <c r="M439" s="44"/>
      <c r="N439" s="44" t="str">
        <f t="shared" si="16"/>
        <v>Status(DamageDerate, 45)</v>
      </c>
      <c r="O439" s="44">
        <v>0</v>
      </c>
      <c r="P439" s="44">
        <v>0</v>
      </c>
      <c r="Q439" s="44"/>
      <c r="R439" s="44" t="b">
        <v>1</v>
      </c>
    </row>
    <row r="440" spans="1:18" s="162" customFormat="1">
      <c r="A440" s="34" t="s">
        <v>8213</v>
      </c>
      <c r="B440" s="34"/>
      <c r="C440" s="34"/>
      <c r="D440" s="34">
        <v>0</v>
      </c>
      <c r="E440" s="34">
        <v>1</v>
      </c>
      <c r="F440" s="34" t="s">
        <v>197</v>
      </c>
      <c r="G440" s="34" t="s">
        <v>198</v>
      </c>
      <c r="H440" s="34"/>
      <c r="I440" s="34">
        <v>0</v>
      </c>
      <c r="J440" s="34" t="s">
        <v>838</v>
      </c>
      <c r="K440" s="34" t="s">
        <v>839</v>
      </c>
      <c r="L440" s="34">
        <v>45</v>
      </c>
      <c r="M440" s="34"/>
      <c r="N440" s="34" t="str">
        <f t="shared" si="16"/>
        <v>Status(DamageDerate, 45)</v>
      </c>
      <c r="O440" s="34">
        <v>0</v>
      </c>
      <c r="P440" s="34">
        <v>0</v>
      </c>
      <c r="Q440" s="34"/>
      <c r="R440" s="34" t="b">
        <v>1</v>
      </c>
    </row>
    <row r="441" spans="1:18" s="162" customFormat="1">
      <c r="A441" s="34" t="s">
        <v>8215</v>
      </c>
      <c r="B441" s="34"/>
      <c r="C441" s="34"/>
      <c r="D441" s="34">
        <v>0</v>
      </c>
      <c r="E441" s="34">
        <v>1</v>
      </c>
      <c r="F441" s="34" t="s">
        <v>197</v>
      </c>
      <c r="G441" s="34" t="s">
        <v>198</v>
      </c>
      <c r="H441" s="34"/>
      <c r="I441" s="34">
        <v>0</v>
      </c>
      <c r="J441" s="34" t="s">
        <v>838</v>
      </c>
      <c r="K441" s="34" t="s">
        <v>839</v>
      </c>
      <c r="L441" s="34">
        <v>45</v>
      </c>
      <c r="M441" s="34"/>
      <c r="N441" s="34" t="str">
        <f t="shared" si="16"/>
        <v>Status(DamageDerate, 45)</v>
      </c>
      <c r="O441" s="34">
        <v>0</v>
      </c>
      <c r="P441" s="34">
        <v>0</v>
      </c>
      <c r="Q441" s="34"/>
      <c r="R441" s="34" t="b">
        <v>1</v>
      </c>
    </row>
    <row r="442" spans="1:18" s="153" customFormat="1">
      <c r="A442" s="26" t="s">
        <v>8217</v>
      </c>
      <c r="B442" s="26"/>
      <c r="C442" s="26"/>
      <c r="D442" s="26">
        <v>0</v>
      </c>
      <c r="E442" s="26">
        <v>1</v>
      </c>
      <c r="F442" s="26" t="s">
        <v>197</v>
      </c>
      <c r="G442" s="26" t="s">
        <v>198</v>
      </c>
      <c r="H442" s="26"/>
      <c r="I442" s="26">
        <v>0</v>
      </c>
      <c r="J442" s="26" t="s">
        <v>838</v>
      </c>
      <c r="K442" s="26" t="s">
        <v>918</v>
      </c>
      <c r="L442" s="26">
        <v>5</v>
      </c>
      <c r="M442" s="26"/>
      <c r="N442" s="26" t="str">
        <f t="shared" si="16"/>
        <v>Status(AttackSpeedRate, 5)</v>
      </c>
      <c r="O442" s="26">
        <v>0</v>
      </c>
      <c r="P442" s="26">
        <v>0</v>
      </c>
      <c r="Q442" s="26"/>
      <c r="R442" s="26" t="b">
        <v>1</v>
      </c>
    </row>
    <row r="443" spans="1:18" s="153" customFormat="1">
      <c r="A443" s="26" t="s">
        <v>8219</v>
      </c>
      <c r="B443" s="26"/>
      <c r="C443" s="26"/>
      <c r="D443" s="26">
        <v>0</v>
      </c>
      <c r="E443" s="26">
        <v>1</v>
      </c>
      <c r="F443" s="26" t="s">
        <v>197</v>
      </c>
      <c r="G443" s="26" t="s">
        <v>198</v>
      </c>
      <c r="H443" s="26"/>
      <c r="I443" s="26">
        <v>0</v>
      </c>
      <c r="J443" s="26" t="s">
        <v>838</v>
      </c>
      <c r="K443" s="26" t="s">
        <v>918</v>
      </c>
      <c r="L443" s="26">
        <v>10</v>
      </c>
      <c r="M443" s="26"/>
      <c r="N443" s="26" t="str">
        <f t="shared" si="16"/>
        <v>Status(AttackSpeedRate, 10)</v>
      </c>
      <c r="O443" s="26">
        <v>0</v>
      </c>
      <c r="P443" s="26">
        <v>0</v>
      </c>
      <c r="Q443" s="26"/>
      <c r="R443" s="26" t="b">
        <v>1</v>
      </c>
    </row>
    <row r="444" spans="1:18" s="153" customFormat="1">
      <c r="A444" s="26" t="s">
        <v>8221</v>
      </c>
      <c r="B444" s="26"/>
      <c r="C444" s="26"/>
      <c r="D444" s="26">
        <v>0</v>
      </c>
      <c r="E444" s="26">
        <v>1</v>
      </c>
      <c r="F444" s="26" t="s">
        <v>197</v>
      </c>
      <c r="G444" s="26" t="s">
        <v>198</v>
      </c>
      <c r="H444" s="26"/>
      <c r="I444" s="26">
        <v>0</v>
      </c>
      <c r="J444" s="26" t="s">
        <v>838</v>
      </c>
      <c r="K444" s="26" t="s">
        <v>918</v>
      </c>
      <c r="L444" s="26">
        <v>15</v>
      </c>
      <c r="M444" s="26"/>
      <c r="N444" s="26" t="str">
        <f t="shared" si="16"/>
        <v>Status(AttackSpeedRate, 15)</v>
      </c>
      <c r="O444" s="26">
        <v>0</v>
      </c>
      <c r="P444" s="26">
        <v>0</v>
      </c>
      <c r="Q444" s="26"/>
      <c r="R444" s="26" t="b">
        <v>1</v>
      </c>
    </row>
    <row r="445" spans="1:18" s="153" customFormat="1">
      <c r="A445" s="26" t="s">
        <v>8223</v>
      </c>
      <c r="B445" s="26"/>
      <c r="C445" s="26"/>
      <c r="D445" s="26">
        <v>0</v>
      </c>
      <c r="E445" s="26">
        <v>1</v>
      </c>
      <c r="F445" s="26" t="s">
        <v>197</v>
      </c>
      <c r="G445" s="26" t="s">
        <v>198</v>
      </c>
      <c r="H445" s="26"/>
      <c r="I445" s="26">
        <v>0</v>
      </c>
      <c r="J445" s="26" t="s">
        <v>838</v>
      </c>
      <c r="K445" s="26" t="s">
        <v>918</v>
      </c>
      <c r="L445" s="26">
        <v>20</v>
      </c>
      <c r="M445" s="26"/>
      <c r="N445" s="26" t="str">
        <f t="shared" si="16"/>
        <v>Status(AttackSpeedRate, 20)</v>
      </c>
      <c r="O445" s="26">
        <v>0</v>
      </c>
      <c r="P445" s="26">
        <v>0</v>
      </c>
      <c r="Q445" s="26"/>
      <c r="R445" s="26" t="b">
        <v>1</v>
      </c>
    </row>
    <row r="446" spans="1:18" s="153" customFormat="1">
      <c r="A446" s="34" t="s">
        <v>8225</v>
      </c>
      <c r="B446" s="34"/>
      <c r="C446" s="34"/>
      <c r="D446" s="34">
        <v>0</v>
      </c>
      <c r="E446" s="34">
        <v>1</v>
      </c>
      <c r="F446" s="34" t="s">
        <v>197</v>
      </c>
      <c r="G446" s="34" t="s">
        <v>198</v>
      </c>
      <c r="H446" s="34"/>
      <c r="I446" s="34">
        <v>0</v>
      </c>
      <c r="J446" s="34" t="s">
        <v>838</v>
      </c>
      <c r="K446" s="34" t="s">
        <v>918</v>
      </c>
      <c r="L446" s="34">
        <v>35</v>
      </c>
      <c r="M446" s="34"/>
      <c r="N446" s="34" t="str">
        <f t="shared" si="16"/>
        <v>Status(AttackSpeedRate, 35)</v>
      </c>
      <c r="O446" s="34">
        <v>0</v>
      </c>
      <c r="P446" s="34">
        <v>0</v>
      </c>
      <c r="Q446" s="34"/>
      <c r="R446" s="34" t="b">
        <v>1</v>
      </c>
    </row>
    <row r="447" spans="1:18" s="153" customFormat="1">
      <c r="A447" s="34" t="s">
        <v>8227</v>
      </c>
      <c r="B447" s="34"/>
      <c r="C447" s="34"/>
      <c r="D447" s="34">
        <v>0</v>
      </c>
      <c r="E447" s="34">
        <v>1</v>
      </c>
      <c r="F447" s="34" t="s">
        <v>197</v>
      </c>
      <c r="G447" s="34" t="s">
        <v>198</v>
      </c>
      <c r="H447" s="34"/>
      <c r="I447" s="34">
        <v>0</v>
      </c>
      <c r="J447" s="34" t="s">
        <v>838</v>
      </c>
      <c r="K447" s="34" t="s">
        <v>918</v>
      </c>
      <c r="L447" s="34">
        <v>40</v>
      </c>
      <c r="M447" s="34"/>
      <c r="N447" s="34" t="str">
        <f t="shared" si="16"/>
        <v>Status(AttackSpeedRate, 40)</v>
      </c>
      <c r="O447" s="34">
        <v>0</v>
      </c>
      <c r="P447" s="34">
        <v>0</v>
      </c>
      <c r="Q447" s="34"/>
      <c r="R447" s="34" t="b">
        <v>1</v>
      </c>
    </row>
    <row r="448" spans="1:18" s="153" customFormat="1">
      <c r="A448" s="44" t="s">
        <v>8176</v>
      </c>
      <c r="B448" s="44" t="s">
        <v>1367</v>
      </c>
      <c r="C448" s="44" t="s">
        <v>8189</v>
      </c>
      <c r="D448" s="44">
        <v>0</v>
      </c>
      <c r="E448" s="44">
        <v>1</v>
      </c>
      <c r="F448" s="44" t="s">
        <v>197</v>
      </c>
      <c r="G448" s="44" t="s">
        <v>198</v>
      </c>
      <c r="H448" s="44"/>
      <c r="I448" s="44">
        <v>0</v>
      </c>
      <c r="J448" s="44" t="s">
        <v>8180</v>
      </c>
      <c r="K448" s="44" t="s">
        <v>8181</v>
      </c>
      <c r="L448" s="44"/>
      <c r="M448" s="44"/>
      <c r="N448" s="44" t="str">
        <f t="shared" ref="N448:N449" si="20">J448&amp;"("&amp;IF(K448="","",K448)&amp;IF(L448="","",", "&amp;L448)&amp;IF(M448="","",", "&amp;M448)&amp;")"</f>
        <v>Active(balencia.passive.ex.private.skilleffect.01)</v>
      </c>
      <c r="O448" s="44">
        <v>0</v>
      </c>
      <c r="P448" s="44">
        <v>0</v>
      </c>
      <c r="Q448" s="44"/>
      <c r="R448" s="44" t="b">
        <v>1</v>
      </c>
    </row>
    <row r="449" spans="1:18" s="153" customFormat="1">
      <c r="A449" s="44" t="s">
        <v>8178</v>
      </c>
      <c r="B449" s="44"/>
      <c r="C449" s="44"/>
      <c r="D449" s="44">
        <v>0</v>
      </c>
      <c r="E449" s="44">
        <v>1</v>
      </c>
      <c r="F449" s="44" t="s">
        <v>197</v>
      </c>
      <c r="G449" s="44" t="s">
        <v>198</v>
      </c>
      <c r="H449" s="44"/>
      <c r="I449" s="44">
        <v>0</v>
      </c>
      <c r="J449" s="44" t="s">
        <v>838</v>
      </c>
      <c r="K449" s="44" t="s">
        <v>8182</v>
      </c>
      <c r="L449" s="44">
        <v>500</v>
      </c>
      <c r="M449" s="44"/>
      <c r="N449" s="44" t="str">
        <f t="shared" si="20"/>
        <v>Status(DamageDerate, 500)</v>
      </c>
      <c r="O449" s="44">
        <v>0</v>
      </c>
      <c r="P449" s="44">
        <v>0</v>
      </c>
      <c r="Q449" s="44"/>
      <c r="R449" s="44" t="b">
        <v>1</v>
      </c>
    </row>
    <row r="450" spans="1:18">
      <c r="A450" s="24" t="s">
        <v>6858</v>
      </c>
      <c r="B450" s="24" t="s">
        <v>1414</v>
      </c>
      <c r="C450" s="24" t="s">
        <v>1989</v>
      </c>
      <c r="D450" s="24">
        <v>0</v>
      </c>
      <c r="E450" s="24">
        <v>1</v>
      </c>
      <c r="F450" s="24" t="s">
        <v>197</v>
      </c>
      <c r="G450" s="24" t="s">
        <v>198</v>
      </c>
      <c r="H450" s="24"/>
      <c r="I450" s="24">
        <v>0</v>
      </c>
      <c r="J450" s="24" t="s">
        <v>895</v>
      </c>
      <c r="K450" s="24" t="s">
        <v>896</v>
      </c>
      <c r="L450" s="24" t="s">
        <v>6859</v>
      </c>
      <c r="M450" s="24"/>
      <c r="N450" s="24" t="str">
        <f t="shared" si="16"/>
        <v>SkillEffectModifier(Op, belita.ult.poem.ultdmgup.skilleffectmodifier.01)</v>
      </c>
      <c r="O450" s="24">
        <v>0</v>
      </c>
      <c r="P450" s="24">
        <v>0</v>
      </c>
      <c r="Q450" s="24"/>
      <c r="R450" s="24" t="b">
        <v>1</v>
      </c>
    </row>
    <row r="451" spans="1:18">
      <c r="A451" s="24" t="s">
        <v>1976</v>
      </c>
      <c r="B451" s="24" t="s">
        <v>1414</v>
      </c>
      <c r="C451" s="24" t="s">
        <v>1989</v>
      </c>
      <c r="D451" s="24">
        <v>0</v>
      </c>
      <c r="E451" s="24">
        <v>1</v>
      </c>
      <c r="F451" s="24" t="s">
        <v>197</v>
      </c>
      <c r="G451" s="24" t="s">
        <v>198</v>
      </c>
      <c r="H451" s="24"/>
      <c r="I451" s="24">
        <v>0</v>
      </c>
      <c r="J451" s="24" t="s">
        <v>895</v>
      </c>
      <c r="K451" s="24" t="s">
        <v>896</v>
      </c>
      <c r="L451" s="24" t="s">
        <v>1982</v>
      </c>
      <c r="M451" s="24"/>
      <c r="N451" s="24" t="str">
        <f t="shared" si="16"/>
        <v>SkillEffectModifier(Op, belita.ult.poem.ultdmgup.skilleffectmodifier.02)</v>
      </c>
      <c r="O451" s="24">
        <v>0</v>
      </c>
      <c r="P451" s="24">
        <v>0</v>
      </c>
      <c r="Q451" s="24"/>
      <c r="R451" s="24" t="b">
        <v>1</v>
      </c>
    </row>
    <row r="452" spans="1:18">
      <c r="A452" s="24" t="s">
        <v>1977</v>
      </c>
      <c r="B452" s="24" t="s">
        <v>1414</v>
      </c>
      <c r="C452" s="24" t="s">
        <v>1989</v>
      </c>
      <c r="D452" s="24">
        <v>0</v>
      </c>
      <c r="E452" s="24">
        <v>1</v>
      </c>
      <c r="F452" s="24" t="s">
        <v>197</v>
      </c>
      <c r="G452" s="24" t="s">
        <v>198</v>
      </c>
      <c r="H452" s="24"/>
      <c r="I452" s="24">
        <v>0</v>
      </c>
      <c r="J452" s="24" t="s">
        <v>895</v>
      </c>
      <c r="K452" s="24" t="s">
        <v>896</v>
      </c>
      <c r="L452" s="24" t="s">
        <v>1983</v>
      </c>
      <c r="M452" s="24"/>
      <c r="N452" s="24" t="str">
        <f t="shared" si="16"/>
        <v>SkillEffectModifier(Op, belita.ult.poem.ultdmgup.skilleffectmodifier.03)</v>
      </c>
      <c r="O452" s="24">
        <v>0</v>
      </c>
      <c r="P452" s="24">
        <v>0</v>
      </c>
      <c r="Q452" s="24"/>
      <c r="R452" s="24" t="b">
        <v>1</v>
      </c>
    </row>
    <row r="453" spans="1:18">
      <c r="A453" s="24" t="s">
        <v>2637</v>
      </c>
      <c r="B453" s="24" t="s">
        <v>1414</v>
      </c>
      <c r="C453" s="24" t="s">
        <v>1989</v>
      </c>
      <c r="D453" s="24">
        <v>0</v>
      </c>
      <c r="E453" s="24">
        <v>1</v>
      </c>
      <c r="F453" s="24" t="s">
        <v>197</v>
      </c>
      <c r="G453" s="24" t="s">
        <v>198</v>
      </c>
      <c r="H453" s="24"/>
      <c r="I453" s="24">
        <v>0</v>
      </c>
      <c r="J453" s="24" t="s">
        <v>895</v>
      </c>
      <c r="K453" s="24" t="s">
        <v>896</v>
      </c>
      <c r="L453" s="24" t="s">
        <v>1983</v>
      </c>
      <c r="M453" s="24"/>
      <c r="N453" s="24" t="str">
        <f t="shared" si="16"/>
        <v>SkillEffectModifier(Op, belita.ult.poem.ultdmgup.skilleffectmodifier.03)</v>
      </c>
      <c r="O453" s="24">
        <v>0</v>
      </c>
      <c r="P453" s="24">
        <v>0</v>
      </c>
      <c r="Q453" s="24"/>
      <c r="R453" s="24" t="b">
        <v>1</v>
      </c>
    </row>
    <row r="454" spans="1:18">
      <c r="A454" s="24" t="s">
        <v>2638</v>
      </c>
      <c r="B454" s="24" t="s">
        <v>1414</v>
      </c>
      <c r="C454" s="24" t="s">
        <v>1989</v>
      </c>
      <c r="D454" s="24">
        <v>0</v>
      </c>
      <c r="E454" s="24">
        <v>1</v>
      </c>
      <c r="F454" s="24" t="s">
        <v>197</v>
      </c>
      <c r="G454" s="24" t="s">
        <v>198</v>
      </c>
      <c r="H454" s="24"/>
      <c r="I454" s="24">
        <v>0</v>
      </c>
      <c r="J454" s="24" t="s">
        <v>895</v>
      </c>
      <c r="K454" s="24" t="s">
        <v>896</v>
      </c>
      <c r="L454" s="24" t="s">
        <v>1983</v>
      </c>
      <c r="M454" s="24"/>
      <c r="N454" s="24" t="str">
        <f t="shared" si="16"/>
        <v>SkillEffectModifier(Op, belita.ult.poem.ultdmgup.skilleffectmodifier.03)</v>
      </c>
      <c r="O454" s="24">
        <v>0</v>
      </c>
      <c r="P454" s="24">
        <v>0</v>
      </c>
      <c r="Q454" s="24"/>
      <c r="R454" s="24" t="b">
        <v>1</v>
      </c>
    </row>
    <row r="455" spans="1:18">
      <c r="A455" s="34" t="s">
        <v>2639</v>
      </c>
      <c r="B455" s="34" t="s">
        <v>1414</v>
      </c>
      <c r="C455" s="34" t="s">
        <v>1989</v>
      </c>
      <c r="D455" s="34">
        <v>0</v>
      </c>
      <c r="E455" s="34">
        <v>1</v>
      </c>
      <c r="F455" s="34" t="s">
        <v>197</v>
      </c>
      <c r="G455" s="34" t="s">
        <v>198</v>
      </c>
      <c r="H455" s="34"/>
      <c r="I455" s="34">
        <v>0</v>
      </c>
      <c r="J455" s="34" t="s">
        <v>895</v>
      </c>
      <c r="K455" s="34" t="s">
        <v>896</v>
      </c>
      <c r="L455" s="34" t="s">
        <v>1983</v>
      </c>
      <c r="M455" s="34"/>
      <c r="N455" s="34" t="str">
        <f t="shared" si="16"/>
        <v>SkillEffectModifier(Op, belita.ult.poem.ultdmgup.skilleffectmodifier.03)</v>
      </c>
      <c r="O455" s="34">
        <v>0</v>
      </c>
      <c r="P455" s="34">
        <v>0</v>
      </c>
      <c r="Q455" s="34"/>
      <c r="R455" s="34" t="b">
        <v>1</v>
      </c>
    </row>
    <row r="456" spans="1:18">
      <c r="A456" s="34" t="s">
        <v>2640</v>
      </c>
      <c r="B456" s="34" t="s">
        <v>1414</v>
      </c>
      <c r="C456" s="34" t="s">
        <v>1989</v>
      </c>
      <c r="D456" s="34">
        <v>0</v>
      </c>
      <c r="E456" s="34">
        <v>1</v>
      </c>
      <c r="F456" s="34" t="s">
        <v>197</v>
      </c>
      <c r="G456" s="34" t="s">
        <v>198</v>
      </c>
      <c r="H456" s="34"/>
      <c r="I456" s="34">
        <v>0</v>
      </c>
      <c r="J456" s="34" t="s">
        <v>895</v>
      </c>
      <c r="K456" s="34" t="s">
        <v>896</v>
      </c>
      <c r="L456" s="34" t="s">
        <v>1983</v>
      </c>
      <c r="M456" s="34"/>
      <c r="N456" s="34" t="str">
        <f t="shared" si="16"/>
        <v>SkillEffectModifier(Op, belita.ult.poem.ultdmgup.skilleffectmodifier.03)</v>
      </c>
      <c r="O456" s="34">
        <v>0</v>
      </c>
      <c r="P456" s="34">
        <v>0</v>
      </c>
      <c r="Q456" s="34"/>
      <c r="R456" s="34" t="b">
        <v>1</v>
      </c>
    </row>
    <row r="457" spans="1:18">
      <c r="A457" s="23" t="s">
        <v>6860</v>
      </c>
      <c r="B457" s="23" t="s">
        <v>1414</v>
      </c>
      <c r="C457" s="23" t="s">
        <v>1990</v>
      </c>
      <c r="D457" s="23">
        <v>0</v>
      </c>
      <c r="E457" s="23">
        <v>1</v>
      </c>
      <c r="F457" s="23" t="s">
        <v>197</v>
      </c>
      <c r="G457" s="23" t="s">
        <v>198</v>
      </c>
      <c r="H457" s="23"/>
      <c r="I457" s="23">
        <v>0</v>
      </c>
      <c r="J457" s="23" t="s">
        <v>838</v>
      </c>
      <c r="K457" s="23" t="s">
        <v>868</v>
      </c>
      <c r="L457" s="23">
        <v>800</v>
      </c>
      <c r="M457" s="23"/>
      <c r="N457" s="23" t="str">
        <f t="shared" si="16"/>
        <v>Status(IgnoreDefenseRate, 800)</v>
      </c>
      <c r="O457" s="23">
        <v>0</v>
      </c>
      <c r="P457" s="23">
        <v>0</v>
      </c>
      <c r="Q457" s="23"/>
      <c r="R457" s="23" t="b">
        <v>1</v>
      </c>
    </row>
    <row r="458" spans="1:18">
      <c r="A458" s="23" t="s">
        <v>1978</v>
      </c>
      <c r="B458" s="23" t="s">
        <v>1414</v>
      </c>
      <c r="C458" s="23" t="s">
        <v>1990</v>
      </c>
      <c r="D458" s="23">
        <v>0</v>
      </c>
      <c r="E458" s="23">
        <v>1</v>
      </c>
      <c r="F458" s="23" t="s">
        <v>197</v>
      </c>
      <c r="G458" s="23" t="s">
        <v>198</v>
      </c>
      <c r="H458" s="23"/>
      <c r="I458" s="23">
        <v>0</v>
      </c>
      <c r="J458" s="23" t="s">
        <v>838</v>
      </c>
      <c r="K458" s="23" t="s">
        <v>868</v>
      </c>
      <c r="L458" s="23">
        <v>850</v>
      </c>
      <c r="M458" s="23"/>
      <c r="N458" s="23" t="str">
        <f t="shared" si="16"/>
        <v>Status(IgnoreDefenseRate, 850)</v>
      </c>
      <c r="O458" s="23">
        <v>0</v>
      </c>
      <c r="P458" s="23">
        <v>0</v>
      </c>
      <c r="Q458" s="23"/>
      <c r="R458" s="23" t="b">
        <v>1</v>
      </c>
    </row>
    <row r="459" spans="1:18">
      <c r="A459" s="23" t="s">
        <v>1979</v>
      </c>
      <c r="B459" s="23" t="s">
        <v>1414</v>
      </c>
      <c r="C459" s="23" t="s">
        <v>1990</v>
      </c>
      <c r="D459" s="23">
        <v>0</v>
      </c>
      <c r="E459" s="23">
        <v>1</v>
      </c>
      <c r="F459" s="23" t="s">
        <v>197</v>
      </c>
      <c r="G459" s="23" t="s">
        <v>198</v>
      </c>
      <c r="H459" s="23"/>
      <c r="I459" s="23">
        <v>0</v>
      </c>
      <c r="J459" s="23" t="s">
        <v>838</v>
      </c>
      <c r="K459" s="23" t="s">
        <v>868</v>
      </c>
      <c r="L459" s="23">
        <v>900</v>
      </c>
      <c r="M459" s="23"/>
      <c r="N459" s="23" t="str">
        <f t="shared" si="16"/>
        <v>Status(IgnoreDefenseRate, 900)</v>
      </c>
      <c r="O459" s="23">
        <v>0</v>
      </c>
      <c r="P459" s="23">
        <v>0</v>
      </c>
      <c r="Q459" s="23"/>
      <c r="R459" s="23" t="b">
        <v>1</v>
      </c>
    </row>
    <row r="460" spans="1:18">
      <c r="A460" s="23" t="s">
        <v>2641</v>
      </c>
      <c r="B460" s="23" t="s">
        <v>1414</v>
      </c>
      <c r="C460" s="23" t="s">
        <v>1990</v>
      </c>
      <c r="D460" s="23">
        <v>0</v>
      </c>
      <c r="E460" s="23">
        <v>1</v>
      </c>
      <c r="F460" s="23" t="s">
        <v>197</v>
      </c>
      <c r="G460" s="23" t="s">
        <v>198</v>
      </c>
      <c r="H460" s="23"/>
      <c r="I460" s="23">
        <v>0</v>
      </c>
      <c r="J460" s="23" t="s">
        <v>838</v>
      </c>
      <c r="K460" s="23" t="s">
        <v>868</v>
      </c>
      <c r="L460" s="23">
        <v>950</v>
      </c>
      <c r="M460" s="23"/>
      <c r="N460" s="23" t="str">
        <f t="shared" si="16"/>
        <v>Status(IgnoreDefenseRate, 950)</v>
      </c>
      <c r="O460" s="23">
        <v>0</v>
      </c>
      <c r="P460" s="23">
        <v>0</v>
      </c>
      <c r="Q460" s="23"/>
      <c r="R460" s="23" t="b">
        <v>1</v>
      </c>
    </row>
    <row r="461" spans="1:18">
      <c r="A461" s="23" t="s">
        <v>2642</v>
      </c>
      <c r="B461" s="23" t="s">
        <v>1414</v>
      </c>
      <c r="C461" s="23" t="s">
        <v>1990</v>
      </c>
      <c r="D461" s="23">
        <v>0</v>
      </c>
      <c r="E461" s="23">
        <v>1</v>
      </c>
      <c r="F461" s="23" t="s">
        <v>197</v>
      </c>
      <c r="G461" s="23" t="s">
        <v>198</v>
      </c>
      <c r="H461" s="23"/>
      <c r="I461" s="23">
        <v>0</v>
      </c>
      <c r="J461" s="23" t="s">
        <v>838</v>
      </c>
      <c r="K461" s="23" t="s">
        <v>868</v>
      </c>
      <c r="L461" s="23">
        <v>1000</v>
      </c>
      <c r="M461" s="23"/>
      <c r="N461" s="23" t="str">
        <f t="shared" si="16"/>
        <v>Status(IgnoreDefenseRate, 1000)</v>
      </c>
      <c r="O461" s="23">
        <v>0</v>
      </c>
      <c r="P461" s="23">
        <v>0</v>
      </c>
      <c r="Q461" s="23"/>
      <c r="R461" s="23" t="b">
        <v>1</v>
      </c>
    </row>
    <row r="462" spans="1:18">
      <c r="A462" s="34" t="s">
        <v>2643</v>
      </c>
      <c r="B462" s="34" t="s">
        <v>1414</v>
      </c>
      <c r="C462" s="34" t="s">
        <v>1990</v>
      </c>
      <c r="D462" s="34">
        <v>0</v>
      </c>
      <c r="E462" s="34">
        <v>1</v>
      </c>
      <c r="F462" s="34" t="s">
        <v>197</v>
      </c>
      <c r="G462" s="34" t="s">
        <v>198</v>
      </c>
      <c r="H462" s="34"/>
      <c r="I462" s="34">
        <v>0</v>
      </c>
      <c r="J462" s="34" t="s">
        <v>838</v>
      </c>
      <c r="K462" s="34" t="s">
        <v>868</v>
      </c>
      <c r="L462" s="34">
        <v>350</v>
      </c>
      <c r="M462" s="34"/>
      <c r="N462" s="34" t="str">
        <f t="shared" si="16"/>
        <v>Status(IgnoreDefenseRate, 350)</v>
      </c>
      <c r="O462" s="34">
        <v>0</v>
      </c>
      <c r="P462" s="34">
        <v>0</v>
      </c>
      <c r="Q462" s="34"/>
      <c r="R462" s="34" t="b">
        <v>1</v>
      </c>
    </row>
    <row r="463" spans="1:18">
      <c r="A463" s="34" t="s">
        <v>2644</v>
      </c>
      <c r="B463" s="34" t="s">
        <v>1414</v>
      </c>
      <c r="C463" s="34" t="s">
        <v>1990</v>
      </c>
      <c r="D463" s="34">
        <v>0</v>
      </c>
      <c r="E463" s="34">
        <v>1</v>
      </c>
      <c r="F463" s="34" t="s">
        <v>197</v>
      </c>
      <c r="G463" s="34" t="s">
        <v>198</v>
      </c>
      <c r="H463" s="34"/>
      <c r="I463" s="34">
        <v>0</v>
      </c>
      <c r="J463" s="34" t="s">
        <v>838</v>
      </c>
      <c r="K463" s="34" t="s">
        <v>868</v>
      </c>
      <c r="L463" s="34">
        <v>400</v>
      </c>
      <c r="M463" s="34"/>
      <c r="N463" s="34" t="str">
        <f t="shared" si="16"/>
        <v>Status(IgnoreDefenseRate, 400)</v>
      </c>
      <c r="O463" s="34">
        <v>0</v>
      </c>
      <c r="P463" s="34">
        <v>0</v>
      </c>
      <c r="Q463" s="34"/>
      <c r="R463" s="34" t="b">
        <v>1</v>
      </c>
    </row>
    <row r="464" spans="1:18">
      <c r="A464" s="24" t="s">
        <v>6861</v>
      </c>
      <c r="B464" s="24" t="s">
        <v>1414</v>
      </c>
      <c r="C464" s="24" t="s">
        <v>1991</v>
      </c>
      <c r="D464" s="24">
        <v>0</v>
      </c>
      <c r="E464" s="24">
        <v>1</v>
      </c>
      <c r="F464" s="24" t="s">
        <v>197</v>
      </c>
      <c r="G464" s="24" t="s">
        <v>198</v>
      </c>
      <c r="H464" s="24"/>
      <c r="I464" s="24">
        <v>0</v>
      </c>
      <c r="J464" s="24" t="s">
        <v>838</v>
      </c>
      <c r="K464" s="24" t="s">
        <v>867</v>
      </c>
      <c r="L464" s="24">
        <v>1200</v>
      </c>
      <c r="M464" s="24"/>
      <c r="N464" s="24" t="str">
        <f t="shared" si="16"/>
        <v>Status(CriticalRate, 1200)</v>
      </c>
      <c r="O464" s="24">
        <v>0</v>
      </c>
      <c r="P464" s="24">
        <v>0</v>
      </c>
      <c r="Q464" s="24"/>
      <c r="R464" s="24" t="b">
        <v>1</v>
      </c>
    </row>
    <row r="465" spans="1:18">
      <c r="A465" s="24" t="s">
        <v>1980</v>
      </c>
      <c r="B465" s="24" t="s">
        <v>1414</v>
      </c>
      <c r="C465" s="24" t="s">
        <v>1991</v>
      </c>
      <c r="D465" s="24">
        <v>0</v>
      </c>
      <c r="E465" s="24">
        <v>1</v>
      </c>
      <c r="F465" s="24" t="s">
        <v>197</v>
      </c>
      <c r="G465" s="24" t="s">
        <v>198</v>
      </c>
      <c r="H465" s="24"/>
      <c r="I465" s="24">
        <v>0</v>
      </c>
      <c r="J465" s="24" t="s">
        <v>838</v>
      </c>
      <c r="K465" s="24" t="s">
        <v>867</v>
      </c>
      <c r="L465" s="24">
        <v>1400</v>
      </c>
      <c r="M465" s="24"/>
      <c r="N465" s="24" t="str">
        <f t="shared" ref="N465:N528" si="21">J465&amp;"("&amp;IF(K465="","",K465)&amp;IF(L465="","",", "&amp;L465)&amp;IF(M465="","",", "&amp;M465)&amp;")"</f>
        <v>Status(CriticalRate, 1400)</v>
      </c>
      <c r="O465" s="24">
        <v>0</v>
      </c>
      <c r="P465" s="24">
        <v>0</v>
      </c>
      <c r="Q465" s="24"/>
      <c r="R465" s="24" t="b">
        <v>1</v>
      </c>
    </row>
    <row r="466" spans="1:18">
      <c r="A466" s="24" t="s">
        <v>1981</v>
      </c>
      <c r="B466" s="24" t="s">
        <v>1414</v>
      </c>
      <c r="C466" s="24" t="s">
        <v>1991</v>
      </c>
      <c r="D466" s="24">
        <v>0</v>
      </c>
      <c r="E466" s="24">
        <v>1</v>
      </c>
      <c r="F466" s="24" t="s">
        <v>197</v>
      </c>
      <c r="G466" s="24" t="s">
        <v>198</v>
      </c>
      <c r="H466" s="24"/>
      <c r="I466" s="24">
        <v>0</v>
      </c>
      <c r="J466" s="24" t="s">
        <v>838</v>
      </c>
      <c r="K466" s="24" t="s">
        <v>867</v>
      </c>
      <c r="L466" s="24">
        <v>1600</v>
      </c>
      <c r="M466" s="24"/>
      <c r="N466" s="24" t="str">
        <f t="shared" si="21"/>
        <v>Status(CriticalRate, 1600)</v>
      </c>
      <c r="O466" s="24">
        <v>0</v>
      </c>
      <c r="P466" s="24">
        <v>0</v>
      </c>
      <c r="Q466" s="24"/>
      <c r="R466" s="24" t="b">
        <v>1</v>
      </c>
    </row>
    <row r="467" spans="1:18">
      <c r="A467" s="24" t="s">
        <v>2645</v>
      </c>
      <c r="B467" s="24" t="s">
        <v>1414</v>
      </c>
      <c r="C467" s="24" t="s">
        <v>1991</v>
      </c>
      <c r="D467" s="24">
        <v>0</v>
      </c>
      <c r="E467" s="24">
        <v>1</v>
      </c>
      <c r="F467" s="24" t="s">
        <v>197</v>
      </c>
      <c r="G467" s="24" t="s">
        <v>198</v>
      </c>
      <c r="H467" s="24"/>
      <c r="I467" s="24">
        <v>0</v>
      </c>
      <c r="J467" s="24" t="s">
        <v>838</v>
      </c>
      <c r="K467" s="24" t="s">
        <v>867</v>
      </c>
      <c r="L467" s="24">
        <v>1800</v>
      </c>
      <c r="M467" s="24"/>
      <c r="N467" s="24" t="str">
        <f t="shared" si="21"/>
        <v>Status(CriticalRate, 1800)</v>
      </c>
      <c r="O467" s="24">
        <v>0</v>
      </c>
      <c r="P467" s="24">
        <v>0</v>
      </c>
      <c r="Q467" s="24"/>
      <c r="R467" s="24" t="b">
        <v>1</v>
      </c>
    </row>
    <row r="468" spans="1:18">
      <c r="A468" s="24" t="s">
        <v>2646</v>
      </c>
      <c r="B468" s="24" t="s">
        <v>1414</v>
      </c>
      <c r="C468" s="24" t="s">
        <v>1991</v>
      </c>
      <c r="D468" s="24">
        <v>0</v>
      </c>
      <c r="E468" s="24">
        <v>1</v>
      </c>
      <c r="F468" s="24" t="s">
        <v>197</v>
      </c>
      <c r="G468" s="24" t="s">
        <v>198</v>
      </c>
      <c r="H468" s="24"/>
      <c r="I468" s="24">
        <v>0</v>
      </c>
      <c r="J468" s="24" t="s">
        <v>838</v>
      </c>
      <c r="K468" s="24" t="s">
        <v>867</v>
      </c>
      <c r="L468" s="24">
        <v>2000</v>
      </c>
      <c r="M468" s="24"/>
      <c r="N468" s="24" t="str">
        <f t="shared" si="21"/>
        <v>Status(CriticalRate, 2000)</v>
      </c>
      <c r="O468" s="24">
        <v>0</v>
      </c>
      <c r="P468" s="24">
        <v>0</v>
      </c>
      <c r="Q468" s="24"/>
      <c r="R468" s="24" t="b">
        <v>1</v>
      </c>
    </row>
    <row r="469" spans="1:18">
      <c r="A469" s="34" t="s">
        <v>2647</v>
      </c>
      <c r="B469" s="34" t="s">
        <v>1414</v>
      </c>
      <c r="C469" s="34" t="s">
        <v>1991</v>
      </c>
      <c r="D469" s="34">
        <v>0</v>
      </c>
      <c r="E469" s="34">
        <v>1</v>
      </c>
      <c r="F469" s="34" t="s">
        <v>197</v>
      </c>
      <c r="G469" s="34" t="s">
        <v>198</v>
      </c>
      <c r="H469" s="34"/>
      <c r="I469" s="34">
        <v>0</v>
      </c>
      <c r="J469" s="34" t="s">
        <v>838</v>
      </c>
      <c r="K469" s="34" t="s">
        <v>867</v>
      </c>
      <c r="L469" s="34">
        <v>1000</v>
      </c>
      <c r="M469" s="34"/>
      <c r="N469" s="34" t="str">
        <f t="shared" si="21"/>
        <v>Status(CriticalRate, 1000)</v>
      </c>
      <c r="O469" s="34">
        <v>0</v>
      </c>
      <c r="P469" s="34">
        <v>0</v>
      </c>
      <c r="Q469" s="34"/>
      <c r="R469" s="34" t="b">
        <v>1</v>
      </c>
    </row>
    <row r="470" spans="1:18">
      <c r="A470" s="34" t="s">
        <v>2648</v>
      </c>
      <c r="B470" s="34" t="s">
        <v>1414</v>
      </c>
      <c r="C470" s="34" t="s">
        <v>1991</v>
      </c>
      <c r="D470" s="34">
        <v>0</v>
      </c>
      <c r="E470" s="34">
        <v>1</v>
      </c>
      <c r="F470" s="34" t="s">
        <v>197</v>
      </c>
      <c r="G470" s="34" t="s">
        <v>198</v>
      </c>
      <c r="H470" s="34"/>
      <c r="I470" s="34">
        <v>0</v>
      </c>
      <c r="J470" s="34" t="s">
        <v>838</v>
      </c>
      <c r="K470" s="34" t="s">
        <v>867</v>
      </c>
      <c r="L470" s="34">
        <v>1000</v>
      </c>
      <c r="M470" s="34"/>
      <c r="N470" s="34" t="str">
        <f t="shared" si="21"/>
        <v>Status(CriticalRate, 1000)</v>
      </c>
      <c r="O470" s="34">
        <v>0</v>
      </c>
      <c r="P470" s="34">
        <v>0</v>
      </c>
      <c r="Q470" s="34"/>
      <c r="R470" s="34" t="b">
        <v>1</v>
      </c>
    </row>
    <row r="471" spans="1:18">
      <c r="A471" s="23" t="s">
        <v>1957</v>
      </c>
      <c r="B471" s="23"/>
      <c r="C471" s="23"/>
      <c r="D471" s="23">
        <v>0</v>
      </c>
      <c r="E471" s="23">
        <v>1</v>
      </c>
      <c r="F471" s="23" t="s">
        <v>197</v>
      </c>
      <c r="G471" s="23" t="s">
        <v>198</v>
      </c>
      <c r="H471" s="23"/>
      <c r="I471" s="23">
        <v>0</v>
      </c>
      <c r="J471" s="23" t="s">
        <v>876</v>
      </c>
      <c r="K471" s="23" t="s">
        <v>994</v>
      </c>
      <c r="L471" s="23" t="s">
        <v>6862</v>
      </c>
      <c r="M471" s="23"/>
      <c r="N471" s="23" t="str">
        <f t="shared" si="21"/>
        <v>Event(UseSkill, belita.passive.buff.buffeffect.skilleffect.01)</v>
      </c>
      <c r="O471" s="23">
        <v>0</v>
      </c>
      <c r="P471" s="23">
        <v>0</v>
      </c>
      <c r="Q471" s="23"/>
      <c r="R471" s="23" t="b">
        <v>1</v>
      </c>
    </row>
    <row r="472" spans="1:18">
      <c r="A472" s="23" t="s">
        <v>1958</v>
      </c>
      <c r="B472" s="23"/>
      <c r="C472" s="23"/>
      <c r="D472" s="23">
        <v>0</v>
      </c>
      <c r="E472" s="23">
        <v>1</v>
      </c>
      <c r="F472" s="23" t="s">
        <v>197</v>
      </c>
      <c r="G472" s="23" t="s">
        <v>198</v>
      </c>
      <c r="H472" s="23"/>
      <c r="I472" s="23">
        <v>0</v>
      </c>
      <c r="J472" s="23" t="s">
        <v>876</v>
      </c>
      <c r="K472" s="23" t="s">
        <v>994</v>
      </c>
      <c r="L472" s="23" t="s">
        <v>1968</v>
      </c>
      <c r="M472" s="23"/>
      <c r="N472" s="23" t="str">
        <f t="shared" si="21"/>
        <v>Event(UseSkill, belita.passive.buff.buffeffect.skilleffect.02)</v>
      </c>
      <c r="O472" s="23">
        <v>0</v>
      </c>
      <c r="P472" s="23">
        <v>0</v>
      </c>
      <c r="Q472" s="23"/>
      <c r="R472" s="23" t="b">
        <v>1</v>
      </c>
    </row>
    <row r="473" spans="1:18">
      <c r="A473" s="23" t="s">
        <v>1959</v>
      </c>
      <c r="B473" s="23"/>
      <c r="C473" s="23"/>
      <c r="D473" s="23">
        <v>0</v>
      </c>
      <c r="E473" s="23">
        <v>1</v>
      </c>
      <c r="F473" s="23" t="s">
        <v>197</v>
      </c>
      <c r="G473" s="23" t="s">
        <v>198</v>
      </c>
      <c r="H473" s="23"/>
      <c r="I473" s="23">
        <v>0</v>
      </c>
      <c r="J473" s="23" t="s">
        <v>876</v>
      </c>
      <c r="K473" s="23" t="s">
        <v>994</v>
      </c>
      <c r="L473" s="23" t="s">
        <v>1969</v>
      </c>
      <c r="M473" s="23"/>
      <c r="N473" s="23" t="str">
        <f t="shared" si="21"/>
        <v>Event(UseSkill, belita.passive.buff.buffeffect.skilleffect.03)</v>
      </c>
      <c r="O473" s="23">
        <v>0</v>
      </c>
      <c r="P473" s="23">
        <v>0</v>
      </c>
      <c r="Q473" s="23"/>
      <c r="R473" s="23" t="b">
        <v>1</v>
      </c>
    </row>
    <row r="474" spans="1:18">
      <c r="A474" s="34" t="s">
        <v>1960</v>
      </c>
      <c r="B474" s="34"/>
      <c r="C474" s="34"/>
      <c r="D474" s="34">
        <v>0</v>
      </c>
      <c r="E474" s="34">
        <v>1</v>
      </c>
      <c r="F474" s="34" t="s">
        <v>197</v>
      </c>
      <c r="G474" s="34" t="s">
        <v>198</v>
      </c>
      <c r="H474" s="34"/>
      <c r="I474" s="34">
        <v>0</v>
      </c>
      <c r="J474" s="34" t="s">
        <v>876</v>
      </c>
      <c r="K474" s="34" t="s">
        <v>994</v>
      </c>
      <c r="L474" s="34" t="s">
        <v>1970</v>
      </c>
      <c r="M474" s="34"/>
      <c r="N474" s="34" t="str">
        <f t="shared" si="21"/>
        <v>Event(UseSkill, belita.passive.buff.buffeffect.skilleffect.04)</v>
      </c>
      <c r="O474" s="34">
        <v>0</v>
      </c>
      <c r="P474" s="34">
        <v>0</v>
      </c>
      <c r="Q474" s="34"/>
      <c r="R474" s="34" t="b">
        <v>1</v>
      </c>
    </row>
    <row r="475" spans="1:18">
      <c r="A475" s="34" t="s">
        <v>1961</v>
      </c>
      <c r="B475" s="34"/>
      <c r="C475" s="34"/>
      <c r="D475" s="34">
        <v>0</v>
      </c>
      <c r="E475" s="34">
        <v>1</v>
      </c>
      <c r="F475" s="34" t="s">
        <v>197</v>
      </c>
      <c r="G475" s="34" t="s">
        <v>198</v>
      </c>
      <c r="H475" s="34"/>
      <c r="I475" s="34">
        <v>0</v>
      </c>
      <c r="J475" s="34" t="s">
        <v>876</v>
      </c>
      <c r="K475" s="34" t="s">
        <v>994</v>
      </c>
      <c r="L475" s="34" t="s">
        <v>1971</v>
      </c>
      <c r="M475" s="34"/>
      <c r="N475" s="34" t="str">
        <f t="shared" si="21"/>
        <v>Event(UseSkill, belita.passive.buff.buffeffect.skilleffect.05)</v>
      </c>
      <c r="O475" s="34">
        <v>0</v>
      </c>
      <c r="P475" s="34">
        <v>0</v>
      </c>
      <c r="Q475" s="34"/>
      <c r="R475" s="34" t="b">
        <v>1</v>
      </c>
    </row>
    <row r="476" spans="1:18">
      <c r="A476" s="34" t="s">
        <v>1962</v>
      </c>
      <c r="B476" s="34"/>
      <c r="C476" s="34"/>
      <c r="D476" s="34">
        <v>0</v>
      </c>
      <c r="E476" s="34">
        <v>1</v>
      </c>
      <c r="F476" s="34" t="s">
        <v>197</v>
      </c>
      <c r="G476" s="34" t="s">
        <v>198</v>
      </c>
      <c r="H476" s="34"/>
      <c r="I476" s="34">
        <v>0</v>
      </c>
      <c r="J476" s="34" t="s">
        <v>876</v>
      </c>
      <c r="K476" s="34" t="s">
        <v>994</v>
      </c>
      <c r="L476" s="34" t="s">
        <v>1972</v>
      </c>
      <c r="M476" s="34"/>
      <c r="N476" s="34" t="str">
        <f t="shared" si="21"/>
        <v>Event(UseSkill, belita.passive.buff.buffeffect.skilleffect.06)</v>
      </c>
      <c r="O476" s="34">
        <v>0</v>
      </c>
      <c r="P476" s="34">
        <v>0</v>
      </c>
      <c r="Q476" s="34"/>
      <c r="R476" s="34" t="b">
        <v>1</v>
      </c>
    </row>
    <row r="477" spans="1:18">
      <c r="A477" s="23" t="s">
        <v>3643</v>
      </c>
      <c r="B477" s="23" t="s">
        <v>1414</v>
      </c>
      <c r="C477" s="23" t="s">
        <v>6150</v>
      </c>
      <c r="D477" s="23">
        <v>0</v>
      </c>
      <c r="E477" s="23">
        <v>1</v>
      </c>
      <c r="F477" s="23" t="s">
        <v>197</v>
      </c>
      <c r="G477" s="23" t="s">
        <v>198</v>
      </c>
      <c r="H477" s="23"/>
      <c r="I477" s="23">
        <v>0</v>
      </c>
      <c r="J477" s="23" t="s">
        <v>876</v>
      </c>
      <c r="K477" s="23" t="s">
        <v>1758</v>
      </c>
      <c r="L477" s="23" t="s">
        <v>6863</v>
      </c>
      <c r="M477" s="23" t="s">
        <v>1760</v>
      </c>
      <c r="N477" s="23" t="str">
        <f t="shared" si="21"/>
        <v>Event(FireSkill, belita.ex.passive.buff.buffeffect.skilleffect.01, FireCondition(Skill1))</v>
      </c>
      <c r="O477" s="23">
        <v>0</v>
      </c>
      <c r="P477" s="23">
        <v>0</v>
      </c>
      <c r="Q477" s="23"/>
      <c r="R477" s="23" t="b">
        <v>1</v>
      </c>
    </row>
    <row r="478" spans="1:18">
      <c r="A478" s="23" t="s">
        <v>3644</v>
      </c>
      <c r="B478" s="23" t="s">
        <v>1414</v>
      </c>
      <c r="C478" s="23" t="s">
        <v>6150</v>
      </c>
      <c r="D478" s="23">
        <v>0</v>
      </c>
      <c r="E478" s="23">
        <v>1</v>
      </c>
      <c r="F478" s="23" t="s">
        <v>197</v>
      </c>
      <c r="G478" s="23" t="s">
        <v>198</v>
      </c>
      <c r="H478" s="23"/>
      <c r="I478" s="23">
        <v>0</v>
      </c>
      <c r="J478" s="23" t="s">
        <v>876</v>
      </c>
      <c r="K478" s="23" t="s">
        <v>1758</v>
      </c>
      <c r="L478" s="23" t="s">
        <v>3649</v>
      </c>
      <c r="M478" s="23" t="s">
        <v>1760</v>
      </c>
      <c r="N478" s="23" t="str">
        <f t="shared" si="21"/>
        <v>Event(FireSkill, belita.ex.passive.buff.buffeffect.skilleffect.02, FireCondition(Skill1))</v>
      </c>
      <c r="O478" s="23">
        <v>0</v>
      </c>
      <c r="P478" s="23">
        <v>0</v>
      </c>
      <c r="Q478" s="23"/>
      <c r="R478" s="23" t="b">
        <v>1</v>
      </c>
    </row>
    <row r="479" spans="1:18">
      <c r="A479" s="23" t="s">
        <v>3645</v>
      </c>
      <c r="B479" s="23" t="s">
        <v>1414</v>
      </c>
      <c r="C479" s="23" t="s">
        <v>6150</v>
      </c>
      <c r="D479" s="23">
        <v>0</v>
      </c>
      <c r="E479" s="23">
        <v>1</v>
      </c>
      <c r="F479" s="23" t="s">
        <v>197</v>
      </c>
      <c r="G479" s="23" t="s">
        <v>198</v>
      </c>
      <c r="H479" s="23"/>
      <c r="I479" s="23">
        <v>0</v>
      </c>
      <c r="J479" s="23" t="s">
        <v>876</v>
      </c>
      <c r="K479" s="23" t="s">
        <v>1758</v>
      </c>
      <c r="L479" s="23" t="s">
        <v>3650</v>
      </c>
      <c r="M479" s="23" t="s">
        <v>1760</v>
      </c>
      <c r="N479" s="23" t="str">
        <f t="shared" si="21"/>
        <v>Event(FireSkill, belita.ex.passive.buff.buffeffect.skilleffect.03, FireCondition(Skill1))</v>
      </c>
      <c r="O479" s="23">
        <v>0</v>
      </c>
      <c r="P479" s="23">
        <v>0</v>
      </c>
      <c r="Q479" s="23"/>
      <c r="R479" s="23" t="b">
        <v>1</v>
      </c>
    </row>
    <row r="480" spans="1:18">
      <c r="A480" s="34" t="s">
        <v>3646</v>
      </c>
      <c r="B480" s="34" t="s">
        <v>1414</v>
      </c>
      <c r="C480" s="34" t="s">
        <v>6150</v>
      </c>
      <c r="D480" s="34">
        <v>0</v>
      </c>
      <c r="E480" s="34">
        <v>1</v>
      </c>
      <c r="F480" s="34" t="s">
        <v>197</v>
      </c>
      <c r="G480" s="34" t="s">
        <v>198</v>
      </c>
      <c r="H480" s="34"/>
      <c r="I480" s="34">
        <v>0</v>
      </c>
      <c r="J480" s="34" t="s">
        <v>876</v>
      </c>
      <c r="K480" s="34" t="s">
        <v>1758</v>
      </c>
      <c r="L480" s="34" t="s">
        <v>3651</v>
      </c>
      <c r="M480" s="34" t="s">
        <v>1760</v>
      </c>
      <c r="N480" s="34" t="str">
        <f t="shared" si="21"/>
        <v>Event(FireSkill, belita.ex.passive.buff.buffeffect.skilleffect.04, FireCondition(Skill1))</v>
      </c>
      <c r="O480" s="34">
        <v>0</v>
      </c>
      <c r="P480" s="34">
        <v>0</v>
      </c>
      <c r="Q480" s="34"/>
      <c r="R480" s="34" t="b">
        <v>1</v>
      </c>
    </row>
    <row r="481" spans="1:18">
      <c r="A481" s="34" t="s">
        <v>3647</v>
      </c>
      <c r="B481" s="34" t="s">
        <v>1414</v>
      </c>
      <c r="C481" s="34" t="s">
        <v>6150</v>
      </c>
      <c r="D481" s="34">
        <v>0</v>
      </c>
      <c r="E481" s="34">
        <v>1</v>
      </c>
      <c r="F481" s="34" t="s">
        <v>197</v>
      </c>
      <c r="G481" s="34" t="s">
        <v>198</v>
      </c>
      <c r="H481" s="34"/>
      <c r="I481" s="34">
        <v>0</v>
      </c>
      <c r="J481" s="34" t="s">
        <v>876</v>
      </c>
      <c r="K481" s="34" t="s">
        <v>1758</v>
      </c>
      <c r="L481" s="34" t="s">
        <v>3652</v>
      </c>
      <c r="M481" s="34" t="s">
        <v>1760</v>
      </c>
      <c r="N481" s="34" t="str">
        <f t="shared" si="21"/>
        <v>Event(FireSkill, belita.ex.passive.buff.buffeffect.skilleffect.05, FireCondition(Skill1))</v>
      </c>
      <c r="O481" s="34">
        <v>0</v>
      </c>
      <c r="P481" s="34">
        <v>0</v>
      </c>
      <c r="Q481" s="34"/>
      <c r="R481" s="34" t="b">
        <v>1</v>
      </c>
    </row>
    <row r="482" spans="1:18">
      <c r="A482" s="34" t="s">
        <v>3648</v>
      </c>
      <c r="B482" s="34" t="s">
        <v>1414</v>
      </c>
      <c r="C482" s="34" t="s">
        <v>6150</v>
      </c>
      <c r="D482" s="34">
        <v>0</v>
      </c>
      <c r="E482" s="34">
        <v>1</v>
      </c>
      <c r="F482" s="34" t="s">
        <v>197</v>
      </c>
      <c r="G482" s="34" t="s">
        <v>198</v>
      </c>
      <c r="H482" s="34"/>
      <c r="I482" s="34">
        <v>0</v>
      </c>
      <c r="J482" s="34" t="s">
        <v>876</v>
      </c>
      <c r="K482" s="34" t="s">
        <v>1758</v>
      </c>
      <c r="L482" s="34" t="s">
        <v>3653</v>
      </c>
      <c r="M482" s="34" t="s">
        <v>1760</v>
      </c>
      <c r="N482" s="34" t="str">
        <f t="shared" si="21"/>
        <v>Event(FireSkill, belita.ex.passive.buff.buffeffect.skilleffect.06, FireCondition(Skill1))</v>
      </c>
      <c r="O482" s="34">
        <v>0</v>
      </c>
      <c r="P482" s="34">
        <v>0</v>
      </c>
      <c r="Q482" s="34"/>
      <c r="R482" s="34" t="b">
        <v>1</v>
      </c>
    </row>
    <row r="483" spans="1:18">
      <c r="A483" s="23" t="s">
        <v>1963</v>
      </c>
      <c r="B483" s="23"/>
      <c r="C483" s="23"/>
      <c r="D483" s="23">
        <v>0</v>
      </c>
      <c r="E483" s="23">
        <v>1</v>
      </c>
      <c r="F483" s="23" t="s">
        <v>197</v>
      </c>
      <c r="G483" s="23" t="s">
        <v>198</v>
      </c>
      <c r="H483" s="23"/>
      <c r="I483" s="23">
        <v>0</v>
      </c>
      <c r="J483" s="23" t="s">
        <v>838</v>
      </c>
      <c r="K483" s="23" t="s">
        <v>908</v>
      </c>
      <c r="L483" s="23">
        <v>12</v>
      </c>
      <c r="M483" s="23"/>
      <c r="N483" s="23" t="str">
        <f t="shared" si="21"/>
        <v>Status(AttackRatio, 12)</v>
      </c>
      <c r="O483" s="23">
        <v>0</v>
      </c>
      <c r="P483" s="23">
        <v>0</v>
      </c>
      <c r="Q483" s="23"/>
      <c r="R483" s="23" t="b">
        <v>1</v>
      </c>
    </row>
    <row r="484" spans="1:18">
      <c r="A484" s="23" t="s">
        <v>1964</v>
      </c>
      <c r="B484" s="23"/>
      <c r="C484" s="23"/>
      <c r="D484" s="23">
        <v>0</v>
      </c>
      <c r="E484" s="23">
        <v>1</v>
      </c>
      <c r="F484" s="23" t="s">
        <v>197</v>
      </c>
      <c r="G484" s="23" t="s">
        <v>198</v>
      </c>
      <c r="H484" s="23"/>
      <c r="I484" s="23">
        <v>0</v>
      </c>
      <c r="J484" s="23" t="s">
        <v>838</v>
      </c>
      <c r="K484" s="23" t="s">
        <v>908</v>
      </c>
      <c r="L484" s="23">
        <v>14</v>
      </c>
      <c r="M484" s="23"/>
      <c r="N484" s="23" t="str">
        <f t="shared" si="21"/>
        <v>Status(AttackRatio, 14)</v>
      </c>
      <c r="O484" s="23">
        <v>0</v>
      </c>
      <c r="P484" s="23">
        <v>0</v>
      </c>
      <c r="Q484" s="23"/>
      <c r="R484" s="23" t="b">
        <v>1</v>
      </c>
    </row>
    <row r="485" spans="1:18">
      <c r="A485" s="23" t="s">
        <v>1965</v>
      </c>
      <c r="B485" s="23"/>
      <c r="C485" s="23"/>
      <c r="D485" s="23">
        <v>0</v>
      </c>
      <c r="E485" s="23">
        <v>1</v>
      </c>
      <c r="F485" s="23" t="s">
        <v>197</v>
      </c>
      <c r="G485" s="23" t="s">
        <v>198</v>
      </c>
      <c r="H485" s="23"/>
      <c r="I485" s="23">
        <v>0</v>
      </c>
      <c r="J485" s="23" t="s">
        <v>838</v>
      </c>
      <c r="K485" s="23" t="s">
        <v>908</v>
      </c>
      <c r="L485" s="23">
        <v>16</v>
      </c>
      <c r="M485" s="23"/>
      <c r="N485" s="23" t="str">
        <f t="shared" si="21"/>
        <v>Status(AttackRatio, 16)</v>
      </c>
      <c r="O485" s="23">
        <v>0</v>
      </c>
      <c r="P485" s="23">
        <v>0</v>
      </c>
      <c r="Q485" s="23"/>
      <c r="R485" s="23" t="b">
        <v>1</v>
      </c>
    </row>
    <row r="486" spans="1:18">
      <c r="A486" s="34" t="s">
        <v>1966</v>
      </c>
      <c r="B486" s="34"/>
      <c r="C486" s="34"/>
      <c r="D486" s="34">
        <v>0</v>
      </c>
      <c r="E486" s="34">
        <v>1</v>
      </c>
      <c r="F486" s="34" t="s">
        <v>197</v>
      </c>
      <c r="G486" s="34" t="s">
        <v>198</v>
      </c>
      <c r="H486" s="34"/>
      <c r="I486" s="34">
        <v>0</v>
      </c>
      <c r="J486" s="34" t="s">
        <v>838</v>
      </c>
      <c r="K486" s="34" t="s">
        <v>908</v>
      </c>
      <c r="L486" s="34">
        <v>18</v>
      </c>
      <c r="M486" s="34"/>
      <c r="N486" s="34" t="str">
        <f t="shared" si="21"/>
        <v>Status(AttackRatio, 18)</v>
      </c>
      <c r="O486" s="34">
        <v>0</v>
      </c>
      <c r="P486" s="34">
        <v>0</v>
      </c>
      <c r="Q486" s="34"/>
      <c r="R486" s="34" t="b">
        <v>1</v>
      </c>
    </row>
    <row r="487" spans="1:18">
      <c r="A487" s="34" t="s">
        <v>1967</v>
      </c>
      <c r="B487" s="34"/>
      <c r="C487" s="34"/>
      <c r="D487" s="34">
        <v>0</v>
      </c>
      <c r="E487" s="34">
        <v>1</v>
      </c>
      <c r="F487" s="34" t="s">
        <v>197</v>
      </c>
      <c r="G487" s="34" t="s">
        <v>198</v>
      </c>
      <c r="H487" s="34"/>
      <c r="I487" s="34">
        <v>0</v>
      </c>
      <c r="J487" s="34" t="s">
        <v>838</v>
      </c>
      <c r="K487" s="34" t="s">
        <v>908</v>
      </c>
      <c r="L487" s="34">
        <v>20</v>
      </c>
      <c r="M487" s="34"/>
      <c r="N487" s="34" t="str">
        <f t="shared" si="21"/>
        <v>Status(AttackRatio, 20)</v>
      </c>
      <c r="O487" s="34">
        <v>0</v>
      </c>
      <c r="P487" s="34">
        <v>0</v>
      </c>
      <c r="Q487" s="34"/>
      <c r="R487" s="34" t="b">
        <v>1</v>
      </c>
    </row>
    <row r="488" spans="1:18">
      <c r="A488" s="34" t="s">
        <v>6864</v>
      </c>
      <c r="B488" s="34"/>
      <c r="C488" s="34"/>
      <c r="D488" s="34">
        <v>0</v>
      </c>
      <c r="E488" s="34">
        <v>1</v>
      </c>
      <c r="F488" s="34" t="s">
        <v>197</v>
      </c>
      <c r="G488" s="34" t="s">
        <v>198</v>
      </c>
      <c r="H488" s="34"/>
      <c r="I488" s="34">
        <v>0</v>
      </c>
      <c r="J488" s="34" t="s">
        <v>838</v>
      </c>
      <c r="K488" s="34" t="s">
        <v>908</v>
      </c>
      <c r="L488" s="34">
        <v>40</v>
      </c>
      <c r="M488" s="34"/>
      <c r="N488" s="34" t="str">
        <f t="shared" si="21"/>
        <v>Status(AttackRatio, 40)</v>
      </c>
      <c r="O488" s="34">
        <v>0</v>
      </c>
      <c r="P488" s="34">
        <v>0</v>
      </c>
      <c r="Q488" s="34"/>
      <c r="R488" s="34" t="b">
        <v>1</v>
      </c>
    </row>
    <row r="489" spans="1:18">
      <c r="A489" s="24" t="s">
        <v>6865</v>
      </c>
      <c r="B489" s="24" t="s">
        <v>1367</v>
      </c>
      <c r="C489" s="24" t="s">
        <v>6657</v>
      </c>
      <c r="D489" s="24">
        <v>0</v>
      </c>
      <c r="E489" s="24">
        <v>1</v>
      </c>
      <c r="F489" s="24" t="s">
        <v>197</v>
      </c>
      <c r="G489" s="24" t="s">
        <v>198</v>
      </c>
      <c r="H489" s="24"/>
      <c r="I489" s="24">
        <v>0</v>
      </c>
      <c r="J489" s="24" t="s">
        <v>838</v>
      </c>
      <c r="K489" s="24" t="s">
        <v>867</v>
      </c>
      <c r="L489" s="24">
        <v>100</v>
      </c>
      <c r="M489" s="24"/>
      <c r="N489" s="24" t="str">
        <f t="shared" si="21"/>
        <v>Status(CriticalRate, 100)</v>
      </c>
      <c r="O489" s="24">
        <v>0</v>
      </c>
      <c r="P489" s="24">
        <v>0</v>
      </c>
      <c r="Q489" s="24"/>
      <c r="R489" s="24" t="b">
        <v>1</v>
      </c>
    </row>
    <row r="490" spans="1:18">
      <c r="A490" s="41" t="s">
        <v>6150</v>
      </c>
      <c r="B490" s="41"/>
      <c r="C490" s="41"/>
      <c r="D490" s="41">
        <v>0</v>
      </c>
      <c r="E490" s="41">
        <v>1</v>
      </c>
      <c r="F490" s="41" t="s">
        <v>197</v>
      </c>
      <c r="G490" s="41" t="s">
        <v>198</v>
      </c>
      <c r="H490" s="41"/>
      <c r="I490" s="41">
        <v>0</v>
      </c>
      <c r="J490" s="41" t="s">
        <v>837</v>
      </c>
      <c r="K490" s="41"/>
      <c r="L490" s="41"/>
      <c r="M490" s="41"/>
      <c r="N490" s="41" t="str">
        <f t="shared" si="21"/>
        <v>None()</v>
      </c>
      <c r="O490" s="41">
        <v>0</v>
      </c>
      <c r="P490" s="41">
        <v>0</v>
      </c>
      <c r="Q490" s="41"/>
      <c r="R490" s="41" t="b">
        <v>1</v>
      </c>
    </row>
    <row r="491" spans="1:18">
      <c r="A491" s="41" t="s">
        <v>6676</v>
      </c>
      <c r="B491" s="41"/>
      <c r="C491" s="41"/>
      <c r="D491" s="41">
        <v>0</v>
      </c>
      <c r="E491" s="41">
        <v>1</v>
      </c>
      <c r="F491" s="41" t="s">
        <v>2157</v>
      </c>
      <c r="G491" s="41" t="s">
        <v>418</v>
      </c>
      <c r="H491" s="41"/>
      <c r="I491" s="41">
        <v>0</v>
      </c>
      <c r="J491" s="41" t="s">
        <v>1254</v>
      </c>
      <c r="K491" s="41" t="s">
        <v>6658</v>
      </c>
      <c r="L491" s="41"/>
      <c r="M491" s="41"/>
      <c r="N491" s="41" t="str">
        <f t="shared" si="21"/>
        <v>Passive(belita.passive.ex.active2.trigger)</v>
      </c>
      <c r="O491" s="41">
        <v>0</v>
      </c>
      <c r="P491" s="41">
        <v>0</v>
      </c>
      <c r="Q491" s="41"/>
      <c r="R491" s="41" t="b">
        <v>1</v>
      </c>
    </row>
    <row r="492" spans="1:18">
      <c r="A492" s="23" t="s">
        <v>3632</v>
      </c>
      <c r="B492" s="23" t="s">
        <v>1414</v>
      </c>
      <c r="C492" s="23" t="s">
        <v>1991</v>
      </c>
      <c r="D492" s="23">
        <v>0</v>
      </c>
      <c r="E492" s="23">
        <v>1</v>
      </c>
      <c r="F492" s="23" t="s">
        <v>197</v>
      </c>
      <c r="G492" s="23" t="s">
        <v>198</v>
      </c>
      <c r="H492" s="23"/>
      <c r="I492" s="23">
        <v>0</v>
      </c>
      <c r="J492" s="23" t="s">
        <v>895</v>
      </c>
      <c r="K492" s="23" t="s">
        <v>896</v>
      </c>
      <c r="L492" s="23" t="s">
        <v>6866</v>
      </c>
      <c r="M492" s="23"/>
      <c r="N492" s="23" t="str">
        <f t="shared" si="21"/>
        <v>SkillEffectModifier(Op, belita.ex.active02.dmg.modifier.01)</v>
      </c>
      <c r="O492" s="23">
        <v>0</v>
      </c>
      <c r="P492" s="23">
        <v>0</v>
      </c>
      <c r="Q492" s="23"/>
      <c r="R492" s="23" t="b">
        <v>1</v>
      </c>
    </row>
    <row r="493" spans="1:18">
      <c r="A493" s="23" t="s">
        <v>3633</v>
      </c>
      <c r="B493" s="23" t="s">
        <v>1414</v>
      </c>
      <c r="C493" s="23" t="s">
        <v>1991</v>
      </c>
      <c r="D493" s="23">
        <v>0</v>
      </c>
      <c r="E493" s="23">
        <v>1</v>
      </c>
      <c r="F493" s="23" t="s">
        <v>197</v>
      </c>
      <c r="G493" s="23" t="s">
        <v>198</v>
      </c>
      <c r="H493" s="23"/>
      <c r="I493" s="23">
        <v>0</v>
      </c>
      <c r="J493" s="23" t="s">
        <v>895</v>
      </c>
      <c r="K493" s="23" t="s">
        <v>896</v>
      </c>
      <c r="L493" s="23" t="s">
        <v>3638</v>
      </c>
      <c r="M493" s="23"/>
      <c r="N493" s="23" t="str">
        <f t="shared" si="21"/>
        <v>SkillEffectModifier(Op, belita.ex.active02.dmg.modifier.02)</v>
      </c>
      <c r="O493" s="23">
        <v>0</v>
      </c>
      <c r="P493" s="23">
        <v>0</v>
      </c>
      <c r="Q493" s="23"/>
      <c r="R493" s="23" t="b">
        <v>1</v>
      </c>
    </row>
    <row r="494" spans="1:18">
      <c r="A494" s="23" t="s">
        <v>3634</v>
      </c>
      <c r="B494" s="23" t="s">
        <v>1414</v>
      </c>
      <c r="C494" s="23" t="s">
        <v>1991</v>
      </c>
      <c r="D494" s="23">
        <v>0</v>
      </c>
      <c r="E494" s="23">
        <v>1</v>
      </c>
      <c r="F494" s="23" t="s">
        <v>197</v>
      </c>
      <c r="G494" s="23" t="s">
        <v>198</v>
      </c>
      <c r="H494" s="23"/>
      <c r="I494" s="23">
        <v>0</v>
      </c>
      <c r="J494" s="23" t="s">
        <v>895</v>
      </c>
      <c r="K494" s="23" t="s">
        <v>896</v>
      </c>
      <c r="L494" s="23" t="s">
        <v>3639</v>
      </c>
      <c r="M494" s="23"/>
      <c r="N494" s="23" t="str">
        <f t="shared" si="21"/>
        <v>SkillEffectModifier(Op, belita.ex.active02.dmg.modifier.03)</v>
      </c>
      <c r="O494" s="23">
        <v>0</v>
      </c>
      <c r="P494" s="23">
        <v>0</v>
      </c>
      <c r="Q494" s="23"/>
      <c r="R494" s="23" t="b">
        <v>1</v>
      </c>
    </row>
    <row r="495" spans="1:18">
      <c r="A495" s="34" t="s">
        <v>3635</v>
      </c>
      <c r="B495" s="34" t="s">
        <v>1414</v>
      </c>
      <c r="C495" s="34" t="s">
        <v>1991</v>
      </c>
      <c r="D495" s="34">
        <v>0</v>
      </c>
      <c r="E495" s="34">
        <v>1</v>
      </c>
      <c r="F495" s="34" t="s">
        <v>197</v>
      </c>
      <c r="G495" s="34" t="s">
        <v>198</v>
      </c>
      <c r="H495" s="34"/>
      <c r="I495" s="34">
        <v>0</v>
      </c>
      <c r="J495" s="34" t="s">
        <v>895</v>
      </c>
      <c r="K495" s="34" t="s">
        <v>896</v>
      </c>
      <c r="L495" s="34" t="s">
        <v>3640</v>
      </c>
      <c r="M495" s="34"/>
      <c r="N495" s="34" t="str">
        <f t="shared" si="21"/>
        <v>SkillEffectModifier(Op, belita.ex.active02.dmg.modifier.04)</v>
      </c>
      <c r="O495" s="34">
        <v>0</v>
      </c>
      <c r="P495" s="34">
        <v>0</v>
      </c>
      <c r="Q495" s="34"/>
      <c r="R495" s="34" t="b">
        <v>1</v>
      </c>
    </row>
    <row r="496" spans="1:18">
      <c r="A496" s="34" t="s">
        <v>3636</v>
      </c>
      <c r="B496" s="34" t="s">
        <v>1414</v>
      </c>
      <c r="C496" s="34" t="s">
        <v>1991</v>
      </c>
      <c r="D496" s="34">
        <v>0</v>
      </c>
      <c r="E496" s="34">
        <v>1</v>
      </c>
      <c r="F496" s="34" t="s">
        <v>197</v>
      </c>
      <c r="G496" s="34" t="s">
        <v>198</v>
      </c>
      <c r="H496" s="34"/>
      <c r="I496" s="34">
        <v>0</v>
      </c>
      <c r="J496" s="34" t="s">
        <v>895</v>
      </c>
      <c r="K496" s="34" t="s">
        <v>896</v>
      </c>
      <c r="L496" s="34" t="s">
        <v>3641</v>
      </c>
      <c r="M496" s="34"/>
      <c r="N496" s="34" t="str">
        <f t="shared" si="21"/>
        <v>SkillEffectModifier(Op, belita.ex.active02.dmg.modifier.05)</v>
      </c>
      <c r="O496" s="34">
        <v>0</v>
      </c>
      <c r="P496" s="34">
        <v>0</v>
      </c>
      <c r="Q496" s="34"/>
      <c r="R496" s="34" t="b">
        <v>1</v>
      </c>
    </row>
    <row r="497" spans="1:18">
      <c r="A497" s="34" t="s">
        <v>3637</v>
      </c>
      <c r="B497" s="34" t="s">
        <v>1414</v>
      </c>
      <c r="C497" s="34" t="s">
        <v>1991</v>
      </c>
      <c r="D497" s="34">
        <v>0</v>
      </c>
      <c r="E497" s="34">
        <v>1</v>
      </c>
      <c r="F497" s="34" t="s">
        <v>197</v>
      </c>
      <c r="G497" s="34" t="s">
        <v>198</v>
      </c>
      <c r="H497" s="34"/>
      <c r="I497" s="34">
        <v>0</v>
      </c>
      <c r="J497" s="34" t="s">
        <v>895</v>
      </c>
      <c r="K497" s="34" t="s">
        <v>896</v>
      </c>
      <c r="L497" s="34" t="s">
        <v>3642</v>
      </c>
      <c r="M497" s="34"/>
      <c r="N497" s="34" t="str">
        <f t="shared" si="21"/>
        <v>SkillEffectModifier(Op, belita.ex.active02.dmg.modifier.06)</v>
      </c>
      <c r="O497" s="34">
        <v>0</v>
      </c>
      <c r="P497" s="34">
        <v>0</v>
      </c>
      <c r="Q497" s="34"/>
      <c r="R497" s="34" t="b">
        <v>1</v>
      </c>
    </row>
    <row r="498" spans="1:18">
      <c r="A498" s="40" t="s">
        <v>6678</v>
      </c>
      <c r="B498" s="34"/>
      <c r="C498" s="34"/>
      <c r="D498" s="34">
        <v>0</v>
      </c>
      <c r="E498" s="34">
        <v>1</v>
      </c>
      <c r="F498" s="34" t="s">
        <v>197</v>
      </c>
      <c r="G498" s="34" t="s">
        <v>198</v>
      </c>
      <c r="H498" s="34"/>
      <c r="I498" s="34">
        <v>0</v>
      </c>
      <c r="J498" s="34" t="s">
        <v>893</v>
      </c>
      <c r="K498" s="34" t="s">
        <v>6867</v>
      </c>
      <c r="L498" s="34"/>
      <c r="M498" s="34"/>
      <c r="N498" s="34" t="str">
        <f t="shared" si="21"/>
        <v>Active(belebeta.passive.maindealer.trigger.buffeffect.skilleffect)</v>
      </c>
      <c r="O498" s="34">
        <v>0</v>
      </c>
      <c r="P498" s="34">
        <v>1000</v>
      </c>
      <c r="Q498" s="34"/>
      <c r="R498" s="34" t="b">
        <v>1</v>
      </c>
    </row>
    <row r="499" spans="1:18">
      <c r="A499" s="23" t="s">
        <v>4458</v>
      </c>
      <c r="B499" s="23"/>
      <c r="C499" s="23"/>
      <c r="D499" s="23">
        <v>0</v>
      </c>
      <c r="E499" s="23">
        <v>1</v>
      </c>
      <c r="F499" s="23" t="s">
        <v>197</v>
      </c>
      <c r="G499" s="23" t="s">
        <v>198</v>
      </c>
      <c r="H499" s="23"/>
      <c r="I499" s="23">
        <v>0</v>
      </c>
      <c r="J499" s="23" t="s">
        <v>838</v>
      </c>
      <c r="K499" s="23" t="s">
        <v>867</v>
      </c>
      <c r="L499" s="23">
        <v>100</v>
      </c>
      <c r="M499" s="23"/>
      <c r="N499" s="23" t="str">
        <f t="shared" si="21"/>
        <v>Status(CriticalRate, 100)</v>
      </c>
      <c r="O499" s="23">
        <v>0</v>
      </c>
      <c r="P499" s="23">
        <v>0</v>
      </c>
      <c r="Q499" s="23"/>
      <c r="R499" s="23" t="b">
        <v>1</v>
      </c>
    </row>
    <row r="500" spans="1:18">
      <c r="A500" s="26" t="s">
        <v>503</v>
      </c>
      <c r="B500" s="26"/>
      <c r="C500" s="26"/>
      <c r="D500" s="26">
        <v>0</v>
      </c>
      <c r="E500" s="26">
        <v>1</v>
      </c>
      <c r="F500" s="26" t="s">
        <v>417</v>
      </c>
      <c r="G500" s="26" t="s">
        <v>418</v>
      </c>
      <c r="H500" s="26"/>
      <c r="I500" s="26">
        <v>0</v>
      </c>
      <c r="J500" s="26" t="s">
        <v>1254</v>
      </c>
      <c r="K500" s="26" t="s">
        <v>6868</v>
      </c>
      <c r="L500" s="26"/>
      <c r="M500" s="26"/>
      <c r="N500" s="26" t="str">
        <f t="shared" si="21"/>
        <v>Passive(belebeta.passive.critical.01&amp;belebeta.passive.critical)</v>
      </c>
      <c r="O500" s="26">
        <v>0</v>
      </c>
      <c r="P500" s="26">
        <v>0</v>
      </c>
      <c r="Q500" s="26"/>
      <c r="R500" s="26" t="b">
        <v>1</v>
      </c>
    </row>
    <row r="501" spans="1:18">
      <c r="A501" s="26" t="s">
        <v>505</v>
      </c>
      <c r="B501" s="26"/>
      <c r="C501" s="26"/>
      <c r="D501" s="26">
        <v>0</v>
      </c>
      <c r="E501" s="26">
        <v>1</v>
      </c>
      <c r="F501" s="26" t="s">
        <v>417</v>
      </c>
      <c r="G501" s="26" t="s">
        <v>418</v>
      </c>
      <c r="H501" s="26"/>
      <c r="I501" s="26">
        <v>0</v>
      </c>
      <c r="J501" s="26" t="s">
        <v>1254</v>
      </c>
      <c r="K501" s="26" t="s">
        <v>1780</v>
      </c>
      <c r="L501" s="26"/>
      <c r="M501" s="26"/>
      <c r="N501" s="26" t="str">
        <f t="shared" si="21"/>
        <v>Passive(belebeta.passive.critical.02&amp;belebeta.passive.critical)</v>
      </c>
      <c r="O501" s="26">
        <v>0</v>
      </c>
      <c r="P501" s="26">
        <v>0</v>
      </c>
      <c r="Q501" s="26"/>
      <c r="R501" s="26" t="b">
        <v>1</v>
      </c>
    </row>
    <row r="502" spans="1:18">
      <c r="A502" s="26" t="s">
        <v>507</v>
      </c>
      <c r="B502" s="26"/>
      <c r="C502" s="26"/>
      <c r="D502" s="26">
        <v>0</v>
      </c>
      <c r="E502" s="26">
        <v>1</v>
      </c>
      <c r="F502" s="26" t="s">
        <v>417</v>
      </c>
      <c r="G502" s="26" t="s">
        <v>418</v>
      </c>
      <c r="H502" s="26"/>
      <c r="I502" s="26">
        <v>0</v>
      </c>
      <c r="J502" s="26" t="s">
        <v>1254</v>
      </c>
      <c r="K502" s="26" t="s">
        <v>1781</v>
      </c>
      <c r="L502" s="26"/>
      <c r="M502" s="26"/>
      <c r="N502" s="26" t="str">
        <f t="shared" si="21"/>
        <v>Passive(belebeta.passive.critical.03&amp;belebeta.passive.critical)</v>
      </c>
      <c r="O502" s="26">
        <v>0</v>
      </c>
      <c r="P502" s="26">
        <v>0</v>
      </c>
      <c r="Q502" s="26"/>
      <c r="R502" s="26" t="b">
        <v>1</v>
      </c>
    </row>
    <row r="503" spans="1:18">
      <c r="A503" s="34" t="s">
        <v>509</v>
      </c>
      <c r="B503" s="34"/>
      <c r="C503" s="34"/>
      <c r="D503" s="34">
        <v>0</v>
      </c>
      <c r="E503" s="34">
        <v>1</v>
      </c>
      <c r="F503" s="34" t="s">
        <v>417</v>
      </c>
      <c r="G503" s="34" t="s">
        <v>418</v>
      </c>
      <c r="H503" s="34"/>
      <c r="I503" s="34">
        <v>0</v>
      </c>
      <c r="J503" s="34" t="s">
        <v>1254</v>
      </c>
      <c r="K503" s="34" t="s">
        <v>1782</v>
      </c>
      <c r="L503" s="34"/>
      <c r="M503" s="34"/>
      <c r="N503" s="34" t="str">
        <f t="shared" si="21"/>
        <v>Passive(belebeta.passive.critical.04&amp;belebeta.passive.critical)</v>
      </c>
      <c r="O503" s="34">
        <v>0</v>
      </c>
      <c r="P503" s="34">
        <v>0</v>
      </c>
      <c r="Q503" s="34"/>
      <c r="R503" s="34" t="b">
        <v>1</v>
      </c>
    </row>
    <row r="504" spans="1:18">
      <c r="A504" s="34" t="s">
        <v>511</v>
      </c>
      <c r="B504" s="34"/>
      <c r="C504" s="34"/>
      <c r="D504" s="34">
        <v>0</v>
      </c>
      <c r="E504" s="34">
        <v>1</v>
      </c>
      <c r="F504" s="34" t="s">
        <v>417</v>
      </c>
      <c r="G504" s="34" t="s">
        <v>418</v>
      </c>
      <c r="H504" s="34"/>
      <c r="I504" s="34">
        <v>0</v>
      </c>
      <c r="J504" s="34" t="s">
        <v>1254</v>
      </c>
      <c r="K504" s="34" t="s">
        <v>1783</v>
      </c>
      <c r="L504" s="34"/>
      <c r="M504" s="34"/>
      <c r="N504" s="34" t="str">
        <f t="shared" si="21"/>
        <v>Passive(belebeta.passive.critical.05&amp;belebeta.passive.critical)</v>
      </c>
      <c r="O504" s="34">
        <v>0</v>
      </c>
      <c r="P504" s="34">
        <v>0</v>
      </c>
      <c r="Q504" s="34"/>
      <c r="R504" s="34" t="b">
        <v>1</v>
      </c>
    </row>
    <row r="505" spans="1:18">
      <c r="A505" s="34" t="s">
        <v>513</v>
      </c>
      <c r="B505" s="34"/>
      <c r="C505" s="34"/>
      <c r="D505" s="34">
        <v>0</v>
      </c>
      <c r="E505" s="34">
        <v>1</v>
      </c>
      <c r="F505" s="34" t="s">
        <v>417</v>
      </c>
      <c r="G505" s="34" t="s">
        <v>418</v>
      </c>
      <c r="H505" s="34"/>
      <c r="I505" s="34">
        <v>0</v>
      </c>
      <c r="J505" s="34" t="s">
        <v>1254</v>
      </c>
      <c r="K505" s="34" t="s">
        <v>1784</v>
      </c>
      <c r="L505" s="34"/>
      <c r="M505" s="34"/>
      <c r="N505" s="34" t="str">
        <f t="shared" si="21"/>
        <v>Passive(belebeta.passive.critical.06&amp;belebeta.passive.critical)</v>
      </c>
      <c r="O505" s="34">
        <v>0</v>
      </c>
      <c r="P505" s="34">
        <v>0</v>
      </c>
      <c r="Q505" s="34"/>
      <c r="R505" s="34" t="b">
        <v>1</v>
      </c>
    </row>
    <row r="506" spans="1:18">
      <c r="A506" s="26" t="s">
        <v>1772</v>
      </c>
      <c r="B506" s="26"/>
      <c r="C506" s="26"/>
      <c r="D506" s="26">
        <v>0</v>
      </c>
      <c r="E506" s="26">
        <v>1</v>
      </c>
      <c r="F506" s="26" t="s">
        <v>197</v>
      </c>
      <c r="G506" s="26" t="s">
        <v>198</v>
      </c>
      <c r="H506" s="26"/>
      <c r="I506" s="26">
        <v>0</v>
      </c>
      <c r="J506" s="26" t="s">
        <v>191</v>
      </c>
      <c r="K506" s="26" t="s">
        <v>974</v>
      </c>
      <c r="L506" s="26" t="str">
        <f t="shared" ref="L506:L511" si="22">A506&amp;".skilleffect"</f>
        <v>belebeta.passive.critical.trigger.01.skilleffect</v>
      </c>
      <c r="M506" s="26"/>
      <c r="N506" s="26" t="str">
        <f t="shared" si="21"/>
        <v>Effect(OnCritical, belebeta.passive.critical.trigger.01.skilleffect)</v>
      </c>
      <c r="O506" s="26">
        <v>0</v>
      </c>
      <c r="P506" s="26">
        <v>0</v>
      </c>
      <c r="Q506" s="26"/>
      <c r="R506" s="26" t="b">
        <v>1</v>
      </c>
    </row>
    <row r="507" spans="1:18">
      <c r="A507" s="26" t="s">
        <v>1773</v>
      </c>
      <c r="B507" s="26"/>
      <c r="C507" s="26"/>
      <c r="D507" s="26">
        <v>0</v>
      </c>
      <c r="E507" s="26">
        <v>1</v>
      </c>
      <c r="F507" s="26" t="s">
        <v>197</v>
      </c>
      <c r="G507" s="26" t="s">
        <v>198</v>
      </c>
      <c r="H507" s="26"/>
      <c r="I507" s="26">
        <v>0</v>
      </c>
      <c r="J507" s="26" t="s">
        <v>191</v>
      </c>
      <c r="K507" s="26" t="s">
        <v>974</v>
      </c>
      <c r="L507" s="26" t="str">
        <f t="shared" si="22"/>
        <v>belebeta.passive.critical.trigger.02.skilleffect</v>
      </c>
      <c r="M507" s="26"/>
      <c r="N507" s="26" t="str">
        <f t="shared" si="21"/>
        <v>Effect(OnCritical, belebeta.passive.critical.trigger.02.skilleffect)</v>
      </c>
      <c r="O507" s="26">
        <v>0</v>
      </c>
      <c r="P507" s="26">
        <v>0</v>
      </c>
      <c r="Q507" s="26"/>
      <c r="R507" s="26" t="b">
        <v>1</v>
      </c>
    </row>
    <row r="508" spans="1:18">
      <c r="A508" s="26" t="s">
        <v>1774</v>
      </c>
      <c r="B508" s="26"/>
      <c r="C508" s="26"/>
      <c r="D508" s="26">
        <v>0</v>
      </c>
      <c r="E508" s="26">
        <v>1</v>
      </c>
      <c r="F508" s="26" t="s">
        <v>197</v>
      </c>
      <c r="G508" s="26" t="s">
        <v>198</v>
      </c>
      <c r="H508" s="26"/>
      <c r="I508" s="26">
        <v>0</v>
      </c>
      <c r="J508" s="26" t="s">
        <v>191</v>
      </c>
      <c r="K508" s="26" t="s">
        <v>974</v>
      </c>
      <c r="L508" s="26" t="str">
        <f t="shared" si="22"/>
        <v>belebeta.passive.critical.trigger.03.skilleffect</v>
      </c>
      <c r="M508" s="26"/>
      <c r="N508" s="26" t="str">
        <f t="shared" si="21"/>
        <v>Effect(OnCritical, belebeta.passive.critical.trigger.03.skilleffect)</v>
      </c>
      <c r="O508" s="26">
        <v>0</v>
      </c>
      <c r="P508" s="26">
        <v>0</v>
      </c>
      <c r="Q508" s="26"/>
      <c r="R508" s="26" t="b">
        <v>1</v>
      </c>
    </row>
    <row r="509" spans="1:18">
      <c r="A509" s="34" t="s">
        <v>1775</v>
      </c>
      <c r="B509" s="34"/>
      <c r="C509" s="34"/>
      <c r="D509" s="34">
        <v>0</v>
      </c>
      <c r="E509" s="34">
        <v>1</v>
      </c>
      <c r="F509" s="34" t="s">
        <v>197</v>
      </c>
      <c r="G509" s="34" t="s">
        <v>198</v>
      </c>
      <c r="H509" s="34"/>
      <c r="I509" s="34">
        <v>0</v>
      </c>
      <c r="J509" s="34" t="s">
        <v>191</v>
      </c>
      <c r="K509" s="34" t="s">
        <v>974</v>
      </c>
      <c r="L509" s="34" t="str">
        <f t="shared" si="22"/>
        <v>belebeta.passive.critical.trigger.04.skilleffect</v>
      </c>
      <c r="M509" s="34"/>
      <c r="N509" s="34" t="str">
        <f t="shared" si="21"/>
        <v>Effect(OnCritical, belebeta.passive.critical.trigger.04.skilleffect)</v>
      </c>
      <c r="O509" s="34">
        <v>0</v>
      </c>
      <c r="P509" s="34">
        <v>0</v>
      </c>
      <c r="Q509" s="34"/>
      <c r="R509" s="34" t="b">
        <v>1</v>
      </c>
    </row>
    <row r="510" spans="1:18">
      <c r="A510" s="34" t="s">
        <v>1776</v>
      </c>
      <c r="B510" s="34"/>
      <c r="C510" s="34"/>
      <c r="D510" s="34">
        <v>0</v>
      </c>
      <c r="E510" s="34">
        <v>1</v>
      </c>
      <c r="F510" s="34" t="s">
        <v>197</v>
      </c>
      <c r="G510" s="34" t="s">
        <v>198</v>
      </c>
      <c r="H510" s="34"/>
      <c r="I510" s="34">
        <v>0</v>
      </c>
      <c r="J510" s="34" t="s">
        <v>191</v>
      </c>
      <c r="K510" s="34" t="s">
        <v>974</v>
      </c>
      <c r="L510" s="34" t="str">
        <f t="shared" si="22"/>
        <v>belebeta.passive.critical.trigger.05.skilleffect</v>
      </c>
      <c r="M510" s="34"/>
      <c r="N510" s="34" t="str">
        <f t="shared" si="21"/>
        <v>Effect(OnCritical, belebeta.passive.critical.trigger.05.skilleffect)</v>
      </c>
      <c r="O510" s="34">
        <v>0</v>
      </c>
      <c r="P510" s="34">
        <v>0</v>
      </c>
      <c r="Q510" s="34"/>
      <c r="R510" s="34" t="b">
        <v>1</v>
      </c>
    </row>
    <row r="511" spans="1:18">
      <c r="A511" s="34" t="s">
        <v>1777</v>
      </c>
      <c r="B511" s="34"/>
      <c r="C511" s="34"/>
      <c r="D511" s="34">
        <v>0</v>
      </c>
      <c r="E511" s="34">
        <v>1</v>
      </c>
      <c r="F511" s="34" t="s">
        <v>197</v>
      </c>
      <c r="G511" s="34" t="s">
        <v>198</v>
      </c>
      <c r="H511" s="34"/>
      <c r="I511" s="34">
        <v>0</v>
      </c>
      <c r="J511" s="34" t="s">
        <v>191</v>
      </c>
      <c r="K511" s="34" t="s">
        <v>974</v>
      </c>
      <c r="L511" s="34" t="str">
        <f t="shared" si="22"/>
        <v>belebeta.passive.critical.trigger.06.skilleffect</v>
      </c>
      <c r="M511" s="34"/>
      <c r="N511" s="34" t="str">
        <f t="shared" si="21"/>
        <v>Effect(OnCritical, belebeta.passive.critical.trigger.06.skilleffect)</v>
      </c>
      <c r="O511" s="34">
        <v>0</v>
      </c>
      <c r="P511" s="34">
        <v>0</v>
      </c>
      <c r="Q511" s="34"/>
      <c r="R511" s="34" t="b">
        <v>1</v>
      </c>
    </row>
    <row r="512" spans="1:18">
      <c r="A512" s="34" t="s">
        <v>1778</v>
      </c>
      <c r="B512" s="34"/>
      <c r="C512" s="34"/>
      <c r="D512" s="34">
        <v>0</v>
      </c>
      <c r="E512" s="34">
        <v>1</v>
      </c>
      <c r="F512" s="34" t="s">
        <v>197</v>
      </c>
      <c r="G512" s="34" t="s">
        <v>198</v>
      </c>
      <c r="H512" s="34"/>
      <c r="I512" s="34">
        <v>0</v>
      </c>
      <c r="J512" s="34" t="s">
        <v>893</v>
      </c>
      <c r="K512" s="34" t="s">
        <v>1779</v>
      </c>
      <c r="L512" s="34"/>
      <c r="M512" s="34"/>
      <c r="N512" s="34" t="str">
        <f t="shared" si="21"/>
        <v>Active(belebeta.passive.critical.trigger.dice)</v>
      </c>
      <c r="O512" s="34">
        <v>0</v>
      </c>
      <c r="P512" s="34">
        <v>200</v>
      </c>
      <c r="Q512" s="34"/>
      <c r="R512" s="34" t="b">
        <v>1</v>
      </c>
    </row>
    <row r="513" spans="1:18">
      <c r="A513" s="26" t="s">
        <v>6869</v>
      </c>
      <c r="B513" s="26"/>
      <c r="C513" s="26"/>
      <c r="D513" s="26">
        <v>0</v>
      </c>
      <c r="E513" s="26">
        <v>1</v>
      </c>
      <c r="F513" s="26" t="s">
        <v>197</v>
      </c>
      <c r="G513" s="26" t="s">
        <v>198</v>
      </c>
      <c r="H513" s="26"/>
      <c r="I513" s="26">
        <v>0</v>
      </c>
      <c r="J513" s="26" t="s">
        <v>876</v>
      </c>
      <c r="K513" s="26" t="s">
        <v>1758</v>
      </c>
      <c r="L513" s="26" t="str">
        <f t="shared" ref="L513" si="23">A513&amp;".skilleffect"</f>
        <v>belebeta.passive.redtea.trigger.01.skilleffect</v>
      </c>
      <c r="M513" s="26" t="s">
        <v>1760</v>
      </c>
      <c r="N513" s="26" t="str">
        <f t="shared" si="21"/>
        <v>Event(FireSkill, belebeta.passive.redtea.trigger.01.skilleffect, FireCondition(Skill1))</v>
      </c>
      <c r="O513" s="26">
        <v>0</v>
      </c>
      <c r="P513" s="26">
        <v>0</v>
      </c>
      <c r="Q513" s="26"/>
      <c r="R513" s="26" t="b">
        <v>1</v>
      </c>
    </row>
    <row r="514" spans="1:18">
      <c r="A514" s="26" t="s">
        <v>6870</v>
      </c>
      <c r="B514" s="26"/>
      <c r="C514" s="26"/>
      <c r="D514" s="26">
        <v>0</v>
      </c>
      <c r="E514" s="26">
        <v>1</v>
      </c>
      <c r="F514" s="26" t="s">
        <v>197</v>
      </c>
      <c r="G514" s="26" t="s">
        <v>198</v>
      </c>
      <c r="H514" s="26"/>
      <c r="I514" s="26">
        <v>0</v>
      </c>
      <c r="J514" s="26" t="s">
        <v>876</v>
      </c>
      <c r="K514" s="26" t="s">
        <v>1758</v>
      </c>
      <c r="L514" s="26" t="str">
        <f>A514&amp;".skilleffect"</f>
        <v>belebeta.passive.redtea.trigger.02.skilleffect</v>
      </c>
      <c r="M514" s="26" t="s">
        <v>1760</v>
      </c>
      <c r="N514" s="26" t="str">
        <f t="shared" si="21"/>
        <v>Event(FireSkill, belebeta.passive.redtea.trigger.02.skilleffect, FireCondition(Skill1))</v>
      </c>
      <c r="O514" s="26">
        <v>0</v>
      </c>
      <c r="P514" s="26">
        <v>0</v>
      </c>
      <c r="Q514" s="26"/>
      <c r="R514" s="26" t="b">
        <v>1</v>
      </c>
    </row>
    <row r="515" spans="1:18">
      <c r="A515" s="26" t="s">
        <v>6871</v>
      </c>
      <c r="B515" s="26"/>
      <c r="C515" s="26"/>
      <c r="D515" s="26">
        <v>0</v>
      </c>
      <c r="E515" s="26">
        <v>1</v>
      </c>
      <c r="F515" s="26" t="s">
        <v>197</v>
      </c>
      <c r="G515" s="26" t="s">
        <v>198</v>
      </c>
      <c r="H515" s="26"/>
      <c r="I515" s="26">
        <v>0</v>
      </c>
      <c r="J515" s="26" t="s">
        <v>876</v>
      </c>
      <c r="K515" s="26" t="s">
        <v>1758</v>
      </c>
      <c r="L515" s="26" t="str">
        <f t="shared" ref="L515:L524" si="24">A515&amp;".skilleffect"</f>
        <v>belebeta.passive.redtea.trigger.03.skilleffect</v>
      </c>
      <c r="M515" s="26" t="s">
        <v>1760</v>
      </c>
      <c r="N515" s="26" t="str">
        <f t="shared" si="21"/>
        <v>Event(FireSkill, belebeta.passive.redtea.trigger.03.skilleffect, FireCondition(Skill1))</v>
      </c>
      <c r="O515" s="26">
        <v>0</v>
      </c>
      <c r="P515" s="26">
        <v>0</v>
      </c>
      <c r="Q515" s="26"/>
      <c r="R515" s="26" t="b">
        <v>1</v>
      </c>
    </row>
    <row r="516" spans="1:18">
      <c r="A516" s="34" t="s">
        <v>6872</v>
      </c>
      <c r="B516" s="34"/>
      <c r="C516" s="34"/>
      <c r="D516" s="34">
        <v>0</v>
      </c>
      <c r="E516" s="34">
        <v>1</v>
      </c>
      <c r="F516" s="34" t="s">
        <v>197</v>
      </c>
      <c r="G516" s="34" t="s">
        <v>198</v>
      </c>
      <c r="H516" s="34"/>
      <c r="I516" s="34">
        <v>0</v>
      </c>
      <c r="J516" s="34" t="s">
        <v>876</v>
      </c>
      <c r="K516" s="34" t="s">
        <v>1758</v>
      </c>
      <c r="L516" s="34" t="str">
        <f t="shared" si="24"/>
        <v>belebeta.passive.redtea.trigger.04.skilleffect</v>
      </c>
      <c r="M516" s="34" t="s">
        <v>1760</v>
      </c>
      <c r="N516" s="34" t="str">
        <f t="shared" si="21"/>
        <v>Event(FireSkill, belebeta.passive.redtea.trigger.04.skilleffect, FireCondition(Skill1))</v>
      </c>
      <c r="O516" s="34">
        <v>0</v>
      </c>
      <c r="P516" s="34">
        <v>0</v>
      </c>
      <c r="Q516" s="34"/>
      <c r="R516" s="34" t="b">
        <v>1</v>
      </c>
    </row>
    <row r="517" spans="1:18">
      <c r="A517" s="34" t="s">
        <v>6873</v>
      </c>
      <c r="B517" s="34"/>
      <c r="C517" s="34"/>
      <c r="D517" s="34">
        <v>0</v>
      </c>
      <c r="E517" s="34">
        <v>1</v>
      </c>
      <c r="F517" s="34" t="s">
        <v>197</v>
      </c>
      <c r="G517" s="34" t="s">
        <v>198</v>
      </c>
      <c r="H517" s="34"/>
      <c r="I517" s="34">
        <v>0</v>
      </c>
      <c r="J517" s="34" t="s">
        <v>876</v>
      </c>
      <c r="K517" s="34" t="s">
        <v>1758</v>
      </c>
      <c r="L517" s="34" t="str">
        <f t="shared" si="24"/>
        <v>belebeta.passive.redtea.trigger.05.skilleffect</v>
      </c>
      <c r="M517" s="34" t="s">
        <v>1760</v>
      </c>
      <c r="N517" s="34" t="str">
        <f t="shared" si="21"/>
        <v>Event(FireSkill, belebeta.passive.redtea.trigger.05.skilleffect, FireCondition(Skill1))</v>
      </c>
      <c r="O517" s="34">
        <v>0</v>
      </c>
      <c r="P517" s="34">
        <v>0</v>
      </c>
      <c r="Q517" s="34"/>
      <c r="R517" s="34" t="b">
        <v>1</v>
      </c>
    </row>
    <row r="518" spans="1:18">
      <c r="A518" s="34" t="s">
        <v>6874</v>
      </c>
      <c r="B518" s="34"/>
      <c r="C518" s="34"/>
      <c r="D518" s="34">
        <v>0</v>
      </c>
      <c r="E518" s="34">
        <v>1</v>
      </c>
      <c r="F518" s="34" t="s">
        <v>197</v>
      </c>
      <c r="G518" s="34" t="s">
        <v>198</v>
      </c>
      <c r="H518" s="34"/>
      <c r="I518" s="34">
        <v>0</v>
      </c>
      <c r="J518" s="34" t="s">
        <v>876</v>
      </c>
      <c r="K518" s="34" t="s">
        <v>1758</v>
      </c>
      <c r="L518" s="34" t="str">
        <f t="shared" si="24"/>
        <v>belebeta.passive.redtea.trigger.06.skilleffect</v>
      </c>
      <c r="M518" s="34" t="s">
        <v>1760</v>
      </c>
      <c r="N518" s="34" t="str">
        <f t="shared" si="21"/>
        <v>Event(FireSkill, belebeta.passive.redtea.trigger.06.skilleffect, FireCondition(Skill1))</v>
      </c>
      <c r="O518" s="34">
        <v>0</v>
      </c>
      <c r="P518" s="34">
        <v>0</v>
      </c>
      <c r="Q518" s="34"/>
      <c r="R518" s="34" t="b">
        <v>1</v>
      </c>
    </row>
    <row r="519" spans="1:18">
      <c r="A519" s="26" t="s">
        <v>6875</v>
      </c>
      <c r="B519" s="26"/>
      <c r="C519" s="26"/>
      <c r="D519" s="26">
        <v>0</v>
      </c>
      <c r="E519" s="26">
        <v>1</v>
      </c>
      <c r="F519" s="26" t="s">
        <v>197</v>
      </c>
      <c r="G519" s="26" t="s">
        <v>198</v>
      </c>
      <c r="H519" s="26"/>
      <c r="I519" s="26">
        <v>0</v>
      </c>
      <c r="J519" s="26" t="s">
        <v>876</v>
      </c>
      <c r="K519" s="26" t="s">
        <v>1758</v>
      </c>
      <c r="L519" s="26" t="str">
        <f t="shared" si="24"/>
        <v>belebeta.passive.greentea.trigger.01.skilleffect</v>
      </c>
      <c r="M519" s="26" t="s">
        <v>1759</v>
      </c>
      <c r="N519" s="26" t="str">
        <f t="shared" si="21"/>
        <v>Event(FireSkill, belebeta.passive.greentea.trigger.01.skilleffect, FireCondition(Skill2))</v>
      </c>
      <c r="O519" s="26">
        <v>0</v>
      </c>
      <c r="P519" s="26">
        <v>0</v>
      </c>
      <c r="Q519" s="26"/>
      <c r="R519" s="26" t="b">
        <v>1</v>
      </c>
    </row>
    <row r="520" spans="1:18">
      <c r="A520" s="26" t="s">
        <v>1753</v>
      </c>
      <c r="B520" s="26"/>
      <c r="C520" s="26"/>
      <c r="D520" s="26">
        <v>0</v>
      </c>
      <c r="E520" s="26">
        <v>1</v>
      </c>
      <c r="F520" s="26" t="s">
        <v>197</v>
      </c>
      <c r="G520" s="26" t="s">
        <v>198</v>
      </c>
      <c r="H520" s="26"/>
      <c r="I520" s="26">
        <v>0</v>
      </c>
      <c r="J520" s="26" t="s">
        <v>876</v>
      </c>
      <c r="K520" s="26" t="s">
        <v>1758</v>
      </c>
      <c r="L520" s="26" t="str">
        <f t="shared" si="24"/>
        <v>belebeta.passive.greentea.trigger.02.skilleffect</v>
      </c>
      <c r="M520" s="26" t="s">
        <v>1759</v>
      </c>
      <c r="N520" s="26" t="str">
        <f t="shared" si="21"/>
        <v>Event(FireSkill, belebeta.passive.greentea.trigger.02.skilleffect, FireCondition(Skill2))</v>
      </c>
      <c r="O520" s="26">
        <v>0</v>
      </c>
      <c r="P520" s="26">
        <v>0</v>
      </c>
      <c r="Q520" s="26"/>
      <c r="R520" s="26" t="b">
        <v>1</v>
      </c>
    </row>
    <row r="521" spans="1:18">
      <c r="A521" s="26" t="s">
        <v>1754</v>
      </c>
      <c r="B521" s="26"/>
      <c r="C521" s="26"/>
      <c r="D521" s="26">
        <v>0</v>
      </c>
      <c r="E521" s="26">
        <v>1</v>
      </c>
      <c r="F521" s="26" t="s">
        <v>197</v>
      </c>
      <c r="G521" s="26" t="s">
        <v>198</v>
      </c>
      <c r="H521" s="26"/>
      <c r="I521" s="26">
        <v>0</v>
      </c>
      <c r="J521" s="26" t="s">
        <v>876</v>
      </c>
      <c r="K521" s="26" t="s">
        <v>1758</v>
      </c>
      <c r="L521" s="26" t="str">
        <f t="shared" si="24"/>
        <v>belebeta.passive.greentea.trigger.03.skilleffect</v>
      </c>
      <c r="M521" s="26" t="s">
        <v>1759</v>
      </c>
      <c r="N521" s="26" t="str">
        <f t="shared" si="21"/>
        <v>Event(FireSkill, belebeta.passive.greentea.trigger.03.skilleffect, FireCondition(Skill2))</v>
      </c>
      <c r="O521" s="26">
        <v>0</v>
      </c>
      <c r="P521" s="26">
        <v>0</v>
      </c>
      <c r="Q521" s="26"/>
      <c r="R521" s="26" t="b">
        <v>1</v>
      </c>
    </row>
    <row r="522" spans="1:18">
      <c r="A522" s="34" t="s">
        <v>1755</v>
      </c>
      <c r="B522" s="34"/>
      <c r="C522" s="34"/>
      <c r="D522" s="34">
        <v>0</v>
      </c>
      <c r="E522" s="34">
        <v>1</v>
      </c>
      <c r="F522" s="34" t="s">
        <v>197</v>
      </c>
      <c r="G522" s="34" t="s">
        <v>198</v>
      </c>
      <c r="H522" s="34"/>
      <c r="I522" s="34">
        <v>0</v>
      </c>
      <c r="J522" s="34" t="s">
        <v>876</v>
      </c>
      <c r="K522" s="34" t="s">
        <v>1758</v>
      </c>
      <c r="L522" s="34" t="str">
        <f t="shared" si="24"/>
        <v>belebeta.passive.greentea.trigger.04.skilleffect</v>
      </c>
      <c r="M522" s="34" t="s">
        <v>1759</v>
      </c>
      <c r="N522" s="34" t="str">
        <f t="shared" si="21"/>
        <v>Event(FireSkill, belebeta.passive.greentea.trigger.04.skilleffect, FireCondition(Skill2))</v>
      </c>
      <c r="O522" s="34">
        <v>0</v>
      </c>
      <c r="P522" s="34">
        <v>0</v>
      </c>
      <c r="Q522" s="34"/>
      <c r="R522" s="34" t="b">
        <v>1</v>
      </c>
    </row>
    <row r="523" spans="1:18">
      <c r="A523" s="34" t="s">
        <v>1756</v>
      </c>
      <c r="B523" s="34"/>
      <c r="C523" s="34"/>
      <c r="D523" s="34">
        <v>0</v>
      </c>
      <c r="E523" s="34">
        <v>1</v>
      </c>
      <c r="F523" s="34" t="s">
        <v>197</v>
      </c>
      <c r="G523" s="34" t="s">
        <v>198</v>
      </c>
      <c r="H523" s="34"/>
      <c r="I523" s="34">
        <v>0</v>
      </c>
      <c r="J523" s="34" t="s">
        <v>876</v>
      </c>
      <c r="K523" s="34" t="s">
        <v>1758</v>
      </c>
      <c r="L523" s="34" t="str">
        <f t="shared" si="24"/>
        <v>belebeta.passive.greentea.trigger.05.skilleffect</v>
      </c>
      <c r="M523" s="34" t="s">
        <v>1759</v>
      </c>
      <c r="N523" s="34" t="str">
        <f t="shared" si="21"/>
        <v>Event(FireSkill, belebeta.passive.greentea.trigger.05.skilleffect, FireCondition(Skill2))</v>
      </c>
      <c r="O523" s="34">
        <v>0</v>
      </c>
      <c r="P523" s="34">
        <v>0</v>
      </c>
      <c r="Q523" s="34"/>
      <c r="R523" s="34" t="b">
        <v>1</v>
      </c>
    </row>
    <row r="524" spans="1:18">
      <c r="A524" s="34" t="s">
        <v>1757</v>
      </c>
      <c r="B524" s="34"/>
      <c r="C524" s="34"/>
      <c r="D524" s="34">
        <v>0</v>
      </c>
      <c r="E524" s="34">
        <v>1</v>
      </c>
      <c r="F524" s="34" t="s">
        <v>197</v>
      </c>
      <c r="G524" s="34" t="s">
        <v>198</v>
      </c>
      <c r="H524" s="34"/>
      <c r="I524" s="34">
        <v>0</v>
      </c>
      <c r="J524" s="34" t="s">
        <v>876</v>
      </c>
      <c r="K524" s="34" t="s">
        <v>1758</v>
      </c>
      <c r="L524" s="34" t="str">
        <f t="shared" si="24"/>
        <v>belebeta.passive.greentea.trigger.06.skilleffect</v>
      </c>
      <c r="M524" s="34" t="s">
        <v>1759</v>
      </c>
      <c r="N524" s="34" t="str">
        <f t="shared" si="21"/>
        <v>Event(FireSkill, belebeta.passive.greentea.trigger.06.skilleffect, FireCondition(Skill2))</v>
      </c>
      <c r="O524" s="34">
        <v>0</v>
      </c>
      <c r="P524" s="34">
        <v>0</v>
      </c>
      <c r="Q524" s="34"/>
      <c r="R524" s="34" t="b">
        <v>1</v>
      </c>
    </row>
    <row r="525" spans="1:18">
      <c r="A525" s="41" t="s">
        <v>1735</v>
      </c>
      <c r="B525" s="41" t="s">
        <v>1367</v>
      </c>
      <c r="C525" s="41" t="s">
        <v>4446</v>
      </c>
      <c r="D525" s="41">
        <v>0</v>
      </c>
      <c r="E525" s="41">
        <v>1</v>
      </c>
      <c r="F525" s="41" t="s">
        <v>197</v>
      </c>
      <c r="G525" s="41" t="s">
        <v>198</v>
      </c>
      <c r="H525" s="41"/>
      <c r="I525" s="41">
        <v>0</v>
      </c>
      <c r="J525" s="41" t="s">
        <v>893</v>
      </c>
      <c r="K525" s="41" t="str">
        <f t="shared" ref="K525:K548" si="25">A525&amp;".skilleffect"</f>
        <v>belebeta.passive.redtea.buff.buffeffect.01.skilleffect</v>
      </c>
      <c r="L525" s="41"/>
      <c r="M525" s="41"/>
      <c r="N525" s="41" t="str">
        <f t="shared" si="21"/>
        <v>Active(belebeta.passive.redtea.buff.buffeffect.01.skilleffect)</v>
      </c>
      <c r="O525" s="41">
        <v>3</v>
      </c>
      <c r="P525" s="41">
        <v>0</v>
      </c>
      <c r="Q525" s="41"/>
      <c r="R525" s="41" t="b">
        <v>1</v>
      </c>
    </row>
    <row r="526" spans="1:18">
      <c r="A526" s="41" t="s">
        <v>1736</v>
      </c>
      <c r="B526" s="41" t="s">
        <v>1367</v>
      </c>
      <c r="C526" s="41" t="s">
        <v>4447</v>
      </c>
      <c r="D526" s="41">
        <v>0</v>
      </c>
      <c r="E526" s="41">
        <v>1</v>
      </c>
      <c r="F526" s="41" t="s">
        <v>197</v>
      </c>
      <c r="G526" s="41" t="s">
        <v>198</v>
      </c>
      <c r="H526" s="41"/>
      <c r="I526" s="41">
        <v>0</v>
      </c>
      <c r="J526" s="41" t="s">
        <v>893</v>
      </c>
      <c r="K526" s="41" t="str">
        <f t="shared" si="25"/>
        <v>belebeta.passive.redtea.buff.buffeffect.02.skilleffect</v>
      </c>
      <c r="L526" s="41"/>
      <c r="M526" s="41"/>
      <c r="N526" s="41" t="str">
        <f t="shared" si="21"/>
        <v>Active(belebeta.passive.redtea.buff.buffeffect.02.skilleffect)</v>
      </c>
      <c r="O526" s="41">
        <v>3</v>
      </c>
      <c r="P526" s="41">
        <v>0</v>
      </c>
      <c r="Q526" s="41"/>
      <c r="R526" s="41" t="b">
        <v>1</v>
      </c>
    </row>
    <row r="527" spans="1:18">
      <c r="A527" s="41" t="s">
        <v>1737</v>
      </c>
      <c r="B527" s="41" t="s">
        <v>1367</v>
      </c>
      <c r="C527" s="41" t="s">
        <v>4448</v>
      </c>
      <c r="D527" s="41">
        <v>0</v>
      </c>
      <c r="E527" s="41">
        <v>1</v>
      </c>
      <c r="F527" s="41" t="s">
        <v>197</v>
      </c>
      <c r="G527" s="41" t="s">
        <v>198</v>
      </c>
      <c r="H527" s="41"/>
      <c r="I527" s="41">
        <v>0</v>
      </c>
      <c r="J527" s="41" t="s">
        <v>893</v>
      </c>
      <c r="K527" s="41" t="str">
        <f t="shared" si="25"/>
        <v>belebeta.passive.redtea.buff.buffeffect.03.skilleffect</v>
      </c>
      <c r="L527" s="41"/>
      <c r="M527" s="41"/>
      <c r="N527" s="41" t="str">
        <f t="shared" si="21"/>
        <v>Active(belebeta.passive.redtea.buff.buffeffect.03.skilleffect)</v>
      </c>
      <c r="O527" s="41">
        <v>3</v>
      </c>
      <c r="P527" s="41">
        <v>0</v>
      </c>
      <c r="Q527" s="41"/>
      <c r="R527" s="41" t="b">
        <v>1</v>
      </c>
    </row>
    <row r="528" spans="1:18">
      <c r="A528" s="41" t="s">
        <v>1738</v>
      </c>
      <c r="B528" s="41" t="s">
        <v>1367</v>
      </c>
      <c r="C528" s="41" t="s">
        <v>4449</v>
      </c>
      <c r="D528" s="41">
        <v>0</v>
      </c>
      <c r="E528" s="41">
        <v>1</v>
      </c>
      <c r="F528" s="41" t="s">
        <v>197</v>
      </c>
      <c r="G528" s="41" t="s">
        <v>198</v>
      </c>
      <c r="H528" s="41"/>
      <c r="I528" s="41">
        <v>0</v>
      </c>
      <c r="J528" s="41" t="s">
        <v>893</v>
      </c>
      <c r="K528" s="41" t="str">
        <f t="shared" si="25"/>
        <v>belebeta.passive.redtea.buff.buffeffect.04.skilleffect</v>
      </c>
      <c r="L528" s="41"/>
      <c r="M528" s="41"/>
      <c r="N528" s="41" t="str">
        <f t="shared" si="21"/>
        <v>Active(belebeta.passive.redtea.buff.buffeffect.04.skilleffect)</v>
      </c>
      <c r="O528" s="41">
        <v>3</v>
      </c>
      <c r="P528" s="41">
        <v>0</v>
      </c>
      <c r="Q528" s="41"/>
      <c r="R528" s="41" t="b">
        <v>1</v>
      </c>
    </row>
    <row r="529" spans="1:18">
      <c r="A529" s="41" t="s">
        <v>1739</v>
      </c>
      <c r="B529" s="41" t="s">
        <v>1367</v>
      </c>
      <c r="C529" s="41" t="s">
        <v>4450</v>
      </c>
      <c r="D529" s="41">
        <v>0</v>
      </c>
      <c r="E529" s="41">
        <v>1</v>
      </c>
      <c r="F529" s="41" t="s">
        <v>197</v>
      </c>
      <c r="G529" s="41" t="s">
        <v>198</v>
      </c>
      <c r="H529" s="41"/>
      <c r="I529" s="41">
        <v>0</v>
      </c>
      <c r="J529" s="41" t="s">
        <v>893</v>
      </c>
      <c r="K529" s="41" t="str">
        <f t="shared" si="25"/>
        <v>belebeta.passive.redtea.buff.buffeffect.05.skilleffect</v>
      </c>
      <c r="L529" s="41"/>
      <c r="M529" s="41"/>
      <c r="N529" s="41" t="str">
        <f t="shared" ref="N529:N593" si="26">J529&amp;"("&amp;IF(K529="","",K529)&amp;IF(L529="","",", "&amp;L529)&amp;IF(M529="","",", "&amp;M529)&amp;")"</f>
        <v>Active(belebeta.passive.redtea.buff.buffeffect.05.skilleffect)</v>
      </c>
      <c r="O529" s="41">
        <v>3</v>
      </c>
      <c r="P529" s="41">
        <v>0</v>
      </c>
      <c r="Q529" s="41"/>
      <c r="R529" s="41" t="b">
        <v>1</v>
      </c>
    </row>
    <row r="530" spans="1:18">
      <c r="A530" s="41" t="s">
        <v>1740</v>
      </c>
      <c r="B530" s="41" t="s">
        <v>1367</v>
      </c>
      <c r="C530" s="41" t="s">
        <v>4451</v>
      </c>
      <c r="D530" s="41">
        <v>0</v>
      </c>
      <c r="E530" s="41">
        <v>1</v>
      </c>
      <c r="F530" s="41" t="s">
        <v>197</v>
      </c>
      <c r="G530" s="41" t="s">
        <v>198</v>
      </c>
      <c r="H530" s="41"/>
      <c r="I530" s="41">
        <v>0</v>
      </c>
      <c r="J530" s="41" t="s">
        <v>893</v>
      </c>
      <c r="K530" s="41" t="str">
        <f t="shared" si="25"/>
        <v>belebeta.passive.redtea.buff.buffeffect.06.skilleffect</v>
      </c>
      <c r="L530" s="41"/>
      <c r="M530" s="41"/>
      <c r="N530" s="41" t="str">
        <f t="shared" si="26"/>
        <v>Active(belebeta.passive.redtea.buff.buffeffect.06.skilleffect)</v>
      </c>
      <c r="O530" s="41">
        <v>3</v>
      </c>
      <c r="P530" s="41">
        <v>0</v>
      </c>
      <c r="Q530" s="41"/>
      <c r="R530" s="41" t="b">
        <v>1</v>
      </c>
    </row>
    <row r="531" spans="1:18" s="155" customFormat="1">
      <c r="A531" s="6" t="s">
        <v>3897</v>
      </c>
      <c r="B531" s="6"/>
      <c r="C531" s="6"/>
      <c r="D531" s="6">
        <v>0</v>
      </c>
      <c r="E531" s="6">
        <v>1</v>
      </c>
      <c r="F531" s="6" t="s">
        <v>197</v>
      </c>
      <c r="G531" s="6" t="s">
        <v>198</v>
      </c>
      <c r="H531" s="6"/>
      <c r="I531" s="6">
        <v>0</v>
      </c>
      <c r="J531" s="6" t="s">
        <v>838</v>
      </c>
      <c r="K531" s="6" t="s">
        <v>926</v>
      </c>
      <c r="L531" s="6">
        <v>150</v>
      </c>
      <c r="M531" s="6"/>
      <c r="N531" s="6" t="str">
        <f t="shared" si="26"/>
        <v>Status(CriticalDamageRate, 150)</v>
      </c>
      <c r="O531" s="6">
        <v>0</v>
      </c>
      <c r="P531" s="6">
        <v>0</v>
      </c>
      <c r="Q531" s="6"/>
      <c r="R531" s="6" t="b">
        <v>1</v>
      </c>
    </row>
    <row r="532" spans="1:18" s="155" customFormat="1">
      <c r="A532" s="6" t="s">
        <v>3898</v>
      </c>
      <c r="B532" s="6"/>
      <c r="C532" s="6"/>
      <c r="D532" s="6">
        <v>0</v>
      </c>
      <c r="E532" s="6">
        <v>1</v>
      </c>
      <c r="F532" s="6" t="s">
        <v>197</v>
      </c>
      <c r="G532" s="6" t="s">
        <v>198</v>
      </c>
      <c r="H532" s="6"/>
      <c r="I532" s="6">
        <v>0</v>
      </c>
      <c r="J532" s="6" t="s">
        <v>838</v>
      </c>
      <c r="K532" s="6" t="s">
        <v>926</v>
      </c>
      <c r="L532" s="6">
        <v>200</v>
      </c>
      <c r="M532" s="6"/>
      <c r="N532" s="6" t="str">
        <f t="shared" si="26"/>
        <v>Status(CriticalDamageRate, 200)</v>
      </c>
      <c r="O532" s="6">
        <v>0</v>
      </c>
      <c r="P532" s="6">
        <v>0</v>
      </c>
      <c r="Q532" s="6"/>
      <c r="R532" s="6" t="b">
        <v>1</v>
      </c>
    </row>
    <row r="533" spans="1:18" s="155" customFormat="1">
      <c r="A533" s="6" t="s">
        <v>3899</v>
      </c>
      <c r="B533" s="6"/>
      <c r="C533" s="6"/>
      <c r="D533" s="6">
        <v>0</v>
      </c>
      <c r="E533" s="6">
        <v>1</v>
      </c>
      <c r="F533" s="6" t="s">
        <v>197</v>
      </c>
      <c r="G533" s="6" t="s">
        <v>198</v>
      </c>
      <c r="H533" s="6"/>
      <c r="I533" s="6">
        <v>0</v>
      </c>
      <c r="J533" s="6" t="s">
        <v>838</v>
      </c>
      <c r="K533" s="6" t="s">
        <v>926</v>
      </c>
      <c r="L533" s="6">
        <v>250</v>
      </c>
      <c r="M533" s="6"/>
      <c r="N533" s="6" t="str">
        <f t="shared" si="26"/>
        <v>Status(CriticalDamageRate, 250)</v>
      </c>
      <c r="O533" s="6">
        <v>0</v>
      </c>
      <c r="P533" s="6">
        <v>0</v>
      </c>
      <c r="Q533" s="6"/>
      <c r="R533" s="6" t="b">
        <v>1</v>
      </c>
    </row>
    <row r="534" spans="1:18" s="155" customFormat="1">
      <c r="A534" s="6" t="s">
        <v>3900</v>
      </c>
      <c r="B534" s="6"/>
      <c r="C534" s="6"/>
      <c r="D534" s="6">
        <v>0</v>
      </c>
      <c r="E534" s="6">
        <v>1</v>
      </c>
      <c r="F534" s="6" t="s">
        <v>197</v>
      </c>
      <c r="G534" s="6" t="s">
        <v>198</v>
      </c>
      <c r="H534" s="6"/>
      <c r="I534" s="6">
        <v>0</v>
      </c>
      <c r="J534" s="6" t="s">
        <v>838</v>
      </c>
      <c r="K534" s="6" t="s">
        <v>926</v>
      </c>
      <c r="L534" s="6">
        <v>300</v>
      </c>
      <c r="M534" s="6"/>
      <c r="N534" s="6" t="str">
        <f t="shared" si="26"/>
        <v>Status(CriticalDamageRate, 300)</v>
      </c>
      <c r="O534" s="6">
        <v>0</v>
      </c>
      <c r="P534" s="6">
        <v>0</v>
      </c>
      <c r="Q534" s="6"/>
      <c r="R534" s="6" t="b">
        <v>1</v>
      </c>
    </row>
    <row r="535" spans="1:18" s="155" customFormat="1">
      <c r="A535" s="6" t="s">
        <v>3901</v>
      </c>
      <c r="B535" s="6"/>
      <c r="C535" s="6"/>
      <c r="D535" s="6">
        <v>0</v>
      </c>
      <c r="E535" s="6">
        <v>1</v>
      </c>
      <c r="F535" s="6" t="s">
        <v>197</v>
      </c>
      <c r="G535" s="6" t="s">
        <v>198</v>
      </c>
      <c r="H535" s="6"/>
      <c r="I535" s="6">
        <v>0</v>
      </c>
      <c r="J535" s="6" t="s">
        <v>838</v>
      </c>
      <c r="K535" s="6" t="s">
        <v>926</v>
      </c>
      <c r="L535" s="6">
        <v>350</v>
      </c>
      <c r="M535" s="6"/>
      <c r="N535" s="6" t="str">
        <f t="shared" si="26"/>
        <v>Status(CriticalDamageRate, 350)</v>
      </c>
      <c r="O535" s="6">
        <v>0</v>
      </c>
      <c r="P535" s="6">
        <v>0</v>
      </c>
      <c r="Q535" s="6"/>
      <c r="R535" s="6" t="b">
        <v>1</v>
      </c>
    </row>
    <row r="536" spans="1:18" s="155" customFormat="1">
      <c r="A536" s="6" t="s">
        <v>3902</v>
      </c>
      <c r="B536" s="6"/>
      <c r="C536" s="6"/>
      <c r="D536" s="6">
        <v>0</v>
      </c>
      <c r="E536" s="6">
        <v>1</v>
      </c>
      <c r="F536" s="6" t="s">
        <v>197</v>
      </c>
      <c r="G536" s="6" t="s">
        <v>198</v>
      </c>
      <c r="H536" s="6"/>
      <c r="I536" s="6">
        <v>0</v>
      </c>
      <c r="J536" s="6" t="s">
        <v>838</v>
      </c>
      <c r="K536" s="6" t="s">
        <v>926</v>
      </c>
      <c r="L536" s="6">
        <v>320</v>
      </c>
      <c r="M536" s="6"/>
      <c r="N536" s="6" t="str">
        <f t="shared" si="26"/>
        <v>Status(CriticalDamageRate, 320)</v>
      </c>
      <c r="O536" s="6">
        <v>0</v>
      </c>
      <c r="P536" s="6">
        <v>0</v>
      </c>
      <c r="Q536" s="6"/>
      <c r="R536" s="6" t="b">
        <v>1</v>
      </c>
    </row>
    <row r="537" spans="1:18" s="155" customFormat="1">
      <c r="A537" s="6" t="s">
        <v>2948</v>
      </c>
      <c r="B537" s="6" t="s">
        <v>1367</v>
      </c>
      <c r="C537" s="6" t="s">
        <v>2941</v>
      </c>
      <c r="D537" s="6">
        <v>0</v>
      </c>
      <c r="E537" s="6">
        <v>1</v>
      </c>
      <c r="F537" s="6" t="s">
        <v>197</v>
      </c>
      <c r="G537" s="6" t="s">
        <v>198</v>
      </c>
      <c r="H537" s="6"/>
      <c r="I537" s="6">
        <v>0</v>
      </c>
      <c r="J537" s="6" t="s">
        <v>893</v>
      </c>
      <c r="K537" s="6" t="s">
        <v>3923</v>
      </c>
      <c r="L537" s="6"/>
      <c r="M537" s="6"/>
      <c r="N537" s="6" t="str">
        <f t="shared" si="26"/>
        <v>Active(belebeta.passive.ex.redtea.buff.buffeffect.01.skilleffect)</v>
      </c>
      <c r="O537" s="6">
        <v>0</v>
      </c>
      <c r="P537" s="6">
        <v>0</v>
      </c>
      <c r="Q537" s="6"/>
      <c r="R537" s="6" t="b">
        <v>1</v>
      </c>
    </row>
    <row r="538" spans="1:18" s="155" customFormat="1">
      <c r="A538" s="6" t="s">
        <v>2949</v>
      </c>
      <c r="B538" s="6" t="s">
        <v>1367</v>
      </c>
      <c r="C538" s="6" t="s">
        <v>2942</v>
      </c>
      <c r="D538" s="6">
        <v>0</v>
      </c>
      <c r="E538" s="6">
        <v>1</v>
      </c>
      <c r="F538" s="6" t="s">
        <v>197</v>
      </c>
      <c r="G538" s="6" t="s">
        <v>198</v>
      </c>
      <c r="H538" s="6"/>
      <c r="I538" s="6">
        <v>0</v>
      </c>
      <c r="J538" s="6" t="s">
        <v>893</v>
      </c>
      <c r="K538" s="6" t="s">
        <v>3918</v>
      </c>
      <c r="L538" s="6"/>
      <c r="M538" s="6"/>
      <c r="N538" s="6" t="str">
        <f t="shared" si="26"/>
        <v>Active(belebeta.passive.ex.redtea.buff.buffeffect.02.skilleffect)</v>
      </c>
      <c r="O538" s="6">
        <v>0</v>
      </c>
      <c r="P538" s="6">
        <v>0</v>
      </c>
      <c r="Q538" s="6"/>
      <c r="R538" s="6" t="b">
        <v>1</v>
      </c>
    </row>
    <row r="539" spans="1:18" s="155" customFormat="1">
      <c r="A539" s="6" t="s">
        <v>2950</v>
      </c>
      <c r="B539" s="6" t="s">
        <v>1367</v>
      </c>
      <c r="C539" s="6" t="s">
        <v>2943</v>
      </c>
      <c r="D539" s="6">
        <v>0</v>
      </c>
      <c r="E539" s="6">
        <v>1</v>
      </c>
      <c r="F539" s="6" t="s">
        <v>197</v>
      </c>
      <c r="G539" s="6" t="s">
        <v>198</v>
      </c>
      <c r="H539" s="6"/>
      <c r="I539" s="6">
        <v>0</v>
      </c>
      <c r="J539" s="6" t="s">
        <v>893</v>
      </c>
      <c r="K539" s="6" t="s">
        <v>3919</v>
      </c>
      <c r="L539" s="6"/>
      <c r="M539" s="6"/>
      <c r="N539" s="6" t="str">
        <f t="shared" si="26"/>
        <v>Active(belebeta.passive.ex.redtea.buff.buffeffect.03.skilleffect)</v>
      </c>
      <c r="O539" s="6">
        <v>0</v>
      </c>
      <c r="P539" s="6">
        <v>0</v>
      </c>
      <c r="Q539" s="6"/>
      <c r="R539" s="6" t="b">
        <v>1</v>
      </c>
    </row>
    <row r="540" spans="1:18" s="155" customFormat="1">
      <c r="A540" s="6" t="s">
        <v>2951</v>
      </c>
      <c r="B540" s="6" t="s">
        <v>1367</v>
      </c>
      <c r="C540" s="6" t="s">
        <v>2944</v>
      </c>
      <c r="D540" s="6">
        <v>0</v>
      </c>
      <c r="E540" s="6">
        <v>1</v>
      </c>
      <c r="F540" s="6" t="s">
        <v>197</v>
      </c>
      <c r="G540" s="6" t="s">
        <v>198</v>
      </c>
      <c r="H540" s="6"/>
      <c r="I540" s="6">
        <v>0</v>
      </c>
      <c r="J540" s="6" t="s">
        <v>893</v>
      </c>
      <c r="K540" s="6" t="s">
        <v>3920</v>
      </c>
      <c r="L540" s="6"/>
      <c r="M540" s="6"/>
      <c r="N540" s="6" t="str">
        <f t="shared" si="26"/>
        <v>Active(belebeta.passive.ex.redtea.buff.buffeffect.04.skilleffect)</v>
      </c>
      <c r="O540" s="6">
        <v>0</v>
      </c>
      <c r="P540" s="6">
        <v>0</v>
      </c>
      <c r="Q540" s="6"/>
      <c r="R540" s="6" t="b">
        <v>1</v>
      </c>
    </row>
    <row r="541" spans="1:18" s="155" customFormat="1">
      <c r="A541" s="6" t="s">
        <v>2952</v>
      </c>
      <c r="B541" s="6" t="s">
        <v>1367</v>
      </c>
      <c r="C541" s="6" t="s">
        <v>2945</v>
      </c>
      <c r="D541" s="6">
        <v>0</v>
      </c>
      <c r="E541" s="6">
        <v>1</v>
      </c>
      <c r="F541" s="6" t="s">
        <v>197</v>
      </c>
      <c r="G541" s="6" t="s">
        <v>198</v>
      </c>
      <c r="H541" s="6"/>
      <c r="I541" s="6">
        <v>0</v>
      </c>
      <c r="J541" s="6" t="s">
        <v>893</v>
      </c>
      <c r="K541" s="6" t="s">
        <v>3921</v>
      </c>
      <c r="L541" s="6"/>
      <c r="M541" s="6"/>
      <c r="N541" s="6" t="str">
        <f t="shared" si="26"/>
        <v>Active(belebeta.passive.ex.redtea.buff.buffeffect.05.skilleffect)</v>
      </c>
      <c r="O541" s="6">
        <v>0</v>
      </c>
      <c r="P541" s="6">
        <v>0</v>
      </c>
      <c r="Q541" s="6"/>
      <c r="R541" s="6" t="b">
        <v>1</v>
      </c>
    </row>
    <row r="542" spans="1:18" s="155" customFormat="1">
      <c r="A542" s="6" t="s">
        <v>2953</v>
      </c>
      <c r="B542" s="6" t="s">
        <v>1367</v>
      </c>
      <c r="C542" s="6" t="s">
        <v>2946</v>
      </c>
      <c r="D542" s="6">
        <v>0</v>
      </c>
      <c r="E542" s="6">
        <v>1</v>
      </c>
      <c r="F542" s="6" t="s">
        <v>197</v>
      </c>
      <c r="G542" s="6" t="s">
        <v>198</v>
      </c>
      <c r="H542" s="6"/>
      <c r="I542" s="6">
        <v>0</v>
      </c>
      <c r="J542" s="6" t="s">
        <v>893</v>
      </c>
      <c r="K542" s="6" t="s">
        <v>3922</v>
      </c>
      <c r="L542" s="6"/>
      <c r="M542" s="6"/>
      <c r="N542" s="6" t="str">
        <f t="shared" si="26"/>
        <v>Active(belebeta.passive.ex.redtea.buff.buffeffect.06.skilleffect)</v>
      </c>
      <c r="O542" s="6">
        <v>0</v>
      </c>
      <c r="P542" s="6">
        <v>0</v>
      </c>
      <c r="Q542" s="6"/>
      <c r="R542" s="6" t="b">
        <v>1</v>
      </c>
    </row>
    <row r="543" spans="1:18">
      <c r="A543" s="14" t="s">
        <v>1741</v>
      </c>
      <c r="B543" s="14" t="s">
        <v>1367</v>
      </c>
      <c r="C543" s="14" t="s">
        <v>4452</v>
      </c>
      <c r="D543" s="14">
        <v>0</v>
      </c>
      <c r="E543" s="14">
        <v>1</v>
      </c>
      <c r="F543" s="14" t="s">
        <v>197</v>
      </c>
      <c r="G543" s="14" t="s">
        <v>198</v>
      </c>
      <c r="H543" s="14"/>
      <c r="I543" s="14">
        <v>0</v>
      </c>
      <c r="J543" s="14" t="s">
        <v>893</v>
      </c>
      <c r="K543" s="14" t="str">
        <f t="shared" si="25"/>
        <v>belebeta.passive.greentea.buff.buffeffect.01.skilleffect</v>
      </c>
      <c r="L543" s="14"/>
      <c r="M543" s="14"/>
      <c r="N543" s="14" t="str">
        <f t="shared" si="26"/>
        <v>Active(belebeta.passive.greentea.buff.buffeffect.01.skilleffect)</v>
      </c>
      <c r="O543" s="14">
        <v>3</v>
      </c>
      <c r="P543" s="14">
        <v>0</v>
      </c>
      <c r="Q543" s="14"/>
      <c r="R543" s="14" t="b">
        <v>1</v>
      </c>
    </row>
    <row r="544" spans="1:18">
      <c r="A544" s="14" t="s">
        <v>1742</v>
      </c>
      <c r="B544" s="14" t="s">
        <v>1367</v>
      </c>
      <c r="C544" s="14" t="s">
        <v>4453</v>
      </c>
      <c r="D544" s="14">
        <v>0</v>
      </c>
      <c r="E544" s="14">
        <v>1</v>
      </c>
      <c r="F544" s="14" t="s">
        <v>197</v>
      </c>
      <c r="G544" s="14" t="s">
        <v>198</v>
      </c>
      <c r="H544" s="14"/>
      <c r="I544" s="14">
        <v>0</v>
      </c>
      <c r="J544" s="14" t="s">
        <v>893</v>
      </c>
      <c r="K544" s="14" t="str">
        <f t="shared" si="25"/>
        <v>belebeta.passive.greentea.buff.buffeffect.02.skilleffect</v>
      </c>
      <c r="L544" s="14"/>
      <c r="M544" s="14"/>
      <c r="N544" s="14" t="str">
        <f t="shared" si="26"/>
        <v>Active(belebeta.passive.greentea.buff.buffeffect.02.skilleffect)</v>
      </c>
      <c r="O544" s="14">
        <v>3</v>
      </c>
      <c r="P544" s="14">
        <v>0</v>
      </c>
      <c r="Q544" s="14"/>
      <c r="R544" s="14" t="b">
        <v>1</v>
      </c>
    </row>
    <row r="545" spans="1:18">
      <c r="A545" s="14" t="s">
        <v>1743</v>
      </c>
      <c r="B545" s="14" t="s">
        <v>1367</v>
      </c>
      <c r="C545" s="14" t="s">
        <v>4454</v>
      </c>
      <c r="D545" s="14">
        <v>0</v>
      </c>
      <c r="E545" s="14">
        <v>1</v>
      </c>
      <c r="F545" s="14" t="s">
        <v>197</v>
      </c>
      <c r="G545" s="14" t="s">
        <v>198</v>
      </c>
      <c r="H545" s="14"/>
      <c r="I545" s="14">
        <v>0</v>
      </c>
      <c r="J545" s="14" t="s">
        <v>893</v>
      </c>
      <c r="K545" s="14" t="str">
        <f t="shared" si="25"/>
        <v>belebeta.passive.greentea.buff.buffeffect.03.skilleffect</v>
      </c>
      <c r="L545" s="14"/>
      <c r="M545" s="14"/>
      <c r="N545" s="14" t="str">
        <f t="shared" si="26"/>
        <v>Active(belebeta.passive.greentea.buff.buffeffect.03.skilleffect)</v>
      </c>
      <c r="O545" s="14">
        <v>3</v>
      </c>
      <c r="P545" s="14">
        <v>0</v>
      </c>
      <c r="Q545" s="14"/>
      <c r="R545" s="14" t="b">
        <v>1</v>
      </c>
    </row>
    <row r="546" spans="1:18">
      <c r="A546" s="14" t="s">
        <v>1744</v>
      </c>
      <c r="B546" s="14" t="s">
        <v>1367</v>
      </c>
      <c r="C546" s="14" t="s">
        <v>4455</v>
      </c>
      <c r="D546" s="14">
        <v>0</v>
      </c>
      <c r="E546" s="14">
        <v>1</v>
      </c>
      <c r="F546" s="14" t="s">
        <v>197</v>
      </c>
      <c r="G546" s="14" t="s">
        <v>198</v>
      </c>
      <c r="H546" s="14"/>
      <c r="I546" s="14">
        <v>0</v>
      </c>
      <c r="J546" s="14" t="s">
        <v>893</v>
      </c>
      <c r="K546" s="14" t="str">
        <f t="shared" si="25"/>
        <v>belebeta.passive.greentea.buff.buffeffect.04.skilleffect</v>
      </c>
      <c r="L546" s="14"/>
      <c r="M546" s="14"/>
      <c r="N546" s="14" t="str">
        <f t="shared" si="26"/>
        <v>Active(belebeta.passive.greentea.buff.buffeffect.04.skilleffect)</v>
      </c>
      <c r="O546" s="14">
        <v>3</v>
      </c>
      <c r="P546" s="14">
        <v>0</v>
      </c>
      <c r="Q546" s="14"/>
      <c r="R546" s="14" t="b">
        <v>1</v>
      </c>
    </row>
    <row r="547" spans="1:18">
      <c r="A547" s="14" t="s">
        <v>1745</v>
      </c>
      <c r="B547" s="14" t="s">
        <v>1367</v>
      </c>
      <c r="C547" s="14" t="s">
        <v>4456</v>
      </c>
      <c r="D547" s="14">
        <v>0</v>
      </c>
      <c r="E547" s="14">
        <v>1</v>
      </c>
      <c r="F547" s="14" t="s">
        <v>197</v>
      </c>
      <c r="G547" s="14" t="s">
        <v>198</v>
      </c>
      <c r="H547" s="14"/>
      <c r="I547" s="14">
        <v>0</v>
      </c>
      <c r="J547" s="14" t="s">
        <v>893</v>
      </c>
      <c r="K547" s="14" t="str">
        <f t="shared" si="25"/>
        <v>belebeta.passive.greentea.buff.buffeffect.05.skilleffect</v>
      </c>
      <c r="L547" s="14"/>
      <c r="M547" s="14"/>
      <c r="N547" s="14" t="str">
        <f t="shared" si="26"/>
        <v>Active(belebeta.passive.greentea.buff.buffeffect.05.skilleffect)</v>
      </c>
      <c r="O547" s="14">
        <v>3</v>
      </c>
      <c r="P547" s="14">
        <v>0</v>
      </c>
      <c r="Q547" s="14"/>
      <c r="R547" s="14" t="b">
        <v>1</v>
      </c>
    </row>
    <row r="548" spans="1:18">
      <c r="A548" s="14" t="s">
        <v>1746</v>
      </c>
      <c r="B548" s="14" t="s">
        <v>1367</v>
      </c>
      <c r="C548" s="14" t="s">
        <v>4457</v>
      </c>
      <c r="D548" s="14">
        <v>0</v>
      </c>
      <c r="E548" s="14">
        <v>1</v>
      </c>
      <c r="F548" s="14" t="s">
        <v>197</v>
      </c>
      <c r="G548" s="14" t="s">
        <v>198</v>
      </c>
      <c r="H548" s="14"/>
      <c r="I548" s="14">
        <v>0</v>
      </c>
      <c r="J548" s="14" t="s">
        <v>893</v>
      </c>
      <c r="K548" s="14" t="str">
        <f t="shared" si="25"/>
        <v>belebeta.passive.greentea.buff.buffeffect.06.skilleffect</v>
      </c>
      <c r="L548" s="14"/>
      <c r="M548" s="14"/>
      <c r="N548" s="14" t="str">
        <f t="shared" si="26"/>
        <v>Active(belebeta.passive.greentea.buff.buffeffect.06.skilleffect)</v>
      </c>
      <c r="O548" s="14">
        <v>3</v>
      </c>
      <c r="P548" s="14">
        <v>0</v>
      </c>
      <c r="Q548" s="14"/>
      <c r="R548" s="14" t="b">
        <v>1</v>
      </c>
    </row>
    <row r="549" spans="1:18" s="152" customFormat="1">
      <c r="A549" s="151" t="s">
        <v>6687</v>
      </c>
      <c r="B549" s="151"/>
      <c r="C549" s="151"/>
      <c r="D549" s="151">
        <v>0</v>
      </c>
      <c r="E549" s="151">
        <v>1</v>
      </c>
      <c r="F549" s="151" t="s">
        <v>197</v>
      </c>
      <c r="G549" s="151" t="s">
        <v>198</v>
      </c>
      <c r="H549" s="151"/>
      <c r="I549" s="151">
        <v>0</v>
      </c>
      <c r="J549" s="151" t="s">
        <v>838</v>
      </c>
      <c r="K549" s="151" t="s">
        <v>908</v>
      </c>
      <c r="L549" s="151">
        <v>100</v>
      </c>
      <c r="M549" s="151"/>
      <c r="N549" s="151" t="str">
        <f t="shared" si="26"/>
        <v>Status(AttackRatio, 100)</v>
      </c>
      <c r="O549" s="151">
        <v>0</v>
      </c>
      <c r="P549" s="151">
        <v>0</v>
      </c>
      <c r="Q549" s="151"/>
      <c r="R549" s="151" t="b">
        <v>1</v>
      </c>
    </row>
    <row r="550" spans="1:18" s="152" customFormat="1">
      <c r="A550" s="151" t="s">
        <v>3913</v>
      </c>
      <c r="B550" s="151"/>
      <c r="C550" s="151"/>
      <c r="D550" s="151">
        <v>0</v>
      </c>
      <c r="E550" s="151">
        <v>1</v>
      </c>
      <c r="F550" s="151" t="s">
        <v>197</v>
      </c>
      <c r="G550" s="151" t="s">
        <v>198</v>
      </c>
      <c r="H550" s="151"/>
      <c r="I550" s="151">
        <v>0</v>
      </c>
      <c r="J550" s="151" t="s">
        <v>838</v>
      </c>
      <c r="K550" s="151" t="s">
        <v>908</v>
      </c>
      <c r="L550" s="151">
        <v>140</v>
      </c>
      <c r="M550" s="151"/>
      <c r="N550" s="151" t="str">
        <f t="shared" si="26"/>
        <v>Status(AttackRatio, 140)</v>
      </c>
      <c r="O550" s="151">
        <v>0</v>
      </c>
      <c r="P550" s="151">
        <v>0</v>
      </c>
      <c r="Q550" s="151"/>
      <c r="R550" s="151" t="b">
        <v>1</v>
      </c>
    </row>
    <row r="551" spans="1:18" s="152" customFormat="1">
      <c r="A551" s="151" t="s">
        <v>3914</v>
      </c>
      <c r="B551" s="151"/>
      <c r="C551" s="151"/>
      <c r="D551" s="151">
        <v>0</v>
      </c>
      <c r="E551" s="151">
        <v>1</v>
      </c>
      <c r="F551" s="151" t="s">
        <v>197</v>
      </c>
      <c r="G551" s="151" t="s">
        <v>198</v>
      </c>
      <c r="H551" s="151"/>
      <c r="I551" s="151">
        <v>0</v>
      </c>
      <c r="J551" s="151" t="s">
        <v>838</v>
      </c>
      <c r="K551" s="151" t="s">
        <v>908</v>
      </c>
      <c r="L551" s="151">
        <v>180</v>
      </c>
      <c r="M551" s="151"/>
      <c r="N551" s="151" t="str">
        <f t="shared" si="26"/>
        <v>Status(AttackRatio, 180)</v>
      </c>
      <c r="O551" s="151">
        <v>0</v>
      </c>
      <c r="P551" s="151">
        <v>0</v>
      </c>
      <c r="Q551" s="151"/>
      <c r="R551" s="151" t="b">
        <v>1</v>
      </c>
    </row>
    <row r="552" spans="1:18" s="152" customFormat="1">
      <c r="A552" s="151" t="s">
        <v>3915</v>
      </c>
      <c r="B552" s="151"/>
      <c r="C552" s="151"/>
      <c r="D552" s="151">
        <v>0</v>
      </c>
      <c r="E552" s="151">
        <v>1</v>
      </c>
      <c r="F552" s="151" t="s">
        <v>197</v>
      </c>
      <c r="G552" s="151" t="s">
        <v>198</v>
      </c>
      <c r="H552" s="151"/>
      <c r="I552" s="151">
        <v>0</v>
      </c>
      <c r="J552" s="151" t="s">
        <v>838</v>
      </c>
      <c r="K552" s="151" t="s">
        <v>908</v>
      </c>
      <c r="L552" s="151">
        <v>220</v>
      </c>
      <c r="M552" s="151"/>
      <c r="N552" s="151" t="str">
        <f t="shared" si="26"/>
        <v>Status(AttackRatio, 220)</v>
      </c>
      <c r="O552" s="151">
        <v>0</v>
      </c>
      <c r="P552" s="151">
        <v>0</v>
      </c>
      <c r="Q552" s="151"/>
      <c r="R552" s="151" t="b">
        <v>1</v>
      </c>
    </row>
    <row r="553" spans="1:18" s="152" customFormat="1">
      <c r="A553" s="151" t="s">
        <v>3916</v>
      </c>
      <c r="B553" s="151"/>
      <c r="C553" s="151"/>
      <c r="D553" s="151">
        <v>0</v>
      </c>
      <c r="E553" s="151">
        <v>1</v>
      </c>
      <c r="F553" s="151" t="s">
        <v>197</v>
      </c>
      <c r="G553" s="151" t="s">
        <v>198</v>
      </c>
      <c r="H553" s="151"/>
      <c r="I553" s="151">
        <v>0</v>
      </c>
      <c r="J553" s="151" t="s">
        <v>838</v>
      </c>
      <c r="K553" s="151" t="s">
        <v>908</v>
      </c>
      <c r="L553" s="151">
        <v>260</v>
      </c>
      <c r="M553" s="151"/>
      <c r="N553" s="151" t="str">
        <f t="shared" si="26"/>
        <v>Status(AttackRatio, 260)</v>
      </c>
      <c r="O553" s="151">
        <v>0</v>
      </c>
      <c r="P553" s="151">
        <v>0</v>
      </c>
      <c r="Q553" s="151"/>
      <c r="R553" s="151" t="b">
        <v>1</v>
      </c>
    </row>
    <row r="554" spans="1:18" s="152" customFormat="1">
      <c r="A554" s="151" t="s">
        <v>3917</v>
      </c>
      <c r="B554" s="151"/>
      <c r="C554" s="151"/>
      <c r="D554" s="151">
        <v>0</v>
      </c>
      <c r="E554" s="151">
        <v>1</v>
      </c>
      <c r="F554" s="151" t="s">
        <v>197</v>
      </c>
      <c r="G554" s="151" t="s">
        <v>198</v>
      </c>
      <c r="H554" s="151"/>
      <c r="I554" s="151">
        <v>0</v>
      </c>
      <c r="J554" s="151" t="s">
        <v>838</v>
      </c>
      <c r="K554" s="151" t="s">
        <v>908</v>
      </c>
      <c r="L554" s="151">
        <v>210</v>
      </c>
      <c r="M554" s="151"/>
      <c r="N554" s="151" t="str">
        <f t="shared" si="26"/>
        <v>Status(AttackRatio, 210)</v>
      </c>
      <c r="O554" s="151">
        <v>0</v>
      </c>
      <c r="P554" s="151">
        <v>0</v>
      </c>
      <c r="Q554" s="151"/>
      <c r="R554" s="151" t="b">
        <v>1</v>
      </c>
    </row>
    <row r="555" spans="1:18" s="152" customFormat="1">
      <c r="A555" s="151" t="s">
        <v>2955</v>
      </c>
      <c r="B555" s="151" t="s">
        <v>1367</v>
      </c>
      <c r="C555" s="151" t="s">
        <v>2941</v>
      </c>
      <c r="D555" s="151">
        <v>0</v>
      </c>
      <c r="E555" s="151">
        <v>1</v>
      </c>
      <c r="F555" s="151" t="s">
        <v>197</v>
      </c>
      <c r="G555" s="151" t="s">
        <v>198</v>
      </c>
      <c r="H555" s="151"/>
      <c r="I555" s="151">
        <v>0</v>
      </c>
      <c r="J555" s="151" t="s">
        <v>893</v>
      </c>
      <c r="K555" s="151" t="s">
        <v>3929</v>
      </c>
      <c r="L555" s="151"/>
      <c r="M555" s="151"/>
      <c r="N555" s="151" t="str">
        <f t="shared" si="26"/>
        <v>Active(belebeta.passive.ex.greentea.buff.buffeffect.01.skilleffect)</v>
      </c>
      <c r="O555" s="151">
        <v>0</v>
      </c>
      <c r="P555" s="151">
        <v>0</v>
      </c>
      <c r="Q555" s="151"/>
      <c r="R555" s="151" t="b">
        <v>1</v>
      </c>
    </row>
    <row r="556" spans="1:18" s="152" customFormat="1">
      <c r="A556" s="151" t="s">
        <v>2956</v>
      </c>
      <c r="B556" s="151" t="s">
        <v>1367</v>
      </c>
      <c r="C556" s="151" t="s">
        <v>2942</v>
      </c>
      <c r="D556" s="151">
        <v>0</v>
      </c>
      <c r="E556" s="151">
        <v>1</v>
      </c>
      <c r="F556" s="151" t="s">
        <v>197</v>
      </c>
      <c r="G556" s="151" t="s">
        <v>198</v>
      </c>
      <c r="H556" s="151"/>
      <c r="I556" s="151">
        <v>0</v>
      </c>
      <c r="J556" s="151" t="s">
        <v>893</v>
      </c>
      <c r="K556" s="151" t="s">
        <v>3924</v>
      </c>
      <c r="L556" s="151"/>
      <c r="M556" s="151"/>
      <c r="N556" s="151" t="str">
        <f t="shared" si="26"/>
        <v>Active(belebeta.passive.ex.greentea.buff.buffeffect.02.skilleffect)</v>
      </c>
      <c r="O556" s="151">
        <v>0</v>
      </c>
      <c r="P556" s="151">
        <v>0</v>
      </c>
      <c r="Q556" s="151"/>
      <c r="R556" s="151" t="b">
        <v>1</v>
      </c>
    </row>
    <row r="557" spans="1:18" s="152" customFormat="1">
      <c r="A557" s="151" t="s">
        <v>2957</v>
      </c>
      <c r="B557" s="151" t="s">
        <v>1367</v>
      </c>
      <c r="C557" s="151" t="s">
        <v>2943</v>
      </c>
      <c r="D557" s="151">
        <v>0</v>
      </c>
      <c r="E557" s="151">
        <v>1</v>
      </c>
      <c r="F557" s="151" t="s">
        <v>197</v>
      </c>
      <c r="G557" s="151" t="s">
        <v>198</v>
      </c>
      <c r="H557" s="151"/>
      <c r="I557" s="151">
        <v>0</v>
      </c>
      <c r="J557" s="151" t="s">
        <v>893</v>
      </c>
      <c r="K557" s="151" t="s">
        <v>3925</v>
      </c>
      <c r="L557" s="151"/>
      <c r="M557" s="151"/>
      <c r="N557" s="151" t="str">
        <f t="shared" si="26"/>
        <v>Active(belebeta.passive.ex.greentea.buff.buffeffect.03.skilleffect)</v>
      </c>
      <c r="O557" s="151">
        <v>0</v>
      </c>
      <c r="P557" s="151">
        <v>0</v>
      </c>
      <c r="Q557" s="151"/>
      <c r="R557" s="151" t="b">
        <v>1</v>
      </c>
    </row>
    <row r="558" spans="1:18" s="152" customFormat="1">
      <c r="A558" s="151" t="s">
        <v>2958</v>
      </c>
      <c r="B558" s="151" t="s">
        <v>1367</v>
      </c>
      <c r="C558" s="151" t="s">
        <v>2944</v>
      </c>
      <c r="D558" s="151">
        <v>0</v>
      </c>
      <c r="E558" s="151">
        <v>1</v>
      </c>
      <c r="F558" s="151" t="s">
        <v>197</v>
      </c>
      <c r="G558" s="151" t="s">
        <v>198</v>
      </c>
      <c r="H558" s="151"/>
      <c r="I558" s="151">
        <v>0</v>
      </c>
      <c r="J558" s="151" t="s">
        <v>893</v>
      </c>
      <c r="K558" s="151" t="s">
        <v>3926</v>
      </c>
      <c r="L558" s="151"/>
      <c r="M558" s="151"/>
      <c r="N558" s="151" t="str">
        <f t="shared" si="26"/>
        <v>Active(belebeta.passive.ex.greentea.buff.buffeffect.04.skilleffect)</v>
      </c>
      <c r="O558" s="151">
        <v>0</v>
      </c>
      <c r="P558" s="151">
        <v>0</v>
      </c>
      <c r="Q558" s="151"/>
      <c r="R558" s="151" t="b">
        <v>1</v>
      </c>
    </row>
    <row r="559" spans="1:18" s="152" customFormat="1">
      <c r="A559" s="151" t="s">
        <v>2959</v>
      </c>
      <c r="B559" s="151" t="s">
        <v>1367</v>
      </c>
      <c r="C559" s="151" t="s">
        <v>2945</v>
      </c>
      <c r="D559" s="151">
        <v>0</v>
      </c>
      <c r="E559" s="151">
        <v>1</v>
      </c>
      <c r="F559" s="151" t="s">
        <v>197</v>
      </c>
      <c r="G559" s="151" t="s">
        <v>198</v>
      </c>
      <c r="H559" s="151"/>
      <c r="I559" s="151">
        <v>0</v>
      </c>
      <c r="J559" s="151" t="s">
        <v>893</v>
      </c>
      <c r="K559" s="151" t="s">
        <v>3927</v>
      </c>
      <c r="L559" s="151"/>
      <c r="M559" s="151"/>
      <c r="N559" s="151" t="str">
        <f t="shared" si="26"/>
        <v>Active(belebeta.passive.ex.greentea.buff.buffeffect.05.skilleffect)</v>
      </c>
      <c r="O559" s="151">
        <v>0</v>
      </c>
      <c r="P559" s="151">
        <v>0</v>
      </c>
      <c r="Q559" s="151"/>
      <c r="R559" s="151" t="b">
        <v>1</v>
      </c>
    </row>
    <row r="560" spans="1:18" s="152" customFormat="1">
      <c r="A560" s="151" t="s">
        <v>2960</v>
      </c>
      <c r="B560" s="151" t="s">
        <v>1367</v>
      </c>
      <c r="C560" s="151" t="s">
        <v>2946</v>
      </c>
      <c r="D560" s="151">
        <v>0</v>
      </c>
      <c r="E560" s="151">
        <v>1</v>
      </c>
      <c r="F560" s="151" t="s">
        <v>197</v>
      </c>
      <c r="G560" s="151" t="s">
        <v>198</v>
      </c>
      <c r="H560" s="151"/>
      <c r="I560" s="151">
        <v>0</v>
      </c>
      <c r="J560" s="151" t="s">
        <v>893</v>
      </c>
      <c r="K560" s="151" t="s">
        <v>3928</v>
      </c>
      <c r="L560" s="151"/>
      <c r="M560" s="151"/>
      <c r="N560" s="151" t="str">
        <f t="shared" si="26"/>
        <v>Active(belebeta.passive.ex.greentea.buff.buffeffect.06.skilleffect)</v>
      </c>
      <c r="O560" s="151">
        <v>0</v>
      </c>
      <c r="P560" s="151">
        <v>0</v>
      </c>
      <c r="Q560" s="151"/>
      <c r="R560" s="151" t="b">
        <v>1</v>
      </c>
    </row>
    <row r="561" spans="1:18">
      <c r="A561" s="14" t="s">
        <v>6692</v>
      </c>
      <c r="B561" s="14"/>
      <c r="C561" s="14"/>
      <c r="D561" s="14">
        <v>0</v>
      </c>
      <c r="E561" s="14">
        <v>1</v>
      </c>
      <c r="F561" s="14" t="s">
        <v>197</v>
      </c>
      <c r="G561" s="14" t="s">
        <v>198</v>
      </c>
      <c r="H561" s="14"/>
      <c r="I561" s="14">
        <v>0</v>
      </c>
      <c r="J561" s="14" t="s">
        <v>889</v>
      </c>
      <c r="K561" s="14" t="s">
        <v>875</v>
      </c>
      <c r="L561" s="14">
        <v>1300</v>
      </c>
      <c r="M561" s="14"/>
      <c r="N561" s="14" t="str">
        <f t="shared" si="26"/>
        <v>Shield(Attack, 1300)</v>
      </c>
      <c r="O561" s="14">
        <v>3</v>
      </c>
      <c r="P561" s="14">
        <v>0</v>
      </c>
      <c r="Q561" s="14"/>
      <c r="R561" s="14" t="b">
        <v>1</v>
      </c>
    </row>
    <row r="562" spans="1:18">
      <c r="A562" s="14" t="s">
        <v>5897</v>
      </c>
      <c r="B562" s="14"/>
      <c r="C562" s="14"/>
      <c r="D562" s="14">
        <v>0</v>
      </c>
      <c r="E562" s="14">
        <v>1</v>
      </c>
      <c r="F562" s="14" t="s">
        <v>197</v>
      </c>
      <c r="G562" s="14" t="s">
        <v>198</v>
      </c>
      <c r="H562" s="14"/>
      <c r="I562" s="14">
        <v>0</v>
      </c>
      <c r="J562" s="14" t="s">
        <v>889</v>
      </c>
      <c r="K562" s="14" t="s">
        <v>875</v>
      </c>
      <c r="L562" s="14">
        <v>1500</v>
      </c>
      <c r="M562" s="14"/>
      <c r="N562" s="14" t="str">
        <f t="shared" si="26"/>
        <v>Shield(Attack, 1500)</v>
      </c>
      <c r="O562" s="14">
        <v>3</v>
      </c>
      <c r="P562" s="14">
        <v>0</v>
      </c>
      <c r="Q562" s="14"/>
      <c r="R562" s="14" t="b">
        <v>1</v>
      </c>
    </row>
    <row r="563" spans="1:18">
      <c r="A563" s="14" t="s">
        <v>5898</v>
      </c>
      <c r="B563" s="14"/>
      <c r="C563" s="14"/>
      <c r="D563" s="14">
        <v>0</v>
      </c>
      <c r="E563" s="14">
        <v>1</v>
      </c>
      <c r="F563" s="14" t="s">
        <v>197</v>
      </c>
      <c r="G563" s="14" t="s">
        <v>198</v>
      </c>
      <c r="H563" s="14"/>
      <c r="I563" s="14">
        <v>0</v>
      </c>
      <c r="J563" s="14" t="s">
        <v>889</v>
      </c>
      <c r="K563" s="14" t="s">
        <v>875</v>
      </c>
      <c r="L563" s="14">
        <v>1700</v>
      </c>
      <c r="M563" s="14"/>
      <c r="N563" s="14" t="str">
        <f t="shared" si="26"/>
        <v>Shield(Attack, 1700)</v>
      </c>
      <c r="O563" s="14">
        <v>3</v>
      </c>
      <c r="P563" s="14">
        <v>0</v>
      </c>
      <c r="Q563" s="14"/>
      <c r="R563" s="14" t="b">
        <v>1</v>
      </c>
    </row>
    <row r="564" spans="1:18">
      <c r="A564" s="14" t="s">
        <v>5899</v>
      </c>
      <c r="B564" s="14"/>
      <c r="C564" s="14"/>
      <c r="D564" s="14">
        <v>0</v>
      </c>
      <c r="E564" s="14">
        <v>1</v>
      </c>
      <c r="F564" s="14" t="s">
        <v>197</v>
      </c>
      <c r="G564" s="14" t="s">
        <v>198</v>
      </c>
      <c r="H564" s="14"/>
      <c r="I564" s="14">
        <v>0</v>
      </c>
      <c r="J564" s="14" t="s">
        <v>889</v>
      </c>
      <c r="K564" s="14" t="s">
        <v>875</v>
      </c>
      <c r="L564" s="14">
        <v>1900</v>
      </c>
      <c r="M564" s="14"/>
      <c r="N564" s="14" t="str">
        <f t="shared" si="26"/>
        <v>Shield(Attack, 1900)</v>
      </c>
      <c r="O564" s="14">
        <v>3</v>
      </c>
      <c r="P564" s="14">
        <v>0</v>
      </c>
      <c r="Q564" s="14"/>
      <c r="R564" s="14" t="b">
        <v>1</v>
      </c>
    </row>
    <row r="565" spans="1:18">
      <c r="A565" s="14" t="s">
        <v>5900</v>
      </c>
      <c r="B565" s="14"/>
      <c r="C565" s="14"/>
      <c r="D565" s="14">
        <v>0</v>
      </c>
      <c r="E565" s="14">
        <v>1</v>
      </c>
      <c r="F565" s="14" t="s">
        <v>197</v>
      </c>
      <c r="G565" s="14" t="s">
        <v>198</v>
      </c>
      <c r="H565" s="14"/>
      <c r="I565" s="14">
        <v>0</v>
      </c>
      <c r="J565" s="14" t="s">
        <v>889</v>
      </c>
      <c r="K565" s="14" t="s">
        <v>875</v>
      </c>
      <c r="L565" s="14">
        <v>1850</v>
      </c>
      <c r="M565" s="14"/>
      <c r="N565" s="14" t="str">
        <f t="shared" si="26"/>
        <v>Shield(Attack, 1850)</v>
      </c>
      <c r="O565" s="14">
        <v>3</v>
      </c>
      <c r="P565" s="14">
        <v>0</v>
      </c>
      <c r="Q565" s="14"/>
      <c r="R565" s="14" t="b">
        <v>1</v>
      </c>
    </row>
    <row r="566" spans="1:18">
      <c r="A566" s="14" t="s">
        <v>5901</v>
      </c>
      <c r="B566" s="14"/>
      <c r="C566" s="14"/>
      <c r="D566" s="14">
        <v>0</v>
      </c>
      <c r="E566" s="14">
        <v>1</v>
      </c>
      <c r="F566" s="14" t="s">
        <v>197</v>
      </c>
      <c r="G566" s="14" t="s">
        <v>198</v>
      </c>
      <c r="H566" s="14"/>
      <c r="I566" s="14">
        <v>0</v>
      </c>
      <c r="J566" s="14" t="s">
        <v>889</v>
      </c>
      <c r="K566" s="14" t="s">
        <v>875</v>
      </c>
      <c r="L566" s="14">
        <v>2015</v>
      </c>
      <c r="M566" s="14"/>
      <c r="N566" s="14" t="str">
        <f t="shared" si="26"/>
        <v>Shield(Attack, 2015)</v>
      </c>
      <c r="O566" s="14">
        <v>3</v>
      </c>
      <c r="P566" s="14">
        <v>0</v>
      </c>
      <c r="Q566" s="14"/>
      <c r="R566" s="14" t="b">
        <v>1</v>
      </c>
    </row>
    <row r="567" spans="1:18">
      <c r="A567" s="34" t="s">
        <v>6690</v>
      </c>
      <c r="B567" s="34"/>
      <c r="C567" s="34"/>
      <c r="D567" s="34">
        <v>0</v>
      </c>
      <c r="E567" s="34">
        <v>1</v>
      </c>
      <c r="F567" s="34" t="s">
        <v>197</v>
      </c>
      <c r="G567" s="34" t="s">
        <v>198</v>
      </c>
      <c r="H567" s="34"/>
      <c r="I567" s="34">
        <v>0</v>
      </c>
      <c r="J567" s="34" t="s">
        <v>837</v>
      </c>
      <c r="K567" s="34"/>
      <c r="L567" s="34"/>
      <c r="M567" s="34"/>
      <c r="N567" s="34" t="str">
        <f t="shared" si="26"/>
        <v>None()</v>
      </c>
      <c r="O567" s="34">
        <v>0</v>
      </c>
      <c r="P567" s="34">
        <v>0</v>
      </c>
      <c r="Q567" s="34"/>
      <c r="R567" s="34" t="b">
        <v>1</v>
      </c>
    </row>
    <row r="568" spans="1:18">
      <c r="A568" s="23" t="s">
        <v>3448</v>
      </c>
      <c r="B568" s="23"/>
      <c r="C568" s="23"/>
      <c r="D568" s="23">
        <v>0</v>
      </c>
      <c r="E568" s="23">
        <v>1</v>
      </c>
      <c r="F568" s="23" t="s">
        <v>197</v>
      </c>
      <c r="G568" s="23" t="s">
        <v>198</v>
      </c>
      <c r="H568" s="23"/>
      <c r="I568" s="23">
        <v>0</v>
      </c>
      <c r="J568" s="23" t="s">
        <v>893</v>
      </c>
      <c r="K568" s="23" t="s">
        <v>3529</v>
      </c>
      <c r="L568" s="23"/>
      <c r="M568" s="23"/>
      <c r="N568" s="23" t="str">
        <f t="shared" si="26"/>
        <v>Active(arcels.ult.passive.damage.buff.buffeffect.skilleffect.01)</v>
      </c>
      <c r="O568" s="23">
        <v>0</v>
      </c>
      <c r="P568" s="23">
        <v>1000</v>
      </c>
      <c r="Q568" s="23"/>
      <c r="R568" s="23" t="b">
        <v>1</v>
      </c>
    </row>
    <row r="569" spans="1:18">
      <c r="A569" s="23" t="s">
        <v>3449</v>
      </c>
      <c r="B569" s="23"/>
      <c r="C569" s="23"/>
      <c r="D569" s="23">
        <v>0</v>
      </c>
      <c r="E569" s="23">
        <v>1</v>
      </c>
      <c r="F569" s="23" t="s">
        <v>197</v>
      </c>
      <c r="G569" s="23" t="s">
        <v>198</v>
      </c>
      <c r="H569" s="23"/>
      <c r="I569" s="23">
        <v>0</v>
      </c>
      <c r="J569" s="23" t="s">
        <v>893</v>
      </c>
      <c r="K569" s="23" t="s">
        <v>3524</v>
      </c>
      <c r="L569" s="23"/>
      <c r="M569" s="23"/>
      <c r="N569" s="23" t="str">
        <f t="shared" si="26"/>
        <v>Active(arcels.ult.passive.damage.buff.buffeffect.skilleffect.02)</v>
      </c>
      <c r="O569" s="23">
        <v>0</v>
      </c>
      <c r="P569" s="23">
        <v>1000</v>
      </c>
      <c r="Q569" s="23"/>
      <c r="R569" s="23" t="b">
        <v>1</v>
      </c>
    </row>
    <row r="570" spans="1:18">
      <c r="A570" s="23" t="s">
        <v>3450</v>
      </c>
      <c r="B570" s="23"/>
      <c r="C570" s="23"/>
      <c r="D570" s="23">
        <v>0</v>
      </c>
      <c r="E570" s="23">
        <v>1</v>
      </c>
      <c r="F570" s="23" t="s">
        <v>197</v>
      </c>
      <c r="G570" s="23" t="s">
        <v>198</v>
      </c>
      <c r="H570" s="23"/>
      <c r="I570" s="23">
        <v>0</v>
      </c>
      <c r="J570" s="23" t="s">
        <v>893</v>
      </c>
      <c r="K570" s="23" t="s">
        <v>3525</v>
      </c>
      <c r="L570" s="23"/>
      <c r="M570" s="23"/>
      <c r="N570" s="23" t="str">
        <f t="shared" si="26"/>
        <v>Active(arcels.ult.passive.damage.buff.buffeffect.skilleffect.03)</v>
      </c>
      <c r="O570" s="23">
        <v>0</v>
      </c>
      <c r="P570" s="23">
        <v>1000</v>
      </c>
      <c r="Q570" s="23"/>
      <c r="R570" s="23" t="b">
        <v>1</v>
      </c>
    </row>
    <row r="571" spans="1:18">
      <c r="A571" s="34" t="s">
        <v>3451</v>
      </c>
      <c r="B571" s="34"/>
      <c r="C571" s="34"/>
      <c r="D571" s="34">
        <v>0</v>
      </c>
      <c r="E571" s="34">
        <v>1</v>
      </c>
      <c r="F571" s="34" t="s">
        <v>197</v>
      </c>
      <c r="G571" s="34" t="s">
        <v>198</v>
      </c>
      <c r="H571" s="34"/>
      <c r="I571" s="34">
        <v>0</v>
      </c>
      <c r="J571" s="34" t="s">
        <v>893</v>
      </c>
      <c r="K571" s="34" t="s">
        <v>3526</v>
      </c>
      <c r="L571" s="34"/>
      <c r="M571" s="34"/>
      <c r="N571" s="34" t="str">
        <f t="shared" si="26"/>
        <v>Active(arcels.ult.passive.damage.buff.buffeffect.skilleffect.04)</v>
      </c>
      <c r="O571" s="34">
        <v>0</v>
      </c>
      <c r="P571" s="34">
        <v>1000</v>
      </c>
      <c r="Q571" s="34"/>
      <c r="R571" s="34" t="b">
        <v>1</v>
      </c>
    </row>
    <row r="572" spans="1:18">
      <c r="A572" s="34" t="s">
        <v>3452</v>
      </c>
      <c r="B572" s="34"/>
      <c r="C572" s="34"/>
      <c r="D572" s="34">
        <v>0</v>
      </c>
      <c r="E572" s="34">
        <v>1</v>
      </c>
      <c r="F572" s="34" t="s">
        <v>197</v>
      </c>
      <c r="G572" s="34" t="s">
        <v>198</v>
      </c>
      <c r="H572" s="34"/>
      <c r="I572" s="34">
        <v>0</v>
      </c>
      <c r="J572" s="34" t="s">
        <v>893</v>
      </c>
      <c r="K572" s="34" t="s">
        <v>3527</v>
      </c>
      <c r="L572" s="34"/>
      <c r="M572" s="34"/>
      <c r="N572" s="34" t="str">
        <f t="shared" si="26"/>
        <v>Active(arcels.ult.passive.damage.buff.buffeffect.skilleffect.05)</v>
      </c>
      <c r="O572" s="34">
        <v>0</v>
      </c>
      <c r="P572" s="34">
        <v>1000</v>
      </c>
      <c r="Q572" s="34"/>
      <c r="R572" s="34" t="b">
        <v>1</v>
      </c>
    </row>
    <row r="573" spans="1:18">
      <c r="A573" s="34" t="s">
        <v>3453</v>
      </c>
      <c r="B573" s="34"/>
      <c r="C573" s="34"/>
      <c r="D573" s="34">
        <v>0</v>
      </c>
      <c r="E573" s="34">
        <v>1</v>
      </c>
      <c r="F573" s="34" t="s">
        <v>197</v>
      </c>
      <c r="G573" s="34" t="s">
        <v>198</v>
      </c>
      <c r="H573" s="34"/>
      <c r="I573" s="34">
        <v>0</v>
      </c>
      <c r="J573" s="34" t="s">
        <v>893</v>
      </c>
      <c r="K573" s="34" t="s">
        <v>3528</v>
      </c>
      <c r="L573" s="34"/>
      <c r="M573" s="34"/>
      <c r="N573" s="34" t="str">
        <f t="shared" si="26"/>
        <v>Active(arcels.ult.passive.damage.buff.buffeffect.skilleffect.06)</v>
      </c>
      <c r="O573" s="34">
        <v>0</v>
      </c>
      <c r="P573" s="34">
        <v>1000</v>
      </c>
      <c r="Q573" s="34"/>
      <c r="R573" s="34" t="b">
        <v>1</v>
      </c>
    </row>
    <row r="574" spans="1:18">
      <c r="A574" s="34" t="s">
        <v>3454</v>
      </c>
      <c r="B574" s="34"/>
      <c r="C574" s="34"/>
      <c r="D574" s="34">
        <v>0</v>
      </c>
      <c r="E574" s="34">
        <v>1</v>
      </c>
      <c r="F574" s="34" t="s">
        <v>197</v>
      </c>
      <c r="G574" s="34" t="s">
        <v>198</v>
      </c>
      <c r="H574" s="34"/>
      <c r="I574" s="34">
        <v>0</v>
      </c>
      <c r="J574" s="34" t="s">
        <v>893</v>
      </c>
      <c r="K574" s="34" t="s">
        <v>3528</v>
      </c>
      <c r="L574" s="34"/>
      <c r="M574" s="34"/>
      <c r="N574" s="34" t="str">
        <f t="shared" si="26"/>
        <v>Active(arcels.ult.passive.damage.buff.buffeffect.skilleffect.06)</v>
      </c>
      <c r="O574" s="34">
        <v>0</v>
      </c>
      <c r="P574" s="34">
        <v>500</v>
      </c>
      <c r="Q574" s="34"/>
      <c r="R574" s="34" t="b">
        <v>1</v>
      </c>
    </row>
    <row r="575" spans="1:18">
      <c r="A575" s="23" t="s">
        <v>4748</v>
      </c>
      <c r="B575" s="23"/>
      <c r="C575" s="23"/>
      <c r="D575" s="23">
        <v>0</v>
      </c>
      <c r="E575" s="23">
        <v>1</v>
      </c>
      <c r="F575" s="23" t="s">
        <v>197</v>
      </c>
      <c r="G575" s="23" t="s">
        <v>198</v>
      </c>
      <c r="H575" s="23"/>
      <c r="I575" s="23">
        <v>0</v>
      </c>
      <c r="J575" s="23" t="s">
        <v>838</v>
      </c>
      <c r="K575" s="23" t="s">
        <v>908</v>
      </c>
      <c r="L575" s="23">
        <v>140</v>
      </c>
      <c r="M575" s="23"/>
      <c r="N575" s="23" t="str">
        <f t="shared" si="26"/>
        <v>Status(AttackRatio, 140)</v>
      </c>
      <c r="O575" s="23">
        <v>0</v>
      </c>
      <c r="P575" s="23">
        <v>1000</v>
      </c>
      <c r="Q575" s="23"/>
      <c r="R575" s="23" t="b">
        <v>1</v>
      </c>
    </row>
    <row r="576" spans="1:18">
      <c r="A576" s="23" t="s">
        <v>4749</v>
      </c>
      <c r="B576" s="23"/>
      <c r="C576" s="23"/>
      <c r="D576" s="23">
        <v>0</v>
      </c>
      <c r="E576" s="23">
        <v>1</v>
      </c>
      <c r="F576" s="23" t="s">
        <v>197</v>
      </c>
      <c r="G576" s="23" t="s">
        <v>198</v>
      </c>
      <c r="H576" s="23"/>
      <c r="I576" s="23">
        <v>0</v>
      </c>
      <c r="J576" s="23" t="s">
        <v>838</v>
      </c>
      <c r="K576" s="23" t="s">
        <v>908</v>
      </c>
      <c r="L576" s="23">
        <v>160</v>
      </c>
      <c r="M576" s="23"/>
      <c r="N576" s="23" t="str">
        <f t="shared" si="26"/>
        <v>Status(AttackRatio, 160)</v>
      </c>
      <c r="O576" s="23">
        <v>0</v>
      </c>
      <c r="P576" s="23">
        <v>1000</v>
      </c>
      <c r="Q576" s="23"/>
      <c r="R576" s="23" t="b">
        <v>1</v>
      </c>
    </row>
    <row r="577" spans="1:18">
      <c r="A577" s="23" t="s">
        <v>4750</v>
      </c>
      <c r="B577" s="23"/>
      <c r="C577" s="23"/>
      <c r="D577" s="23">
        <v>0</v>
      </c>
      <c r="E577" s="23">
        <v>1</v>
      </c>
      <c r="F577" s="23" t="s">
        <v>197</v>
      </c>
      <c r="G577" s="23" t="s">
        <v>198</v>
      </c>
      <c r="H577" s="23"/>
      <c r="I577" s="23">
        <v>0</v>
      </c>
      <c r="J577" s="23" t="s">
        <v>838</v>
      </c>
      <c r="K577" s="23" t="s">
        <v>908</v>
      </c>
      <c r="L577" s="23">
        <v>180</v>
      </c>
      <c r="M577" s="23"/>
      <c r="N577" s="23" t="str">
        <f t="shared" si="26"/>
        <v>Status(AttackRatio, 180)</v>
      </c>
      <c r="O577" s="23">
        <v>0</v>
      </c>
      <c r="P577" s="23">
        <v>1000</v>
      </c>
      <c r="Q577" s="23"/>
      <c r="R577" s="23" t="b">
        <v>1</v>
      </c>
    </row>
    <row r="578" spans="1:18">
      <c r="A578" s="34" t="s">
        <v>4751</v>
      </c>
      <c r="B578" s="34"/>
      <c r="C578" s="34"/>
      <c r="D578" s="34">
        <v>0</v>
      </c>
      <c r="E578" s="34">
        <v>1</v>
      </c>
      <c r="F578" s="34" t="s">
        <v>197</v>
      </c>
      <c r="G578" s="34" t="s">
        <v>198</v>
      </c>
      <c r="H578" s="34"/>
      <c r="I578" s="34">
        <v>0</v>
      </c>
      <c r="J578" s="34" t="s">
        <v>838</v>
      </c>
      <c r="K578" s="34" t="s">
        <v>908</v>
      </c>
      <c r="L578" s="34">
        <v>200</v>
      </c>
      <c r="M578" s="34"/>
      <c r="N578" s="34" t="str">
        <f t="shared" si="26"/>
        <v>Status(AttackRatio, 200)</v>
      </c>
      <c r="O578" s="34">
        <v>0</v>
      </c>
      <c r="P578" s="34">
        <v>1000</v>
      </c>
      <c r="Q578" s="34"/>
      <c r="R578" s="34" t="b">
        <v>1</v>
      </c>
    </row>
    <row r="579" spans="1:18">
      <c r="A579" s="34" t="s">
        <v>4752</v>
      </c>
      <c r="B579" s="34"/>
      <c r="C579" s="34"/>
      <c r="D579" s="34">
        <v>0</v>
      </c>
      <c r="E579" s="34">
        <v>1</v>
      </c>
      <c r="F579" s="34" t="s">
        <v>197</v>
      </c>
      <c r="G579" s="34" t="s">
        <v>198</v>
      </c>
      <c r="H579" s="34"/>
      <c r="I579" s="34">
        <v>0</v>
      </c>
      <c r="J579" s="34" t="s">
        <v>838</v>
      </c>
      <c r="K579" s="34" t="s">
        <v>908</v>
      </c>
      <c r="L579" s="34">
        <v>220</v>
      </c>
      <c r="M579" s="34"/>
      <c r="N579" s="34" t="str">
        <f t="shared" si="26"/>
        <v>Status(AttackRatio, 220)</v>
      </c>
      <c r="O579" s="34">
        <v>0</v>
      </c>
      <c r="P579" s="34">
        <v>1000</v>
      </c>
      <c r="Q579" s="34"/>
      <c r="R579" s="34" t="b">
        <v>1</v>
      </c>
    </row>
    <row r="580" spans="1:18">
      <c r="A580" s="34" t="s">
        <v>4753</v>
      </c>
      <c r="B580" s="34"/>
      <c r="C580" s="34"/>
      <c r="D580" s="34">
        <v>0</v>
      </c>
      <c r="E580" s="34">
        <v>1</v>
      </c>
      <c r="F580" s="34" t="s">
        <v>197</v>
      </c>
      <c r="G580" s="34" t="s">
        <v>198</v>
      </c>
      <c r="H580" s="34"/>
      <c r="I580" s="34">
        <v>0</v>
      </c>
      <c r="J580" s="34" t="s">
        <v>838</v>
      </c>
      <c r="K580" s="34" t="s">
        <v>908</v>
      </c>
      <c r="L580" s="34">
        <v>240</v>
      </c>
      <c r="M580" s="34"/>
      <c r="N580" s="34" t="str">
        <f t="shared" si="26"/>
        <v>Status(AttackRatio, 240)</v>
      </c>
      <c r="O580" s="34">
        <v>0</v>
      </c>
      <c r="P580" s="34">
        <v>1000</v>
      </c>
      <c r="Q580" s="34"/>
      <c r="R580" s="34" t="b">
        <v>1</v>
      </c>
    </row>
    <row r="581" spans="1:18">
      <c r="A581" s="23" t="s">
        <v>4754</v>
      </c>
      <c r="B581" s="23"/>
      <c r="C581" s="23"/>
      <c r="D581" s="23">
        <v>0</v>
      </c>
      <c r="E581" s="23">
        <v>1</v>
      </c>
      <c r="F581" s="23" t="s">
        <v>197</v>
      </c>
      <c r="G581" s="23" t="s">
        <v>198</v>
      </c>
      <c r="H581" s="23"/>
      <c r="I581" s="23">
        <v>0</v>
      </c>
      <c r="J581" s="23" t="s">
        <v>838</v>
      </c>
      <c r="K581" s="23" t="s">
        <v>908</v>
      </c>
      <c r="L581" s="23">
        <v>-140</v>
      </c>
      <c r="M581" s="23"/>
      <c r="N581" s="23" t="str">
        <f t="shared" si="26"/>
        <v>Status(AttackRatio, -140)</v>
      </c>
      <c r="O581" s="23">
        <v>0</v>
      </c>
      <c r="P581" s="23">
        <v>1000</v>
      </c>
      <c r="Q581" s="23"/>
      <c r="R581" s="23" t="b">
        <v>1</v>
      </c>
    </row>
    <row r="582" spans="1:18">
      <c r="A582" s="23" t="s">
        <v>4755</v>
      </c>
      <c r="B582" s="23"/>
      <c r="C582" s="23"/>
      <c r="D582" s="23">
        <v>0</v>
      </c>
      <c r="E582" s="23">
        <v>1</v>
      </c>
      <c r="F582" s="23" t="s">
        <v>197</v>
      </c>
      <c r="G582" s="23" t="s">
        <v>198</v>
      </c>
      <c r="H582" s="23"/>
      <c r="I582" s="23">
        <v>0</v>
      </c>
      <c r="J582" s="23" t="s">
        <v>838</v>
      </c>
      <c r="K582" s="23" t="s">
        <v>908</v>
      </c>
      <c r="L582" s="23">
        <v>-160</v>
      </c>
      <c r="M582" s="23"/>
      <c r="N582" s="23" t="str">
        <f t="shared" si="26"/>
        <v>Status(AttackRatio, -160)</v>
      </c>
      <c r="O582" s="23">
        <v>0</v>
      </c>
      <c r="P582" s="23">
        <v>1000</v>
      </c>
      <c r="Q582" s="23"/>
      <c r="R582" s="23" t="b">
        <v>1</v>
      </c>
    </row>
    <row r="583" spans="1:18">
      <c r="A583" s="23" t="s">
        <v>4756</v>
      </c>
      <c r="B583" s="23"/>
      <c r="C583" s="23"/>
      <c r="D583" s="23">
        <v>0</v>
      </c>
      <c r="E583" s="23">
        <v>1</v>
      </c>
      <c r="F583" s="23" t="s">
        <v>197</v>
      </c>
      <c r="G583" s="23" t="s">
        <v>198</v>
      </c>
      <c r="H583" s="23"/>
      <c r="I583" s="23">
        <v>0</v>
      </c>
      <c r="J583" s="23" t="s">
        <v>838</v>
      </c>
      <c r="K583" s="23" t="s">
        <v>908</v>
      </c>
      <c r="L583" s="23">
        <v>-180</v>
      </c>
      <c r="M583" s="23"/>
      <c r="N583" s="23" t="str">
        <f t="shared" si="26"/>
        <v>Status(AttackRatio, -180)</v>
      </c>
      <c r="O583" s="23">
        <v>0</v>
      </c>
      <c r="P583" s="23">
        <v>1000</v>
      </c>
      <c r="Q583" s="23"/>
      <c r="R583" s="23" t="b">
        <v>1</v>
      </c>
    </row>
    <row r="584" spans="1:18">
      <c r="A584" s="34" t="s">
        <v>4757</v>
      </c>
      <c r="B584" s="34"/>
      <c r="C584" s="34"/>
      <c r="D584" s="34">
        <v>0</v>
      </c>
      <c r="E584" s="34">
        <v>1</v>
      </c>
      <c r="F584" s="34" t="s">
        <v>197</v>
      </c>
      <c r="G584" s="34" t="s">
        <v>198</v>
      </c>
      <c r="H584" s="34"/>
      <c r="I584" s="34">
        <v>0</v>
      </c>
      <c r="J584" s="34" t="s">
        <v>838</v>
      </c>
      <c r="K584" s="34" t="s">
        <v>908</v>
      </c>
      <c r="L584" s="34">
        <v>-200</v>
      </c>
      <c r="M584" s="34"/>
      <c r="N584" s="34" t="str">
        <f t="shared" si="26"/>
        <v>Status(AttackRatio, -200)</v>
      </c>
      <c r="O584" s="34">
        <v>0</v>
      </c>
      <c r="P584" s="34">
        <v>1000</v>
      </c>
      <c r="Q584" s="34"/>
      <c r="R584" s="34" t="b">
        <v>1</v>
      </c>
    </row>
    <row r="585" spans="1:18">
      <c r="A585" s="34" t="s">
        <v>4758</v>
      </c>
      <c r="B585" s="34"/>
      <c r="C585" s="34"/>
      <c r="D585" s="34">
        <v>0</v>
      </c>
      <c r="E585" s="34">
        <v>1</v>
      </c>
      <c r="F585" s="34" t="s">
        <v>197</v>
      </c>
      <c r="G585" s="34" t="s">
        <v>198</v>
      </c>
      <c r="H585" s="34"/>
      <c r="I585" s="34">
        <v>0</v>
      </c>
      <c r="J585" s="34" t="s">
        <v>838</v>
      </c>
      <c r="K585" s="34" t="s">
        <v>908</v>
      </c>
      <c r="L585" s="34">
        <v>-220</v>
      </c>
      <c r="M585" s="34"/>
      <c r="N585" s="34" t="str">
        <f t="shared" si="26"/>
        <v>Status(AttackRatio, -220)</v>
      </c>
      <c r="O585" s="34">
        <v>0</v>
      </c>
      <c r="P585" s="34">
        <v>1000</v>
      </c>
      <c r="Q585" s="34"/>
      <c r="R585" s="34" t="b">
        <v>1</v>
      </c>
    </row>
    <row r="586" spans="1:18">
      <c r="A586" s="34" t="s">
        <v>4759</v>
      </c>
      <c r="B586" s="34"/>
      <c r="C586" s="34"/>
      <c r="D586" s="34">
        <v>0</v>
      </c>
      <c r="E586" s="34">
        <v>1</v>
      </c>
      <c r="F586" s="34" t="s">
        <v>197</v>
      </c>
      <c r="G586" s="34" t="s">
        <v>198</v>
      </c>
      <c r="H586" s="34"/>
      <c r="I586" s="34">
        <v>0</v>
      </c>
      <c r="J586" s="34" t="s">
        <v>838</v>
      </c>
      <c r="K586" s="34" t="s">
        <v>908</v>
      </c>
      <c r="L586" s="34">
        <v>-240</v>
      </c>
      <c r="M586" s="34"/>
      <c r="N586" s="34" t="str">
        <f t="shared" si="26"/>
        <v>Status(AttackRatio, -240)</v>
      </c>
      <c r="O586" s="34">
        <v>0</v>
      </c>
      <c r="P586" s="34">
        <v>1000</v>
      </c>
      <c r="Q586" s="34"/>
      <c r="R586" s="34" t="b">
        <v>1</v>
      </c>
    </row>
    <row r="587" spans="1:18">
      <c r="A587" s="23" t="s">
        <v>515</v>
      </c>
      <c r="B587" s="23"/>
      <c r="C587" s="23"/>
      <c r="D587" s="23">
        <v>0</v>
      </c>
      <c r="E587" s="23">
        <v>1</v>
      </c>
      <c r="F587" s="23" t="s">
        <v>197</v>
      </c>
      <c r="G587" s="23" t="s">
        <v>198</v>
      </c>
      <c r="H587" s="23"/>
      <c r="I587" s="23">
        <v>0</v>
      </c>
      <c r="J587" s="23" t="s">
        <v>893</v>
      </c>
      <c r="K587" s="23" t="s">
        <v>936</v>
      </c>
      <c r="L587" s="23"/>
      <c r="M587" s="23"/>
      <c r="N587" s="23" t="str">
        <f t="shared" si="26"/>
        <v>Active(arcels.passive.damage.buff.buffeffect.skilleffect.01)</v>
      </c>
      <c r="O587" s="23">
        <v>0</v>
      </c>
      <c r="P587" s="23">
        <v>1000</v>
      </c>
      <c r="Q587" s="23"/>
      <c r="R587" s="23" t="b">
        <v>1</v>
      </c>
    </row>
    <row r="588" spans="1:18">
      <c r="A588" s="23" t="s">
        <v>517</v>
      </c>
      <c r="B588" s="23"/>
      <c r="C588" s="23"/>
      <c r="D588" s="23">
        <v>0</v>
      </c>
      <c r="E588" s="23">
        <v>1</v>
      </c>
      <c r="F588" s="23" t="s">
        <v>197</v>
      </c>
      <c r="G588" s="23" t="s">
        <v>198</v>
      </c>
      <c r="H588" s="23"/>
      <c r="I588" s="23">
        <v>0</v>
      </c>
      <c r="J588" s="23" t="s">
        <v>893</v>
      </c>
      <c r="K588" s="23" t="s">
        <v>937</v>
      </c>
      <c r="L588" s="23"/>
      <c r="M588" s="23"/>
      <c r="N588" s="23" t="str">
        <f t="shared" si="26"/>
        <v>Active(arcels.passive.damage.buff.buffeffect.skilleffect.02)</v>
      </c>
      <c r="O588" s="23">
        <v>0</v>
      </c>
      <c r="P588" s="23">
        <v>1000</v>
      </c>
      <c r="Q588" s="23"/>
      <c r="R588" s="23" t="b">
        <v>1</v>
      </c>
    </row>
    <row r="589" spans="1:18">
      <c r="A589" s="23" t="s">
        <v>519</v>
      </c>
      <c r="B589" s="23"/>
      <c r="C589" s="23"/>
      <c r="D589" s="23">
        <v>0</v>
      </c>
      <c r="E589" s="23">
        <v>1</v>
      </c>
      <c r="F589" s="23" t="s">
        <v>197</v>
      </c>
      <c r="G589" s="23" t="s">
        <v>198</v>
      </c>
      <c r="H589" s="23"/>
      <c r="I589" s="23">
        <v>0</v>
      </c>
      <c r="J589" s="23" t="s">
        <v>893</v>
      </c>
      <c r="K589" s="23" t="s">
        <v>938</v>
      </c>
      <c r="L589" s="23"/>
      <c r="M589" s="23"/>
      <c r="N589" s="23" t="str">
        <f t="shared" si="26"/>
        <v>Active(arcels.passive.damage.buff.buffeffect.skilleffect.03)</v>
      </c>
      <c r="O589" s="23">
        <v>0</v>
      </c>
      <c r="P589" s="23">
        <v>1000</v>
      </c>
      <c r="Q589" s="23"/>
      <c r="R589" s="23" t="b">
        <v>1</v>
      </c>
    </row>
    <row r="590" spans="1:18">
      <c r="A590" s="34" t="s">
        <v>521</v>
      </c>
      <c r="B590" s="34"/>
      <c r="C590" s="34"/>
      <c r="D590" s="34">
        <v>0</v>
      </c>
      <c r="E590" s="34">
        <v>1</v>
      </c>
      <c r="F590" s="34" t="s">
        <v>197</v>
      </c>
      <c r="G590" s="34" t="s">
        <v>198</v>
      </c>
      <c r="H590" s="34"/>
      <c r="I590" s="34">
        <v>0</v>
      </c>
      <c r="J590" s="34" t="s">
        <v>893</v>
      </c>
      <c r="K590" s="34" t="s">
        <v>939</v>
      </c>
      <c r="L590" s="34"/>
      <c r="M590" s="34"/>
      <c r="N590" s="34" t="str">
        <f t="shared" si="26"/>
        <v>Active(arcels.passive.damage.buff.buffeffect.skilleffect.04)</v>
      </c>
      <c r="O590" s="34">
        <v>0</v>
      </c>
      <c r="P590" s="34">
        <v>1000</v>
      </c>
      <c r="Q590" s="34"/>
      <c r="R590" s="34" t="b">
        <v>1</v>
      </c>
    </row>
    <row r="591" spans="1:18">
      <c r="A591" s="34" t="s">
        <v>523</v>
      </c>
      <c r="B591" s="34"/>
      <c r="C591" s="34"/>
      <c r="D591" s="34">
        <v>0</v>
      </c>
      <c r="E591" s="34">
        <v>1</v>
      </c>
      <c r="F591" s="34" t="s">
        <v>197</v>
      </c>
      <c r="G591" s="34" t="s">
        <v>198</v>
      </c>
      <c r="H591" s="34"/>
      <c r="I591" s="34">
        <v>0</v>
      </c>
      <c r="J591" s="34" t="s">
        <v>893</v>
      </c>
      <c r="K591" s="34" t="s">
        <v>940</v>
      </c>
      <c r="L591" s="34"/>
      <c r="M591" s="34"/>
      <c r="N591" s="34" t="str">
        <f t="shared" si="26"/>
        <v>Active(arcels.passive.damage.buff.buffeffect.skilleffect.05)</v>
      </c>
      <c r="O591" s="34">
        <v>0</v>
      </c>
      <c r="P591" s="34">
        <v>1000</v>
      </c>
      <c r="Q591" s="34"/>
      <c r="R591" s="34" t="b">
        <v>1</v>
      </c>
    </row>
    <row r="592" spans="1:18">
      <c r="A592" s="34" t="s">
        <v>525</v>
      </c>
      <c r="B592" s="34"/>
      <c r="C592" s="34"/>
      <c r="D592" s="34">
        <v>0</v>
      </c>
      <c r="E592" s="34">
        <v>1</v>
      </c>
      <c r="F592" s="34" t="s">
        <v>197</v>
      </c>
      <c r="G592" s="34" t="s">
        <v>198</v>
      </c>
      <c r="H592" s="34"/>
      <c r="I592" s="34">
        <v>0</v>
      </c>
      <c r="J592" s="34" t="s">
        <v>893</v>
      </c>
      <c r="K592" s="34" t="s">
        <v>941</v>
      </c>
      <c r="L592" s="34"/>
      <c r="M592" s="34"/>
      <c r="N592" s="34" t="str">
        <f t="shared" si="26"/>
        <v>Active(arcels.passive.damage.buff.buffeffect.skilleffect.06)</v>
      </c>
      <c r="O592" s="34">
        <v>0</v>
      </c>
      <c r="P592" s="34">
        <v>1000</v>
      </c>
      <c r="Q592" s="34"/>
      <c r="R592" s="34" t="b">
        <v>1</v>
      </c>
    </row>
    <row r="593" spans="1:18">
      <c r="A593" s="23" t="s">
        <v>527</v>
      </c>
      <c r="B593" s="23"/>
      <c r="C593" s="23"/>
      <c r="D593" s="23">
        <v>0</v>
      </c>
      <c r="E593" s="23">
        <v>1</v>
      </c>
      <c r="F593" s="23" t="s">
        <v>197</v>
      </c>
      <c r="G593" s="23" t="s">
        <v>198</v>
      </c>
      <c r="H593" s="23"/>
      <c r="I593" s="23">
        <v>0</v>
      </c>
      <c r="J593" s="23" t="s">
        <v>893</v>
      </c>
      <c r="K593" s="23" t="s">
        <v>942</v>
      </c>
      <c r="L593" s="23"/>
      <c r="M593" s="23"/>
      <c r="N593" s="23" t="str">
        <f t="shared" si="26"/>
        <v>Active(arcels.passive.effect.buffeffect.skilleffect)</v>
      </c>
      <c r="O593" s="23">
        <v>0</v>
      </c>
      <c r="P593" s="23">
        <v>0</v>
      </c>
      <c r="Q593" s="23"/>
      <c r="R593" s="23" t="b">
        <v>1</v>
      </c>
    </row>
    <row r="594" spans="1:18" s="143" customFormat="1">
      <c r="A594" s="25" t="s">
        <v>4049</v>
      </c>
      <c r="B594" s="25"/>
      <c r="C594" s="25"/>
      <c r="D594" s="25">
        <v>0</v>
      </c>
      <c r="E594" s="25">
        <v>1</v>
      </c>
      <c r="F594" s="25" t="s">
        <v>197</v>
      </c>
      <c r="G594" s="25" t="s">
        <v>198</v>
      </c>
      <c r="H594" s="25"/>
      <c r="I594" s="25">
        <v>0</v>
      </c>
      <c r="J594" s="25" t="s">
        <v>893</v>
      </c>
      <c r="K594" s="25" t="s">
        <v>4076</v>
      </c>
      <c r="L594" s="25"/>
      <c r="M594" s="25"/>
      <c r="N594" s="25" t="str">
        <f t="shared" ref="N594:N675" si="27">J594&amp;"("&amp;IF(K594="","",K594)&amp;IF(L594="","",", "&amp;L594)&amp;IF(M594="","",", "&amp;M594)&amp;")"</f>
        <v>Active(angelica.ult.pre.buff.buffeffect.skilleffect.01)</v>
      </c>
      <c r="O594" s="25">
        <v>0</v>
      </c>
      <c r="P594" s="25">
        <v>0</v>
      </c>
      <c r="Q594" s="25"/>
      <c r="R594" s="25" t="b">
        <v>1</v>
      </c>
    </row>
    <row r="595" spans="1:18" s="143" customFormat="1">
      <c r="A595" s="25" t="s">
        <v>4051</v>
      </c>
      <c r="B595" s="25"/>
      <c r="C595" s="25"/>
      <c r="D595" s="25">
        <v>0</v>
      </c>
      <c r="E595" s="25">
        <v>1</v>
      </c>
      <c r="F595" s="25" t="s">
        <v>197</v>
      </c>
      <c r="G595" s="25" t="s">
        <v>198</v>
      </c>
      <c r="H595" s="25"/>
      <c r="I595" s="25">
        <v>0</v>
      </c>
      <c r="J595" s="25" t="s">
        <v>893</v>
      </c>
      <c r="K595" s="25" t="s">
        <v>4077</v>
      </c>
      <c r="L595" s="25"/>
      <c r="M595" s="25"/>
      <c r="N595" s="25" t="str">
        <f t="shared" si="27"/>
        <v>Active(angelica.ult.pre.buff.buffeffect.skilleffect.02)</v>
      </c>
      <c r="O595" s="25">
        <v>0</v>
      </c>
      <c r="P595" s="25">
        <v>0</v>
      </c>
      <c r="Q595" s="25"/>
      <c r="R595" s="25" t="b">
        <v>1</v>
      </c>
    </row>
    <row r="596" spans="1:18" s="143" customFormat="1">
      <c r="A596" s="25" t="s">
        <v>4053</v>
      </c>
      <c r="B596" s="25"/>
      <c r="C596" s="25"/>
      <c r="D596" s="25">
        <v>0</v>
      </c>
      <c r="E596" s="25">
        <v>1</v>
      </c>
      <c r="F596" s="25" t="s">
        <v>197</v>
      </c>
      <c r="G596" s="25" t="s">
        <v>198</v>
      </c>
      <c r="H596" s="25"/>
      <c r="I596" s="25">
        <v>0</v>
      </c>
      <c r="J596" s="25" t="s">
        <v>893</v>
      </c>
      <c r="K596" s="25" t="s">
        <v>4078</v>
      </c>
      <c r="L596" s="25"/>
      <c r="M596" s="25"/>
      <c r="N596" s="25" t="str">
        <f t="shared" si="27"/>
        <v>Active(angelica.ult.pre.buff.buffeffect.skilleffect.03)</v>
      </c>
      <c r="O596" s="25">
        <v>0</v>
      </c>
      <c r="P596" s="25">
        <v>0</v>
      </c>
      <c r="Q596" s="25"/>
      <c r="R596" s="25" t="b">
        <v>1</v>
      </c>
    </row>
    <row r="597" spans="1:18" s="143" customFormat="1">
      <c r="A597" s="25" t="s">
        <v>4055</v>
      </c>
      <c r="B597" s="25"/>
      <c r="C597" s="25"/>
      <c r="D597" s="25">
        <v>0</v>
      </c>
      <c r="E597" s="25">
        <v>1</v>
      </c>
      <c r="F597" s="25" t="s">
        <v>197</v>
      </c>
      <c r="G597" s="25" t="s">
        <v>198</v>
      </c>
      <c r="H597" s="25"/>
      <c r="I597" s="25">
        <v>0</v>
      </c>
      <c r="J597" s="25" t="s">
        <v>893</v>
      </c>
      <c r="K597" s="25" t="s">
        <v>4079</v>
      </c>
      <c r="L597" s="25"/>
      <c r="M597" s="25"/>
      <c r="N597" s="25" t="str">
        <f t="shared" si="27"/>
        <v>Active(angelica.ult.pre.buff.buffeffect.skilleffect.04)</v>
      </c>
      <c r="O597" s="25">
        <v>0</v>
      </c>
      <c r="P597" s="25">
        <v>0</v>
      </c>
      <c r="Q597" s="25"/>
      <c r="R597" s="25" t="b">
        <v>1</v>
      </c>
    </row>
    <row r="598" spans="1:18" s="143" customFormat="1">
      <c r="A598" s="25" t="s">
        <v>4057</v>
      </c>
      <c r="B598" s="25"/>
      <c r="C598" s="25"/>
      <c r="D598" s="25">
        <v>0</v>
      </c>
      <c r="E598" s="25">
        <v>1</v>
      </c>
      <c r="F598" s="25" t="s">
        <v>197</v>
      </c>
      <c r="G598" s="25" t="s">
        <v>198</v>
      </c>
      <c r="H598" s="25"/>
      <c r="I598" s="25">
        <v>0</v>
      </c>
      <c r="J598" s="25" t="s">
        <v>893</v>
      </c>
      <c r="K598" s="25" t="s">
        <v>4080</v>
      </c>
      <c r="L598" s="25"/>
      <c r="M598" s="25"/>
      <c r="N598" s="25" t="str">
        <f t="shared" si="27"/>
        <v>Active(angelica.ult.pre.buff.buffeffect.skilleffect.05)</v>
      </c>
      <c r="O598" s="25">
        <v>0</v>
      </c>
      <c r="P598" s="25">
        <v>0</v>
      </c>
      <c r="Q598" s="25"/>
      <c r="R598" s="25" t="b">
        <v>1</v>
      </c>
    </row>
    <row r="599" spans="1:18" s="162" customFormat="1">
      <c r="A599" s="44" t="s">
        <v>4059</v>
      </c>
      <c r="B599" s="44"/>
      <c r="C599" s="44"/>
      <c r="D599" s="44">
        <v>0</v>
      </c>
      <c r="E599" s="44">
        <v>1</v>
      </c>
      <c r="F599" s="44" t="s">
        <v>197</v>
      </c>
      <c r="G599" s="44" t="s">
        <v>198</v>
      </c>
      <c r="H599" s="44"/>
      <c r="I599" s="44">
        <v>0</v>
      </c>
      <c r="J599" s="44" t="s">
        <v>893</v>
      </c>
      <c r="K599" s="44" t="s">
        <v>4081</v>
      </c>
      <c r="L599" s="44"/>
      <c r="M599" s="44"/>
      <c r="N599" s="44" t="str">
        <f t="shared" si="27"/>
        <v>Active(angelica.ult.pre.buff.buffeffect.skilleffect.06)</v>
      </c>
      <c r="O599" s="44">
        <v>0</v>
      </c>
      <c r="P599" s="44">
        <v>0</v>
      </c>
      <c r="Q599" s="44"/>
      <c r="R599" s="44" t="b">
        <v>1</v>
      </c>
    </row>
    <row r="600" spans="1:18" s="162" customFormat="1">
      <c r="A600" s="44" t="s">
        <v>4061</v>
      </c>
      <c r="B600" s="44"/>
      <c r="C600" s="44"/>
      <c r="D600" s="44">
        <v>0</v>
      </c>
      <c r="E600" s="44">
        <v>1</v>
      </c>
      <c r="F600" s="44" t="s">
        <v>197</v>
      </c>
      <c r="G600" s="44" t="s">
        <v>198</v>
      </c>
      <c r="H600" s="44"/>
      <c r="I600" s="44">
        <v>0</v>
      </c>
      <c r="J600" s="44" t="s">
        <v>893</v>
      </c>
      <c r="K600" s="44" t="s">
        <v>4082</v>
      </c>
      <c r="L600" s="44"/>
      <c r="M600" s="44"/>
      <c r="N600" s="44" t="str">
        <f t="shared" si="27"/>
        <v>Active(angelica.ult.pre.buff.buffeffect.skilleffect.07)</v>
      </c>
      <c r="O600" s="44">
        <v>0</v>
      </c>
      <c r="P600" s="44">
        <v>0</v>
      </c>
      <c r="Q600" s="44"/>
      <c r="R600" s="44" t="b">
        <v>1</v>
      </c>
    </row>
    <row r="601" spans="1:18" s="143" customFormat="1">
      <c r="A601" s="25" t="s">
        <v>4063</v>
      </c>
      <c r="B601" s="25"/>
      <c r="C601" s="25"/>
      <c r="D601" s="25">
        <v>0</v>
      </c>
      <c r="E601" s="25">
        <v>1</v>
      </c>
      <c r="F601" s="25" t="s">
        <v>197</v>
      </c>
      <c r="G601" s="25" t="s">
        <v>198</v>
      </c>
      <c r="H601" s="25"/>
      <c r="I601" s="25">
        <v>0</v>
      </c>
      <c r="J601" s="25" t="s">
        <v>191</v>
      </c>
      <c r="K601" s="25" t="s">
        <v>927</v>
      </c>
      <c r="L601" s="25" t="s">
        <v>4083</v>
      </c>
      <c r="M601" s="25"/>
      <c r="N601" s="25" t="str">
        <f t="shared" si="27"/>
        <v>Effect(OnHitNormal, angelica.ult.normalatt.buff.buffeffect.skilleffect.01)</v>
      </c>
      <c r="O601" s="25">
        <v>0</v>
      </c>
      <c r="P601" s="25">
        <v>0</v>
      </c>
      <c r="Q601" s="25"/>
      <c r="R601" s="25" t="b">
        <v>1</v>
      </c>
    </row>
    <row r="602" spans="1:18" s="143" customFormat="1">
      <c r="A602" s="25" t="s">
        <v>4065</v>
      </c>
      <c r="B602" s="25"/>
      <c r="C602" s="25"/>
      <c r="D602" s="25">
        <v>0</v>
      </c>
      <c r="E602" s="25">
        <v>1</v>
      </c>
      <c r="F602" s="25" t="s">
        <v>197</v>
      </c>
      <c r="G602" s="25" t="s">
        <v>198</v>
      </c>
      <c r="H602" s="25"/>
      <c r="I602" s="25">
        <v>0</v>
      </c>
      <c r="J602" s="25" t="s">
        <v>191</v>
      </c>
      <c r="K602" s="25" t="s">
        <v>927</v>
      </c>
      <c r="L602" s="25" t="s">
        <v>4084</v>
      </c>
      <c r="M602" s="25"/>
      <c r="N602" s="25" t="str">
        <f t="shared" si="27"/>
        <v>Effect(OnHitNormal, angelica.ult.normalatt.buff.buffeffect.skilleffect.02)</v>
      </c>
      <c r="O602" s="25">
        <v>0</v>
      </c>
      <c r="P602" s="25">
        <v>0</v>
      </c>
      <c r="Q602" s="25"/>
      <c r="R602" s="25" t="b">
        <v>1</v>
      </c>
    </row>
    <row r="603" spans="1:18" s="143" customFormat="1">
      <c r="A603" s="25" t="s">
        <v>4067</v>
      </c>
      <c r="B603" s="25"/>
      <c r="C603" s="25"/>
      <c r="D603" s="25">
        <v>0</v>
      </c>
      <c r="E603" s="25">
        <v>1</v>
      </c>
      <c r="F603" s="25" t="s">
        <v>197</v>
      </c>
      <c r="G603" s="25" t="s">
        <v>198</v>
      </c>
      <c r="H603" s="25"/>
      <c r="I603" s="25">
        <v>0</v>
      </c>
      <c r="J603" s="25" t="s">
        <v>191</v>
      </c>
      <c r="K603" s="25" t="s">
        <v>927</v>
      </c>
      <c r="L603" s="25" t="s">
        <v>4085</v>
      </c>
      <c r="M603" s="25"/>
      <c r="N603" s="25" t="str">
        <f t="shared" si="27"/>
        <v>Effect(OnHitNormal, angelica.ult.normalatt.buff.buffeffect.skilleffect.03)</v>
      </c>
      <c r="O603" s="25">
        <v>0</v>
      </c>
      <c r="P603" s="25">
        <v>0</v>
      </c>
      <c r="Q603" s="25"/>
      <c r="R603" s="25" t="b">
        <v>1</v>
      </c>
    </row>
    <row r="604" spans="1:18" s="143" customFormat="1">
      <c r="A604" s="25" t="s">
        <v>4069</v>
      </c>
      <c r="B604" s="25"/>
      <c r="C604" s="25"/>
      <c r="D604" s="25">
        <v>0</v>
      </c>
      <c r="E604" s="25">
        <v>1</v>
      </c>
      <c r="F604" s="25" t="s">
        <v>197</v>
      </c>
      <c r="G604" s="25" t="s">
        <v>198</v>
      </c>
      <c r="H604" s="25"/>
      <c r="I604" s="25">
        <v>0</v>
      </c>
      <c r="J604" s="25" t="s">
        <v>191</v>
      </c>
      <c r="K604" s="25" t="s">
        <v>927</v>
      </c>
      <c r="L604" s="25" t="s">
        <v>4086</v>
      </c>
      <c r="M604" s="25"/>
      <c r="N604" s="25" t="str">
        <f t="shared" si="27"/>
        <v>Effect(OnHitNormal, angelica.ult.normalatt.buff.buffeffect.skilleffect.04)</v>
      </c>
      <c r="O604" s="25">
        <v>0</v>
      </c>
      <c r="P604" s="25">
        <v>0</v>
      </c>
      <c r="Q604" s="25"/>
      <c r="R604" s="25" t="b">
        <v>1</v>
      </c>
    </row>
    <row r="605" spans="1:18" s="143" customFormat="1">
      <c r="A605" s="25" t="s">
        <v>4071</v>
      </c>
      <c r="B605" s="25"/>
      <c r="C605" s="25"/>
      <c r="D605" s="25">
        <v>0</v>
      </c>
      <c r="E605" s="25">
        <v>1</v>
      </c>
      <c r="F605" s="25" t="s">
        <v>197</v>
      </c>
      <c r="G605" s="25" t="s">
        <v>198</v>
      </c>
      <c r="H605" s="25"/>
      <c r="I605" s="25">
        <v>0</v>
      </c>
      <c r="J605" s="25" t="s">
        <v>191</v>
      </c>
      <c r="K605" s="25" t="s">
        <v>927</v>
      </c>
      <c r="L605" s="25" t="s">
        <v>4087</v>
      </c>
      <c r="M605" s="25"/>
      <c r="N605" s="25" t="str">
        <f t="shared" si="27"/>
        <v>Effect(OnHitNormal, angelica.ult.normalatt.buff.buffeffect.skilleffect.05)</v>
      </c>
      <c r="O605" s="25">
        <v>0</v>
      </c>
      <c r="P605" s="25">
        <v>0</v>
      </c>
      <c r="Q605" s="25"/>
      <c r="R605" s="25" t="b">
        <v>1</v>
      </c>
    </row>
    <row r="606" spans="1:18" s="162" customFormat="1">
      <c r="A606" s="44" t="s">
        <v>4073</v>
      </c>
      <c r="B606" s="44"/>
      <c r="C606" s="44"/>
      <c r="D606" s="44">
        <v>0</v>
      </c>
      <c r="E606" s="44">
        <v>1</v>
      </c>
      <c r="F606" s="44" t="s">
        <v>197</v>
      </c>
      <c r="G606" s="44" t="s">
        <v>198</v>
      </c>
      <c r="H606" s="44"/>
      <c r="I606" s="44">
        <v>0</v>
      </c>
      <c r="J606" s="44" t="s">
        <v>191</v>
      </c>
      <c r="K606" s="44" t="s">
        <v>927</v>
      </c>
      <c r="L606" s="44" t="s">
        <v>4088</v>
      </c>
      <c r="M606" s="44"/>
      <c r="N606" s="44" t="str">
        <f t="shared" si="27"/>
        <v>Effect(OnHitNormal, angelica.ult.normalatt.buff.buffeffect.skilleffect.06)</v>
      </c>
      <c r="O606" s="44">
        <v>0</v>
      </c>
      <c r="P606" s="44">
        <v>0</v>
      </c>
      <c r="Q606" s="44"/>
      <c r="R606" s="44" t="b">
        <v>1</v>
      </c>
    </row>
    <row r="607" spans="1:18" s="162" customFormat="1">
      <c r="A607" s="44" t="s">
        <v>4075</v>
      </c>
      <c r="B607" s="44"/>
      <c r="C607" s="44"/>
      <c r="D607" s="44">
        <v>0</v>
      </c>
      <c r="E607" s="44">
        <v>1</v>
      </c>
      <c r="F607" s="44" t="s">
        <v>197</v>
      </c>
      <c r="G607" s="44" t="s">
        <v>198</v>
      </c>
      <c r="H607" s="44"/>
      <c r="I607" s="44">
        <v>0</v>
      </c>
      <c r="J607" s="44" t="s">
        <v>191</v>
      </c>
      <c r="K607" s="44" t="s">
        <v>927</v>
      </c>
      <c r="L607" s="44" t="s">
        <v>4089</v>
      </c>
      <c r="M607" s="44"/>
      <c r="N607" s="44" t="str">
        <f t="shared" si="27"/>
        <v>Effect(OnHitNormal, angelica.ult.normalatt.buff.buffeffect.skilleffect.07)</v>
      </c>
      <c r="O607" s="44">
        <v>0</v>
      </c>
      <c r="P607" s="44">
        <v>0</v>
      </c>
      <c r="Q607" s="44"/>
      <c r="R607" s="44" t="b">
        <v>1</v>
      </c>
    </row>
    <row r="608" spans="1:18" s="143" customFormat="1">
      <c r="A608" s="25" t="s">
        <v>6704</v>
      </c>
      <c r="B608" s="25"/>
      <c r="C608" s="25"/>
      <c r="D608" s="25">
        <v>0</v>
      </c>
      <c r="E608" s="25">
        <v>1</v>
      </c>
      <c r="F608" s="25" t="s">
        <v>197</v>
      </c>
      <c r="G608" s="25" t="s">
        <v>198</v>
      </c>
      <c r="H608" s="25"/>
      <c r="I608" s="25">
        <v>0</v>
      </c>
      <c r="J608" s="25" t="s">
        <v>893</v>
      </c>
      <c r="K608" s="25" t="s">
        <v>3372</v>
      </c>
      <c r="L608" s="25"/>
      <c r="M608" s="25"/>
      <c r="N608" s="25" t="str">
        <f t="shared" si="27"/>
        <v>Active(angelica.ult.B.pre.buff.buffeffect.skilleffect.01)</v>
      </c>
      <c r="O608" s="25">
        <v>0</v>
      </c>
      <c r="P608" s="25">
        <v>0</v>
      </c>
      <c r="Q608" s="25"/>
      <c r="R608" s="25" t="b">
        <v>1</v>
      </c>
    </row>
    <row r="609" spans="1:18" s="143" customFormat="1">
      <c r="A609" s="25" t="s">
        <v>3360</v>
      </c>
      <c r="B609" s="25"/>
      <c r="C609" s="25"/>
      <c r="D609" s="25">
        <v>0</v>
      </c>
      <c r="E609" s="25">
        <v>1</v>
      </c>
      <c r="F609" s="25" t="s">
        <v>197</v>
      </c>
      <c r="G609" s="25" t="s">
        <v>198</v>
      </c>
      <c r="H609" s="25"/>
      <c r="I609" s="25">
        <v>0</v>
      </c>
      <c r="J609" s="25" t="s">
        <v>893</v>
      </c>
      <c r="K609" s="25" t="s">
        <v>3366</v>
      </c>
      <c r="L609" s="25"/>
      <c r="M609" s="25"/>
      <c r="N609" s="25" t="str">
        <f t="shared" si="27"/>
        <v>Active(angelica.ult.B.pre.buff.buffeffect.skilleffect.02)</v>
      </c>
      <c r="O609" s="25">
        <v>0</v>
      </c>
      <c r="P609" s="25">
        <v>0</v>
      </c>
      <c r="Q609" s="25"/>
      <c r="R609" s="25" t="b">
        <v>1</v>
      </c>
    </row>
    <row r="610" spans="1:18" s="143" customFormat="1">
      <c r="A610" s="25" t="s">
        <v>3361</v>
      </c>
      <c r="B610" s="25"/>
      <c r="C610" s="25"/>
      <c r="D610" s="25">
        <v>0</v>
      </c>
      <c r="E610" s="25">
        <v>1</v>
      </c>
      <c r="F610" s="25" t="s">
        <v>197</v>
      </c>
      <c r="G610" s="25" t="s">
        <v>198</v>
      </c>
      <c r="H610" s="25"/>
      <c r="I610" s="25">
        <v>0</v>
      </c>
      <c r="J610" s="25" t="s">
        <v>893</v>
      </c>
      <c r="K610" s="25" t="s">
        <v>3367</v>
      </c>
      <c r="L610" s="25"/>
      <c r="M610" s="25"/>
      <c r="N610" s="25" t="str">
        <f t="shared" si="27"/>
        <v>Active(angelica.ult.B.pre.buff.buffeffect.skilleffect.03)</v>
      </c>
      <c r="O610" s="25">
        <v>0</v>
      </c>
      <c r="P610" s="25">
        <v>0</v>
      </c>
      <c r="Q610" s="25"/>
      <c r="R610" s="25" t="b">
        <v>1</v>
      </c>
    </row>
    <row r="611" spans="1:18" s="143" customFormat="1">
      <c r="A611" s="25" t="s">
        <v>3362</v>
      </c>
      <c r="B611" s="25"/>
      <c r="C611" s="25"/>
      <c r="D611" s="25">
        <v>0</v>
      </c>
      <c r="E611" s="25">
        <v>1</v>
      </c>
      <c r="F611" s="25" t="s">
        <v>197</v>
      </c>
      <c r="G611" s="25" t="s">
        <v>198</v>
      </c>
      <c r="H611" s="25"/>
      <c r="I611" s="25">
        <v>0</v>
      </c>
      <c r="J611" s="25" t="s">
        <v>893</v>
      </c>
      <c r="K611" s="25" t="s">
        <v>3368</v>
      </c>
      <c r="L611" s="25"/>
      <c r="M611" s="25"/>
      <c r="N611" s="25" t="str">
        <f t="shared" si="27"/>
        <v>Active(angelica.ult.B.pre.buff.buffeffect.skilleffect.04)</v>
      </c>
      <c r="O611" s="25">
        <v>0</v>
      </c>
      <c r="P611" s="25">
        <v>0</v>
      </c>
      <c r="Q611" s="25"/>
      <c r="R611" s="25" t="b">
        <v>1</v>
      </c>
    </row>
    <row r="612" spans="1:18" s="143" customFormat="1">
      <c r="A612" s="25" t="s">
        <v>3363</v>
      </c>
      <c r="B612" s="25"/>
      <c r="C612" s="25"/>
      <c r="D612" s="25">
        <v>0</v>
      </c>
      <c r="E612" s="25">
        <v>1</v>
      </c>
      <c r="F612" s="25" t="s">
        <v>197</v>
      </c>
      <c r="G612" s="25" t="s">
        <v>198</v>
      </c>
      <c r="H612" s="25"/>
      <c r="I612" s="25">
        <v>0</v>
      </c>
      <c r="J612" s="25" t="s">
        <v>893</v>
      </c>
      <c r="K612" s="25" t="s">
        <v>3369</v>
      </c>
      <c r="L612" s="25"/>
      <c r="M612" s="25"/>
      <c r="N612" s="25" t="str">
        <f t="shared" si="27"/>
        <v>Active(angelica.ult.B.pre.buff.buffeffect.skilleffect.05)</v>
      </c>
      <c r="O612" s="25">
        <v>0</v>
      </c>
      <c r="P612" s="25">
        <v>0</v>
      </c>
      <c r="Q612" s="25"/>
      <c r="R612" s="25" t="b">
        <v>1</v>
      </c>
    </row>
    <row r="613" spans="1:18" s="162" customFormat="1">
      <c r="A613" s="44" t="s">
        <v>3364</v>
      </c>
      <c r="B613" s="44"/>
      <c r="C613" s="44"/>
      <c r="D613" s="44">
        <v>0</v>
      </c>
      <c r="E613" s="44">
        <v>1</v>
      </c>
      <c r="F613" s="44" t="s">
        <v>197</v>
      </c>
      <c r="G613" s="44" t="s">
        <v>198</v>
      </c>
      <c r="H613" s="44"/>
      <c r="I613" s="44">
        <v>0</v>
      </c>
      <c r="J613" s="44" t="s">
        <v>893</v>
      </c>
      <c r="K613" s="44" t="s">
        <v>3370</v>
      </c>
      <c r="L613" s="44"/>
      <c r="M613" s="44"/>
      <c r="N613" s="44" t="str">
        <f t="shared" si="27"/>
        <v>Active(angelica.ult.B.pre.buff.buffeffect.skilleffect.06)</v>
      </c>
      <c r="O613" s="44">
        <v>0</v>
      </c>
      <c r="P613" s="44">
        <v>0</v>
      </c>
      <c r="Q613" s="44"/>
      <c r="R613" s="44" t="b">
        <v>1</v>
      </c>
    </row>
    <row r="614" spans="1:18" s="162" customFormat="1">
      <c r="A614" s="44" t="s">
        <v>3365</v>
      </c>
      <c r="B614" s="44"/>
      <c r="C614" s="44"/>
      <c r="D614" s="44">
        <v>0</v>
      </c>
      <c r="E614" s="44">
        <v>1</v>
      </c>
      <c r="F614" s="44" t="s">
        <v>197</v>
      </c>
      <c r="G614" s="44" t="s">
        <v>198</v>
      </c>
      <c r="H614" s="44"/>
      <c r="I614" s="44">
        <v>0</v>
      </c>
      <c r="J614" s="44" t="s">
        <v>893</v>
      </c>
      <c r="K614" s="44" t="s">
        <v>3371</v>
      </c>
      <c r="L614" s="44"/>
      <c r="M614" s="44"/>
      <c r="N614" s="44" t="str">
        <f t="shared" si="27"/>
        <v>Active(angelica.ult.B.pre.buff.buffeffect.skilleffect.07)</v>
      </c>
      <c r="O614" s="44">
        <v>0</v>
      </c>
      <c r="P614" s="44">
        <v>0</v>
      </c>
      <c r="Q614" s="44"/>
      <c r="R614" s="44" t="b">
        <v>1</v>
      </c>
    </row>
    <row r="615" spans="1:18">
      <c r="A615" s="26" t="s">
        <v>531</v>
      </c>
      <c r="B615" s="26" t="s">
        <v>1367</v>
      </c>
      <c r="C615" s="26" t="s">
        <v>6876</v>
      </c>
      <c r="D615" s="26">
        <v>0</v>
      </c>
      <c r="E615" s="26">
        <v>1</v>
      </c>
      <c r="F615" s="26" t="s">
        <v>417</v>
      </c>
      <c r="G615" s="26" t="s">
        <v>418</v>
      </c>
      <c r="H615" s="26"/>
      <c r="I615" s="26">
        <v>0</v>
      </c>
      <c r="J615" s="26" t="s">
        <v>1254</v>
      </c>
      <c r="K615" s="26" t="s">
        <v>4327</v>
      </c>
      <c r="L615" s="26"/>
      <c r="M615" s="26"/>
      <c r="N615" s="26" t="str">
        <f t="shared" si="27"/>
        <v>Passive(angelica.passive.areadmgup.buff.01.01)</v>
      </c>
      <c r="O615" s="26">
        <v>0</v>
      </c>
      <c r="P615" s="26">
        <v>0</v>
      </c>
      <c r="Q615" s="26"/>
      <c r="R615" s="26" t="b">
        <v>1</v>
      </c>
    </row>
    <row r="616" spans="1:18">
      <c r="A616" s="26" t="s">
        <v>533</v>
      </c>
      <c r="B616" s="26" t="s">
        <v>1367</v>
      </c>
      <c r="C616" s="26" t="s">
        <v>6876</v>
      </c>
      <c r="D616" s="26">
        <v>0</v>
      </c>
      <c r="E616" s="26">
        <v>1</v>
      </c>
      <c r="F616" s="26" t="s">
        <v>417</v>
      </c>
      <c r="G616" s="26" t="s">
        <v>418</v>
      </c>
      <c r="H616" s="26"/>
      <c r="I616" s="26">
        <v>0</v>
      </c>
      <c r="J616" s="26" t="s">
        <v>1254</v>
      </c>
      <c r="K616" s="26" t="s">
        <v>4328</v>
      </c>
      <c r="L616" s="26"/>
      <c r="M616" s="26"/>
      <c r="N616" s="26" t="str">
        <f t="shared" si="27"/>
        <v>Passive(angelica.passive.areadmgup.buff.01.02)</v>
      </c>
      <c r="O616" s="26">
        <v>0</v>
      </c>
      <c r="P616" s="26">
        <v>0</v>
      </c>
      <c r="Q616" s="26"/>
      <c r="R616" s="26" t="b">
        <v>1</v>
      </c>
    </row>
    <row r="617" spans="1:18">
      <c r="A617" s="26" t="s">
        <v>535</v>
      </c>
      <c r="B617" s="26" t="s">
        <v>1367</v>
      </c>
      <c r="C617" s="26" t="s">
        <v>6876</v>
      </c>
      <c r="D617" s="26">
        <v>0</v>
      </c>
      <c r="E617" s="26">
        <v>1</v>
      </c>
      <c r="F617" s="26" t="s">
        <v>417</v>
      </c>
      <c r="G617" s="26" t="s">
        <v>418</v>
      </c>
      <c r="H617" s="26"/>
      <c r="I617" s="26">
        <v>0</v>
      </c>
      <c r="J617" s="26" t="s">
        <v>1254</v>
      </c>
      <c r="K617" s="26" t="s">
        <v>4329</v>
      </c>
      <c r="L617" s="26"/>
      <c r="M617" s="26"/>
      <c r="N617" s="26" t="str">
        <f t="shared" si="27"/>
        <v>Passive(angelica.passive.areadmgup.buff.01.03)</v>
      </c>
      <c r="O617" s="26">
        <v>0</v>
      </c>
      <c r="P617" s="26">
        <v>0</v>
      </c>
      <c r="Q617" s="26"/>
      <c r="R617" s="26" t="b">
        <v>1</v>
      </c>
    </row>
    <row r="618" spans="1:18">
      <c r="A618" s="34" t="s">
        <v>537</v>
      </c>
      <c r="B618" s="34" t="s">
        <v>1367</v>
      </c>
      <c r="C618" s="34" t="s">
        <v>6876</v>
      </c>
      <c r="D618" s="34">
        <v>0</v>
      </c>
      <c r="E618" s="34">
        <v>1</v>
      </c>
      <c r="F618" s="34" t="s">
        <v>417</v>
      </c>
      <c r="G618" s="34" t="s">
        <v>418</v>
      </c>
      <c r="H618" s="34"/>
      <c r="I618" s="34">
        <v>0</v>
      </c>
      <c r="J618" s="34" t="s">
        <v>1254</v>
      </c>
      <c r="K618" s="34" t="s">
        <v>4330</v>
      </c>
      <c r="L618" s="34"/>
      <c r="M618" s="34"/>
      <c r="N618" s="34" t="str">
        <f t="shared" si="27"/>
        <v>Passive(angelica.passive.areadmgup.buff.01.04)</v>
      </c>
      <c r="O618" s="34">
        <v>0</v>
      </c>
      <c r="P618" s="34">
        <v>0</v>
      </c>
      <c r="Q618" s="34"/>
      <c r="R618" s="34" t="b">
        <v>1</v>
      </c>
    </row>
    <row r="619" spans="1:18">
      <c r="A619" s="34" t="s">
        <v>539</v>
      </c>
      <c r="B619" s="34" t="s">
        <v>1367</v>
      </c>
      <c r="C619" s="34" t="s">
        <v>6876</v>
      </c>
      <c r="D619" s="34">
        <v>0</v>
      </c>
      <c r="E619" s="34">
        <v>1</v>
      </c>
      <c r="F619" s="34" t="s">
        <v>417</v>
      </c>
      <c r="G619" s="34" t="s">
        <v>418</v>
      </c>
      <c r="H619" s="34"/>
      <c r="I619" s="34">
        <v>0</v>
      </c>
      <c r="J619" s="34" t="s">
        <v>1254</v>
      </c>
      <c r="K619" s="34" t="s">
        <v>4331</v>
      </c>
      <c r="L619" s="34"/>
      <c r="M619" s="34"/>
      <c r="N619" s="34" t="str">
        <f t="shared" si="27"/>
        <v>Passive(angelica.passive.areadmgup.buff.01.05)</v>
      </c>
      <c r="O619" s="34">
        <v>0</v>
      </c>
      <c r="P619" s="34">
        <v>0</v>
      </c>
      <c r="Q619" s="34"/>
      <c r="R619" s="34" t="b">
        <v>1</v>
      </c>
    </row>
    <row r="620" spans="1:18">
      <c r="A620" s="34" t="s">
        <v>541</v>
      </c>
      <c r="B620" s="34" t="s">
        <v>1367</v>
      </c>
      <c r="C620" s="34" t="s">
        <v>6876</v>
      </c>
      <c r="D620" s="34">
        <v>0</v>
      </c>
      <c r="E620" s="34">
        <v>1</v>
      </c>
      <c r="F620" s="34" t="s">
        <v>417</v>
      </c>
      <c r="G620" s="34" t="s">
        <v>418</v>
      </c>
      <c r="H620" s="34"/>
      <c r="I620" s="34">
        <v>0</v>
      </c>
      <c r="J620" s="34" t="s">
        <v>1254</v>
      </c>
      <c r="K620" s="34" t="s">
        <v>4332</v>
      </c>
      <c r="L620" s="34"/>
      <c r="M620" s="34"/>
      <c r="N620" s="34" t="str">
        <f t="shared" si="27"/>
        <v>Passive(angelica.passive.areadmgup.buff.01.06)</v>
      </c>
      <c r="O620" s="34">
        <v>0</v>
      </c>
      <c r="P620" s="34">
        <v>0</v>
      </c>
      <c r="Q620" s="34"/>
      <c r="R620" s="34" t="b">
        <v>1</v>
      </c>
    </row>
    <row r="621" spans="1:18">
      <c r="A621" s="25" t="s">
        <v>6877</v>
      </c>
      <c r="B621" s="25" t="s">
        <v>1367</v>
      </c>
      <c r="C621" s="25" t="s">
        <v>1913</v>
      </c>
      <c r="D621" s="25">
        <v>0</v>
      </c>
      <c r="E621" s="25">
        <v>1</v>
      </c>
      <c r="F621" s="25" t="s">
        <v>417</v>
      </c>
      <c r="G621" s="25" t="s">
        <v>418</v>
      </c>
      <c r="H621" s="25"/>
      <c r="I621" s="25">
        <v>0</v>
      </c>
      <c r="J621" s="25" t="s">
        <v>1254</v>
      </c>
      <c r="K621" s="25" t="s">
        <v>4333</v>
      </c>
      <c r="L621" s="25"/>
      <c r="M621" s="25"/>
      <c r="N621" s="25" t="str">
        <f t="shared" si="27"/>
        <v>Passive(angelica.passive.areadmgup.buff.02.01)</v>
      </c>
      <c r="O621" s="25">
        <v>0</v>
      </c>
      <c r="P621" s="25">
        <v>0</v>
      </c>
      <c r="Q621" s="25"/>
      <c r="R621" s="25" t="b">
        <v>1</v>
      </c>
    </row>
    <row r="622" spans="1:18">
      <c r="A622" s="25" t="s">
        <v>1907</v>
      </c>
      <c r="B622" s="25" t="s">
        <v>1367</v>
      </c>
      <c r="C622" s="25" t="s">
        <v>1913</v>
      </c>
      <c r="D622" s="25">
        <v>0</v>
      </c>
      <c r="E622" s="25">
        <v>1</v>
      </c>
      <c r="F622" s="25" t="s">
        <v>417</v>
      </c>
      <c r="G622" s="25" t="s">
        <v>418</v>
      </c>
      <c r="H622" s="25"/>
      <c r="I622" s="25">
        <v>0</v>
      </c>
      <c r="J622" s="25" t="s">
        <v>1254</v>
      </c>
      <c r="K622" s="25" t="s">
        <v>4334</v>
      </c>
      <c r="L622" s="25"/>
      <c r="M622" s="25"/>
      <c r="N622" s="25" t="str">
        <f t="shared" si="27"/>
        <v>Passive(angelica.passive.areadmgup.buff.02.02)</v>
      </c>
      <c r="O622" s="25">
        <v>0</v>
      </c>
      <c r="P622" s="25">
        <v>0</v>
      </c>
      <c r="Q622" s="25"/>
      <c r="R622" s="25" t="b">
        <v>1</v>
      </c>
    </row>
    <row r="623" spans="1:18">
      <c r="A623" s="25" t="s">
        <v>1908</v>
      </c>
      <c r="B623" s="25" t="s">
        <v>1367</v>
      </c>
      <c r="C623" s="25" t="s">
        <v>1913</v>
      </c>
      <c r="D623" s="25">
        <v>0</v>
      </c>
      <c r="E623" s="25">
        <v>1</v>
      </c>
      <c r="F623" s="25" t="s">
        <v>417</v>
      </c>
      <c r="G623" s="25" t="s">
        <v>418</v>
      </c>
      <c r="H623" s="25"/>
      <c r="I623" s="25">
        <v>0</v>
      </c>
      <c r="J623" s="25" t="s">
        <v>1254</v>
      </c>
      <c r="K623" s="25" t="s">
        <v>4335</v>
      </c>
      <c r="L623" s="25"/>
      <c r="M623" s="25"/>
      <c r="N623" s="25" t="str">
        <f t="shared" si="27"/>
        <v>Passive(angelica.passive.areadmgup.buff.02.03)</v>
      </c>
      <c r="O623" s="25">
        <v>0</v>
      </c>
      <c r="P623" s="25">
        <v>0</v>
      </c>
      <c r="Q623" s="25"/>
      <c r="R623" s="25" t="b">
        <v>1</v>
      </c>
    </row>
    <row r="624" spans="1:18">
      <c r="A624" s="34" t="s">
        <v>1909</v>
      </c>
      <c r="B624" s="34" t="s">
        <v>1367</v>
      </c>
      <c r="C624" s="34" t="s">
        <v>1913</v>
      </c>
      <c r="D624" s="34">
        <v>0</v>
      </c>
      <c r="E624" s="34">
        <v>1</v>
      </c>
      <c r="F624" s="34" t="s">
        <v>417</v>
      </c>
      <c r="G624" s="34" t="s">
        <v>418</v>
      </c>
      <c r="H624" s="34"/>
      <c r="I624" s="34">
        <v>0</v>
      </c>
      <c r="J624" s="34" t="s">
        <v>1254</v>
      </c>
      <c r="K624" s="34" t="s">
        <v>4336</v>
      </c>
      <c r="L624" s="34"/>
      <c r="M624" s="34"/>
      <c r="N624" s="34" t="str">
        <f t="shared" si="27"/>
        <v>Passive(angelica.passive.areadmgup.buff.02.04)</v>
      </c>
      <c r="O624" s="34">
        <v>0</v>
      </c>
      <c r="P624" s="34">
        <v>0</v>
      </c>
      <c r="Q624" s="34"/>
      <c r="R624" s="34" t="b">
        <v>1</v>
      </c>
    </row>
    <row r="625" spans="1:18">
      <c r="A625" s="34" t="s">
        <v>1910</v>
      </c>
      <c r="B625" s="34" t="s">
        <v>1367</v>
      </c>
      <c r="C625" s="34" t="s">
        <v>1913</v>
      </c>
      <c r="D625" s="34">
        <v>0</v>
      </c>
      <c r="E625" s="34">
        <v>1</v>
      </c>
      <c r="F625" s="34" t="s">
        <v>417</v>
      </c>
      <c r="G625" s="34" t="s">
        <v>418</v>
      </c>
      <c r="H625" s="34"/>
      <c r="I625" s="34">
        <v>0</v>
      </c>
      <c r="J625" s="34" t="s">
        <v>1254</v>
      </c>
      <c r="K625" s="34" t="s">
        <v>4337</v>
      </c>
      <c r="L625" s="34"/>
      <c r="M625" s="34"/>
      <c r="N625" s="34" t="str">
        <f t="shared" si="27"/>
        <v>Passive(angelica.passive.areadmgup.buff.02.05)</v>
      </c>
      <c r="O625" s="34">
        <v>0</v>
      </c>
      <c r="P625" s="34">
        <v>0</v>
      </c>
      <c r="Q625" s="34"/>
      <c r="R625" s="34" t="b">
        <v>1</v>
      </c>
    </row>
    <row r="626" spans="1:18">
      <c r="A626" s="34" t="s">
        <v>1911</v>
      </c>
      <c r="B626" s="34" t="s">
        <v>1367</v>
      </c>
      <c r="C626" s="34" t="s">
        <v>1913</v>
      </c>
      <c r="D626" s="34">
        <v>0</v>
      </c>
      <c r="E626" s="34">
        <v>1</v>
      </c>
      <c r="F626" s="34" t="s">
        <v>417</v>
      </c>
      <c r="G626" s="34" t="s">
        <v>418</v>
      </c>
      <c r="H626" s="34"/>
      <c r="I626" s="34">
        <v>0</v>
      </c>
      <c r="J626" s="34" t="s">
        <v>1254</v>
      </c>
      <c r="K626" s="34" t="s">
        <v>4338</v>
      </c>
      <c r="L626" s="34"/>
      <c r="M626" s="34"/>
      <c r="N626" s="34" t="str">
        <f t="shared" si="27"/>
        <v>Passive(angelica.passive.areadmgup.buff.02.06)</v>
      </c>
      <c r="O626" s="34">
        <v>0</v>
      </c>
      <c r="P626" s="34">
        <v>0</v>
      </c>
      <c r="Q626" s="34"/>
      <c r="R626" s="34" t="b">
        <v>1</v>
      </c>
    </row>
    <row r="627" spans="1:18">
      <c r="A627" s="26" t="s">
        <v>6878</v>
      </c>
      <c r="B627" s="26"/>
      <c r="C627" s="26"/>
      <c r="D627" s="26">
        <v>0</v>
      </c>
      <c r="E627" s="26">
        <v>1</v>
      </c>
      <c r="F627" s="26" t="s">
        <v>197</v>
      </c>
      <c r="G627" s="26" t="s">
        <v>198</v>
      </c>
      <c r="H627" s="26"/>
      <c r="I627" s="26">
        <v>0</v>
      </c>
      <c r="J627" s="26" t="s">
        <v>893</v>
      </c>
      <c r="K627" s="26" t="s">
        <v>6879</v>
      </c>
      <c r="L627" s="26"/>
      <c r="M627" s="26"/>
      <c r="N627" s="26" t="str">
        <f t="shared" si="27"/>
        <v>Active(angelica.trigger.skilleffect)</v>
      </c>
      <c r="O627" s="26">
        <v>0</v>
      </c>
      <c r="P627" s="26">
        <v>0</v>
      </c>
      <c r="Q627" s="26"/>
      <c r="R627" s="26" t="b">
        <v>1</v>
      </c>
    </row>
    <row r="628" spans="1:18">
      <c r="A628" s="25" t="s">
        <v>6713</v>
      </c>
      <c r="B628" s="25" t="s">
        <v>1234</v>
      </c>
      <c r="C628" s="25" t="s">
        <v>1236</v>
      </c>
      <c r="D628" s="25">
        <v>0</v>
      </c>
      <c r="E628" s="25">
        <v>1</v>
      </c>
      <c r="F628" s="25" t="s">
        <v>197</v>
      </c>
      <c r="G628" s="25" t="s">
        <v>198</v>
      </c>
      <c r="H628" s="25"/>
      <c r="I628" s="25">
        <v>0</v>
      </c>
      <c r="J628" s="25" t="s">
        <v>838</v>
      </c>
      <c r="K628" s="25" t="s">
        <v>2328</v>
      </c>
      <c r="L628" s="25">
        <v>400</v>
      </c>
      <c r="M628" s="25"/>
      <c r="N628" s="25" t="str">
        <f t="shared" si="27"/>
        <v>Status(NormalDamageRate, 400)</v>
      </c>
      <c r="O628" s="25">
        <v>0</v>
      </c>
      <c r="P628" s="25">
        <v>0</v>
      </c>
      <c r="Q628" s="25"/>
      <c r="R628" s="25" t="b">
        <v>1</v>
      </c>
    </row>
    <row r="629" spans="1:18">
      <c r="A629" s="25" t="s">
        <v>4317</v>
      </c>
      <c r="B629" s="25" t="s">
        <v>1234</v>
      </c>
      <c r="C629" s="25" t="s">
        <v>1236</v>
      </c>
      <c r="D629" s="25">
        <v>0</v>
      </c>
      <c r="E629" s="25">
        <v>1</v>
      </c>
      <c r="F629" s="25" t="s">
        <v>197</v>
      </c>
      <c r="G629" s="25" t="s">
        <v>198</v>
      </c>
      <c r="H629" s="25"/>
      <c r="I629" s="25">
        <v>0</v>
      </c>
      <c r="J629" s="25" t="s">
        <v>838</v>
      </c>
      <c r="K629" s="25" t="s">
        <v>2328</v>
      </c>
      <c r="L629" s="25">
        <v>450</v>
      </c>
      <c r="M629" s="25"/>
      <c r="N629" s="25" t="str">
        <f t="shared" si="27"/>
        <v>Status(NormalDamageRate, 450)</v>
      </c>
      <c r="O629" s="25">
        <v>0</v>
      </c>
      <c r="P629" s="25">
        <v>0</v>
      </c>
      <c r="Q629" s="25"/>
      <c r="R629" s="25" t="b">
        <v>1</v>
      </c>
    </row>
    <row r="630" spans="1:18">
      <c r="A630" s="25" t="s">
        <v>4318</v>
      </c>
      <c r="B630" s="25" t="s">
        <v>1234</v>
      </c>
      <c r="C630" s="25" t="s">
        <v>1236</v>
      </c>
      <c r="D630" s="25">
        <v>0</v>
      </c>
      <c r="E630" s="25">
        <v>1</v>
      </c>
      <c r="F630" s="25" t="s">
        <v>197</v>
      </c>
      <c r="G630" s="25" t="s">
        <v>198</v>
      </c>
      <c r="H630" s="25"/>
      <c r="I630" s="25">
        <v>0</v>
      </c>
      <c r="J630" s="25" t="s">
        <v>838</v>
      </c>
      <c r="K630" s="25" t="s">
        <v>2328</v>
      </c>
      <c r="L630" s="25">
        <v>500</v>
      </c>
      <c r="M630" s="25"/>
      <c r="N630" s="25" t="str">
        <f t="shared" si="27"/>
        <v>Status(NormalDamageRate, 500)</v>
      </c>
      <c r="O630" s="25">
        <v>0</v>
      </c>
      <c r="P630" s="25">
        <v>0</v>
      </c>
      <c r="Q630" s="25"/>
      <c r="R630" s="25" t="b">
        <v>1</v>
      </c>
    </row>
    <row r="631" spans="1:18">
      <c r="A631" s="26" t="s">
        <v>4319</v>
      </c>
      <c r="B631" s="26" t="s">
        <v>1234</v>
      </c>
      <c r="C631" s="26" t="s">
        <v>1236</v>
      </c>
      <c r="D631" s="26">
        <v>0</v>
      </c>
      <c r="E631" s="26">
        <v>1</v>
      </c>
      <c r="F631" s="26" t="s">
        <v>197</v>
      </c>
      <c r="G631" s="26" t="s">
        <v>198</v>
      </c>
      <c r="H631" s="26"/>
      <c r="I631" s="26">
        <v>0</v>
      </c>
      <c r="J631" s="26" t="s">
        <v>838</v>
      </c>
      <c r="K631" s="26" t="s">
        <v>2328</v>
      </c>
      <c r="L631" s="26">
        <v>550</v>
      </c>
      <c r="M631" s="26"/>
      <c r="N631" s="26" t="str">
        <f t="shared" si="27"/>
        <v>Status(NormalDamageRate, 550)</v>
      </c>
      <c r="O631" s="26">
        <v>0</v>
      </c>
      <c r="P631" s="26">
        <v>0</v>
      </c>
      <c r="Q631" s="26"/>
      <c r="R631" s="26" t="b">
        <v>1</v>
      </c>
    </row>
    <row r="632" spans="1:18">
      <c r="A632" s="26" t="s">
        <v>4320</v>
      </c>
      <c r="B632" s="26" t="s">
        <v>1234</v>
      </c>
      <c r="C632" s="26" t="s">
        <v>1236</v>
      </c>
      <c r="D632" s="26">
        <v>0</v>
      </c>
      <c r="E632" s="26">
        <v>1</v>
      </c>
      <c r="F632" s="26" t="s">
        <v>197</v>
      </c>
      <c r="G632" s="26" t="s">
        <v>198</v>
      </c>
      <c r="H632" s="26"/>
      <c r="I632" s="26">
        <v>0</v>
      </c>
      <c r="J632" s="26" t="s">
        <v>838</v>
      </c>
      <c r="K632" s="26" t="s">
        <v>2328</v>
      </c>
      <c r="L632" s="26">
        <v>600</v>
      </c>
      <c r="M632" s="26"/>
      <c r="N632" s="26" t="str">
        <f t="shared" si="27"/>
        <v>Status(NormalDamageRate, 600)</v>
      </c>
      <c r="O632" s="26">
        <v>0</v>
      </c>
      <c r="P632" s="26">
        <v>0</v>
      </c>
      <c r="Q632" s="26"/>
      <c r="R632" s="26" t="b">
        <v>1</v>
      </c>
    </row>
    <row r="633" spans="1:18">
      <c r="A633" s="26" t="s">
        <v>4321</v>
      </c>
      <c r="B633" s="26" t="s">
        <v>1234</v>
      </c>
      <c r="C633" s="26" t="s">
        <v>1236</v>
      </c>
      <c r="D633" s="26">
        <v>0</v>
      </c>
      <c r="E633" s="26">
        <v>1</v>
      </c>
      <c r="F633" s="26" t="s">
        <v>197</v>
      </c>
      <c r="G633" s="26" t="s">
        <v>198</v>
      </c>
      <c r="H633" s="26"/>
      <c r="I633" s="26">
        <v>0</v>
      </c>
      <c r="J633" s="26" t="s">
        <v>838</v>
      </c>
      <c r="K633" s="26" t="s">
        <v>2328</v>
      </c>
      <c r="L633" s="26">
        <v>600</v>
      </c>
      <c r="M633" s="26"/>
      <c r="N633" s="26" t="str">
        <f t="shared" si="27"/>
        <v>Status(NormalDamageRate, 600)</v>
      </c>
      <c r="O633" s="26">
        <v>0</v>
      </c>
      <c r="P633" s="26">
        <v>0</v>
      </c>
      <c r="Q633" s="26"/>
      <c r="R633" s="26" t="b">
        <v>1</v>
      </c>
    </row>
    <row r="634" spans="1:18">
      <c r="A634" s="25" t="s">
        <v>6714</v>
      </c>
      <c r="B634" s="25" t="s">
        <v>1234</v>
      </c>
      <c r="C634" s="25" t="s">
        <v>1236</v>
      </c>
      <c r="D634" s="25">
        <v>0</v>
      </c>
      <c r="E634" s="25">
        <v>1</v>
      </c>
      <c r="F634" s="25" t="s">
        <v>197</v>
      </c>
      <c r="G634" s="25" t="s">
        <v>198</v>
      </c>
      <c r="H634" s="25"/>
      <c r="I634" s="25">
        <v>0</v>
      </c>
      <c r="J634" s="25" t="s">
        <v>838</v>
      </c>
      <c r="K634" s="25" t="s">
        <v>2328</v>
      </c>
      <c r="L634" s="25">
        <v>800</v>
      </c>
      <c r="M634" s="25"/>
      <c r="N634" s="25" t="str">
        <f t="shared" si="27"/>
        <v>Status(NormalDamageRate, 800)</v>
      </c>
      <c r="O634" s="25">
        <v>0</v>
      </c>
      <c r="P634" s="25">
        <v>0</v>
      </c>
      <c r="Q634" s="25"/>
      <c r="R634" s="25" t="b">
        <v>1</v>
      </c>
    </row>
    <row r="635" spans="1:18">
      <c r="A635" s="25" t="s">
        <v>4322</v>
      </c>
      <c r="B635" s="25" t="s">
        <v>1234</v>
      </c>
      <c r="C635" s="25" t="s">
        <v>1236</v>
      </c>
      <c r="D635" s="25">
        <v>0</v>
      </c>
      <c r="E635" s="25">
        <v>1</v>
      </c>
      <c r="F635" s="25" t="s">
        <v>197</v>
      </c>
      <c r="G635" s="25" t="s">
        <v>198</v>
      </c>
      <c r="H635" s="25"/>
      <c r="I635" s="25">
        <v>0</v>
      </c>
      <c r="J635" s="25" t="s">
        <v>838</v>
      </c>
      <c r="K635" s="25" t="s">
        <v>2328</v>
      </c>
      <c r="L635" s="25">
        <v>900</v>
      </c>
      <c r="M635" s="25"/>
      <c r="N635" s="25" t="str">
        <f t="shared" si="27"/>
        <v>Status(NormalDamageRate, 900)</v>
      </c>
      <c r="O635" s="25">
        <v>0</v>
      </c>
      <c r="P635" s="25">
        <v>0</v>
      </c>
      <c r="Q635" s="25"/>
      <c r="R635" s="25" t="b">
        <v>1</v>
      </c>
    </row>
    <row r="636" spans="1:18">
      <c r="A636" s="25" t="s">
        <v>4323</v>
      </c>
      <c r="B636" s="25" t="s">
        <v>1234</v>
      </c>
      <c r="C636" s="25" t="s">
        <v>1236</v>
      </c>
      <c r="D636" s="25">
        <v>0</v>
      </c>
      <c r="E636" s="25">
        <v>1</v>
      </c>
      <c r="F636" s="25" t="s">
        <v>197</v>
      </c>
      <c r="G636" s="25" t="s">
        <v>198</v>
      </c>
      <c r="H636" s="25"/>
      <c r="I636" s="25">
        <v>0</v>
      </c>
      <c r="J636" s="25" t="s">
        <v>838</v>
      </c>
      <c r="K636" s="25" t="s">
        <v>2328</v>
      </c>
      <c r="L636" s="25">
        <v>1000</v>
      </c>
      <c r="M636" s="25"/>
      <c r="N636" s="25" t="str">
        <f t="shared" si="27"/>
        <v>Status(NormalDamageRate, 1000)</v>
      </c>
      <c r="O636" s="25">
        <v>0</v>
      </c>
      <c r="P636" s="25">
        <v>0</v>
      </c>
      <c r="Q636" s="25"/>
      <c r="R636" s="25" t="b">
        <v>1</v>
      </c>
    </row>
    <row r="637" spans="1:18">
      <c r="A637" s="26" t="s">
        <v>4324</v>
      </c>
      <c r="B637" s="26" t="s">
        <v>1234</v>
      </c>
      <c r="C637" s="26" t="s">
        <v>1236</v>
      </c>
      <c r="D637" s="26">
        <v>0</v>
      </c>
      <c r="E637" s="26">
        <v>1</v>
      </c>
      <c r="F637" s="26" t="s">
        <v>197</v>
      </c>
      <c r="G637" s="26" t="s">
        <v>198</v>
      </c>
      <c r="H637" s="26"/>
      <c r="I637" s="26">
        <v>0</v>
      </c>
      <c r="J637" s="26" t="s">
        <v>838</v>
      </c>
      <c r="K637" s="26" t="s">
        <v>2328</v>
      </c>
      <c r="L637" s="26">
        <v>1100</v>
      </c>
      <c r="M637" s="26"/>
      <c r="N637" s="26" t="str">
        <f t="shared" si="27"/>
        <v>Status(NormalDamageRate, 1100)</v>
      </c>
      <c r="O637" s="26">
        <v>0</v>
      </c>
      <c r="P637" s="26">
        <v>0</v>
      </c>
      <c r="Q637" s="26"/>
      <c r="R637" s="26" t="b">
        <v>1</v>
      </c>
    </row>
    <row r="638" spans="1:18">
      <c r="A638" s="26" t="s">
        <v>4325</v>
      </c>
      <c r="B638" s="26" t="s">
        <v>1234</v>
      </c>
      <c r="C638" s="26" t="s">
        <v>1236</v>
      </c>
      <c r="D638" s="26">
        <v>0</v>
      </c>
      <c r="E638" s="26">
        <v>1</v>
      </c>
      <c r="F638" s="26" t="s">
        <v>197</v>
      </c>
      <c r="G638" s="26" t="s">
        <v>198</v>
      </c>
      <c r="H638" s="26"/>
      <c r="I638" s="26">
        <v>0</v>
      </c>
      <c r="J638" s="26" t="s">
        <v>838</v>
      </c>
      <c r="K638" s="26" t="s">
        <v>2328</v>
      </c>
      <c r="L638" s="26">
        <v>1200</v>
      </c>
      <c r="M638" s="26"/>
      <c r="N638" s="26" t="str">
        <f t="shared" si="27"/>
        <v>Status(NormalDamageRate, 1200)</v>
      </c>
      <c r="O638" s="26">
        <v>0</v>
      </c>
      <c r="P638" s="26">
        <v>0</v>
      </c>
      <c r="Q638" s="26"/>
      <c r="R638" s="26" t="b">
        <v>1</v>
      </c>
    </row>
    <row r="639" spans="1:18">
      <c r="A639" s="26" t="s">
        <v>4326</v>
      </c>
      <c r="B639" s="26" t="s">
        <v>1234</v>
      </c>
      <c r="C639" s="26" t="s">
        <v>1236</v>
      </c>
      <c r="D639" s="26">
        <v>0</v>
      </c>
      <c r="E639" s="26">
        <v>1</v>
      </c>
      <c r="F639" s="26" t="s">
        <v>197</v>
      </c>
      <c r="G639" s="26" t="s">
        <v>198</v>
      </c>
      <c r="H639" s="26"/>
      <c r="I639" s="26">
        <v>0</v>
      </c>
      <c r="J639" s="26" t="s">
        <v>838</v>
      </c>
      <c r="K639" s="26" t="s">
        <v>2328</v>
      </c>
      <c r="L639" s="26">
        <v>1200</v>
      </c>
      <c r="M639" s="26"/>
      <c r="N639" s="26" t="str">
        <f t="shared" si="27"/>
        <v>Status(NormalDamageRate, 1200)</v>
      </c>
      <c r="O639" s="26">
        <v>0</v>
      </c>
      <c r="P639" s="26">
        <v>0</v>
      </c>
      <c r="Q639" s="26"/>
      <c r="R639" s="26" t="b">
        <v>1</v>
      </c>
    </row>
    <row r="640" spans="1:18">
      <c r="A640" s="25" t="s">
        <v>6880</v>
      </c>
      <c r="B640" s="25"/>
      <c r="C640" s="25"/>
      <c r="D640" s="25">
        <v>0</v>
      </c>
      <c r="E640" s="25">
        <v>1</v>
      </c>
      <c r="F640" s="25" t="s">
        <v>197</v>
      </c>
      <c r="G640" s="25" t="s">
        <v>198</v>
      </c>
      <c r="H640" s="25"/>
      <c r="I640" s="25">
        <v>0</v>
      </c>
      <c r="J640" s="25" t="s">
        <v>191</v>
      </c>
      <c r="K640" s="25" t="s">
        <v>927</v>
      </c>
      <c r="L640" s="25" t="s">
        <v>6881</v>
      </c>
      <c r="M640" s="25"/>
      <c r="N640" s="25" t="str">
        <f t="shared" si="27"/>
        <v>Effect(OnHitNormal, angelica.passive.ex.buff.01.skilleffect.01)</v>
      </c>
      <c r="O640" s="25">
        <v>0</v>
      </c>
      <c r="P640" s="25">
        <v>0</v>
      </c>
      <c r="Q640" s="25"/>
      <c r="R640" s="25" t="b">
        <v>1</v>
      </c>
    </row>
    <row r="641" spans="1:18">
      <c r="A641" s="25" t="s">
        <v>3498</v>
      </c>
      <c r="B641" s="25"/>
      <c r="C641" s="25"/>
      <c r="D641" s="25">
        <v>0</v>
      </c>
      <c r="E641" s="25">
        <v>1</v>
      </c>
      <c r="F641" s="25" t="s">
        <v>197</v>
      </c>
      <c r="G641" s="25" t="s">
        <v>198</v>
      </c>
      <c r="H641" s="25"/>
      <c r="I641" s="25">
        <v>0</v>
      </c>
      <c r="J641" s="25" t="s">
        <v>191</v>
      </c>
      <c r="K641" s="25" t="s">
        <v>927</v>
      </c>
      <c r="L641" s="25" t="s">
        <v>3483</v>
      </c>
      <c r="M641" s="25"/>
      <c r="N641" s="25" t="str">
        <f t="shared" si="27"/>
        <v>Effect(OnHitNormal, angelica.passive.ex.buff.01.skilleffect.02)</v>
      </c>
      <c r="O641" s="25">
        <v>0</v>
      </c>
      <c r="P641" s="25">
        <v>0</v>
      </c>
      <c r="Q641" s="25"/>
      <c r="R641" s="25" t="b">
        <v>1</v>
      </c>
    </row>
    <row r="642" spans="1:18">
      <c r="A642" s="25" t="s">
        <v>3499</v>
      </c>
      <c r="B642" s="25"/>
      <c r="C642" s="25"/>
      <c r="D642" s="25">
        <v>0</v>
      </c>
      <c r="E642" s="25">
        <v>1</v>
      </c>
      <c r="F642" s="25" t="s">
        <v>197</v>
      </c>
      <c r="G642" s="25" t="s">
        <v>198</v>
      </c>
      <c r="H642" s="25"/>
      <c r="I642" s="25">
        <v>0</v>
      </c>
      <c r="J642" s="25" t="s">
        <v>191</v>
      </c>
      <c r="K642" s="25" t="s">
        <v>927</v>
      </c>
      <c r="L642" s="25" t="s">
        <v>3484</v>
      </c>
      <c r="M642" s="25"/>
      <c r="N642" s="25" t="str">
        <f t="shared" si="27"/>
        <v>Effect(OnHitNormal, angelica.passive.ex.buff.01.skilleffect.03)</v>
      </c>
      <c r="O642" s="25">
        <v>0</v>
      </c>
      <c r="P642" s="25">
        <v>0</v>
      </c>
      <c r="Q642" s="25"/>
      <c r="R642" s="25" t="b">
        <v>1</v>
      </c>
    </row>
    <row r="643" spans="1:18">
      <c r="A643" s="26" t="s">
        <v>3500</v>
      </c>
      <c r="B643" s="26"/>
      <c r="C643" s="26"/>
      <c r="D643" s="26">
        <v>0</v>
      </c>
      <c r="E643" s="26">
        <v>1</v>
      </c>
      <c r="F643" s="26" t="s">
        <v>197</v>
      </c>
      <c r="G643" s="26" t="s">
        <v>198</v>
      </c>
      <c r="H643" s="26"/>
      <c r="I643" s="26">
        <v>0</v>
      </c>
      <c r="J643" s="26" t="s">
        <v>191</v>
      </c>
      <c r="K643" s="26" t="s">
        <v>927</v>
      </c>
      <c r="L643" s="26" t="s">
        <v>3485</v>
      </c>
      <c r="M643" s="26"/>
      <c r="N643" s="26" t="str">
        <f t="shared" si="27"/>
        <v>Effect(OnHitNormal, angelica.passive.ex.buff.01.skilleffect.04)</v>
      </c>
      <c r="O643" s="26">
        <v>0</v>
      </c>
      <c r="P643" s="26">
        <v>0</v>
      </c>
      <c r="Q643" s="26"/>
      <c r="R643" s="26" t="b">
        <v>1</v>
      </c>
    </row>
    <row r="644" spans="1:18">
      <c r="A644" s="26" t="s">
        <v>3501</v>
      </c>
      <c r="B644" s="26"/>
      <c r="C644" s="26"/>
      <c r="D644" s="26">
        <v>0</v>
      </c>
      <c r="E644" s="26">
        <v>1</v>
      </c>
      <c r="F644" s="26" t="s">
        <v>197</v>
      </c>
      <c r="G644" s="26" t="s">
        <v>198</v>
      </c>
      <c r="H644" s="26"/>
      <c r="I644" s="26">
        <v>0</v>
      </c>
      <c r="J644" s="26" t="s">
        <v>191</v>
      </c>
      <c r="K644" s="26" t="s">
        <v>927</v>
      </c>
      <c r="L644" s="26" t="s">
        <v>3486</v>
      </c>
      <c r="M644" s="26"/>
      <c r="N644" s="26" t="str">
        <f t="shared" si="27"/>
        <v>Effect(OnHitNormal, angelica.passive.ex.buff.01.skilleffect.05)</v>
      </c>
      <c r="O644" s="26">
        <v>0</v>
      </c>
      <c r="P644" s="26">
        <v>0</v>
      </c>
      <c r="Q644" s="26"/>
      <c r="R644" s="26" t="b">
        <v>1</v>
      </c>
    </row>
    <row r="645" spans="1:18">
      <c r="A645" s="26" t="s">
        <v>3502</v>
      </c>
      <c r="B645" s="26"/>
      <c r="C645" s="26"/>
      <c r="D645" s="26">
        <v>0</v>
      </c>
      <c r="E645" s="26">
        <v>1</v>
      </c>
      <c r="F645" s="26" t="s">
        <v>197</v>
      </c>
      <c r="G645" s="26" t="s">
        <v>198</v>
      </c>
      <c r="H645" s="26"/>
      <c r="I645" s="26">
        <v>0</v>
      </c>
      <c r="J645" s="26" t="s">
        <v>191</v>
      </c>
      <c r="K645" s="26" t="s">
        <v>927</v>
      </c>
      <c r="L645" s="26" t="s">
        <v>3487</v>
      </c>
      <c r="M645" s="26"/>
      <c r="N645" s="26" t="str">
        <f t="shared" si="27"/>
        <v>Effect(OnHitNormal, angelica.passive.ex.buff.01.skilleffect.06)</v>
      </c>
      <c r="O645" s="26">
        <v>0</v>
      </c>
      <c r="P645" s="26">
        <v>0</v>
      </c>
      <c r="Q645" s="26"/>
      <c r="R645" s="26" t="b">
        <v>1</v>
      </c>
    </row>
    <row r="646" spans="1:18">
      <c r="A646" s="25" t="s">
        <v>6882</v>
      </c>
      <c r="B646" s="25" t="s">
        <v>1367</v>
      </c>
      <c r="C646" s="25" t="s">
        <v>7307</v>
      </c>
      <c r="D646" s="25">
        <v>0</v>
      </c>
      <c r="E646" s="25">
        <v>1</v>
      </c>
      <c r="F646" s="25" t="s">
        <v>197</v>
      </c>
      <c r="G646" s="25" t="s">
        <v>198</v>
      </c>
      <c r="H646" s="25"/>
      <c r="I646" s="25">
        <v>0</v>
      </c>
      <c r="J646" s="25" t="s">
        <v>876</v>
      </c>
      <c r="K646" s="25" t="s">
        <v>994</v>
      </c>
      <c r="L646" s="25" t="s">
        <v>6883</v>
      </c>
      <c r="M646" s="25"/>
      <c r="N646" s="25" t="str">
        <f t="shared" si="27"/>
        <v>Event(UseSkill, angelica.passive.ex.buff.02.skilleffect.01)</v>
      </c>
      <c r="O646" s="25">
        <v>0</v>
      </c>
      <c r="P646" s="25">
        <v>0</v>
      </c>
      <c r="Q646" s="25"/>
      <c r="R646" s="25" t="b">
        <v>1</v>
      </c>
    </row>
    <row r="647" spans="1:18">
      <c r="A647" s="25" t="s">
        <v>3503</v>
      </c>
      <c r="B647" s="25" t="s">
        <v>1367</v>
      </c>
      <c r="C647" s="25" t="s">
        <v>7308</v>
      </c>
      <c r="D647" s="25">
        <v>0</v>
      </c>
      <c r="E647" s="25">
        <v>1</v>
      </c>
      <c r="F647" s="25" t="s">
        <v>197</v>
      </c>
      <c r="G647" s="25" t="s">
        <v>198</v>
      </c>
      <c r="H647" s="25"/>
      <c r="I647" s="25">
        <v>0</v>
      </c>
      <c r="J647" s="25" t="s">
        <v>876</v>
      </c>
      <c r="K647" s="25" t="s">
        <v>994</v>
      </c>
      <c r="L647" s="25" t="s">
        <v>3508</v>
      </c>
      <c r="M647" s="25"/>
      <c r="N647" s="25" t="str">
        <f t="shared" si="27"/>
        <v>Event(UseSkill, angelica.passive.ex.buff.02.skilleffect.02)</v>
      </c>
      <c r="O647" s="25">
        <v>0</v>
      </c>
      <c r="P647" s="25">
        <v>0</v>
      </c>
      <c r="Q647" s="25"/>
      <c r="R647" s="25" t="b">
        <v>1</v>
      </c>
    </row>
    <row r="648" spans="1:18">
      <c r="A648" s="25" t="s">
        <v>3504</v>
      </c>
      <c r="B648" s="25" t="s">
        <v>1367</v>
      </c>
      <c r="C648" s="25" t="s">
        <v>7309</v>
      </c>
      <c r="D648" s="25">
        <v>0</v>
      </c>
      <c r="E648" s="25">
        <v>1</v>
      </c>
      <c r="F648" s="25" t="s">
        <v>197</v>
      </c>
      <c r="G648" s="25" t="s">
        <v>198</v>
      </c>
      <c r="H648" s="25"/>
      <c r="I648" s="25">
        <v>0</v>
      </c>
      <c r="J648" s="25" t="s">
        <v>876</v>
      </c>
      <c r="K648" s="25" t="s">
        <v>994</v>
      </c>
      <c r="L648" s="25" t="s">
        <v>3509</v>
      </c>
      <c r="M648" s="25"/>
      <c r="N648" s="25" t="str">
        <f t="shared" si="27"/>
        <v>Event(UseSkill, angelica.passive.ex.buff.02.skilleffect.03)</v>
      </c>
      <c r="O648" s="25">
        <v>0</v>
      </c>
      <c r="P648" s="25">
        <v>0</v>
      </c>
      <c r="Q648" s="25"/>
      <c r="R648" s="25" t="b">
        <v>1</v>
      </c>
    </row>
    <row r="649" spans="1:18">
      <c r="A649" s="26" t="s">
        <v>3505</v>
      </c>
      <c r="B649" s="26" t="s">
        <v>1367</v>
      </c>
      <c r="C649" s="26" t="s">
        <v>7310</v>
      </c>
      <c r="D649" s="26">
        <v>0</v>
      </c>
      <c r="E649" s="26">
        <v>1</v>
      </c>
      <c r="F649" s="26" t="s">
        <v>197</v>
      </c>
      <c r="G649" s="26" t="s">
        <v>198</v>
      </c>
      <c r="H649" s="26"/>
      <c r="I649" s="26">
        <v>0</v>
      </c>
      <c r="J649" s="26" t="s">
        <v>876</v>
      </c>
      <c r="K649" s="26" t="s">
        <v>994</v>
      </c>
      <c r="L649" s="26" t="s">
        <v>3510</v>
      </c>
      <c r="M649" s="26"/>
      <c r="N649" s="26" t="str">
        <f t="shared" si="27"/>
        <v>Event(UseSkill, angelica.passive.ex.buff.02.skilleffect.04)</v>
      </c>
      <c r="O649" s="26">
        <v>0</v>
      </c>
      <c r="P649" s="26">
        <v>0</v>
      </c>
      <c r="Q649" s="26"/>
      <c r="R649" s="26" t="b">
        <v>1</v>
      </c>
    </row>
    <row r="650" spans="1:18">
      <c r="A650" s="26" t="s">
        <v>3506</v>
      </c>
      <c r="B650" s="26" t="s">
        <v>1367</v>
      </c>
      <c r="C650" s="26" t="s">
        <v>7311</v>
      </c>
      <c r="D650" s="26">
        <v>0</v>
      </c>
      <c r="E650" s="26">
        <v>1</v>
      </c>
      <c r="F650" s="26" t="s">
        <v>197</v>
      </c>
      <c r="G650" s="26" t="s">
        <v>198</v>
      </c>
      <c r="H650" s="26"/>
      <c r="I650" s="26">
        <v>0</v>
      </c>
      <c r="J650" s="26" t="s">
        <v>876</v>
      </c>
      <c r="K650" s="26" t="s">
        <v>994</v>
      </c>
      <c r="L650" s="26" t="s">
        <v>3511</v>
      </c>
      <c r="M650" s="26"/>
      <c r="N650" s="26" t="str">
        <f t="shared" si="27"/>
        <v>Event(UseSkill, angelica.passive.ex.buff.02.skilleffect.05)</v>
      </c>
      <c r="O650" s="26">
        <v>0</v>
      </c>
      <c r="P650" s="26">
        <v>0</v>
      </c>
      <c r="Q650" s="26"/>
      <c r="R650" s="26" t="b">
        <v>1</v>
      </c>
    </row>
    <row r="651" spans="1:18">
      <c r="A651" s="26" t="s">
        <v>3507</v>
      </c>
      <c r="B651" s="26" t="s">
        <v>1367</v>
      </c>
      <c r="C651" s="26" t="s">
        <v>7312</v>
      </c>
      <c r="D651" s="26">
        <v>0</v>
      </c>
      <c r="E651" s="26">
        <v>1</v>
      </c>
      <c r="F651" s="26" t="s">
        <v>197</v>
      </c>
      <c r="G651" s="26" t="s">
        <v>198</v>
      </c>
      <c r="H651" s="26"/>
      <c r="I651" s="26">
        <v>0</v>
      </c>
      <c r="J651" s="26" t="s">
        <v>876</v>
      </c>
      <c r="K651" s="26" t="s">
        <v>994</v>
      </c>
      <c r="L651" s="26" t="s">
        <v>3512</v>
      </c>
      <c r="M651" s="26"/>
      <c r="N651" s="26" t="str">
        <f t="shared" si="27"/>
        <v>Event(UseSkill, angelica.passive.ex.buff.02.skilleffect.06)</v>
      </c>
      <c r="O651" s="26">
        <v>0</v>
      </c>
      <c r="P651" s="26">
        <v>0</v>
      </c>
      <c r="Q651" s="26"/>
      <c r="R651" s="26" t="b">
        <v>1</v>
      </c>
    </row>
    <row r="652" spans="1:18">
      <c r="A652" s="25" t="s">
        <v>6723</v>
      </c>
      <c r="B652" s="25"/>
      <c r="C652" s="25"/>
      <c r="D652" s="25">
        <v>0</v>
      </c>
      <c r="E652" s="25">
        <v>1</v>
      </c>
      <c r="F652" s="25" t="s">
        <v>197</v>
      </c>
      <c r="G652" s="25" t="s">
        <v>198</v>
      </c>
      <c r="H652" s="25"/>
      <c r="I652" s="25">
        <v>0</v>
      </c>
      <c r="J652" s="25" t="s">
        <v>837</v>
      </c>
      <c r="K652" s="25"/>
      <c r="L652" s="25"/>
      <c r="M652" s="25"/>
      <c r="N652" s="25" t="str">
        <f t="shared" si="27"/>
        <v>None()</v>
      </c>
      <c r="O652" s="25">
        <v>0</v>
      </c>
      <c r="P652" s="25">
        <v>0</v>
      </c>
      <c r="Q652" s="25"/>
      <c r="R652" s="25" t="b">
        <v>1</v>
      </c>
    </row>
    <row r="653" spans="1:18">
      <c r="A653" s="25" t="s">
        <v>3493</v>
      </c>
      <c r="B653" s="25"/>
      <c r="C653" s="25"/>
      <c r="D653" s="25">
        <v>0</v>
      </c>
      <c r="E653" s="25">
        <v>1</v>
      </c>
      <c r="F653" s="25" t="s">
        <v>197</v>
      </c>
      <c r="G653" s="25" t="s">
        <v>198</v>
      </c>
      <c r="H653" s="25"/>
      <c r="I653" s="25">
        <v>0</v>
      </c>
      <c r="J653" s="25" t="s">
        <v>837</v>
      </c>
      <c r="K653" s="25"/>
      <c r="L653" s="25"/>
      <c r="M653" s="25"/>
      <c r="N653" s="25" t="str">
        <f t="shared" si="27"/>
        <v>None()</v>
      </c>
      <c r="O653" s="25">
        <v>0</v>
      </c>
      <c r="P653" s="25">
        <v>0</v>
      </c>
      <c r="Q653" s="25"/>
      <c r="R653" s="25" t="b">
        <v>1</v>
      </c>
    </row>
    <row r="654" spans="1:18">
      <c r="A654" s="25" t="s">
        <v>3494</v>
      </c>
      <c r="B654" s="25"/>
      <c r="C654" s="25"/>
      <c r="D654" s="25">
        <v>0</v>
      </c>
      <c r="E654" s="25">
        <v>1</v>
      </c>
      <c r="F654" s="25" t="s">
        <v>197</v>
      </c>
      <c r="G654" s="25" t="s">
        <v>198</v>
      </c>
      <c r="H654" s="25"/>
      <c r="I654" s="25">
        <v>0</v>
      </c>
      <c r="J654" s="25" t="s">
        <v>837</v>
      </c>
      <c r="K654" s="25"/>
      <c r="L654" s="25"/>
      <c r="M654" s="25"/>
      <c r="N654" s="25" t="str">
        <f t="shared" si="27"/>
        <v>None()</v>
      </c>
      <c r="O654" s="25">
        <v>0</v>
      </c>
      <c r="P654" s="25">
        <v>0</v>
      </c>
      <c r="Q654" s="25"/>
      <c r="R654" s="25" t="b">
        <v>1</v>
      </c>
    </row>
    <row r="655" spans="1:18">
      <c r="A655" s="26" t="s">
        <v>3495</v>
      </c>
      <c r="B655" s="26"/>
      <c r="C655" s="26"/>
      <c r="D655" s="26">
        <v>0</v>
      </c>
      <c r="E655" s="26">
        <v>1</v>
      </c>
      <c r="F655" s="26" t="s">
        <v>197</v>
      </c>
      <c r="G655" s="26" t="s">
        <v>198</v>
      </c>
      <c r="H655" s="26"/>
      <c r="I655" s="26">
        <v>0</v>
      </c>
      <c r="J655" s="26" t="s">
        <v>837</v>
      </c>
      <c r="K655" s="26"/>
      <c r="L655" s="26"/>
      <c r="M655" s="26"/>
      <c r="N655" s="26" t="str">
        <f t="shared" si="27"/>
        <v>None()</v>
      </c>
      <c r="O655" s="26">
        <v>0</v>
      </c>
      <c r="P655" s="26">
        <v>0</v>
      </c>
      <c r="Q655" s="26"/>
      <c r="R655" s="26" t="b">
        <v>1</v>
      </c>
    </row>
    <row r="656" spans="1:18">
      <c r="A656" s="26" t="s">
        <v>3496</v>
      </c>
      <c r="B656" s="26"/>
      <c r="C656" s="26"/>
      <c r="D656" s="26">
        <v>0</v>
      </c>
      <c r="E656" s="26">
        <v>1</v>
      </c>
      <c r="F656" s="26" t="s">
        <v>197</v>
      </c>
      <c r="G656" s="26" t="s">
        <v>198</v>
      </c>
      <c r="H656" s="26"/>
      <c r="I656" s="26">
        <v>0</v>
      </c>
      <c r="J656" s="26" t="s">
        <v>837</v>
      </c>
      <c r="K656" s="26"/>
      <c r="L656" s="26"/>
      <c r="M656" s="26"/>
      <c r="N656" s="26" t="str">
        <f t="shared" si="27"/>
        <v>None()</v>
      </c>
      <c r="O656" s="26">
        <v>0</v>
      </c>
      <c r="P656" s="26">
        <v>0</v>
      </c>
      <c r="Q656" s="26"/>
      <c r="R656" s="26" t="b">
        <v>1</v>
      </c>
    </row>
    <row r="657" spans="1:18">
      <c r="A657" s="26" t="s">
        <v>3497</v>
      </c>
      <c r="B657" s="26"/>
      <c r="C657" s="26"/>
      <c r="D657" s="26">
        <v>0</v>
      </c>
      <c r="E657" s="26">
        <v>1</v>
      </c>
      <c r="F657" s="26" t="s">
        <v>197</v>
      </c>
      <c r="G657" s="26" t="s">
        <v>198</v>
      </c>
      <c r="H657" s="26"/>
      <c r="I657" s="26">
        <v>0</v>
      </c>
      <c r="J657" s="26" t="s">
        <v>837</v>
      </c>
      <c r="K657" s="26"/>
      <c r="L657" s="26"/>
      <c r="M657" s="26"/>
      <c r="N657" s="26" t="str">
        <f t="shared" si="27"/>
        <v>None()</v>
      </c>
      <c r="O657" s="26">
        <v>0</v>
      </c>
      <c r="P657" s="26">
        <v>0</v>
      </c>
      <c r="Q657" s="26"/>
      <c r="R657" s="26" t="b">
        <v>1</v>
      </c>
    </row>
    <row r="658" spans="1:18">
      <c r="A658" s="23" t="s">
        <v>1865</v>
      </c>
      <c r="B658" s="23"/>
      <c r="C658" s="23"/>
      <c r="D658" s="23">
        <v>0</v>
      </c>
      <c r="E658" s="23">
        <v>1</v>
      </c>
      <c r="F658" s="23" t="s">
        <v>197</v>
      </c>
      <c r="G658" s="23" t="s">
        <v>198</v>
      </c>
      <c r="H658" s="23"/>
      <c r="I658" s="23">
        <v>0</v>
      </c>
      <c r="J658" s="23" t="s">
        <v>895</v>
      </c>
      <c r="K658" s="23" t="s">
        <v>896</v>
      </c>
      <c r="L658" s="23" t="s">
        <v>6884</v>
      </c>
      <c r="M658" s="23"/>
      <c r="N658" s="23" t="str">
        <f t="shared" si="27"/>
        <v>SkillEffectModifier(Op, brynhild.ult.buff.buffeffect.modifier.01)</v>
      </c>
      <c r="O658" s="23">
        <v>0</v>
      </c>
      <c r="P658" s="23">
        <v>0</v>
      </c>
      <c r="Q658" s="23"/>
      <c r="R658" s="23" t="b">
        <v>1</v>
      </c>
    </row>
    <row r="659" spans="1:18">
      <c r="A659" s="23" t="s">
        <v>1866</v>
      </c>
      <c r="B659" s="23"/>
      <c r="C659" s="23"/>
      <c r="D659" s="23">
        <v>0</v>
      </c>
      <c r="E659" s="23">
        <v>1</v>
      </c>
      <c r="F659" s="23" t="s">
        <v>197</v>
      </c>
      <c r="G659" s="23" t="s">
        <v>198</v>
      </c>
      <c r="H659" s="23"/>
      <c r="I659" s="23">
        <v>0</v>
      </c>
      <c r="J659" s="23" t="s">
        <v>895</v>
      </c>
      <c r="K659" s="23" t="s">
        <v>896</v>
      </c>
      <c r="L659" s="23" t="s">
        <v>1879</v>
      </c>
      <c r="M659" s="23"/>
      <c r="N659" s="23" t="str">
        <f t="shared" si="27"/>
        <v>SkillEffectModifier(Op, brynhild.ult.buff.buffeffect.modifier.02)</v>
      </c>
      <c r="O659" s="23">
        <v>0</v>
      </c>
      <c r="P659" s="23">
        <v>0</v>
      </c>
      <c r="Q659" s="23"/>
      <c r="R659" s="23" t="b">
        <v>1</v>
      </c>
    </row>
    <row r="660" spans="1:18">
      <c r="A660" s="23" t="s">
        <v>1867</v>
      </c>
      <c r="B660" s="23"/>
      <c r="C660" s="23"/>
      <c r="D660" s="23">
        <v>0</v>
      </c>
      <c r="E660" s="23">
        <v>1</v>
      </c>
      <c r="F660" s="23" t="s">
        <v>197</v>
      </c>
      <c r="G660" s="23" t="s">
        <v>198</v>
      </c>
      <c r="H660" s="23"/>
      <c r="I660" s="23">
        <v>0</v>
      </c>
      <c r="J660" s="23" t="s">
        <v>895</v>
      </c>
      <c r="K660" s="23" t="s">
        <v>896</v>
      </c>
      <c r="L660" s="23" t="s">
        <v>1880</v>
      </c>
      <c r="M660" s="23"/>
      <c r="N660" s="23" t="str">
        <f t="shared" si="27"/>
        <v>SkillEffectModifier(Op, brynhild.ult.buff.buffeffect.modifier.03)</v>
      </c>
      <c r="O660" s="23">
        <v>0</v>
      </c>
      <c r="P660" s="23">
        <v>0</v>
      </c>
      <c r="Q660" s="23"/>
      <c r="R660" s="23" t="b">
        <v>1</v>
      </c>
    </row>
    <row r="661" spans="1:18">
      <c r="A661" s="23" t="s">
        <v>1868</v>
      </c>
      <c r="B661" s="23"/>
      <c r="C661" s="23"/>
      <c r="D661" s="23">
        <v>0</v>
      </c>
      <c r="E661" s="23">
        <v>1</v>
      </c>
      <c r="F661" s="23" t="s">
        <v>197</v>
      </c>
      <c r="G661" s="23" t="s">
        <v>198</v>
      </c>
      <c r="H661" s="23"/>
      <c r="I661" s="23">
        <v>0</v>
      </c>
      <c r="J661" s="23" t="s">
        <v>895</v>
      </c>
      <c r="K661" s="23" t="s">
        <v>896</v>
      </c>
      <c r="L661" s="23" t="s">
        <v>1881</v>
      </c>
      <c r="M661" s="23"/>
      <c r="N661" s="23" t="str">
        <f t="shared" si="27"/>
        <v>SkillEffectModifier(Op, brynhild.ult.buff.buffeffect.modifier.04)</v>
      </c>
      <c r="O661" s="23">
        <v>0</v>
      </c>
      <c r="P661" s="23">
        <v>0</v>
      </c>
      <c r="Q661" s="23"/>
      <c r="R661" s="23" t="b">
        <v>1</v>
      </c>
    </row>
    <row r="662" spans="1:18">
      <c r="A662" s="34" t="s">
        <v>1869</v>
      </c>
      <c r="B662" s="34"/>
      <c r="C662" s="34"/>
      <c r="D662" s="34">
        <v>0</v>
      </c>
      <c r="E662" s="34">
        <v>1</v>
      </c>
      <c r="F662" s="34" t="s">
        <v>197</v>
      </c>
      <c r="G662" s="34" t="s">
        <v>198</v>
      </c>
      <c r="H662" s="34"/>
      <c r="I662" s="34">
        <v>0</v>
      </c>
      <c r="J662" s="34" t="s">
        <v>895</v>
      </c>
      <c r="K662" s="34" t="s">
        <v>896</v>
      </c>
      <c r="L662" s="34" t="s">
        <v>6885</v>
      </c>
      <c r="M662" s="34"/>
      <c r="N662" s="34" t="str">
        <f t="shared" si="27"/>
        <v>SkillEffectModifier(Op, brynhild.ult.buff.buffeffect.modifier.05)</v>
      </c>
      <c r="O662" s="34">
        <v>0</v>
      </c>
      <c r="P662" s="34">
        <v>0</v>
      </c>
      <c r="Q662" s="34"/>
      <c r="R662" s="34" t="b">
        <v>1</v>
      </c>
    </row>
    <row r="663" spans="1:18">
      <c r="A663" s="34" t="s">
        <v>1870</v>
      </c>
      <c r="B663" s="34"/>
      <c r="C663" s="34"/>
      <c r="D663" s="34">
        <v>0</v>
      </c>
      <c r="E663" s="34">
        <v>1</v>
      </c>
      <c r="F663" s="34" t="s">
        <v>197</v>
      </c>
      <c r="G663" s="34" t="s">
        <v>198</v>
      </c>
      <c r="H663" s="34"/>
      <c r="I663" s="34">
        <v>0</v>
      </c>
      <c r="J663" s="34" t="s">
        <v>895</v>
      </c>
      <c r="K663" s="34" t="s">
        <v>896</v>
      </c>
      <c r="L663" s="34" t="s">
        <v>1882</v>
      </c>
      <c r="M663" s="34"/>
      <c r="N663" s="34" t="str">
        <f t="shared" si="27"/>
        <v>SkillEffectModifier(Op, brynhild.ult.buff.buffeffect.modifier.06)</v>
      </c>
      <c r="O663" s="34">
        <v>0</v>
      </c>
      <c r="P663" s="34">
        <v>0</v>
      </c>
      <c r="Q663" s="34"/>
      <c r="R663" s="34" t="b">
        <v>1</v>
      </c>
    </row>
    <row r="664" spans="1:18">
      <c r="A664" s="34" t="s">
        <v>1871</v>
      </c>
      <c r="B664" s="34"/>
      <c r="C664" s="34"/>
      <c r="D664" s="34">
        <v>0</v>
      </c>
      <c r="E664" s="34">
        <v>1</v>
      </c>
      <c r="F664" s="34" t="s">
        <v>197</v>
      </c>
      <c r="G664" s="34" t="s">
        <v>198</v>
      </c>
      <c r="H664" s="34"/>
      <c r="I664" s="34">
        <v>0</v>
      </c>
      <c r="J664" s="34" t="s">
        <v>895</v>
      </c>
      <c r="K664" s="34" t="s">
        <v>896</v>
      </c>
      <c r="L664" s="34" t="s">
        <v>1883</v>
      </c>
      <c r="M664" s="34"/>
      <c r="N664" s="34" t="str">
        <f t="shared" si="27"/>
        <v>SkillEffectModifier(Op, brynhild.ult.buff.buffeffect.modifier.07)</v>
      </c>
      <c r="O664" s="34">
        <v>0</v>
      </c>
      <c r="P664" s="34">
        <v>0</v>
      </c>
      <c r="Q664" s="34"/>
      <c r="R664" s="34" t="b">
        <v>1</v>
      </c>
    </row>
    <row r="665" spans="1:18">
      <c r="A665" s="26" t="s">
        <v>6886</v>
      </c>
      <c r="B665" s="26"/>
      <c r="C665" s="26"/>
      <c r="D665" s="26">
        <v>0</v>
      </c>
      <c r="E665" s="26">
        <v>1</v>
      </c>
      <c r="F665" s="26" t="s">
        <v>197</v>
      </c>
      <c r="G665" s="26" t="s">
        <v>198</v>
      </c>
      <c r="H665" s="26"/>
      <c r="I665" s="26">
        <v>0</v>
      </c>
      <c r="J665" s="26" t="s">
        <v>916</v>
      </c>
      <c r="K665" s="26" t="s">
        <v>917</v>
      </c>
      <c r="L665" s="26"/>
      <c r="M665" s="26"/>
      <c r="N665" s="26" t="str">
        <f t="shared" si="27"/>
        <v>ChangeSkill(Normal)</v>
      </c>
      <c r="O665" s="26">
        <v>0</v>
      </c>
      <c r="P665" s="26">
        <v>0</v>
      </c>
      <c r="Q665" s="26"/>
      <c r="R665" s="26" t="b">
        <v>1</v>
      </c>
    </row>
    <row r="666" spans="1:18">
      <c r="A666" s="26" t="s">
        <v>6887</v>
      </c>
      <c r="B666" s="26"/>
      <c r="C666" s="26"/>
      <c r="D666" s="26">
        <v>0</v>
      </c>
      <c r="E666" s="26">
        <v>1</v>
      </c>
      <c r="F666" s="26" t="s">
        <v>197</v>
      </c>
      <c r="G666" s="26" t="s">
        <v>198</v>
      </c>
      <c r="H666" s="26"/>
      <c r="I666" s="26">
        <v>0</v>
      </c>
      <c r="J666" s="26" t="s">
        <v>893</v>
      </c>
      <c r="K666" s="26" t="s">
        <v>6888</v>
      </c>
      <c r="L666" s="26"/>
      <c r="M666" s="26"/>
      <c r="N666" s="26" t="str">
        <f t="shared" si="27"/>
        <v>Active(brynhild.ult.changeskill.cost.skilleffect.01)</v>
      </c>
      <c r="O666" s="26">
        <v>0</v>
      </c>
      <c r="P666" s="26">
        <v>500</v>
      </c>
      <c r="Q666" s="26"/>
      <c r="R666" s="26" t="b">
        <v>1</v>
      </c>
    </row>
    <row r="667" spans="1:18">
      <c r="A667" s="26" t="s">
        <v>4434</v>
      </c>
      <c r="B667" s="26"/>
      <c r="C667" s="26"/>
      <c r="D667" s="26">
        <v>0</v>
      </c>
      <c r="E667" s="26">
        <v>1</v>
      </c>
      <c r="F667" s="26" t="s">
        <v>197</v>
      </c>
      <c r="G667" s="26" t="s">
        <v>198</v>
      </c>
      <c r="H667" s="26"/>
      <c r="I667" s="26">
        <v>0</v>
      </c>
      <c r="J667" s="26" t="s">
        <v>893</v>
      </c>
      <c r="K667" s="26" t="s">
        <v>4440</v>
      </c>
      <c r="L667" s="26"/>
      <c r="M667" s="26"/>
      <c r="N667" s="26" t="str">
        <f t="shared" si="27"/>
        <v>Active(brynhild.ult.changeskill.cost.skilleffect.02)</v>
      </c>
      <c r="O667" s="26">
        <v>0</v>
      </c>
      <c r="P667" s="26">
        <v>500</v>
      </c>
      <c r="Q667" s="26"/>
      <c r="R667" s="26" t="b">
        <v>1</v>
      </c>
    </row>
    <row r="668" spans="1:18">
      <c r="A668" s="26" t="s">
        <v>4435</v>
      </c>
      <c r="B668" s="26"/>
      <c r="C668" s="26"/>
      <c r="D668" s="26">
        <v>0</v>
      </c>
      <c r="E668" s="26">
        <v>1</v>
      </c>
      <c r="F668" s="26" t="s">
        <v>197</v>
      </c>
      <c r="G668" s="26" t="s">
        <v>198</v>
      </c>
      <c r="H668" s="26"/>
      <c r="I668" s="26">
        <v>0</v>
      </c>
      <c r="J668" s="26" t="s">
        <v>893</v>
      </c>
      <c r="K668" s="26" t="s">
        <v>4441</v>
      </c>
      <c r="L668" s="26"/>
      <c r="M668" s="26"/>
      <c r="N668" s="26" t="str">
        <f t="shared" si="27"/>
        <v>Active(brynhild.ult.changeskill.cost.skilleffect.03)</v>
      </c>
      <c r="O668" s="26">
        <v>0</v>
      </c>
      <c r="P668" s="26">
        <v>500</v>
      </c>
      <c r="Q668" s="26"/>
      <c r="R668" s="26" t="b">
        <v>1</v>
      </c>
    </row>
    <row r="669" spans="1:18">
      <c r="A669" s="26" t="s">
        <v>4436</v>
      </c>
      <c r="B669" s="26"/>
      <c r="C669" s="26"/>
      <c r="D669" s="26">
        <v>0</v>
      </c>
      <c r="E669" s="26">
        <v>1</v>
      </c>
      <c r="F669" s="26" t="s">
        <v>197</v>
      </c>
      <c r="G669" s="26" t="s">
        <v>198</v>
      </c>
      <c r="H669" s="26"/>
      <c r="I669" s="26">
        <v>0</v>
      </c>
      <c r="J669" s="26" t="s">
        <v>893</v>
      </c>
      <c r="K669" s="26" t="s">
        <v>4442</v>
      </c>
      <c r="L669" s="26"/>
      <c r="M669" s="26"/>
      <c r="N669" s="26" t="str">
        <f t="shared" si="27"/>
        <v>Active(brynhild.ult.changeskill.cost.skilleffect.04)</v>
      </c>
      <c r="O669" s="26">
        <v>0</v>
      </c>
      <c r="P669" s="26">
        <v>500</v>
      </c>
      <c r="Q669" s="26"/>
      <c r="R669" s="26" t="b">
        <v>1</v>
      </c>
    </row>
    <row r="670" spans="1:18">
      <c r="A670" s="26" t="s">
        <v>4437</v>
      </c>
      <c r="B670" s="26"/>
      <c r="C670" s="26"/>
      <c r="D670" s="26">
        <v>0</v>
      </c>
      <c r="E670" s="26">
        <v>1</v>
      </c>
      <c r="F670" s="26" t="s">
        <v>197</v>
      </c>
      <c r="G670" s="26" t="s">
        <v>198</v>
      </c>
      <c r="H670" s="26"/>
      <c r="I670" s="26">
        <v>0</v>
      </c>
      <c r="J670" s="26" t="s">
        <v>893</v>
      </c>
      <c r="K670" s="26" t="s">
        <v>4443</v>
      </c>
      <c r="L670" s="26"/>
      <c r="M670" s="26"/>
      <c r="N670" s="26" t="str">
        <f t="shared" si="27"/>
        <v>Active(brynhild.ult.changeskill.cost.skilleffect.05)</v>
      </c>
      <c r="O670" s="26">
        <v>0</v>
      </c>
      <c r="P670" s="26">
        <v>500</v>
      </c>
      <c r="Q670" s="26"/>
      <c r="R670" s="26" t="b">
        <v>1</v>
      </c>
    </row>
    <row r="671" spans="1:18">
      <c r="A671" s="26" t="s">
        <v>4438</v>
      </c>
      <c r="B671" s="26"/>
      <c r="C671" s="26"/>
      <c r="D671" s="26">
        <v>0</v>
      </c>
      <c r="E671" s="26">
        <v>1</v>
      </c>
      <c r="F671" s="26" t="s">
        <v>197</v>
      </c>
      <c r="G671" s="26" t="s">
        <v>198</v>
      </c>
      <c r="H671" s="26"/>
      <c r="I671" s="26">
        <v>0</v>
      </c>
      <c r="J671" s="26" t="s">
        <v>893</v>
      </c>
      <c r="K671" s="26" t="s">
        <v>4444</v>
      </c>
      <c r="L671" s="26"/>
      <c r="M671" s="26"/>
      <c r="N671" s="26" t="str">
        <f t="shared" si="27"/>
        <v>Active(brynhild.ult.changeskill.cost.skilleffect.06)</v>
      </c>
      <c r="O671" s="26">
        <v>0</v>
      </c>
      <c r="P671" s="26">
        <v>500</v>
      </c>
      <c r="Q671" s="26"/>
      <c r="R671" s="26" t="b">
        <v>1</v>
      </c>
    </row>
    <row r="672" spans="1:18">
      <c r="A672" s="26" t="s">
        <v>4439</v>
      </c>
      <c r="B672" s="26"/>
      <c r="C672" s="26"/>
      <c r="D672" s="26">
        <v>0</v>
      </c>
      <c r="E672" s="26">
        <v>1</v>
      </c>
      <c r="F672" s="26" t="s">
        <v>197</v>
      </c>
      <c r="G672" s="26" t="s">
        <v>198</v>
      </c>
      <c r="H672" s="26"/>
      <c r="I672" s="26">
        <v>0</v>
      </c>
      <c r="J672" s="26" t="s">
        <v>893</v>
      </c>
      <c r="K672" s="26" t="s">
        <v>4445</v>
      </c>
      <c r="L672" s="26"/>
      <c r="M672" s="26"/>
      <c r="N672" s="26" t="str">
        <f t="shared" si="27"/>
        <v>Active(brynhild.ult.changeskill.cost.skilleffect.07)</v>
      </c>
      <c r="O672" s="26">
        <v>0</v>
      </c>
      <c r="P672" s="26">
        <v>500</v>
      </c>
      <c r="Q672" s="26"/>
      <c r="R672" s="26" t="b">
        <v>1</v>
      </c>
    </row>
    <row r="673" spans="1:18">
      <c r="A673" s="24" t="s">
        <v>1889</v>
      </c>
      <c r="B673" s="24"/>
      <c r="C673" s="24"/>
      <c r="D673" s="24">
        <v>0</v>
      </c>
      <c r="E673" s="24">
        <v>1</v>
      </c>
      <c r="F673" s="24" t="s">
        <v>197</v>
      </c>
      <c r="G673" s="24" t="s">
        <v>198</v>
      </c>
      <c r="H673" s="24"/>
      <c r="I673" s="24">
        <v>0</v>
      </c>
      <c r="J673" s="24" t="s">
        <v>838</v>
      </c>
      <c r="K673" s="24" t="s">
        <v>908</v>
      </c>
      <c r="L673" s="24">
        <v>120</v>
      </c>
      <c r="M673" s="24"/>
      <c r="N673" s="24" t="str">
        <f t="shared" si="27"/>
        <v>Status(AttackRatio, 120)</v>
      </c>
      <c r="O673" s="24">
        <v>0</v>
      </c>
      <c r="P673" s="24">
        <v>0</v>
      </c>
      <c r="Q673" s="24"/>
      <c r="R673" s="24" t="b">
        <v>1</v>
      </c>
    </row>
    <row r="674" spans="1:18">
      <c r="A674" s="24" t="s">
        <v>1890</v>
      </c>
      <c r="B674" s="24"/>
      <c r="C674" s="24"/>
      <c r="D674" s="24">
        <v>0</v>
      </c>
      <c r="E674" s="24">
        <v>1</v>
      </c>
      <c r="F674" s="24" t="s">
        <v>197</v>
      </c>
      <c r="G674" s="24" t="s">
        <v>198</v>
      </c>
      <c r="H674" s="24"/>
      <c r="I674" s="24">
        <v>0</v>
      </c>
      <c r="J674" s="24" t="s">
        <v>838</v>
      </c>
      <c r="K674" s="24" t="s">
        <v>908</v>
      </c>
      <c r="L674" s="24">
        <v>140</v>
      </c>
      <c r="M674" s="24"/>
      <c r="N674" s="24" t="str">
        <f t="shared" si="27"/>
        <v>Status(AttackRatio, 140)</v>
      </c>
      <c r="O674" s="24">
        <v>0</v>
      </c>
      <c r="P674" s="24">
        <v>0</v>
      </c>
      <c r="Q674" s="24"/>
      <c r="R674" s="24" t="b">
        <v>1</v>
      </c>
    </row>
    <row r="675" spans="1:18">
      <c r="A675" s="24" t="s">
        <v>1891</v>
      </c>
      <c r="B675" s="24"/>
      <c r="C675" s="24"/>
      <c r="D675" s="24">
        <v>0</v>
      </c>
      <c r="E675" s="24">
        <v>1</v>
      </c>
      <c r="F675" s="24" t="s">
        <v>197</v>
      </c>
      <c r="G675" s="24" t="s">
        <v>198</v>
      </c>
      <c r="H675" s="24"/>
      <c r="I675" s="24">
        <v>0</v>
      </c>
      <c r="J675" s="24" t="s">
        <v>838</v>
      </c>
      <c r="K675" s="24" t="s">
        <v>908</v>
      </c>
      <c r="L675" s="24">
        <v>160</v>
      </c>
      <c r="M675" s="24"/>
      <c r="N675" s="24" t="str">
        <f t="shared" si="27"/>
        <v>Status(AttackRatio, 160)</v>
      </c>
      <c r="O675" s="24">
        <v>0</v>
      </c>
      <c r="P675" s="24">
        <v>0</v>
      </c>
      <c r="Q675" s="24"/>
      <c r="R675" s="24" t="b">
        <v>1</v>
      </c>
    </row>
    <row r="676" spans="1:18">
      <c r="A676" s="34" t="s">
        <v>1892</v>
      </c>
      <c r="B676" s="34"/>
      <c r="C676" s="34"/>
      <c r="D676" s="34">
        <v>0</v>
      </c>
      <c r="E676" s="34">
        <v>1</v>
      </c>
      <c r="F676" s="34" t="s">
        <v>197</v>
      </c>
      <c r="G676" s="34" t="s">
        <v>198</v>
      </c>
      <c r="H676" s="34"/>
      <c r="I676" s="34">
        <v>0</v>
      </c>
      <c r="J676" s="34" t="s">
        <v>838</v>
      </c>
      <c r="K676" s="34" t="s">
        <v>908</v>
      </c>
      <c r="L676" s="34">
        <v>180</v>
      </c>
      <c r="M676" s="34"/>
      <c r="N676" s="34" t="str">
        <f t="shared" ref="N676:N739" si="28">J676&amp;"("&amp;IF(K676="","",K676)&amp;IF(L676="","",", "&amp;L676)&amp;IF(M676="","",", "&amp;M676)&amp;")"</f>
        <v>Status(AttackRatio, 180)</v>
      </c>
      <c r="O676" s="34">
        <v>0</v>
      </c>
      <c r="P676" s="34">
        <v>0</v>
      </c>
      <c r="Q676" s="34"/>
      <c r="R676" s="34" t="b">
        <v>1</v>
      </c>
    </row>
    <row r="677" spans="1:18">
      <c r="A677" s="34" t="s">
        <v>1893</v>
      </c>
      <c r="B677" s="34"/>
      <c r="C677" s="34"/>
      <c r="D677" s="34">
        <v>0</v>
      </c>
      <c r="E677" s="34">
        <v>1</v>
      </c>
      <c r="F677" s="34" t="s">
        <v>197</v>
      </c>
      <c r="G677" s="34" t="s">
        <v>198</v>
      </c>
      <c r="H677" s="34"/>
      <c r="I677" s="34">
        <v>0</v>
      </c>
      <c r="J677" s="34" t="s">
        <v>838</v>
      </c>
      <c r="K677" s="34" t="s">
        <v>908</v>
      </c>
      <c r="L677" s="34">
        <v>250</v>
      </c>
      <c r="M677" s="34"/>
      <c r="N677" s="34" t="str">
        <f t="shared" si="28"/>
        <v>Status(AttackRatio, 250)</v>
      </c>
      <c r="O677" s="34">
        <v>0</v>
      </c>
      <c r="P677" s="34">
        <v>0</v>
      </c>
      <c r="Q677" s="34"/>
      <c r="R677" s="34" t="b">
        <v>1</v>
      </c>
    </row>
    <row r="678" spans="1:18">
      <c r="A678" s="34" t="s">
        <v>1894</v>
      </c>
      <c r="B678" s="34"/>
      <c r="C678" s="34"/>
      <c r="D678" s="34">
        <v>0</v>
      </c>
      <c r="E678" s="34">
        <v>1</v>
      </c>
      <c r="F678" s="34" t="s">
        <v>197</v>
      </c>
      <c r="G678" s="34" t="s">
        <v>198</v>
      </c>
      <c r="H678" s="34"/>
      <c r="I678" s="34">
        <v>0</v>
      </c>
      <c r="J678" s="34" t="s">
        <v>838</v>
      </c>
      <c r="K678" s="34" t="s">
        <v>908</v>
      </c>
      <c r="L678" s="34">
        <v>250</v>
      </c>
      <c r="M678" s="34"/>
      <c r="N678" s="34" t="str">
        <f t="shared" si="28"/>
        <v>Status(AttackRatio, 250)</v>
      </c>
      <c r="O678" s="34">
        <v>0</v>
      </c>
      <c r="P678" s="34">
        <v>0</v>
      </c>
      <c r="Q678" s="34"/>
      <c r="R678" s="34" t="b">
        <v>1</v>
      </c>
    </row>
    <row r="679" spans="1:18">
      <c r="A679" s="23" t="s">
        <v>543</v>
      </c>
      <c r="B679" s="23"/>
      <c r="C679" s="23"/>
      <c r="D679" s="23">
        <v>0</v>
      </c>
      <c r="E679" s="23">
        <v>1</v>
      </c>
      <c r="F679" s="23" t="s">
        <v>197</v>
      </c>
      <c r="G679" s="23" t="s">
        <v>198</v>
      </c>
      <c r="H679" s="23"/>
      <c r="I679" s="23">
        <v>0</v>
      </c>
      <c r="J679" s="23" t="s">
        <v>191</v>
      </c>
      <c r="K679" s="23" t="s">
        <v>927</v>
      </c>
      <c r="L679" s="23" t="s">
        <v>943</v>
      </c>
      <c r="M679" s="23"/>
      <c r="N679" s="23" t="str">
        <f t="shared" si="28"/>
        <v>Effect(OnHitNormal, brynhild.passive.buff.buffeffect.skilleffect.01)</v>
      </c>
      <c r="O679" s="23">
        <v>0</v>
      </c>
      <c r="P679" s="23">
        <v>0</v>
      </c>
      <c r="Q679" s="23"/>
      <c r="R679" s="23" t="b">
        <v>1</v>
      </c>
    </row>
    <row r="680" spans="1:18">
      <c r="A680" s="23" t="s">
        <v>545</v>
      </c>
      <c r="B680" s="23"/>
      <c r="C680" s="23"/>
      <c r="D680" s="23">
        <v>0</v>
      </c>
      <c r="E680" s="23">
        <v>1</v>
      </c>
      <c r="F680" s="23" t="s">
        <v>197</v>
      </c>
      <c r="G680" s="23" t="s">
        <v>198</v>
      </c>
      <c r="H680" s="23"/>
      <c r="I680" s="23">
        <v>0</v>
      </c>
      <c r="J680" s="23" t="s">
        <v>191</v>
      </c>
      <c r="K680" s="23" t="s">
        <v>927</v>
      </c>
      <c r="L680" s="23" t="s">
        <v>944</v>
      </c>
      <c r="M680" s="23"/>
      <c r="N680" s="23" t="str">
        <f t="shared" si="28"/>
        <v>Effect(OnHitNormal, brynhild.passive.buff.buffeffect.skilleffect.02)</v>
      </c>
      <c r="O680" s="23">
        <v>0</v>
      </c>
      <c r="P680" s="23">
        <v>0</v>
      </c>
      <c r="Q680" s="23"/>
      <c r="R680" s="23" t="b">
        <v>1</v>
      </c>
    </row>
    <row r="681" spans="1:18">
      <c r="A681" s="23" t="s">
        <v>547</v>
      </c>
      <c r="B681" s="23"/>
      <c r="C681" s="23"/>
      <c r="D681" s="23">
        <v>0</v>
      </c>
      <c r="E681" s="23">
        <v>1</v>
      </c>
      <c r="F681" s="23" t="s">
        <v>197</v>
      </c>
      <c r="G681" s="23" t="s">
        <v>198</v>
      </c>
      <c r="H681" s="23"/>
      <c r="I681" s="23">
        <v>0</v>
      </c>
      <c r="J681" s="23" t="s">
        <v>191</v>
      </c>
      <c r="K681" s="23" t="s">
        <v>927</v>
      </c>
      <c r="L681" s="23" t="s">
        <v>945</v>
      </c>
      <c r="M681" s="23"/>
      <c r="N681" s="23" t="str">
        <f t="shared" si="28"/>
        <v>Effect(OnHitNormal, brynhild.passive.buff.buffeffect.skilleffect.03)</v>
      </c>
      <c r="O681" s="23">
        <v>0</v>
      </c>
      <c r="P681" s="23">
        <v>0</v>
      </c>
      <c r="Q681" s="23"/>
      <c r="R681" s="23" t="b">
        <v>1</v>
      </c>
    </row>
    <row r="682" spans="1:18">
      <c r="A682" s="34" t="s">
        <v>549</v>
      </c>
      <c r="B682" s="34"/>
      <c r="C682" s="34"/>
      <c r="D682" s="34">
        <v>0</v>
      </c>
      <c r="E682" s="34">
        <v>1</v>
      </c>
      <c r="F682" s="34" t="s">
        <v>197</v>
      </c>
      <c r="G682" s="34" t="s">
        <v>198</v>
      </c>
      <c r="H682" s="34"/>
      <c r="I682" s="34">
        <v>0</v>
      </c>
      <c r="J682" s="34" t="s">
        <v>191</v>
      </c>
      <c r="K682" s="34" t="s">
        <v>927</v>
      </c>
      <c r="L682" s="34" t="s">
        <v>946</v>
      </c>
      <c r="M682" s="34"/>
      <c r="N682" s="34" t="str">
        <f t="shared" si="28"/>
        <v>Effect(OnHitNormal, brynhild.passive.buff.buffeffect.skilleffect.04)</v>
      </c>
      <c r="O682" s="34">
        <v>0</v>
      </c>
      <c r="P682" s="34">
        <v>0</v>
      </c>
      <c r="Q682" s="34"/>
      <c r="R682" s="34" t="b">
        <v>1</v>
      </c>
    </row>
    <row r="683" spans="1:18">
      <c r="A683" s="34" t="s">
        <v>551</v>
      </c>
      <c r="B683" s="34"/>
      <c r="C683" s="34"/>
      <c r="D683" s="34">
        <v>0</v>
      </c>
      <c r="E683" s="34">
        <v>1</v>
      </c>
      <c r="F683" s="34" t="s">
        <v>197</v>
      </c>
      <c r="G683" s="34" t="s">
        <v>198</v>
      </c>
      <c r="H683" s="34"/>
      <c r="I683" s="34">
        <v>0</v>
      </c>
      <c r="J683" s="34" t="s">
        <v>191</v>
      </c>
      <c r="K683" s="34" t="s">
        <v>927</v>
      </c>
      <c r="L683" s="34" t="s">
        <v>947</v>
      </c>
      <c r="M683" s="34"/>
      <c r="N683" s="34" t="str">
        <f t="shared" si="28"/>
        <v>Effect(OnHitNormal, brynhild.passive.buff.buffeffect.skilleffect.05)</v>
      </c>
      <c r="O683" s="34">
        <v>0</v>
      </c>
      <c r="P683" s="34">
        <v>0</v>
      </c>
      <c r="Q683" s="34"/>
      <c r="R683" s="34" t="b">
        <v>1</v>
      </c>
    </row>
    <row r="684" spans="1:18">
      <c r="A684" s="34" t="s">
        <v>553</v>
      </c>
      <c r="B684" s="34"/>
      <c r="C684" s="34"/>
      <c r="D684" s="34">
        <v>0</v>
      </c>
      <c r="E684" s="34">
        <v>1</v>
      </c>
      <c r="F684" s="34" t="s">
        <v>197</v>
      </c>
      <c r="G684" s="34" t="s">
        <v>198</v>
      </c>
      <c r="H684" s="34"/>
      <c r="I684" s="34">
        <v>0</v>
      </c>
      <c r="J684" s="34" t="s">
        <v>191</v>
      </c>
      <c r="K684" s="34" t="s">
        <v>927</v>
      </c>
      <c r="L684" s="34" t="s">
        <v>948</v>
      </c>
      <c r="M684" s="34"/>
      <c r="N684" s="34" t="str">
        <f t="shared" si="28"/>
        <v>Effect(OnHitNormal, brynhild.passive.buff.buffeffect.skilleffect.06)</v>
      </c>
      <c r="O684" s="34">
        <v>0</v>
      </c>
      <c r="P684" s="34">
        <v>0</v>
      </c>
      <c r="Q684" s="34"/>
      <c r="R684" s="34" t="b">
        <v>1</v>
      </c>
    </row>
    <row r="685" spans="1:18">
      <c r="A685" s="24" t="s">
        <v>1901</v>
      </c>
      <c r="B685" s="24"/>
      <c r="C685" s="24"/>
      <c r="D685" s="24">
        <v>0</v>
      </c>
      <c r="E685" s="24">
        <v>1</v>
      </c>
      <c r="F685" s="24" t="s">
        <v>197</v>
      </c>
      <c r="G685" s="24" t="s">
        <v>198</v>
      </c>
      <c r="H685" s="24"/>
      <c r="I685" s="24">
        <v>0</v>
      </c>
      <c r="J685" s="24" t="s">
        <v>838</v>
      </c>
      <c r="K685" s="24" t="s">
        <v>918</v>
      </c>
      <c r="L685" s="24">
        <v>26</v>
      </c>
      <c r="M685" s="24"/>
      <c r="N685" s="24" t="str">
        <f t="shared" si="28"/>
        <v>Status(AttackSpeedRate, 26)</v>
      </c>
      <c r="O685" s="24">
        <v>0</v>
      </c>
      <c r="P685" s="24">
        <v>0</v>
      </c>
      <c r="Q685" s="24"/>
      <c r="R685" s="24" t="b">
        <v>1</v>
      </c>
    </row>
    <row r="686" spans="1:18">
      <c r="A686" s="24" t="s">
        <v>1902</v>
      </c>
      <c r="B686" s="24"/>
      <c r="C686" s="24"/>
      <c r="D686" s="24">
        <v>0</v>
      </c>
      <c r="E686" s="24">
        <v>1</v>
      </c>
      <c r="F686" s="24" t="s">
        <v>197</v>
      </c>
      <c r="G686" s="24" t="s">
        <v>198</v>
      </c>
      <c r="H686" s="24"/>
      <c r="I686" s="24">
        <v>0</v>
      </c>
      <c r="J686" s="24" t="s">
        <v>838</v>
      </c>
      <c r="K686" s="24" t="s">
        <v>918</v>
      </c>
      <c r="L686" s="24">
        <v>28</v>
      </c>
      <c r="M686" s="24"/>
      <c r="N686" s="24" t="str">
        <f t="shared" si="28"/>
        <v>Status(AttackSpeedRate, 28)</v>
      </c>
      <c r="O686" s="24">
        <v>0</v>
      </c>
      <c r="P686" s="24">
        <v>0</v>
      </c>
      <c r="Q686" s="24"/>
      <c r="R686" s="24" t="b">
        <v>1</v>
      </c>
    </row>
    <row r="687" spans="1:18">
      <c r="A687" s="24" t="s">
        <v>1903</v>
      </c>
      <c r="B687" s="24"/>
      <c r="C687" s="24"/>
      <c r="D687" s="24">
        <v>0</v>
      </c>
      <c r="E687" s="24">
        <v>1</v>
      </c>
      <c r="F687" s="24" t="s">
        <v>197</v>
      </c>
      <c r="G687" s="24" t="s">
        <v>198</v>
      </c>
      <c r="H687" s="24"/>
      <c r="I687" s="24">
        <v>0</v>
      </c>
      <c r="J687" s="24" t="s">
        <v>838</v>
      </c>
      <c r="K687" s="24" t="s">
        <v>918</v>
      </c>
      <c r="L687" s="24">
        <v>32</v>
      </c>
      <c r="M687" s="24"/>
      <c r="N687" s="24" t="str">
        <f t="shared" si="28"/>
        <v>Status(AttackSpeedRate, 32)</v>
      </c>
      <c r="O687" s="24">
        <v>0</v>
      </c>
      <c r="P687" s="24">
        <v>0</v>
      </c>
      <c r="Q687" s="24"/>
      <c r="R687" s="24" t="b">
        <v>1</v>
      </c>
    </row>
    <row r="688" spans="1:18">
      <c r="A688" s="34" t="s">
        <v>1904</v>
      </c>
      <c r="B688" s="34"/>
      <c r="C688" s="34"/>
      <c r="D688" s="34">
        <v>0</v>
      </c>
      <c r="E688" s="34">
        <v>1</v>
      </c>
      <c r="F688" s="34" t="s">
        <v>197</v>
      </c>
      <c r="G688" s="34" t="s">
        <v>198</v>
      </c>
      <c r="H688" s="34"/>
      <c r="I688" s="34">
        <v>0</v>
      </c>
      <c r="J688" s="34" t="s">
        <v>838</v>
      </c>
      <c r="K688" s="34" t="s">
        <v>918</v>
      </c>
      <c r="L688" s="34">
        <v>38</v>
      </c>
      <c r="M688" s="34"/>
      <c r="N688" s="34" t="str">
        <f t="shared" si="28"/>
        <v>Status(AttackSpeedRate, 38)</v>
      </c>
      <c r="O688" s="34">
        <v>0</v>
      </c>
      <c r="P688" s="34">
        <v>0</v>
      </c>
      <c r="Q688" s="34"/>
      <c r="R688" s="34" t="b">
        <v>1</v>
      </c>
    </row>
    <row r="689" spans="1:18">
      <c r="A689" s="34" t="s">
        <v>1905</v>
      </c>
      <c r="B689" s="34"/>
      <c r="C689" s="34"/>
      <c r="D689" s="34">
        <v>0</v>
      </c>
      <c r="E689" s="34">
        <v>1</v>
      </c>
      <c r="F689" s="34" t="s">
        <v>197</v>
      </c>
      <c r="G689" s="34" t="s">
        <v>198</v>
      </c>
      <c r="H689" s="34"/>
      <c r="I689" s="34">
        <v>0</v>
      </c>
      <c r="J689" s="34" t="s">
        <v>838</v>
      </c>
      <c r="K689" s="34" t="s">
        <v>918</v>
      </c>
      <c r="L689" s="34">
        <v>80</v>
      </c>
      <c r="M689" s="34"/>
      <c r="N689" s="34" t="str">
        <f t="shared" si="28"/>
        <v>Status(AttackSpeedRate, 80)</v>
      </c>
      <c r="O689" s="34">
        <v>0</v>
      </c>
      <c r="P689" s="34">
        <v>0</v>
      </c>
      <c r="Q689" s="34"/>
      <c r="R689" s="34" t="b">
        <v>1</v>
      </c>
    </row>
    <row r="690" spans="1:18">
      <c r="A690" s="34" t="s">
        <v>1906</v>
      </c>
      <c r="B690" s="34"/>
      <c r="C690" s="34"/>
      <c r="D690" s="34">
        <v>0</v>
      </c>
      <c r="E690" s="34">
        <v>1</v>
      </c>
      <c r="F690" s="34" t="s">
        <v>197</v>
      </c>
      <c r="G690" s="34" t="s">
        <v>198</v>
      </c>
      <c r="H690" s="34"/>
      <c r="I690" s="34">
        <v>0</v>
      </c>
      <c r="J690" s="34" t="s">
        <v>838</v>
      </c>
      <c r="K690" s="34" t="s">
        <v>918</v>
      </c>
      <c r="L690" s="34">
        <v>80</v>
      </c>
      <c r="M690" s="34"/>
      <c r="N690" s="34" t="str">
        <f t="shared" si="28"/>
        <v>Status(AttackSpeedRate, 80)</v>
      </c>
      <c r="O690" s="34">
        <v>0</v>
      </c>
      <c r="P690" s="34">
        <v>0</v>
      </c>
      <c r="Q690" s="34"/>
      <c r="R690" s="34" t="b">
        <v>1</v>
      </c>
    </row>
    <row r="691" spans="1:18">
      <c r="A691" s="25" t="s">
        <v>3841</v>
      </c>
      <c r="B691" s="44"/>
      <c r="C691" s="44"/>
      <c r="D691" s="25">
        <v>0</v>
      </c>
      <c r="E691" s="25">
        <v>1</v>
      </c>
      <c r="F691" s="25" t="s">
        <v>197</v>
      </c>
      <c r="G691" s="25" t="s">
        <v>198</v>
      </c>
      <c r="H691" s="25"/>
      <c r="I691" s="25">
        <v>0</v>
      </c>
      <c r="J691" s="25" t="s">
        <v>895</v>
      </c>
      <c r="K691" s="25" t="s">
        <v>896</v>
      </c>
      <c r="L691" s="25" t="s">
        <v>6889</v>
      </c>
      <c r="M691" s="25"/>
      <c r="N691" s="25" t="str">
        <f t="shared" si="28"/>
        <v>SkillEffectModifier(Op, yuna.ult.dmg.modifier.01)</v>
      </c>
      <c r="O691" s="25">
        <v>0</v>
      </c>
      <c r="P691" s="25">
        <v>0</v>
      </c>
      <c r="Q691" s="25"/>
      <c r="R691" s="25" t="b">
        <v>1</v>
      </c>
    </row>
    <row r="692" spans="1:18">
      <c r="A692" s="25" t="s">
        <v>3842</v>
      </c>
      <c r="B692" s="44"/>
      <c r="C692" s="44"/>
      <c r="D692" s="25">
        <v>0</v>
      </c>
      <c r="E692" s="25">
        <v>1</v>
      </c>
      <c r="F692" s="25" t="s">
        <v>197</v>
      </c>
      <c r="G692" s="25" t="s">
        <v>198</v>
      </c>
      <c r="H692" s="25"/>
      <c r="I692" s="25">
        <v>0</v>
      </c>
      <c r="J692" s="25" t="s">
        <v>895</v>
      </c>
      <c r="K692" s="25" t="s">
        <v>896</v>
      </c>
      <c r="L692" s="25" t="s">
        <v>3846</v>
      </c>
      <c r="M692" s="25"/>
      <c r="N692" s="25" t="str">
        <f t="shared" si="28"/>
        <v>SkillEffectModifier(Op, yuna.ult.dmg.modifier.02)</v>
      </c>
      <c r="O692" s="25">
        <v>0</v>
      </c>
      <c r="P692" s="25">
        <v>0</v>
      </c>
      <c r="Q692" s="25"/>
      <c r="R692" s="25" t="b">
        <v>1</v>
      </c>
    </row>
    <row r="693" spans="1:18">
      <c r="A693" s="25" t="s">
        <v>3843</v>
      </c>
      <c r="B693" s="44"/>
      <c r="C693" s="44"/>
      <c r="D693" s="25">
        <v>0</v>
      </c>
      <c r="E693" s="25">
        <v>1</v>
      </c>
      <c r="F693" s="25" t="s">
        <v>197</v>
      </c>
      <c r="G693" s="25" t="s">
        <v>198</v>
      </c>
      <c r="H693" s="25"/>
      <c r="I693" s="25">
        <v>0</v>
      </c>
      <c r="J693" s="25" t="s">
        <v>895</v>
      </c>
      <c r="K693" s="25" t="s">
        <v>896</v>
      </c>
      <c r="L693" s="25" t="s">
        <v>3847</v>
      </c>
      <c r="M693" s="25"/>
      <c r="N693" s="25" t="str">
        <f t="shared" si="28"/>
        <v>SkillEffectModifier(Op, yuna.ult.dmg.modifier.03)</v>
      </c>
      <c r="O693" s="25">
        <v>0</v>
      </c>
      <c r="P693" s="25">
        <v>0</v>
      </c>
      <c r="Q693" s="25"/>
      <c r="R693" s="25" t="b">
        <v>1</v>
      </c>
    </row>
    <row r="694" spans="1:18">
      <c r="A694" s="26" t="s">
        <v>3844</v>
      </c>
      <c r="B694" s="44"/>
      <c r="C694" s="44"/>
      <c r="D694" s="25">
        <v>0</v>
      </c>
      <c r="E694" s="25">
        <v>1</v>
      </c>
      <c r="F694" s="25" t="s">
        <v>197</v>
      </c>
      <c r="G694" s="25" t="s">
        <v>198</v>
      </c>
      <c r="H694" s="25"/>
      <c r="I694" s="25">
        <v>0</v>
      </c>
      <c r="J694" s="26" t="s">
        <v>895</v>
      </c>
      <c r="K694" s="26" t="s">
        <v>896</v>
      </c>
      <c r="L694" s="26" t="s">
        <v>3848</v>
      </c>
      <c r="M694" s="26"/>
      <c r="N694" s="26" t="str">
        <f t="shared" si="28"/>
        <v>SkillEffectModifier(Op, yuna.ult.dmg.modifier.04)</v>
      </c>
      <c r="O694" s="26">
        <v>0</v>
      </c>
      <c r="P694" s="26">
        <v>0</v>
      </c>
      <c r="Q694" s="26"/>
      <c r="R694" s="26" t="b">
        <v>1</v>
      </c>
    </row>
    <row r="695" spans="1:18">
      <c r="A695" s="26" t="s">
        <v>3845</v>
      </c>
      <c r="B695" s="44"/>
      <c r="C695" s="44"/>
      <c r="D695" s="25">
        <v>0</v>
      </c>
      <c r="E695" s="25">
        <v>1</v>
      </c>
      <c r="F695" s="25" t="s">
        <v>197</v>
      </c>
      <c r="G695" s="25" t="s">
        <v>198</v>
      </c>
      <c r="H695" s="25"/>
      <c r="I695" s="25">
        <v>0</v>
      </c>
      <c r="J695" s="26" t="s">
        <v>895</v>
      </c>
      <c r="K695" s="26" t="s">
        <v>896</v>
      </c>
      <c r="L695" s="26" t="s">
        <v>3849</v>
      </c>
      <c r="M695" s="26"/>
      <c r="N695" s="26" t="str">
        <f t="shared" si="28"/>
        <v>SkillEffectModifier(Op, yuna.ult.dmg.modifier.05)</v>
      </c>
      <c r="O695" s="26">
        <v>0</v>
      </c>
      <c r="P695" s="26">
        <v>0</v>
      </c>
      <c r="Q695" s="26"/>
      <c r="R695" s="26" t="b">
        <v>1</v>
      </c>
    </row>
    <row r="696" spans="1:18">
      <c r="A696" s="25" t="s">
        <v>6734</v>
      </c>
      <c r="B696" s="44"/>
      <c r="C696" s="44"/>
      <c r="D696" s="25">
        <v>0</v>
      </c>
      <c r="E696" s="25">
        <v>1</v>
      </c>
      <c r="F696" s="25" t="s">
        <v>197</v>
      </c>
      <c r="G696" s="25" t="s">
        <v>198</v>
      </c>
      <c r="H696" s="25"/>
      <c r="I696" s="25">
        <v>0</v>
      </c>
      <c r="J696" s="25" t="s">
        <v>895</v>
      </c>
      <c r="K696" s="25" t="s">
        <v>896</v>
      </c>
      <c r="L696" s="25" t="s">
        <v>6890</v>
      </c>
      <c r="M696" s="25"/>
      <c r="N696" s="25" t="str">
        <f t="shared" si="28"/>
        <v>SkillEffectModifier(Op, yuna.ult.B.dmg.modifier.01)</v>
      </c>
      <c r="O696" s="25">
        <v>0</v>
      </c>
      <c r="P696" s="25">
        <v>0</v>
      </c>
      <c r="Q696" s="25"/>
      <c r="R696" s="25" t="b">
        <v>1</v>
      </c>
    </row>
    <row r="697" spans="1:18">
      <c r="A697" s="25" t="s">
        <v>3854</v>
      </c>
      <c r="B697" s="44"/>
      <c r="C697" s="44"/>
      <c r="D697" s="25">
        <v>0</v>
      </c>
      <c r="E697" s="25">
        <v>1</v>
      </c>
      <c r="F697" s="25" t="s">
        <v>197</v>
      </c>
      <c r="G697" s="25" t="s">
        <v>198</v>
      </c>
      <c r="H697" s="25"/>
      <c r="I697" s="25">
        <v>0</v>
      </c>
      <c r="J697" s="25" t="s">
        <v>895</v>
      </c>
      <c r="K697" s="25" t="s">
        <v>896</v>
      </c>
      <c r="L697" s="25" t="s">
        <v>3858</v>
      </c>
      <c r="M697" s="25"/>
      <c r="N697" s="25" t="str">
        <f t="shared" si="28"/>
        <v>SkillEffectModifier(Op, yuna.ult.B.dmg.modifier.02)</v>
      </c>
      <c r="O697" s="25">
        <v>0</v>
      </c>
      <c r="P697" s="25">
        <v>0</v>
      </c>
      <c r="Q697" s="25"/>
      <c r="R697" s="25" t="b">
        <v>1</v>
      </c>
    </row>
    <row r="698" spans="1:18">
      <c r="A698" s="25" t="s">
        <v>3855</v>
      </c>
      <c r="B698" s="44"/>
      <c r="C698" s="44"/>
      <c r="D698" s="25">
        <v>0</v>
      </c>
      <c r="E698" s="25">
        <v>1</v>
      </c>
      <c r="F698" s="25" t="s">
        <v>197</v>
      </c>
      <c r="G698" s="25" t="s">
        <v>198</v>
      </c>
      <c r="H698" s="25"/>
      <c r="I698" s="25">
        <v>0</v>
      </c>
      <c r="J698" s="25" t="s">
        <v>895</v>
      </c>
      <c r="K698" s="25" t="s">
        <v>896</v>
      </c>
      <c r="L698" s="25" t="s">
        <v>3859</v>
      </c>
      <c r="M698" s="25"/>
      <c r="N698" s="25" t="str">
        <f t="shared" si="28"/>
        <v>SkillEffectModifier(Op, yuna.ult.B.dmg.modifier.03)</v>
      </c>
      <c r="O698" s="25">
        <v>0</v>
      </c>
      <c r="P698" s="25">
        <v>0</v>
      </c>
      <c r="Q698" s="25"/>
      <c r="R698" s="25" t="b">
        <v>1</v>
      </c>
    </row>
    <row r="699" spans="1:18">
      <c r="A699" s="26" t="s">
        <v>3856</v>
      </c>
      <c r="B699" s="44"/>
      <c r="C699" s="44"/>
      <c r="D699" s="25">
        <v>0</v>
      </c>
      <c r="E699" s="25">
        <v>1</v>
      </c>
      <c r="F699" s="25" t="s">
        <v>197</v>
      </c>
      <c r="G699" s="25" t="s">
        <v>198</v>
      </c>
      <c r="H699" s="25"/>
      <c r="I699" s="25">
        <v>0</v>
      </c>
      <c r="J699" s="26" t="s">
        <v>895</v>
      </c>
      <c r="K699" s="26" t="s">
        <v>896</v>
      </c>
      <c r="L699" s="26" t="s">
        <v>3860</v>
      </c>
      <c r="M699" s="26"/>
      <c r="N699" s="26" t="str">
        <f t="shared" si="28"/>
        <v>SkillEffectModifier(Op, yuna.ult.B.dmg.modifier.04)</v>
      </c>
      <c r="O699" s="26">
        <v>0</v>
      </c>
      <c r="P699" s="26">
        <v>0</v>
      </c>
      <c r="Q699" s="26"/>
      <c r="R699" s="26" t="b">
        <v>1</v>
      </c>
    </row>
    <row r="700" spans="1:18">
      <c r="A700" s="26" t="s">
        <v>3857</v>
      </c>
      <c r="B700" s="44"/>
      <c r="C700" s="44"/>
      <c r="D700" s="25">
        <v>0</v>
      </c>
      <c r="E700" s="25">
        <v>1</v>
      </c>
      <c r="F700" s="25" t="s">
        <v>197</v>
      </c>
      <c r="G700" s="25" t="s">
        <v>198</v>
      </c>
      <c r="H700" s="25"/>
      <c r="I700" s="25">
        <v>0</v>
      </c>
      <c r="J700" s="26" t="s">
        <v>895</v>
      </c>
      <c r="K700" s="26" t="s">
        <v>896</v>
      </c>
      <c r="L700" s="26" t="s">
        <v>3861</v>
      </c>
      <c r="M700" s="26"/>
      <c r="N700" s="26" t="str">
        <f t="shared" si="28"/>
        <v>SkillEffectModifier(Op, yuna.ult.B.dmg.modifier.05)</v>
      </c>
      <c r="O700" s="26">
        <v>0</v>
      </c>
      <c r="P700" s="26">
        <v>0</v>
      </c>
      <c r="Q700" s="26"/>
      <c r="R700" s="26" t="b">
        <v>1</v>
      </c>
    </row>
    <row r="701" spans="1:18">
      <c r="A701" s="25" t="s">
        <v>2653</v>
      </c>
      <c r="B701" s="44"/>
      <c r="C701" s="44"/>
      <c r="D701" s="25">
        <v>0</v>
      </c>
      <c r="E701" s="25">
        <v>1</v>
      </c>
      <c r="F701" s="25" t="s">
        <v>197</v>
      </c>
      <c r="G701" s="25" t="s">
        <v>198</v>
      </c>
      <c r="H701" s="25"/>
      <c r="I701" s="25">
        <v>0</v>
      </c>
      <c r="J701" s="25" t="s">
        <v>838</v>
      </c>
      <c r="K701" s="25" t="s">
        <v>869</v>
      </c>
      <c r="L701" s="25">
        <v>100</v>
      </c>
      <c r="M701" s="25"/>
      <c r="N701" s="25" t="str">
        <f t="shared" si="28"/>
        <v>Status(AccuracyDerate, 100)</v>
      </c>
      <c r="O701" s="25">
        <v>0</v>
      </c>
      <c r="P701" s="25">
        <v>0</v>
      </c>
      <c r="Q701" s="25"/>
      <c r="R701" s="25" t="b">
        <v>1</v>
      </c>
    </row>
    <row r="702" spans="1:18">
      <c r="A702" s="25" t="s">
        <v>2654</v>
      </c>
      <c r="B702" s="44"/>
      <c r="C702" s="44"/>
      <c r="D702" s="25">
        <v>0</v>
      </c>
      <c r="E702" s="25">
        <v>1</v>
      </c>
      <c r="F702" s="25" t="s">
        <v>197</v>
      </c>
      <c r="G702" s="25" t="s">
        <v>198</v>
      </c>
      <c r="H702" s="25"/>
      <c r="I702" s="25">
        <v>0</v>
      </c>
      <c r="J702" s="25" t="s">
        <v>838</v>
      </c>
      <c r="K702" s="25" t="s">
        <v>869</v>
      </c>
      <c r="L702" s="25">
        <v>120</v>
      </c>
      <c r="M702" s="25"/>
      <c r="N702" s="25" t="str">
        <f t="shared" si="28"/>
        <v>Status(AccuracyDerate, 120)</v>
      </c>
      <c r="O702" s="25">
        <v>0</v>
      </c>
      <c r="P702" s="25">
        <v>0</v>
      </c>
      <c r="Q702" s="25"/>
      <c r="R702" s="25" t="b">
        <v>1</v>
      </c>
    </row>
    <row r="703" spans="1:18">
      <c r="A703" s="25" t="s">
        <v>2655</v>
      </c>
      <c r="B703" s="44"/>
      <c r="C703" s="44"/>
      <c r="D703" s="25">
        <v>0</v>
      </c>
      <c r="E703" s="25">
        <v>1</v>
      </c>
      <c r="F703" s="25" t="s">
        <v>197</v>
      </c>
      <c r="G703" s="25" t="s">
        <v>198</v>
      </c>
      <c r="H703" s="25"/>
      <c r="I703" s="25">
        <v>0</v>
      </c>
      <c r="J703" s="25" t="s">
        <v>838</v>
      </c>
      <c r="K703" s="25" t="s">
        <v>869</v>
      </c>
      <c r="L703" s="25">
        <v>140</v>
      </c>
      <c r="M703" s="25"/>
      <c r="N703" s="25" t="str">
        <f t="shared" si="28"/>
        <v>Status(AccuracyDerate, 140)</v>
      </c>
      <c r="O703" s="25">
        <v>0</v>
      </c>
      <c r="P703" s="25">
        <v>0</v>
      </c>
      <c r="Q703" s="25"/>
      <c r="R703" s="25" t="b">
        <v>1</v>
      </c>
    </row>
    <row r="704" spans="1:18">
      <c r="A704" s="26" t="s">
        <v>2656</v>
      </c>
      <c r="B704" s="44"/>
      <c r="C704" s="44"/>
      <c r="D704" s="25">
        <v>0</v>
      </c>
      <c r="E704" s="25">
        <v>1</v>
      </c>
      <c r="F704" s="25" t="s">
        <v>197</v>
      </c>
      <c r="G704" s="25" t="s">
        <v>198</v>
      </c>
      <c r="H704" s="25"/>
      <c r="I704" s="25">
        <v>0</v>
      </c>
      <c r="J704" s="26" t="s">
        <v>838</v>
      </c>
      <c r="K704" s="26" t="s">
        <v>869</v>
      </c>
      <c r="L704" s="26">
        <v>160</v>
      </c>
      <c r="M704" s="26"/>
      <c r="N704" s="26" t="str">
        <f t="shared" si="28"/>
        <v>Status(AccuracyDerate, 160)</v>
      </c>
      <c r="O704" s="26">
        <v>0</v>
      </c>
      <c r="P704" s="26">
        <v>0</v>
      </c>
      <c r="Q704" s="26"/>
      <c r="R704" s="26" t="b">
        <v>1</v>
      </c>
    </row>
    <row r="705" spans="1:18">
      <c r="A705" s="26" t="s">
        <v>2657</v>
      </c>
      <c r="B705" s="44"/>
      <c r="C705" s="44"/>
      <c r="D705" s="25">
        <v>0</v>
      </c>
      <c r="E705" s="25">
        <v>1</v>
      </c>
      <c r="F705" s="25" t="s">
        <v>197</v>
      </c>
      <c r="G705" s="25" t="s">
        <v>198</v>
      </c>
      <c r="H705" s="25"/>
      <c r="I705" s="25">
        <v>0</v>
      </c>
      <c r="J705" s="26" t="s">
        <v>838</v>
      </c>
      <c r="K705" s="26" t="s">
        <v>869</v>
      </c>
      <c r="L705" s="26">
        <v>200</v>
      </c>
      <c r="M705" s="26"/>
      <c r="N705" s="26" t="str">
        <f t="shared" si="28"/>
        <v>Status(AccuracyDerate, 200)</v>
      </c>
      <c r="O705" s="26">
        <v>0</v>
      </c>
      <c r="P705" s="26">
        <v>0</v>
      </c>
      <c r="Q705" s="26"/>
      <c r="R705" s="26" t="b">
        <v>1</v>
      </c>
    </row>
    <row r="706" spans="1:18">
      <c r="A706" s="26" t="s">
        <v>6891</v>
      </c>
      <c r="B706" s="44"/>
      <c r="C706" s="44"/>
      <c r="D706" s="25">
        <v>0</v>
      </c>
      <c r="E706" s="25">
        <v>1</v>
      </c>
      <c r="F706" s="25" t="s">
        <v>197</v>
      </c>
      <c r="G706" s="25" t="s">
        <v>198</v>
      </c>
      <c r="H706" s="25"/>
      <c r="I706" s="25">
        <v>0</v>
      </c>
      <c r="J706" s="26" t="s">
        <v>838</v>
      </c>
      <c r="K706" s="26" t="s">
        <v>869</v>
      </c>
      <c r="L706" s="26">
        <v>212</v>
      </c>
      <c r="M706" s="26"/>
      <c r="N706" s="26" t="str">
        <f t="shared" si="28"/>
        <v>Status(AccuracyDerate, 212)</v>
      </c>
      <c r="O706" s="26">
        <v>0</v>
      </c>
      <c r="P706" s="26">
        <v>0</v>
      </c>
      <c r="Q706" s="26"/>
      <c r="R706" s="26" t="b">
        <v>1</v>
      </c>
    </row>
    <row r="707" spans="1:18">
      <c r="A707" s="26" t="s">
        <v>6892</v>
      </c>
      <c r="B707" s="44"/>
      <c r="C707" s="44"/>
      <c r="D707" s="25">
        <v>0</v>
      </c>
      <c r="E707" s="25">
        <v>1</v>
      </c>
      <c r="F707" s="25" t="s">
        <v>197</v>
      </c>
      <c r="G707" s="25" t="s">
        <v>198</v>
      </c>
      <c r="H707" s="25"/>
      <c r="I707" s="25">
        <v>0</v>
      </c>
      <c r="J707" s="26" t="s">
        <v>838</v>
      </c>
      <c r="K707" s="26" t="s">
        <v>869</v>
      </c>
      <c r="L707" s="26">
        <v>232</v>
      </c>
      <c r="M707" s="26"/>
      <c r="N707" s="26" t="str">
        <f t="shared" si="28"/>
        <v>Status(AccuracyDerate, 232)</v>
      </c>
      <c r="O707" s="26">
        <v>0</v>
      </c>
      <c r="P707" s="26">
        <v>0</v>
      </c>
      <c r="Q707" s="26"/>
      <c r="R707" s="26" t="b">
        <v>1</v>
      </c>
    </row>
    <row r="708" spans="1:18">
      <c r="A708" s="25" t="s">
        <v>6736</v>
      </c>
      <c r="B708" s="44"/>
      <c r="C708" s="44"/>
      <c r="D708" s="25">
        <v>0</v>
      </c>
      <c r="E708" s="25">
        <v>1</v>
      </c>
      <c r="F708" s="25" t="s">
        <v>197</v>
      </c>
      <c r="G708" s="25" t="s">
        <v>198</v>
      </c>
      <c r="H708" s="25"/>
      <c r="I708" s="25">
        <v>0</v>
      </c>
      <c r="J708" s="25" t="s">
        <v>895</v>
      </c>
      <c r="K708" s="25" t="s">
        <v>896</v>
      </c>
      <c r="L708" s="25" t="s">
        <v>6893</v>
      </c>
      <c r="M708" s="25"/>
      <c r="N708" s="25" t="str">
        <f t="shared" si="28"/>
        <v>SkillEffectModifier(Op, yuna.active1.dmg.modifier.01)</v>
      </c>
      <c r="O708" s="25">
        <v>0</v>
      </c>
      <c r="P708" s="25">
        <v>0</v>
      </c>
      <c r="Q708" s="25"/>
      <c r="R708" s="25" t="b">
        <v>1</v>
      </c>
    </row>
    <row r="709" spans="1:18">
      <c r="A709" s="25" t="s">
        <v>3867</v>
      </c>
      <c r="B709" s="44"/>
      <c r="C709" s="44"/>
      <c r="D709" s="25">
        <v>0</v>
      </c>
      <c r="E709" s="25">
        <v>1</v>
      </c>
      <c r="F709" s="25" t="s">
        <v>197</v>
      </c>
      <c r="G709" s="25" t="s">
        <v>198</v>
      </c>
      <c r="H709" s="25"/>
      <c r="I709" s="25">
        <v>0</v>
      </c>
      <c r="J709" s="25" t="s">
        <v>895</v>
      </c>
      <c r="K709" s="25" t="s">
        <v>896</v>
      </c>
      <c r="L709" s="25" t="s">
        <v>3871</v>
      </c>
      <c r="M709" s="25"/>
      <c r="N709" s="25" t="str">
        <f t="shared" si="28"/>
        <v>SkillEffectModifier(Op, yuna.active1.dmg.modifier.02)</v>
      </c>
      <c r="O709" s="25">
        <v>0</v>
      </c>
      <c r="P709" s="25">
        <v>0</v>
      </c>
      <c r="Q709" s="25"/>
      <c r="R709" s="25" t="b">
        <v>1</v>
      </c>
    </row>
    <row r="710" spans="1:18">
      <c r="A710" s="25" t="s">
        <v>3868</v>
      </c>
      <c r="B710" s="44"/>
      <c r="C710" s="44"/>
      <c r="D710" s="25">
        <v>0</v>
      </c>
      <c r="E710" s="25">
        <v>1</v>
      </c>
      <c r="F710" s="25" t="s">
        <v>197</v>
      </c>
      <c r="G710" s="25" t="s">
        <v>198</v>
      </c>
      <c r="H710" s="25"/>
      <c r="I710" s="25">
        <v>0</v>
      </c>
      <c r="J710" s="25" t="s">
        <v>895</v>
      </c>
      <c r="K710" s="25" t="s">
        <v>896</v>
      </c>
      <c r="L710" s="25" t="s">
        <v>3872</v>
      </c>
      <c r="M710" s="25"/>
      <c r="N710" s="25" t="str">
        <f t="shared" si="28"/>
        <v>SkillEffectModifier(Op, yuna.active1.dmg.modifier.03)</v>
      </c>
      <c r="O710" s="25">
        <v>0</v>
      </c>
      <c r="P710" s="25">
        <v>0</v>
      </c>
      <c r="Q710" s="25"/>
      <c r="R710" s="25" t="b">
        <v>1</v>
      </c>
    </row>
    <row r="711" spans="1:18">
      <c r="A711" s="26" t="s">
        <v>3869</v>
      </c>
      <c r="B711" s="44"/>
      <c r="C711" s="44"/>
      <c r="D711" s="25">
        <v>0</v>
      </c>
      <c r="E711" s="25">
        <v>1</v>
      </c>
      <c r="F711" s="25" t="s">
        <v>197</v>
      </c>
      <c r="G711" s="25" t="s">
        <v>198</v>
      </c>
      <c r="H711" s="25"/>
      <c r="I711" s="25">
        <v>0</v>
      </c>
      <c r="J711" s="26" t="s">
        <v>895</v>
      </c>
      <c r="K711" s="26" t="s">
        <v>896</v>
      </c>
      <c r="L711" s="26" t="s">
        <v>3873</v>
      </c>
      <c r="M711" s="26"/>
      <c r="N711" s="26" t="str">
        <f t="shared" si="28"/>
        <v>SkillEffectModifier(Op, yuna.active1.dmg.modifier.04)</v>
      </c>
      <c r="O711" s="26">
        <v>0</v>
      </c>
      <c r="P711" s="26">
        <v>0</v>
      </c>
      <c r="Q711" s="26"/>
      <c r="R711" s="26" t="b">
        <v>1</v>
      </c>
    </row>
    <row r="712" spans="1:18">
      <c r="A712" s="26" t="s">
        <v>3870</v>
      </c>
      <c r="B712" s="44"/>
      <c r="C712" s="44"/>
      <c r="D712" s="25">
        <v>0</v>
      </c>
      <c r="E712" s="25">
        <v>1</v>
      </c>
      <c r="F712" s="25" t="s">
        <v>197</v>
      </c>
      <c r="G712" s="25" t="s">
        <v>198</v>
      </c>
      <c r="H712" s="25"/>
      <c r="I712" s="25">
        <v>0</v>
      </c>
      <c r="J712" s="26" t="s">
        <v>895</v>
      </c>
      <c r="K712" s="26" t="s">
        <v>896</v>
      </c>
      <c r="L712" s="26" t="s">
        <v>3874</v>
      </c>
      <c r="M712" s="26"/>
      <c r="N712" s="26" t="str">
        <f t="shared" si="28"/>
        <v>SkillEffectModifier(Op, yuna.active1.dmg.modifier.05)</v>
      </c>
      <c r="O712" s="26">
        <v>0</v>
      </c>
      <c r="P712" s="26">
        <v>0</v>
      </c>
      <c r="Q712" s="26"/>
      <c r="R712" s="26" t="b">
        <v>1</v>
      </c>
    </row>
    <row r="713" spans="1:18">
      <c r="A713" s="25" t="s">
        <v>6738</v>
      </c>
      <c r="B713" s="44"/>
      <c r="C713" s="44"/>
      <c r="D713" s="25">
        <v>0</v>
      </c>
      <c r="E713" s="25">
        <v>1</v>
      </c>
      <c r="F713" s="25" t="s">
        <v>197</v>
      </c>
      <c r="G713" s="25" t="s">
        <v>198</v>
      </c>
      <c r="H713" s="25"/>
      <c r="I713" s="25">
        <v>0</v>
      </c>
      <c r="J713" s="25" t="s">
        <v>895</v>
      </c>
      <c r="K713" s="25" t="s">
        <v>896</v>
      </c>
      <c r="L713" s="25" t="s">
        <v>6894</v>
      </c>
      <c r="M713" s="25"/>
      <c r="N713" s="25" t="str">
        <f t="shared" si="28"/>
        <v>SkillEffectModifier(Op, yuna.active2.dmg.modifier.01)</v>
      </c>
      <c r="O713" s="25">
        <v>0</v>
      </c>
      <c r="P713" s="25">
        <v>0</v>
      </c>
      <c r="Q713" s="25"/>
      <c r="R713" s="25" t="b">
        <v>1</v>
      </c>
    </row>
    <row r="714" spans="1:18">
      <c r="A714" s="25" t="s">
        <v>3879</v>
      </c>
      <c r="B714" s="44"/>
      <c r="C714" s="44"/>
      <c r="D714" s="25">
        <v>0</v>
      </c>
      <c r="E714" s="25">
        <v>1</v>
      </c>
      <c r="F714" s="25" t="s">
        <v>197</v>
      </c>
      <c r="G714" s="25" t="s">
        <v>198</v>
      </c>
      <c r="H714" s="25"/>
      <c r="I714" s="25">
        <v>0</v>
      </c>
      <c r="J714" s="25" t="s">
        <v>895</v>
      </c>
      <c r="K714" s="25" t="s">
        <v>896</v>
      </c>
      <c r="L714" s="25" t="s">
        <v>3883</v>
      </c>
      <c r="M714" s="25"/>
      <c r="N714" s="25" t="str">
        <f t="shared" si="28"/>
        <v>SkillEffectModifier(Op, yuna.active2.dmg.modifier.02)</v>
      </c>
      <c r="O714" s="25">
        <v>0</v>
      </c>
      <c r="P714" s="25">
        <v>0</v>
      </c>
      <c r="Q714" s="25"/>
      <c r="R714" s="25" t="b">
        <v>1</v>
      </c>
    </row>
    <row r="715" spans="1:18">
      <c r="A715" s="25" t="s">
        <v>3880</v>
      </c>
      <c r="B715" s="44"/>
      <c r="C715" s="44"/>
      <c r="D715" s="25">
        <v>0</v>
      </c>
      <c r="E715" s="25">
        <v>1</v>
      </c>
      <c r="F715" s="25" t="s">
        <v>197</v>
      </c>
      <c r="G715" s="25" t="s">
        <v>198</v>
      </c>
      <c r="H715" s="25"/>
      <c r="I715" s="25">
        <v>0</v>
      </c>
      <c r="J715" s="25" t="s">
        <v>895</v>
      </c>
      <c r="K715" s="25" t="s">
        <v>896</v>
      </c>
      <c r="L715" s="25" t="s">
        <v>3884</v>
      </c>
      <c r="M715" s="25"/>
      <c r="N715" s="25" t="str">
        <f t="shared" si="28"/>
        <v>SkillEffectModifier(Op, yuna.active2.dmg.modifier.03)</v>
      </c>
      <c r="O715" s="25">
        <v>0</v>
      </c>
      <c r="P715" s="25">
        <v>0</v>
      </c>
      <c r="Q715" s="25"/>
      <c r="R715" s="25" t="b">
        <v>1</v>
      </c>
    </row>
    <row r="716" spans="1:18">
      <c r="A716" s="26" t="s">
        <v>3881</v>
      </c>
      <c r="B716" s="44"/>
      <c r="C716" s="44"/>
      <c r="D716" s="25">
        <v>0</v>
      </c>
      <c r="E716" s="25">
        <v>1</v>
      </c>
      <c r="F716" s="25" t="s">
        <v>197</v>
      </c>
      <c r="G716" s="25" t="s">
        <v>198</v>
      </c>
      <c r="H716" s="25"/>
      <c r="I716" s="25">
        <v>0</v>
      </c>
      <c r="J716" s="26" t="s">
        <v>895</v>
      </c>
      <c r="K716" s="26" t="s">
        <v>896</v>
      </c>
      <c r="L716" s="26" t="s">
        <v>3885</v>
      </c>
      <c r="M716" s="26"/>
      <c r="N716" s="26" t="str">
        <f t="shared" si="28"/>
        <v>SkillEffectModifier(Op, yuna.active2.dmg.modifier.04)</v>
      </c>
      <c r="O716" s="26">
        <v>0</v>
      </c>
      <c r="P716" s="26">
        <v>0</v>
      </c>
      <c r="Q716" s="26"/>
      <c r="R716" s="26" t="b">
        <v>1</v>
      </c>
    </row>
    <row r="717" spans="1:18">
      <c r="A717" s="26" t="s">
        <v>3882</v>
      </c>
      <c r="B717" s="44"/>
      <c r="C717" s="44"/>
      <c r="D717" s="25">
        <v>0</v>
      </c>
      <c r="E717" s="25">
        <v>1</v>
      </c>
      <c r="F717" s="25" t="s">
        <v>197</v>
      </c>
      <c r="G717" s="25" t="s">
        <v>198</v>
      </c>
      <c r="H717" s="25"/>
      <c r="I717" s="25">
        <v>0</v>
      </c>
      <c r="J717" s="26" t="s">
        <v>895</v>
      </c>
      <c r="K717" s="26" t="s">
        <v>896</v>
      </c>
      <c r="L717" s="26" t="s">
        <v>3886</v>
      </c>
      <c r="M717" s="26"/>
      <c r="N717" s="26" t="str">
        <f t="shared" si="28"/>
        <v>SkillEffectModifier(Op, yuna.active2.dmg.modifier.05)</v>
      </c>
      <c r="O717" s="26">
        <v>0</v>
      </c>
      <c r="P717" s="26">
        <v>0</v>
      </c>
      <c r="Q717" s="26"/>
      <c r="R717" s="26" t="b">
        <v>1</v>
      </c>
    </row>
    <row r="718" spans="1:18">
      <c r="A718" s="25" t="s">
        <v>6739</v>
      </c>
      <c r="B718" s="44"/>
      <c r="C718" s="44"/>
      <c r="D718" s="25">
        <v>0</v>
      </c>
      <c r="E718" s="25">
        <v>1</v>
      </c>
      <c r="F718" s="25" t="s">
        <v>197</v>
      </c>
      <c r="G718" s="25" t="s">
        <v>198</v>
      </c>
      <c r="H718" s="25"/>
      <c r="I718" s="25">
        <v>0</v>
      </c>
      <c r="J718" s="25" t="s">
        <v>838</v>
      </c>
      <c r="K718" s="25" t="s">
        <v>871</v>
      </c>
      <c r="L718" s="25">
        <v>-100</v>
      </c>
      <c r="M718" s="25"/>
      <c r="N718" s="25" t="str">
        <f t="shared" si="28"/>
        <v>Status(GuardRate, -100)</v>
      </c>
      <c r="O718" s="25">
        <v>0</v>
      </c>
      <c r="P718" s="25">
        <v>0</v>
      </c>
      <c r="Q718" s="25"/>
      <c r="R718" s="25" t="b">
        <v>1</v>
      </c>
    </row>
    <row r="719" spans="1:18">
      <c r="A719" s="25" t="s">
        <v>3892</v>
      </c>
      <c r="B719" s="44"/>
      <c r="C719" s="44"/>
      <c r="D719" s="25">
        <v>0</v>
      </c>
      <c r="E719" s="25">
        <v>1</v>
      </c>
      <c r="F719" s="25" t="s">
        <v>197</v>
      </c>
      <c r="G719" s="25" t="s">
        <v>198</v>
      </c>
      <c r="H719" s="25"/>
      <c r="I719" s="25">
        <v>0</v>
      </c>
      <c r="J719" s="25" t="s">
        <v>838</v>
      </c>
      <c r="K719" s="25" t="s">
        <v>871</v>
      </c>
      <c r="L719" s="25">
        <v>-100</v>
      </c>
      <c r="M719" s="25"/>
      <c r="N719" s="25" t="str">
        <f t="shared" si="28"/>
        <v>Status(GuardRate, -100)</v>
      </c>
      <c r="O719" s="25">
        <v>0</v>
      </c>
      <c r="P719" s="25">
        <v>0</v>
      </c>
      <c r="Q719" s="25"/>
      <c r="R719" s="25" t="b">
        <v>1</v>
      </c>
    </row>
    <row r="720" spans="1:18">
      <c r="A720" s="25" t="s">
        <v>3893</v>
      </c>
      <c r="B720" s="44"/>
      <c r="C720" s="44"/>
      <c r="D720" s="25">
        <v>0</v>
      </c>
      <c r="E720" s="25">
        <v>1</v>
      </c>
      <c r="F720" s="25" t="s">
        <v>197</v>
      </c>
      <c r="G720" s="25" t="s">
        <v>198</v>
      </c>
      <c r="H720" s="25"/>
      <c r="I720" s="25">
        <v>0</v>
      </c>
      <c r="J720" s="25" t="s">
        <v>838</v>
      </c>
      <c r="K720" s="25" t="s">
        <v>871</v>
      </c>
      <c r="L720" s="25">
        <v>-100</v>
      </c>
      <c r="M720" s="25"/>
      <c r="N720" s="25" t="str">
        <f t="shared" si="28"/>
        <v>Status(GuardRate, -100)</v>
      </c>
      <c r="O720" s="25">
        <v>0</v>
      </c>
      <c r="P720" s="25">
        <v>0</v>
      </c>
      <c r="Q720" s="25"/>
      <c r="R720" s="25" t="b">
        <v>1</v>
      </c>
    </row>
    <row r="721" spans="1:18">
      <c r="A721" s="26" t="s">
        <v>3894</v>
      </c>
      <c r="B721" s="44"/>
      <c r="C721" s="44"/>
      <c r="D721" s="25">
        <v>0</v>
      </c>
      <c r="E721" s="25">
        <v>1</v>
      </c>
      <c r="F721" s="25" t="s">
        <v>197</v>
      </c>
      <c r="G721" s="25" t="s">
        <v>198</v>
      </c>
      <c r="H721" s="25"/>
      <c r="I721" s="25">
        <v>0</v>
      </c>
      <c r="J721" s="26" t="s">
        <v>838</v>
      </c>
      <c r="K721" s="26" t="s">
        <v>871</v>
      </c>
      <c r="L721" s="26">
        <v>-100</v>
      </c>
      <c r="M721" s="26"/>
      <c r="N721" s="26" t="str">
        <f t="shared" si="28"/>
        <v>Status(GuardRate, -100)</v>
      </c>
      <c r="O721" s="26">
        <v>0</v>
      </c>
      <c r="P721" s="26">
        <v>0</v>
      </c>
      <c r="Q721" s="26"/>
      <c r="R721" s="26" t="b">
        <v>1</v>
      </c>
    </row>
    <row r="722" spans="1:18">
      <c r="A722" s="26" t="s">
        <v>3895</v>
      </c>
      <c r="B722" s="44"/>
      <c r="C722" s="44"/>
      <c r="D722" s="25">
        <v>0</v>
      </c>
      <c r="E722" s="25">
        <v>1</v>
      </c>
      <c r="F722" s="25" t="s">
        <v>197</v>
      </c>
      <c r="G722" s="25" t="s">
        <v>198</v>
      </c>
      <c r="H722" s="25"/>
      <c r="I722" s="25">
        <v>0</v>
      </c>
      <c r="J722" s="26" t="s">
        <v>838</v>
      </c>
      <c r="K722" s="26" t="s">
        <v>871</v>
      </c>
      <c r="L722" s="26">
        <v>-100</v>
      </c>
      <c r="M722" s="26"/>
      <c r="N722" s="26" t="str">
        <f t="shared" si="28"/>
        <v>Status(GuardRate, -100)</v>
      </c>
      <c r="O722" s="26">
        <v>0</v>
      </c>
      <c r="P722" s="26">
        <v>0</v>
      </c>
      <c r="Q722" s="26"/>
      <c r="R722" s="26" t="b">
        <v>1</v>
      </c>
    </row>
    <row r="723" spans="1:18">
      <c r="A723" s="26" t="s">
        <v>6895</v>
      </c>
      <c r="B723" s="26" t="s">
        <v>5470</v>
      </c>
      <c r="C723" s="26" t="s">
        <v>5471</v>
      </c>
      <c r="D723" s="26">
        <v>0</v>
      </c>
      <c r="E723" s="26">
        <v>1</v>
      </c>
      <c r="F723" s="26" t="s">
        <v>197</v>
      </c>
      <c r="G723" s="26" t="s">
        <v>198</v>
      </c>
      <c r="H723" s="26"/>
      <c r="I723" s="26">
        <v>0</v>
      </c>
      <c r="J723" s="26" t="s">
        <v>838</v>
      </c>
      <c r="K723" s="26" t="s">
        <v>867</v>
      </c>
      <c r="L723" s="26">
        <v>100</v>
      </c>
      <c r="M723" s="26"/>
      <c r="N723" s="26" t="str">
        <f t="shared" si="28"/>
        <v>Status(CriticalRate, 100)</v>
      </c>
      <c r="O723" s="26">
        <v>0</v>
      </c>
      <c r="P723" s="26">
        <v>0</v>
      </c>
      <c r="Q723" s="26"/>
      <c r="R723" s="26" t="b">
        <v>1</v>
      </c>
    </row>
    <row r="724" spans="1:18">
      <c r="A724" s="26" t="s">
        <v>1398</v>
      </c>
      <c r="B724" s="26" t="s">
        <v>5470</v>
      </c>
      <c r="C724" s="26" t="s">
        <v>5471</v>
      </c>
      <c r="D724" s="26">
        <v>0</v>
      </c>
      <c r="E724" s="26">
        <v>1</v>
      </c>
      <c r="F724" s="26" t="s">
        <v>197</v>
      </c>
      <c r="G724" s="26" t="s">
        <v>198</v>
      </c>
      <c r="H724" s="26"/>
      <c r="I724" s="26">
        <v>0</v>
      </c>
      <c r="J724" s="26" t="s">
        <v>838</v>
      </c>
      <c r="K724" s="26" t="s">
        <v>867</v>
      </c>
      <c r="L724" s="26">
        <v>100</v>
      </c>
      <c r="M724" s="26"/>
      <c r="N724" s="26" t="str">
        <f t="shared" si="28"/>
        <v>Status(CriticalRate, 100)</v>
      </c>
      <c r="O724" s="26">
        <v>0</v>
      </c>
      <c r="P724" s="26">
        <v>0</v>
      </c>
      <c r="Q724" s="26"/>
      <c r="R724" s="26" t="b">
        <v>1</v>
      </c>
    </row>
    <row r="725" spans="1:18">
      <c r="A725" s="26" t="s">
        <v>1399</v>
      </c>
      <c r="B725" s="26" t="s">
        <v>5470</v>
      </c>
      <c r="C725" s="26" t="s">
        <v>5471</v>
      </c>
      <c r="D725" s="26">
        <v>0</v>
      </c>
      <c r="E725" s="26">
        <v>1</v>
      </c>
      <c r="F725" s="26" t="s">
        <v>197</v>
      </c>
      <c r="G725" s="26" t="s">
        <v>198</v>
      </c>
      <c r="H725" s="26"/>
      <c r="I725" s="26">
        <v>0</v>
      </c>
      <c r="J725" s="26" t="s">
        <v>838</v>
      </c>
      <c r="K725" s="26" t="s">
        <v>867</v>
      </c>
      <c r="L725" s="26">
        <v>100</v>
      </c>
      <c r="M725" s="26"/>
      <c r="N725" s="26" t="str">
        <f t="shared" si="28"/>
        <v>Status(CriticalRate, 100)</v>
      </c>
      <c r="O725" s="26">
        <v>0</v>
      </c>
      <c r="P725" s="26">
        <v>0</v>
      </c>
      <c r="Q725" s="26"/>
      <c r="R725" s="26" t="b">
        <v>1</v>
      </c>
    </row>
    <row r="726" spans="1:18">
      <c r="A726" s="34" t="s">
        <v>6896</v>
      </c>
      <c r="B726" s="34" t="s">
        <v>5470</v>
      </c>
      <c r="C726" s="34" t="s">
        <v>5471</v>
      </c>
      <c r="D726" s="34">
        <v>0</v>
      </c>
      <c r="E726" s="34">
        <v>1</v>
      </c>
      <c r="F726" s="34" t="s">
        <v>197</v>
      </c>
      <c r="G726" s="34" t="s">
        <v>198</v>
      </c>
      <c r="H726" s="34"/>
      <c r="I726" s="34">
        <v>0</v>
      </c>
      <c r="J726" s="34" t="s">
        <v>838</v>
      </c>
      <c r="K726" s="34" t="s">
        <v>867</v>
      </c>
      <c r="L726" s="34">
        <v>100</v>
      </c>
      <c r="M726" s="34"/>
      <c r="N726" s="34" t="str">
        <f t="shared" si="28"/>
        <v>Status(CriticalRate, 100)</v>
      </c>
      <c r="O726" s="34">
        <v>0</v>
      </c>
      <c r="P726" s="34">
        <v>0</v>
      </c>
      <c r="Q726" s="34"/>
      <c r="R726" s="34" t="b">
        <v>1</v>
      </c>
    </row>
    <row r="727" spans="1:18">
      <c r="A727" s="34" t="s">
        <v>1400</v>
      </c>
      <c r="B727" s="34" t="s">
        <v>5470</v>
      </c>
      <c r="C727" s="34" t="s">
        <v>5471</v>
      </c>
      <c r="D727" s="34">
        <v>0</v>
      </c>
      <c r="E727" s="34">
        <v>1</v>
      </c>
      <c r="F727" s="34" t="s">
        <v>197</v>
      </c>
      <c r="G727" s="34" t="s">
        <v>198</v>
      </c>
      <c r="H727" s="34"/>
      <c r="I727" s="34">
        <v>0</v>
      </c>
      <c r="J727" s="34" t="s">
        <v>838</v>
      </c>
      <c r="K727" s="34" t="s">
        <v>867</v>
      </c>
      <c r="L727" s="34">
        <v>100</v>
      </c>
      <c r="M727" s="34"/>
      <c r="N727" s="34" t="str">
        <f t="shared" si="28"/>
        <v>Status(CriticalRate, 100)</v>
      </c>
      <c r="O727" s="34">
        <v>0</v>
      </c>
      <c r="P727" s="34">
        <v>0</v>
      </c>
      <c r="Q727" s="34"/>
      <c r="R727" s="34" t="b">
        <v>1</v>
      </c>
    </row>
    <row r="728" spans="1:18">
      <c r="A728" s="34" t="s">
        <v>1401</v>
      </c>
      <c r="B728" s="34" t="s">
        <v>5470</v>
      </c>
      <c r="C728" s="34" t="s">
        <v>5471</v>
      </c>
      <c r="D728" s="34">
        <v>0</v>
      </c>
      <c r="E728" s="34">
        <v>1</v>
      </c>
      <c r="F728" s="34" t="s">
        <v>197</v>
      </c>
      <c r="G728" s="34" t="s">
        <v>198</v>
      </c>
      <c r="H728" s="34"/>
      <c r="I728" s="34">
        <v>0</v>
      </c>
      <c r="J728" s="34" t="s">
        <v>838</v>
      </c>
      <c r="K728" s="34" t="s">
        <v>867</v>
      </c>
      <c r="L728" s="34">
        <v>100</v>
      </c>
      <c r="M728" s="34"/>
      <c r="N728" s="34" t="str">
        <f t="shared" si="28"/>
        <v>Status(CriticalRate, 100)</v>
      </c>
      <c r="O728" s="34">
        <v>0</v>
      </c>
      <c r="P728" s="34">
        <v>0</v>
      </c>
      <c r="Q728" s="34"/>
      <c r="R728" s="34" t="b">
        <v>1</v>
      </c>
    </row>
    <row r="729" spans="1:18">
      <c r="A729" s="26" t="s">
        <v>1403</v>
      </c>
      <c r="B729" s="26"/>
      <c r="C729" s="26"/>
      <c r="D729" s="26">
        <v>0</v>
      </c>
      <c r="E729" s="26">
        <v>1</v>
      </c>
      <c r="F729" s="26" t="s">
        <v>197</v>
      </c>
      <c r="G729" s="26" t="s">
        <v>198</v>
      </c>
      <c r="H729" s="26"/>
      <c r="I729" s="26">
        <v>0</v>
      </c>
      <c r="J729" s="26" t="s">
        <v>191</v>
      </c>
      <c r="K729" s="26" t="s">
        <v>974</v>
      </c>
      <c r="L729" s="26" t="s">
        <v>6897</v>
      </c>
      <c r="M729" s="26"/>
      <c r="N729" s="26" t="str">
        <f t="shared" si="28"/>
        <v>Effect(OnCritical, yuna.passive.critical.event.skilleffect.01)</v>
      </c>
      <c r="O729" s="26">
        <v>0</v>
      </c>
      <c r="P729" s="26">
        <v>0</v>
      </c>
      <c r="Q729" s="26"/>
      <c r="R729" s="26" t="b">
        <v>1</v>
      </c>
    </row>
    <row r="730" spans="1:18">
      <c r="A730" s="26" t="s">
        <v>1404</v>
      </c>
      <c r="B730" s="26"/>
      <c r="C730" s="26"/>
      <c r="D730" s="26">
        <v>0</v>
      </c>
      <c r="E730" s="26">
        <v>1</v>
      </c>
      <c r="F730" s="26" t="s">
        <v>197</v>
      </c>
      <c r="G730" s="26" t="s">
        <v>198</v>
      </c>
      <c r="H730" s="26"/>
      <c r="I730" s="26">
        <v>0</v>
      </c>
      <c r="J730" s="26" t="s">
        <v>191</v>
      </c>
      <c r="K730" s="26" t="s">
        <v>974</v>
      </c>
      <c r="L730" s="26" t="s">
        <v>6898</v>
      </c>
      <c r="M730" s="26"/>
      <c r="N730" s="26" t="str">
        <f t="shared" si="28"/>
        <v>Effect(OnCritical, yuna.passive.critical.event.skilleffect.02)</v>
      </c>
      <c r="O730" s="26">
        <v>0</v>
      </c>
      <c r="P730" s="26">
        <v>0</v>
      </c>
      <c r="Q730" s="26"/>
      <c r="R730" s="26" t="b">
        <v>1</v>
      </c>
    </row>
    <row r="731" spans="1:18">
      <c r="A731" s="26" t="s">
        <v>1405</v>
      </c>
      <c r="B731" s="26"/>
      <c r="C731" s="26"/>
      <c r="D731" s="26">
        <v>0</v>
      </c>
      <c r="E731" s="26">
        <v>1</v>
      </c>
      <c r="F731" s="26" t="s">
        <v>197</v>
      </c>
      <c r="G731" s="26" t="s">
        <v>198</v>
      </c>
      <c r="H731" s="26"/>
      <c r="I731" s="26">
        <v>0</v>
      </c>
      <c r="J731" s="26" t="s">
        <v>191</v>
      </c>
      <c r="K731" s="26" t="s">
        <v>974</v>
      </c>
      <c r="L731" s="26" t="s">
        <v>6899</v>
      </c>
      <c r="M731" s="26"/>
      <c r="N731" s="26" t="str">
        <f t="shared" si="28"/>
        <v>Effect(OnCritical, yuna.passive.critical.event.skilleffect.03)</v>
      </c>
      <c r="O731" s="26">
        <v>0</v>
      </c>
      <c r="P731" s="26">
        <v>0</v>
      </c>
      <c r="Q731" s="26"/>
      <c r="R731" s="26" t="b">
        <v>1</v>
      </c>
    </row>
    <row r="732" spans="1:18">
      <c r="A732" s="34" t="s">
        <v>1406</v>
      </c>
      <c r="B732" s="34"/>
      <c r="C732" s="34"/>
      <c r="D732" s="34">
        <v>0</v>
      </c>
      <c r="E732" s="34">
        <v>1</v>
      </c>
      <c r="F732" s="34" t="s">
        <v>197</v>
      </c>
      <c r="G732" s="34" t="s">
        <v>198</v>
      </c>
      <c r="H732" s="34"/>
      <c r="I732" s="34">
        <v>0</v>
      </c>
      <c r="J732" s="34" t="s">
        <v>191</v>
      </c>
      <c r="K732" s="34" t="s">
        <v>974</v>
      </c>
      <c r="L732" s="34" t="s">
        <v>6900</v>
      </c>
      <c r="M732" s="34"/>
      <c r="N732" s="34" t="str">
        <f t="shared" si="28"/>
        <v>Effect(OnCritical, yuna.passive.critical.event.skilleffect.04)</v>
      </c>
      <c r="O732" s="34">
        <v>0</v>
      </c>
      <c r="P732" s="34">
        <v>0</v>
      </c>
      <c r="Q732" s="34"/>
      <c r="R732" s="34" t="b">
        <v>1</v>
      </c>
    </row>
    <row r="733" spans="1:18">
      <c r="A733" s="34" t="s">
        <v>1407</v>
      </c>
      <c r="B733" s="34"/>
      <c r="C733" s="34"/>
      <c r="D733" s="34">
        <v>0</v>
      </c>
      <c r="E733" s="34">
        <v>1</v>
      </c>
      <c r="F733" s="34" t="s">
        <v>197</v>
      </c>
      <c r="G733" s="34" t="s">
        <v>198</v>
      </c>
      <c r="H733" s="34"/>
      <c r="I733" s="34">
        <v>0</v>
      </c>
      <c r="J733" s="34" t="s">
        <v>191</v>
      </c>
      <c r="K733" s="34" t="s">
        <v>974</v>
      </c>
      <c r="L733" s="34" t="s">
        <v>6901</v>
      </c>
      <c r="M733" s="34"/>
      <c r="N733" s="34" t="str">
        <f t="shared" si="28"/>
        <v>Effect(OnCritical, yuna.passive.critical.event.skilleffect.05)</v>
      </c>
      <c r="O733" s="34">
        <v>0</v>
      </c>
      <c r="P733" s="34">
        <v>0</v>
      </c>
      <c r="Q733" s="34"/>
      <c r="R733" s="34" t="b">
        <v>1</v>
      </c>
    </row>
    <row r="734" spans="1:18">
      <c r="A734" s="34" t="s">
        <v>1408</v>
      </c>
      <c r="B734" s="34"/>
      <c r="C734" s="34"/>
      <c r="D734" s="34">
        <v>0</v>
      </c>
      <c r="E734" s="34">
        <v>1</v>
      </c>
      <c r="F734" s="34" t="s">
        <v>197</v>
      </c>
      <c r="G734" s="34" t="s">
        <v>198</v>
      </c>
      <c r="H734" s="34"/>
      <c r="I734" s="34">
        <v>0</v>
      </c>
      <c r="J734" s="34" t="s">
        <v>191</v>
      </c>
      <c r="K734" s="34" t="s">
        <v>974</v>
      </c>
      <c r="L734" s="34" t="s">
        <v>6902</v>
      </c>
      <c r="M734" s="34"/>
      <c r="N734" s="34" t="str">
        <f t="shared" si="28"/>
        <v>Effect(OnCritical, yuna.passive.critical.event.skilleffect.06)</v>
      </c>
      <c r="O734" s="34">
        <v>0</v>
      </c>
      <c r="P734" s="34">
        <v>0</v>
      </c>
      <c r="Q734" s="34"/>
      <c r="R734" s="34" t="b">
        <v>1</v>
      </c>
    </row>
    <row r="735" spans="1:18">
      <c r="A735" s="59" t="s">
        <v>1415</v>
      </c>
      <c r="B735" s="59"/>
      <c r="C735" s="59"/>
      <c r="D735" s="59">
        <v>0</v>
      </c>
      <c r="E735" s="59">
        <v>1</v>
      </c>
      <c r="F735" s="59" t="s">
        <v>197</v>
      </c>
      <c r="G735" s="59" t="s">
        <v>198</v>
      </c>
      <c r="H735" s="59"/>
      <c r="I735" s="59">
        <v>0</v>
      </c>
      <c r="J735" s="59" t="s">
        <v>837</v>
      </c>
      <c r="K735" s="59"/>
      <c r="L735" s="59"/>
      <c r="M735" s="59"/>
      <c r="N735" s="59" t="str">
        <f t="shared" si="28"/>
        <v>None()</v>
      </c>
      <c r="O735" s="59">
        <v>0</v>
      </c>
      <c r="P735" s="59">
        <v>0</v>
      </c>
      <c r="Q735" s="59"/>
      <c r="R735" s="59" t="b">
        <v>1</v>
      </c>
    </row>
    <row r="736" spans="1:18">
      <c r="A736" s="26" t="s">
        <v>6903</v>
      </c>
      <c r="B736" s="26"/>
      <c r="C736" s="26"/>
      <c r="D736" s="26">
        <v>0</v>
      </c>
      <c r="E736" s="26">
        <v>1</v>
      </c>
      <c r="F736" s="26" t="s">
        <v>197</v>
      </c>
      <c r="G736" s="26" t="s">
        <v>198</v>
      </c>
      <c r="H736" s="26"/>
      <c r="I736" s="26">
        <v>0</v>
      </c>
      <c r="J736" s="26" t="s">
        <v>838</v>
      </c>
      <c r="K736" s="26" t="s">
        <v>908</v>
      </c>
      <c r="L736" s="26">
        <v>200</v>
      </c>
      <c r="M736" s="26"/>
      <c r="N736" s="26" t="str">
        <f t="shared" si="28"/>
        <v>Status(AttackRatio, 200)</v>
      </c>
      <c r="O736" s="26">
        <v>0</v>
      </c>
      <c r="P736" s="26">
        <v>0</v>
      </c>
      <c r="Q736" s="26"/>
      <c r="R736" s="26" t="b">
        <v>1</v>
      </c>
    </row>
    <row r="737" spans="1:18">
      <c r="A737" s="26" t="s">
        <v>3827</v>
      </c>
      <c r="B737" s="26"/>
      <c r="C737" s="26"/>
      <c r="D737" s="26">
        <v>0</v>
      </c>
      <c r="E737" s="26">
        <v>1</v>
      </c>
      <c r="F737" s="26" t="s">
        <v>197</v>
      </c>
      <c r="G737" s="26" t="s">
        <v>198</v>
      </c>
      <c r="H737" s="26"/>
      <c r="I737" s="26">
        <v>0</v>
      </c>
      <c r="J737" s="26" t="s">
        <v>838</v>
      </c>
      <c r="K737" s="26" t="s">
        <v>908</v>
      </c>
      <c r="L737" s="26">
        <v>225</v>
      </c>
      <c r="M737" s="26"/>
      <c r="N737" s="26" t="str">
        <f t="shared" si="28"/>
        <v>Status(AttackRatio, 225)</v>
      </c>
      <c r="O737" s="26">
        <v>0</v>
      </c>
      <c r="P737" s="26">
        <v>0</v>
      </c>
      <c r="Q737" s="26"/>
      <c r="R737" s="26" t="b">
        <v>1</v>
      </c>
    </row>
    <row r="738" spans="1:18">
      <c r="A738" s="26" t="s">
        <v>3828</v>
      </c>
      <c r="B738" s="26"/>
      <c r="C738" s="26"/>
      <c r="D738" s="26">
        <v>0</v>
      </c>
      <c r="E738" s="26">
        <v>1</v>
      </c>
      <c r="F738" s="26" t="s">
        <v>197</v>
      </c>
      <c r="G738" s="26" t="s">
        <v>198</v>
      </c>
      <c r="H738" s="26"/>
      <c r="I738" s="26">
        <v>0</v>
      </c>
      <c r="J738" s="26" t="s">
        <v>838</v>
      </c>
      <c r="K738" s="26" t="s">
        <v>908</v>
      </c>
      <c r="L738" s="26">
        <v>250</v>
      </c>
      <c r="M738" s="26"/>
      <c r="N738" s="26" t="str">
        <f t="shared" si="28"/>
        <v>Status(AttackRatio, 250)</v>
      </c>
      <c r="O738" s="26">
        <v>0</v>
      </c>
      <c r="P738" s="26">
        <v>0</v>
      </c>
      <c r="Q738" s="26"/>
      <c r="R738" s="26" t="b">
        <v>1</v>
      </c>
    </row>
    <row r="739" spans="1:18">
      <c r="A739" s="34" t="s">
        <v>3829</v>
      </c>
      <c r="B739" s="34"/>
      <c r="C739" s="34"/>
      <c r="D739" s="34">
        <v>0</v>
      </c>
      <c r="E739" s="34">
        <v>1</v>
      </c>
      <c r="F739" s="34" t="s">
        <v>197</v>
      </c>
      <c r="G739" s="34" t="s">
        <v>198</v>
      </c>
      <c r="H739" s="34"/>
      <c r="I739" s="34">
        <v>0</v>
      </c>
      <c r="J739" s="34" t="s">
        <v>838</v>
      </c>
      <c r="K739" s="34" t="s">
        <v>908</v>
      </c>
      <c r="L739" s="34">
        <v>275</v>
      </c>
      <c r="M739" s="34"/>
      <c r="N739" s="34" t="str">
        <f t="shared" si="28"/>
        <v>Status(AttackRatio, 275)</v>
      </c>
      <c r="O739" s="34">
        <v>0</v>
      </c>
      <c r="P739" s="34">
        <v>0</v>
      </c>
      <c r="Q739" s="34"/>
      <c r="R739" s="34" t="b">
        <v>1</v>
      </c>
    </row>
    <row r="740" spans="1:18">
      <c r="A740" s="34" t="s">
        <v>3830</v>
      </c>
      <c r="B740" s="34"/>
      <c r="C740" s="34"/>
      <c r="D740" s="34">
        <v>0</v>
      </c>
      <c r="E740" s="34">
        <v>1</v>
      </c>
      <c r="F740" s="34" t="s">
        <v>197</v>
      </c>
      <c r="G740" s="34" t="s">
        <v>198</v>
      </c>
      <c r="H740" s="34"/>
      <c r="I740" s="34">
        <v>0</v>
      </c>
      <c r="J740" s="34" t="s">
        <v>838</v>
      </c>
      <c r="K740" s="34" t="s">
        <v>908</v>
      </c>
      <c r="L740" s="34">
        <v>300</v>
      </c>
      <c r="M740" s="34"/>
      <c r="N740" s="34" t="str">
        <f t="shared" ref="N740:N819" si="29">J740&amp;"("&amp;IF(K740="","",K740)&amp;IF(L740="","",", "&amp;L740)&amp;IF(M740="","",", "&amp;M740)&amp;")"</f>
        <v>Status(AttackRatio, 300)</v>
      </c>
      <c r="O740" s="34">
        <v>0</v>
      </c>
      <c r="P740" s="34">
        <v>0</v>
      </c>
      <c r="Q740" s="34"/>
      <c r="R740" s="34" t="b">
        <v>1</v>
      </c>
    </row>
    <row r="741" spans="1:18">
      <c r="A741" s="34" t="s">
        <v>3831</v>
      </c>
      <c r="B741" s="34"/>
      <c r="C741" s="34"/>
      <c r="D741" s="34">
        <v>0</v>
      </c>
      <c r="E741" s="34">
        <v>1</v>
      </c>
      <c r="F741" s="34" t="s">
        <v>197</v>
      </c>
      <c r="G741" s="34" t="s">
        <v>198</v>
      </c>
      <c r="H741" s="34"/>
      <c r="I741" s="34">
        <v>0</v>
      </c>
      <c r="J741" s="34" t="s">
        <v>838</v>
      </c>
      <c r="K741" s="34" t="s">
        <v>908</v>
      </c>
      <c r="L741" s="34">
        <v>300</v>
      </c>
      <c r="M741" s="34"/>
      <c r="N741" s="34" t="str">
        <f t="shared" si="29"/>
        <v>Status(AttackRatio, 300)</v>
      </c>
      <c r="O741" s="34">
        <v>0</v>
      </c>
      <c r="P741" s="34">
        <v>0</v>
      </c>
      <c r="Q741" s="34"/>
      <c r="R741" s="34" t="b">
        <v>1</v>
      </c>
    </row>
    <row r="742" spans="1:18">
      <c r="A742" s="26" t="s">
        <v>6904</v>
      </c>
      <c r="B742" s="26"/>
      <c r="C742" s="26"/>
      <c r="D742" s="26">
        <v>0</v>
      </c>
      <c r="E742" s="26">
        <v>1</v>
      </c>
      <c r="F742" s="26" t="s">
        <v>197</v>
      </c>
      <c r="G742" s="26" t="s">
        <v>198</v>
      </c>
      <c r="H742" s="26"/>
      <c r="I742" s="26">
        <v>0</v>
      </c>
      <c r="J742" s="26" t="s">
        <v>838</v>
      </c>
      <c r="K742" s="26" t="s">
        <v>868</v>
      </c>
      <c r="L742" s="26">
        <v>150</v>
      </c>
      <c r="M742" s="26"/>
      <c r="N742" s="26" t="str">
        <f t="shared" si="29"/>
        <v>Status(IgnoreDefenseRate, 150)</v>
      </c>
      <c r="O742" s="26">
        <v>0</v>
      </c>
      <c r="P742" s="26">
        <v>0</v>
      </c>
      <c r="Q742" s="26"/>
      <c r="R742" s="26" t="b">
        <v>1</v>
      </c>
    </row>
    <row r="743" spans="1:18">
      <c r="A743" s="26" t="s">
        <v>3832</v>
      </c>
      <c r="B743" s="26"/>
      <c r="C743" s="26"/>
      <c r="D743" s="26">
        <v>0</v>
      </c>
      <c r="E743" s="26">
        <v>1</v>
      </c>
      <c r="F743" s="26" t="s">
        <v>197</v>
      </c>
      <c r="G743" s="26" t="s">
        <v>198</v>
      </c>
      <c r="H743" s="26"/>
      <c r="I743" s="26">
        <v>0</v>
      </c>
      <c r="J743" s="26" t="s">
        <v>838</v>
      </c>
      <c r="K743" s="26" t="s">
        <v>868</v>
      </c>
      <c r="L743" s="26">
        <v>200</v>
      </c>
      <c r="M743" s="26"/>
      <c r="N743" s="26" t="str">
        <f t="shared" si="29"/>
        <v>Status(IgnoreDefenseRate, 200)</v>
      </c>
      <c r="O743" s="26">
        <v>0</v>
      </c>
      <c r="P743" s="26">
        <v>0</v>
      </c>
      <c r="Q743" s="26"/>
      <c r="R743" s="26" t="b">
        <v>1</v>
      </c>
    </row>
    <row r="744" spans="1:18">
      <c r="A744" s="26" t="s">
        <v>3833</v>
      </c>
      <c r="B744" s="26"/>
      <c r="C744" s="26"/>
      <c r="D744" s="26">
        <v>0</v>
      </c>
      <c r="E744" s="26">
        <v>1</v>
      </c>
      <c r="F744" s="26" t="s">
        <v>197</v>
      </c>
      <c r="G744" s="26" t="s">
        <v>198</v>
      </c>
      <c r="H744" s="26"/>
      <c r="I744" s="26">
        <v>0</v>
      </c>
      <c r="J744" s="26" t="s">
        <v>838</v>
      </c>
      <c r="K744" s="26" t="s">
        <v>868</v>
      </c>
      <c r="L744" s="26">
        <v>250</v>
      </c>
      <c r="M744" s="26"/>
      <c r="N744" s="26" t="str">
        <f t="shared" si="29"/>
        <v>Status(IgnoreDefenseRate, 250)</v>
      </c>
      <c r="O744" s="26">
        <v>0</v>
      </c>
      <c r="P744" s="26">
        <v>0</v>
      </c>
      <c r="Q744" s="26"/>
      <c r="R744" s="26" t="b">
        <v>1</v>
      </c>
    </row>
    <row r="745" spans="1:18">
      <c r="A745" s="34" t="s">
        <v>3834</v>
      </c>
      <c r="B745" s="34"/>
      <c r="C745" s="34"/>
      <c r="D745" s="34">
        <v>0</v>
      </c>
      <c r="E745" s="34">
        <v>1</v>
      </c>
      <c r="F745" s="34" t="s">
        <v>197</v>
      </c>
      <c r="G745" s="34" t="s">
        <v>198</v>
      </c>
      <c r="H745" s="34"/>
      <c r="I745" s="34">
        <v>0</v>
      </c>
      <c r="J745" s="34" t="s">
        <v>838</v>
      </c>
      <c r="K745" s="34" t="s">
        <v>868</v>
      </c>
      <c r="L745" s="34">
        <v>300</v>
      </c>
      <c r="M745" s="34"/>
      <c r="N745" s="34" t="str">
        <f t="shared" si="29"/>
        <v>Status(IgnoreDefenseRate, 300)</v>
      </c>
      <c r="O745" s="34">
        <v>0</v>
      </c>
      <c r="P745" s="34">
        <v>0</v>
      </c>
      <c r="Q745" s="34"/>
      <c r="R745" s="34" t="b">
        <v>1</v>
      </c>
    </row>
    <row r="746" spans="1:18">
      <c r="A746" s="34" t="s">
        <v>3835</v>
      </c>
      <c r="B746" s="34"/>
      <c r="C746" s="34"/>
      <c r="D746" s="34">
        <v>0</v>
      </c>
      <c r="E746" s="34">
        <v>1</v>
      </c>
      <c r="F746" s="34" t="s">
        <v>197</v>
      </c>
      <c r="G746" s="34" t="s">
        <v>198</v>
      </c>
      <c r="H746" s="34"/>
      <c r="I746" s="34">
        <v>0</v>
      </c>
      <c r="J746" s="34" t="s">
        <v>838</v>
      </c>
      <c r="K746" s="34" t="s">
        <v>868</v>
      </c>
      <c r="L746" s="34">
        <v>350</v>
      </c>
      <c r="M746" s="34"/>
      <c r="N746" s="34" t="str">
        <f t="shared" si="29"/>
        <v>Status(IgnoreDefenseRate, 350)</v>
      </c>
      <c r="O746" s="34">
        <v>0</v>
      </c>
      <c r="P746" s="34">
        <v>0</v>
      </c>
      <c r="Q746" s="34"/>
      <c r="R746" s="34" t="b">
        <v>1</v>
      </c>
    </row>
    <row r="747" spans="1:18">
      <c r="A747" s="34" t="s">
        <v>3836</v>
      </c>
      <c r="B747" s="34"/>
      <c r="C747" s="34"/>
      <c r="D747" s="34">
        <v>0</v>
      </c>
      <c r="E747" s="34">
        <v>1</v>
      </c>
      <c r="F747" s="34" t="s">
        <v>197</v>
      </c>
      <c r="G747" s="34" t="s">
        <v>198</v>
      </c>
      <c r="H747" s="34"/>
      <c r="I747" s="34">
        <v>0</v>
      </c>
      <c r="J747" s="34" t="s">
        <v>838</v>
      </c>
      <c r="K747" s="34" t="s">
        <v>868</v>
      </c>
      <c r="L747" s="34">
        <v>300</v>
      </c>
      <c r="M747" s="34"/>
      <c r="N747" s="34" t="str">
        <f t="shared" si="29"/>
        <v>Status(IgnoreDefenseRate, 300)</v>
      </c>
      <c r="O747" s="34">
        <v>0</v>
      </c>
      <c r="P747" s="34">
        <v>0</v>
      </c>
      <c r="Q747" s="34"/>
      <c r="R747" s="34" t="b">
        <v>1</v>
      </c>
    </row>
    <row r="748" spans="1:18">
      <c r="A748" s="26" t="s">
        <v>6905</v>
      </c>
      <c r="B748" s="26" t="s">
        <v>1414</v>
      </c>
      <c r="C748" s="26" t="s">
        <v>1415</v>
      </c>
      <c r="D748" s="26">
        <v>0</v>
      </c>
      <c r="E748" s="26">
        <v>1</v>
      </c>
      <c r="F748" s="26" t="s">
        <v>197</v>
      </c>
      <c r="G748" s="26" t="s">
        <v>198</v>
      </c>
      <c r="H748" s="26"/>
      <c r="I748" s="26">
        <v>0</v>
      </c>
      <c r="J748" s="26" t="s">
        <v>838</v>
      </c>
      <c r="K748" s="26" t="s">
        <v>924</v>
      </c>
      <c r="L748" s="26">
        <v>300</v>
      </c>
      <c r="M748" s="26"/>
      <c r="N748" s="26" t="str">
        <f t="shared" si="29"/>
        <v>Status(HpDrainRate, 300)</v>
      </c>
      <c r="O748" s="26">
        <v>0</v>
      </c>
      <c r="P748" s="26">
        <v>0</v>
      </c>
      <c r="Q748" s="26"/>
      <c r="R748" s="26" t="b">
        <v>1</v>
      </c>
    </row>
    <row r="749" spans="1:18">
      <c r="A749" s="26" t="s">
        <v>4572</v>
      </c>
      <c r="B749" s="26" t="s">
        <v>1414</v>
      </c>
      <c r="C749" s="26" t="s">
        <v>1415</v>
      </c>
      <c r="D749" s="26">
        <v>0</v>
      </c>
      <c r="E749" s="26">
        <v>1</v>
      </c>
      <c r="F749" s="26" t="s">
        <v>197</v>
      </c>
      <c r="G749" s="26" t="s">
        <v>198</v>
      </c>
      <c r="H749" s="26"/>
      <c r="I749" s="26">
        <v>0</v>
      </c>
      <c r="J749" s="26" t="s">
        <v>838</v>
      </c>
      <c r="K749" s="26" t="s">
        <v>924</v>
      </c>
      <c r="L749" s="26">
        <v>350</v>
      </c>
      <c r="M749" s="26"/>
      <c r="N749" s="26" t="str">
        <f t="shared" si="29"/>
        <v>Status(HpDrainRate, 350)</v>
      </c>
      <c r="O749" s="26">
        <v>0</v>
      </c>
      <c r="P749" s="26">
        <v>0</v>
      </c>
      <c r="Q749" s="26"/>
      <c r="R749" s="26" t="b">
        <v>1</v>
      </c>
    </row>
    <row r="750" spans="1:18">
      <c r="A750" s="26" t="s">
        <v>4573</v>
      </c>
      <c r="B750" s="26" t="s">
        <v>1414</v>
      </c>
      <c r="C750" s="26" t="s">
        <v>1415</v>
      </c>
      <c r="D750" s="26">
        <v>0</v>
      </c>
      <c r="E750" s="26">
        <v>1</v>
      </c>
      <c r="F750" s="26" t="s">
        <v>197</v>
      </c>
      <c r="G750" s="26" t="s">
        <v>198</v>
      </c>
      <c r="H750" s="26"/>
      <c r="I750" s="26">
        <v>0</v>
      </c>
      <c r="J750" s="26" t="s">
        <v>838</v>
      </c>
      <c r="K750" s="26" t="s">
        <v>924</v>
      </c>
      <c r="L750" s="26">
        <v>400</v>
      </c>
      <c r="M750" s="26"/>
      <c r="N750" s="26" t="str">
        <f t="shared" si="29"/>
        <v>Status(HpDrainRate, 400)</v>
      </c>
      <c r="O750" s="26">
        <v>0</v>
      </c>
      <c r="P750" s="26">
        <v>0</v>
      </c>
      <c r="Q750" s="26"/>
      <c r="R750" s="26" t="b">
        <v>1</v>
      </c>
    </row>
    <row r="751" spans="1:18">
      <c r="A751" s="34" t="s">
        <v>4574</v>
      </c>
      <c r="B751" s="34" t="s">
        <v>1414</v>
      </c>
      <c r="C751" s="34" t="s">
        <v>1415</v>
      </c>
      <c r="D751" s="34">
        <v>0</v>
      </c>
      <c r="E751" s="34">
        <v>1</v>
      </c>
      <c r="F751" s="34" t="s">
        <v>197</v>
      </c>
      <c r="G751" s="34" t="s">
        <v>198</v>
      </c>
      <c r="H751" s="34"/>
      <c r="I751" s="34">
        <v>0</v>
      </c>
      <c r="J751" s="34" t="s">
        <v>838</v>
      </c>
      <c r="K751" s="34" t="s">
        <v>924</v>
      </c>
      <c r="L751" s="34">
        <v>450</v>
      </c>
      <c r="M751" s="34"/>
      <c r="N751" s="34" t="str">
        <f t="shared" si="29"/>
        <v>Status(HpDrainRate, 450)</v>
      </c>
      <c r="O751" s="34">
        <v>0</v>
      </c>
      <c r="P751" s="34">
        <v>0</v>
      </c>
      <c r="Q751" s="34"/>
      <c r="R751" s="34" t="b">
        <v>1</v>
      </c>
    </row>
    <row r="752" spans="1:18">
      <c r="A752" s="34" t="s">
        <v>4575</v>
      </c>
      <c r="B752" s="34" t="s">
        <v>1414</v>
      </c>
      <c r="C752" s="34" t="s">
        <v>1415</v>
      </c>
      <c r="D752" s="34">
        <v>0</v>
      </c>
      <c r="E752" s="34">
        <v>1</v>
      </c>
      <c r="F752" s="34" t="s">
        <v>197</v>
      </c>
      <c r="G752" s="34" t="s">
        <v>198</v>
      </c>
      <c r="H752" s="34"/>
      <c r="I752" s="34">
        <v>0</v>
      </c>
      <c r="J752" s="34" t="s">
        <v>838</v>
      </c>
      <c r="K752" s="34" t="s">
        <v>924</v>
      </c>
      <c r="L752" s="34">
        <v>500</v>
      </c>
      <c r="M752" s="34"/>
      <c r="N752" s="34" t="str">
        <f t="shared" si="29"/>
        <v>Status(HpDrainRate, 500)</v>
      </c>
      <c r="O752" s="34">
        <v>0</v>
      </c>
      <c r="P752" s="34">
        <v>0</v>
      </c>
      <c r="Q752" s="34"/>
      <c r="R752" s="34" t="b">
        <v>1</v>
      </c>
    </row>
    <row r="753" spans="1:18">
      <c r="A753" s="34" t="s">
        <v>4576</v>
      </c>
      <c r="B753" s="34" t="s">
        <v>1414</v>
      </c>
      <c r="C753" s="34" t="s">
        <v>1415</v>
      </c>
      <c r="D753" s="34">
        <v>0</v>
      </c>
      <c r="E753" s="34">
        <v>1</v>
      </c>
      <c r="F753" s="34" t="s">
        <v>197</v>
      </c>
      <c r="G753" s="34" t="s">
        <v>198</v>
      </c>
      <c r="H753" s="34"/>
      <c r="I753" s="34">
        <v>0</v>
      </c>
      <c r="J753" s="34" t="s">
        <v>838</v>
      </c>
      <c r="K753" s="34" t="s">
        <v>924</v>
      </c>
      <c r="L753" s="34">
        <v>550</v>
      </c>
      <c r="M753" s="34"/>
      <c r="N753" s="34" t="str">
        <f t="shared" si="29"/>
        <v>Status(HpDrainRate, 550)</v>
      </c>
      <c r="O753" s="34">
        <v>0</v>
      </c>
      <c r="P753" s="34">
        <v>0</v>
      </c>
      <c r="Q753" s="34"/>
      <c r="R753" s="34" t="b">
        <v>1</v>
      </c>
    </row>
    <row r="754" spans="1:18">
      <c r="A754" s="26" t="s">
        <v>6906</v>
      </c>
      <c r="B754" s="26" t="s">
        <v>1414</v>
      </c>
      <c r="C754" s="26" t="s">
        <v>1415</v>
      </c>
      <c r="D754" s="26">
        <v>0</v>
      </c>
      <c r="E754" s="26">
        <v>1</v>
      </c>
      <c r="F754" s="26" t="s">
        <v>197</v>
      </c>
      <c r="G754" s="26" t="s">
        <v>198</v>
      </c>
      <c r="H754" s="26"/>
      <c r="I754" s="26">
        <v>0</v>
      </c>
      <c r="J754" s="26" t="s">
        <v>191</v>
      </c>
      <c r="K754" s="26" t="s">
        <v>923</v>
      </c>
      <c r="L754" s="26" t="s">
        <v>6907</v>
      </c>
      <c r="M754" s="26"/>
      <c r="N754" s="26" t="str">
        <f t="shared" si="29"/>
        <v>Effect(OnHit, yuna.passive.ex.buff.skilleffect.02.01)</v>
      </c>
      <c r="O754" s="26">
        <v>0</v>
      </c>
      <c r="P754" s="26">
        <v>0</v>
      </c>
      <c r="Q754" s="26"/>
      <c r="R754" s="26" t="b">
        <v>1</v>
      </c>
    </row>
    <row r="755" spans="1:18">
      <c r="A755" s="26" t="s">
        <v>4577</v>
      </c>
      <c r="B755" s="26" t="s">
        <v>1414</v>
      </c>
      <c r="C755" s="26" t="s">
        <v>1415</v>
      </c>
      <c r="D755" s="26">
        <v>0</v>
      </c>
      <c r="E755" s="26">
        <v>1</v>
      </c>
      <c r="F755" s="26" t="s">
        <v>197</v>
      </c>
      <c r="G755" s="26" t="s">
        <v>198</v>
      </c>
      <c r="H755" s="26"/>
      <c r="I755" s="26">
        <v>0</v>
      </c>
      <c r="J755" s="26" t="s">
        <v>191</v>
      </c>
      <c r="K755" s="26" t="s">
        <v>923</v>
      </c>
      <c r="L755" s="26" t="s">
        <v>4582</v>
      </c>
      <c r="M755" s="26"/>
      <c r="N755" s="26" t="str">
        <f t="shared" si="29"/>
        <v>Effect(OnHit, yuna.passive.ex.buff.skilleffect.02.02)</v>
      </c>
      <c r="O755" s="26">
        <v>0</v>
      </c>
      <c r="P755" s="26">
        <v>0</v>
      </c>
      <c r="Q755" s="26"/>
      <c r="R755" s="26" t="b">
        <v>1</v>
      </c>
    </row>
    <row r="756" spans="1:18">
      <c r="A756" s="26" t="s">
        <v>4578</v>
      </c>
      <c r="B756" s="26" t="s">
        <v>1414</v>
      </c>
      <c r="C756" s="26" t="s">
        <v>1415</v>
      </c>
      <c r="D756" s="26">
        <v>0</v>
      </c>
      <c r="E756" s="26">
        <v>1</v>
      </c>
      <c r="F756" s="26" t="s">
        <v>197</v>
      </c>
      <c r="G756" s="26" t="s">
        <v>198</v>
      </c>
      <c r="H756" s="26"/>
      <c r="I756" s="26">
        <v>0</v>
      </c>
      <c r="J756" s="26" t="s">
        <v>191</v>
      </c>
      <c r="K756" s="26" t="s">
        <v>923</v>
      </c>
      <c r="L756" s="26" t="s">
        <v>4583</v>
      </c>
      <c r="M756" s="26"/>
      <c r="N756" s="26" t="str">
        <f t="shared" si="29"/>
        <v>Effect(OnHit, yuna.passive.ex.buff.skilleffect.02.03)</v>
      </c>
      <c r="O756" s="26">
        <v>0</v>
      </c>
      <c r="P756" s="26">
        <v>0</v>
      </c>
      <c r="Q756" s="26"/>
      <c r="R756" s="26" t="b">
        <v>1</v>
      </c>
    </row>
    <row r="757" spans="1:18">
      <c r="A757" s="34" t="s">
        <v>4579</v>
      </c>
      <c r="B757" s="34" t="s">
        <v>1414</v>
      </c>
      <c r="C757" s="34" t="s">
        <v>1415</v>
      </c>
      <c r="D757" s="34">
        <v>0</v>
      </c>
      <c r="E757" s="34">
        <v>1</v>
      </c>
      <c r="F757" s="34" t="s">
        <v>197</v>
      </c>
      <c r="G757" s="34" t="s">
        <v>198</v>
      </c>
      <c r="H757" s="34"/>
      <c r="I757" s="34">
        <v>0</v>
      </c>
      <c r="J757" s="34" t="s">
        <v>191</v>
      </c>
      <c r="K757" s="34" t="s">
        <v>923</v>
      </c>
      <c r="L757" s="34" t="s">
        <v>4584</v>
      </c>
      <c r="M757" s="34"/>
      <c r="N757" s="34" t="str">
        <f t="shared" si="29"/>
        <v>Effect(OnHit, yuna.passive.ex.buff.skilleffect.02.04)</v>
      </c>
      <c r="O757" s="34">
        <v>0</v>
      </c>
      <c r="P757" s="34">
        <v>0</v>
      </c>
      <c r="Q757" s="34"/>
      <c r="R757" s="34" t="b">
        <v>1</v>
      </c>
    </row>
    <row r="758" spans="1:18">
      <c r="A758" s="34" t="s">
        <v>4580</v>
      </c>
      <c r="B758" s="34" t="s">
        <v>1414</v>
      </c>
      <c r="C758" s="34" t="s">
        <v>1415</v>
      </c>
      <c r="D758" s="34">
        <v>0</v>
      </c>
      <c r="E758" s="34">
        <v>1</v>
      </c>
      <c r="F758" s="34" t="s">
        <v>197</v>
      </c>
      <c r="G758" s="34" t="s">
        <v>198</v>
      </c>
      <c r="H758" s="34"/>
      <c r="I758" s="34">
        <v>0</v>
      </c>
      <c r="J758" s="34" t="s">
        <v>191</v>
      </c>
      <c r="K758" s="34" t="s">
        <v>923</v>
      </c>
      <c r="L758" s="34" t="s">
        <v>4585</v>
      </c>
      <c r="M758" s="34"/>
      <c r="N758" s="34" t="str">
        <f t="shared" si="29"/>
        <v>Effect(OnHit, yuna.passive.ex.buff.skilleffect.02.05)</v>
      </c>
      <c r="O758" s="34">
        <v>0</v>
      </c>
      <c r="P758" s="34">
        <v>0</v>
      </c>
      <c r="Q758" s="34"/>
      <c r="R758" s="34" t="b">
        <v>1</v>
      </c>
    </row>
    <row r="759" spans="1:18">
      <c r="A759" s="34" t="s">
        <v>4581</v>
      </c>
      <c r="B759" s="34" t="s">
        <v>1414</v>
      </c>
      <c r="C759" s="34" t="s">
        <v>1415</v>
      </c>
      <c r="D759" s="34">
        <v>0</v>
      </c>
      <c r="E759" s="34">
        <v>1</v>
      </c>
      <c r="F759" s="34" t="s">
        <v>197</v>
      </c>
      <c r="G759" s="34" t="s">
        <v>198</v>
      </c>
      <c r="H759" s="34"/>
      <c r="I759" s="34">
        <v>0</v>
      </c>
      <c r="J759" s="34" t="s">
        <v>191</v>
      </c>
      <c r="K759" s="34" t="s">
        <v>923</v>
      </c>
      <c r="L759" s="34" t="s">
        <v>4586</v>
      </c>
      <c r="M759" s="34"/>
      <c r="N759" s="34" t="str">
        <f t="shared" si="29"/>
        <v>Effect(OnHit, yuna.passive.ex.buff.skilleffect.02.06)</v>
      </c>
      <c r="O759" s="34">
        <v>0</v>
      </c>
      <c r="P759" s="34">
        <v>0</v>
      </c>
      <c r="Q759" s="34"/>
      <c r="R759" s="34" t="b">
        <v>1</v>
      </c>
    </row>
    <row r="760" spans="1:18">
      <c r="A760" s="26" t="s">
        <v>4592</v>
      </c>
      <c r="B760" s="26"/>
      <c r="C760" s="26"/>
      <c r="D760" s="26">
        <v>0</v>
      </c>
      <c r="E760" s="26">
        <v>1</v>
      </c>
      <c r="F760" s="26" t="s">
        <v>197</v>
      </c>
      <c r="G760" s="26" t="s">
        <v>198</v>
      </c>
      <c r="H760" s="26"/>
      <c r="I760" s="26">
        <v>0</v>
      </c>
      <c r="J760" s="26" t="s">
        <v>838</v>
      </c>
      <c r="K760" s="26" t="s">
        <v>874</v>
      </c>
      <c r="L760" s="26">
        <v>-300</v>
      </c>
      <c r="M760" s="26"/>
      <c r="N760" s="26" t="str">
        <f t="shared" si="29"/>
        <v>Status(ReceiveRecoveryRate, -300)</v>
      </c>
      <c r="O760" s="26">
        <v>0</v>
      </c>
      <c r="P760" s="26">
        <v>0</v>
      </c>
      <c r="Q760" s="26"/>
      <c r="R760" s="26" t="b">
        <v>1</v>
      </c>
    </row>
    <row r="761" spans="1:18">
      <c r="A761" s="26" t="s">
        <v>4593</v>
      </c>
      <c r="B761" s="26"/>
      <c r="C761" s="26"/>
      <c r="D761" s="26">
        <v>0</v>
      </c>
      <c r="E761" s="26">
        <v>1</v>
      </c>
      <c r="F761" s="26" t="s">
        <v>197</v>
      </c>
      <c r="G761" s="26" t="s">
        <v>198</v>
      </c>
      <c r="H761" s="26"/>
      <c r="I761" s="26">
        <v>0</v>
      </c>
      <c r="J761" s="26" t="s">
        <v>838</v>
      </c>
      <c r="K761" s="26" t="s">
        <v>874</v>
      </c>
      <c r="L761" s="26">
        <v>-400</v>
      </c>
      <c r="M761" s="26"/>
      <c r="N761" s="26" t="str">
        <f t="shared" si="29"/>
        <v>Status(ReceiveRecoveryRate, -400)</v>
      </c>
      <c r="O761" s="26">
        <v>0</v>
      </c>
      <c r="P761" s="26">
        <v>0</v>
      </c>
      <c r="Q761" s="26"/>
      <c r="R761" s="26" t="b">
        <v>1</v>
      </c>
    </row>
    <row r="762" spans="1:18">
      <c r="A762" s="26" t="s">
        <v>4594</v>
      </c>
      <c r="B762" s="26"/>
      <c r="C762" s="26"/>
      <c r="D762" s="26">
        <v>0</v>
      </c>
      <c r="E762" s="26">
        <v>1</v>
      </c>
      <c r="F762" s="26" t="s">
        <v>197</v>
      </c>
      <c r="G762" s="26" t="s">
        <v>198</v>
      </c>
      <c r="H762" s="26"/>
      <c r="I762" s="26">
        <v>0</v>
      </c>
      <c r="J762" s="26" t="s">
        <v>838</v>
      </c>
      <c r="K762" s="26" t="s">
        <v>874</v>
      </c>
      <c r="L762" s="26">
        <v>-450</v>
      </c>
      <c r="M762" s="26"/>
      <c r="N762" s="26" t="str">
        <f t="shared" si="29"/>
        <v>Status(ReceiveRecoveryRate, -450)</v>
      </c>
      <c r="O762" s="26">
        <v>0</v>
      </c>
      <c r="P762" s="26">
        <v>0</v>
      </c>
      <c r="Q762" s="26"/>
      <c r="R762" s="26" t="b">
        <v>1</v>
      </c>
    </row>
    <row r="763" spans="1:18">
      <c r="A763" s="34" t="s">
        <v>4595</v>
      </c>
      <c r="B763" s="34"/>
      <c r="C763" s="34"/>
      <c r="D763" s="34">
        <v>0</v>
      </c>
      <c r="E763" s="34">
        <v>1</v>
      </c>
      <c r="F763" s="34" t="s">
        <v>197</v>
      </c>
      <c r="G763" s="34" t="s">
        <v>198</v>
      </c>
      <c r="H763" s="34"/>
      <c r="I763" s="34">
        <v>0</v>
      </c>
      <c r="J763" s="34" t="s">
        <v>838</v>
      </c>
      <c r="K763" s="34" t="s">
        <v>874</v>
      </c>
      <c r="L763" s="34">
        <v>-500</v>
      </c>
      <c r="M763" s="34"/>
      <c r="N763" s="34" t="str">
        <f t="shared" si="29"/>
        <v>Status(ReceiveRecoveryRate, -500)</v>
      </c>
      <c r="O763" s="34">
        <v>0</v>
      </c>
      <c r="P763" s="34">
        <v>0</v>
      </c>
      <c r="Q763" s="34"/>
      <c r="R763" s="34" t="b">
        <v>1</v>
      </c>
    </row>
    <row r="764" spans="1:18">
      <c r="A764" s="34" t="s">
        <v>4596</v>
      </c>
      <c r="B764" s="34"/>
      <c r="C764" s="34"/>
      <c r="D764" s="34">
        <v>0</v>
      </c>
      <c r="E764" s="34">
        <v>1</v>
      </c>
      <c r="F764" s="34" t="s">
        <v>197</v>
      </c>
      <c r="G764" s="34" t="s">
        <v>198</v>
      </c>
      <c r="H764" s="34"/>
      <c r="I764" s="34">
        <v>0</v>
      </c>
      <c r="J764" s="34" t="s">
        <v>838</v>
      </c>
      <c r="K764" s="34" t="s">
        <v>874</v>
      </c>
      <c r="L764" s="34">
        <v>-575</v>
      </c>
      <c r="M764" s="34"/>
      <c r="N764" s="34" t="str">
        <f t="shared" si="29"/>
        <v>Status(ReceiveRecoveryRate, -575)</v>
      </c>
      <c r="O764" s="34">
        <v>0</v>
      </c>
      <c r="P764" s="34">
        <v>0</v>
      </c>
      <c r="Q764" s="34"/>
      <c r="R764" s="34" t="b">
        <v>1</v>
      </c>
    </row>
    <row r="765" spans="1:18">
      <c r="A765" s="34" t="s">
        <v>4597</v>
      </c>
      <c r="B765" s="34"/>
      <c r="C765" s="34"/>
      <c r="D765" s="34">
        <v>0</v>
      </c>
      <c r="E765" s="34">
        <v>1</v>
      </c>
      <c r="F765" s="34" t="s">
        <v>197</v>
      </c>
      <c r="G765" s="34" t="s">
        <v>198</v>
      </c>
      <c r="H765" s="34"/>
      <c r="I765" s="34">
        <v>0</v>
      </c>
      <c r="J765" s="34" t="s">
        <v>838</v>
      </c>
      <c r="K765" s="34" t="s">
        <v>874</v>
      </c>
      <c r="L765" s="34">
        <v>-640</v>
      </c>
      <c r="M765" s="34"/>
      <c r="N765" s="34" t="str">
        <f t="shared" si="29"/>
        <v>Status(ReceiveRecoveryRate, -640)</v>
      </c>
      <c r="O765" s="34">
        <v>0</v>
      </c>
      <c r="P765" s="34">
        <v>0</v>
      </c>
      <c r="Q765" s="34"/>
      <c r="R765" s="34" t="b">
        <v>1</v>
      </c>
    </row>
    <row r="766" spans="1:18">
      <c r="A766" s="26" t="s">
        <v>6908</v>
      </c>
      <c r="B766" s="26" t="s">
        <v>1414</v>
      </c>
      <c r="C766" s="26" t="s">
        <v>1415</v>
      </c>
      <c r="D766" s="26">
        <v>0</v>
      </c>
      <c r="E766" s="26">
        <v>1</v>
      </c>
      <c r="F766" s="26" t="s">
        <v>197</v>
      </c>
      <c r="G766" s="26" t="s">
        <v>198</v>
      </c>
      <c r="H766" s="26"/>
      <c r="I766" s="26">
        <v>0</v>
      </c>
      <c r="J766" s="26" t="s">
        <v>838</v>
      </c>
      <c r="K766" s="26" t="s">
        <v>926</v>
      </c>
      <c r="L766" s="26">
        <v>500</v>
      </c>
      <c r="M766" s="26"/>
      <c r="N766" s="26" t="str">
        <f t="shared" si="29"/>
        <v>Status(CriticalDamageRate, 500)</v>
      </c>
      <c r="O766" s="26">
        <v>0</v>
      </c>
      <c r="P766" s="26">
        <v>0</v>
      </c>
      <c r="Q766" s="26"/>
      <c r="R766" s="26" t="b">
        <v>1</v>
      </c>
    </row>
    <row r="767" spans="1:18">
      <c r="A767" s="26" t="s">
        <v>5902</v>
      </c>
      <c r="B767" s="26" t="s">
        <v>1414</v>
      </c>
      <c r="C767" s="26" t="s">
        <v>1415</v>
      </c>
      <c r="D767" s="26">
        <v>0</v>
      </c>
      <c r="E767" s="26">
        <v>1</v>
      </c>
      <c r="F767" s="26" t="s">
        <v>197</v>
      </c>
      <c r="G767" s="26" t="s">
        <v>198</v>
      </c>
      <c r="H767" s="26"/>
      <c r="I767" s="26">
        <v>0</v>
      </c>
      <c r="J767" s="26" t="s">
        <v>838</v>
      </c>
      <c r="K767" s="26" t="s">
        <v>926</v>
      </c>
      <c r="L767" s="26">
        <v>550</v>
      </c>
      <c r="M767" s="26"/>
      <c r="N767" s="26" t="str">
        <f t="shared" si="29"/>
        <v>Status(CriticalDamageRate, 550)</v>
      </c>
      <c r="O767" s="26">
        <v>0</v>
      </c>
      <c r="P767" s="26">
        <v>0</v>
      </c>
      <c r="Q767" s="26"/>
      <c r="R767" s="26" t="b">
        <v>1</v>
      </c>
    </row>
    <row r="768" spans="1:18">
      <c r="A768" s="26" t="s">
        <v>5903</v>
      </c>
      <c r="B768" s="26" t="s">
        <v>1414</v>
      </c>
      <c r="C768" s="26" t="s">
        <v>1415</v>
      </c>
      <c r="D768" s="26">
        <v>0</v>
      </c>
      <c r="E768" s="26">
        <v>1</v>
      </c>
      <c r="F768" s="26" t="s">
        <v>197</v>
      </c>
      <c r="G768" s="26" t="s">
        <v>198</v>
      </c>
      <c r="H768" s="26"/>
      <c r="I768" s="26">
        <v>0</v>
      </c>
      <c r="J768" s="26" t="s">
        <v>838</v>
      </c>
      <c r="K768" s="26" t="s">
        <v>926</v>
      </c>
      <c r="L768" s="26">
        <v>600</v>
      </c>
      <c r="M768" s="26"/>
      <c r="N768" s="26" t="str">
        <f t="shared" si="29"/>
        <v>Status(CriticalDamageRate, 600)</v>
      </c>
      <c r="O768" s="26">
        <v>0</v>
      </c>
      <c r="P768" s="26">
        <v>0</v>
      </c>
      <c r="Q768" s="26"/>
      <c r="R768" s="26" t="b">
        <v>1</v>
      </c>
    </row>
    <row r="769" spans="1:18">
      <c r="A769" s="34" t="s">
        <v>5904</v>
      </c>
      <c r="B769" s="34" t="s">
        <v>1414</v>
      </c>
      <c r="C769" s="34" t="s">
        <v>1415</v>
      </c>
      <c r="D769" s="34">
        <v>0</v>
      </c>
      <c r="E769" s="34">
        <v>1</v>
      </c>
      <c r="F769" s="34" t="s">
        <v>197</v>
      </c>
      <c r="G769" s="34" t="s">
        <v>198</v>
      </c>
      <c r="H769" s="34"/>
      <c r="I769" s="34">
        <v>0</v>
      </c>
      <c r="J769" s="34" t="s">
        <v>838</v>
      </c>
      <c r="K769" s="34" t="s">
        <v>926</v>
      </c>
      <c r="L769" s="34">
        <v>650</v>
      </c>
      <c r="M769" s="34"/>
      <c r="N769" s="34" t="str">
        <f t="shared" si="29"/>
        <v>Status(CriticalDamageRate, 650)</v>
      </c>
      <c r="O769" s="34">
        <v>0</v>
      </c>
      <c r="P769" s="34">
        <v>0</v>
      </c>
      <c r="Q769" s="34"/>
      <c r="R769" s="34" t="b">
        <v>1</v>
      </c>
    </row>
    <row r="770" spans="1:18">
      <c r="A770" s="34" t="s">
        <v>5905</v>
      </c>
      <c r="B770" s="34" t="s">
        <v>1414</v>
      </c>
      <c r="C770" s="34" t="s">
        <v>1415</v>
      </c>
      <c r="D770" s="34">
        <v>0</v>
      </c>
      <c r="E770" s="34">
        <v>1</v>
      </c>
      <c r="F770" s="34" t="s">
        <v>197</v>
      </c>
      <c r="G770" s="34" t="s">
        <v>198</v>
      </c>
      <c r="H770" s="34"/>
      <c r="I770" s="34">
        <v>0</v>
      </c>
      <c r="J770" s="34" t="s">
        <v>838</v>
      </c>
      <c r="K770" s="34" t="s">
        <v>926</v>
      </c>
      <c r="L770" s="34">
        <v>500</v>
      </c>
      <c r="M770" s="34"/>
      <c r="N770" s="34" t="str">
        <f t="shared" si="29"/>
        <v>Status(CriticalDamageRate, 500)</v>
      </c>
      <c r="O770" s="34">
        <v>0</v>
      </c>
      <c r="P770" s="34">
        <v>0</v>
      </c>
      <c r="Q770" s="34"/>
      <c r="R770" s="34" t="b">
        <v>1</v>
      </c>
    </row>
    <row r="771" spans="1:18">
      <c r="A771" s="34" t="s">
        <v>5906</v>
      </c>
      <c r="B771" s="34" t="s">
        <v>1414</v>
      </c>
      <c r="C771" s="34" t="s">
        <v>1415</v>
      </c>
      <c r="D771" s="34">
        <v>0</v>
      </c>
      <c r="E771" s="34">
        <v>1</v>
      </c>
      <c r="F771" s="34" t="s">
        <v>197</v>
      </c>
      <c r="G771" s="34" t="s">
        <v>198</v>
      </c>
      <c r="H771" s="34"/>
      <c r="I771" s="34">
        <v>0</v>
      </c>
      <c r="J771" s="34" t="s">
        <v>838</v>
      </c>
      <c r="K771" s="34" t="s">
        <v>926</v>
      </c>
      <c r="L771" s="34">
        <v>550</v>
      </c>
      <c r="M771" s="34"/>
      <c r="N771" s="34" t="str">
        <f t="shared" si="29"/>
        <v>Status(CriticalDamageRate, 550)</v>
      </c>
      <c r="O771" s="34">
        <v>0</v>
      </c>
      <c r="P771" s="34">
        <v>0</v>
      </c>
      <c r="Q771" s="34"/>
      <c r="R771" s="34" t="b">
        <v>1</v>
      </c>
    </row>
    <row r="772" spans="1:18">
      <c r="A772" s="23" t="s">
        <v>8689</v>
      </c>
      <c r="B772" s="23"/>
      <c r="C772" s="23"/>
      <c r="D772" s="23">
        <v>0</v>
      </c>
      <c r="E772" s="23">
        <v>1</v>
      </c>
      <c r="F772" s="23" t="s">
        <v>197</v>
      </c>
      <c r="G772" s="23" t="s">
        <v>198</v>
      </c>
      <c r="H772" s="23"/>
      <c r="I772" s="23">
        <v>0</v>
      </c>
      <c r="J772" s="23" t="s">
        <v>889</v>
      </c>
      <c r="K772" s="23" t="s">
        <v>875</v>
      </c>
      <c r="L772" s="23">
        <v>2500</v>
      </c>
      <c r="M772" s="23"/>
      <c r="N772" s="23" t="str">
        <f t="shared" si="29"/>
        <v>Shield(Attack, 2500)</v>
      </c>
      <c r="O772" s="23">
        <v>0</v>
      </c>
      <c r="P772" s="23">
        <v>0</v>
      </c>
      <c r="Q772" s="23"/>
      <c r="R772" s="23" t="b">
        <v>1</v>
      </c>
    </row>
    <row r="773" spans="1:18">
      <c r="A773" s="23" t="s">
        <v>8691</v>
      </c>
      <c r="B773" s="23"/>
      <c r="C773" s="23"/>
      <c r="D773" s="23">
        <v>0</v>
      </c>
      <c r="E773" s="23">
        <v>1</v>
      </c>
      <c r="F773" s="23" t="s">
        <v>197</v>
      </c>
      <c r="G773" s="23" t="s">
        <v>198</v>
      </c>
      <c r="H773" s="23"/>
      <c r="I773" s="23">
        <v>0</v>
      </c>
      <c r="J773" s="23" t="s">
        <v>889</v>
      </c>
      <c r="K773" s="23" t="s">
        <v>875</v>
      </c>
      <c r="L773" s="23">
        <v>2500</v>
      </c>
      <c r="M773" s="23"/>
      <c r="N773" s="23" t="str">
        <f t="shared" si="29"/>
        <v>Shield(Attack, 2500)</v>
      </c>
      <c r="O773" s="23">
        <v>0</v>
      </c>
      <c r="P773" s="23">
        <v>0</v>
      </c>
      <c r="Q773" s="23"/>
      <c r="R773" s="23" t="b">
        <v>1</v>
      </c>
    </row>
    <row r="774" spans="1:18">
      <c r="A774" s="23" t="s">
        <v>8693</v>
      </c>
      <c r="B774" s="23"/>
      <c r="C774" s="23"/>
      <c r="D774" s="23">
        <v>0</v>
      </c>
      <c r="E774" s="23">
        <v>1</v>
      </c>
      <c r="F774" s="23" t="s">
        <v>197</v>
      </c>
      <c r="G774" s="23" t="s">
        <v>198</v>
      </c>
      <c r="H774" s="23"/>
      <c r="I774" s="23">
        <v>0</v>
      </c>
      <c r="J774" s="23" t="s">
        <v>889</v>
      </c>
      <c r="K774" s="23" t="s">
        <v>875</v>
      </c>
      <c r="L774" s="23">
        <v>3250</v>
      </c>
      <c r="M774" s="23"/>
      <c r="N774" s="23" t="str">
        <f t="shared" si="29"/>
        <v>Shield(Attack, 3250)</v>
      </c>
      <c r="O774" s="23">
        <v>0</v>
      </c>
      <c r="P774" s="23">
        <v>0</v>
      </c>
      <c r="Q774" s="23"/>
      <c r="R774" s="23" t="b">
        <v>1</v>
      </c>
    </row>
    <row r="775" spans="1:18">
      <c r="A775" s="23" t="s">
        <v>8695</v>
      </c>
      <c r="B775" s="23"/>
      <c r="C775" s="23"/>
      <c r="D775" s="23">
        <v>0</v>
      </c>
      <c r="E775" s="23">
        <v>1</v>
      </c>
      <c r="F775" s="23" t="s">
        <v>197</v>
      </c>
      <c r="G775" s="23" t="s">
        <v>198</v>
      </c>
      <c r="H775" s="23"/>
      <c r="I775" s="23">
        <v>0</v>
      </c>
      <c r="J775" s="23" t="s">
        <v>889</v>
      </c>
      <c r="K775" s="23" t="s">
        <v>875</v>
      </c>
      <c r="L775" s="23">
        <v>3250</v>
      </c>
      <c r="M775" s="23"/>
      <c r="N775" s="23" t="str">
        <f t="shared" si="29"/>
        <v>Shield(Attack, 3250)</v>
      </c>
      <c r="O775" s="23">
        <v>0</v>
      </c>
      <c r="P775" s="23">
        <v>0</v>
      </c>
      <c r="Q775" s="23"/>
      <c r="R775" s="23" t="b">
        <v>1</v>
      </c>
    </row>
    <row r="776" spans="1:18">
      <c r="A776" s="34" t="s">
        <v>8697</v>
      </c>
      <c r="B776" s="34"/>
      <c r="C776" s="34"/>
      <c r="D776" s="34">
        <v>0</v>
      </c>
      <c r="E776" s="34">
        <v>1</v>
      </c>
      <c r="F776" s="34" t="s">
        <v>197</v>
      </c>
      <c r="G776" s="34" t="s">
        <v>198</v>
      </c>
      <c r="H776" s="34"/>
      <c r="I776" s="34">
        <v>0</v>
      </c>
      <c r="J776" s="34" t="s">
        <v>889</v>
      </c>
      <c r="K776" s="34" t="s">
        <v>875</v>
      </c>
      <c r="L776" s="34">
        <v>3250</v>
      </c>
      <c r="M776" s="34"/>
      <c r="N776" s="34" t="str">
        <f t="shared" si="29"/>
        <v>Shield(Attack, 3250)</v>
      </c>
      <c r="O776" s="34">
        <v>0</v>
      </c>
      <c r="P776" s="34">
        <v>0</v>
      </c>
      <c r="Q776" s="34"/>
      <c r="R776" s="34" t="b">
        <v>1</v>
      </c>
    </row>
    <row r="777" spans="1:18">
      <c r="A777" s="34" t="s">
        <v>8699</v>
      </c>
      <c r="B777" s="34"/>
      <c r="C777" s="34"/>
      <c r="D777" s="34">
        <v>0</v>
      </c>
      <c r="E777" s="34">
        <v>1</v>
      </c>
      <c r="F777" s="34" t="s">
        <v>197</v>
      </c>
      <c r="G777" s="34" t="s">
        <v>198</v>
      </c>
      <c r="H777" s="34"/>
      <c r="I777" s="34">
        <v>0</v>
      </c>
      <c r="J777" s="34" t="s">
        <v>889</v>
      </c>
      <c r="K777" s="34" t="s">
        <v>875</v>
      </c>
      <c r="L777" s="34">
        <v>3250</v>
      </c>
      <c r="M777" s="34"/>
      <c r="N777" s="34" t="str">
        <f t="shared" si="29"/>
        <v>Shield(Attack, 3250)</v>
      </c>
      <c r="O777" s="34">
        <v>0</v>
      </c>
      <c r="P777" s="34">
        <v>0</v>
      </c>
      <c r="Q777" s="34"/>
      <c r="R777" s="34" t="b">
        <v>1</v>
      </c>
    </row>
    <row r="778" spans="1:18">
      <c r="A778" s="24" t="s">
        <v>562</v>
      </c>
      <c r="B778" s="24"/>
      <c r="C778" s="24"/>
      <c r="D778" s="24">
        <v>0</v>
      </c>
      <c r="E778" s="24">
        <v>1</v>
      </c>
      <c r="F778" s="24" t="s">
        <v>417</v>
      </c>
      <c r="G778" s="24" t="s">
        <v>418</v>
      </c>
      <c r="H778" s="24"/>
      <c r="I778" s="24">
        <v>0</v>
      </c>
      <c r="J778" s="24" t="s">
        <v>1254</v>
      </c>
      <c r="K778" s="24" t="s">
        <v>1810</v>
      </c>
      <c r="L778" s="24"/>
      <c r="M778" s="24"/>
      <c r="N778" s="24" t="str">
        <f t="shared" si="29"/>
        <v>Passive(gray.passive.critical.event.buff.01)</v>
      </c>
      <c r="O778" s="24">
        <v>0</v>
      </c>
      <c r="P778" s="24">
        <v>0</v>
      </c>
      <c r="Q778" s="24"/>
      <c r="R778" s="24" t="b">
        <v>1</v>
      </c>
    </row>
    <row r="779" spans="1:18">
      <c r="A779" s="24" t="s">
        <v>564</v>
      </c>
      <c r="B779" s="24"/>
      <c r="C779" s="24"/>
      <c r="D779" s="24">
        <v>0</v>
      </c>
      <c r="E779" s="24">
        <v>1</v>
      </c>
      <c r="F779" s="24" t="s">
        <v>417</v>
      </c>
      <c r="G779" s="24" t="s">
        <v>418</v>
      </c>
      <c r="H779" s="24"/>
      <c r="I779" s="24">
        <v>0</v>
      </c>
      <c r="J779" s="24" t="s">
        <v>1254</v>
      </c>
      <c r="K779" s="24" t="s">
        <v>1811</v>
      </c>
      <c r="L779" s="24"/>
      <c r="M779" s="24"/>
      <c r="N779" s="24" t="str">
        <f t="shared" si="29"/>
        <v>Passive(gray.passive.critical.event.buff.02)</v>
      </c>
      <c r="O779" s="24">
        <v>0</v>
      </c>
      <c r="P779" s="24">
        <v>0</v>
      </c>
      <c r="Q779" s="24"/>
      <c r="R779" s="24" t="b">
        <v>1</v>
      </c>
    </row>
    <row r="780" spans="1:18">
      <c r="A780" s="24" t="s">
        <v>566</v>
      </c>
      <c r="B780" s="24"/>
      <c r="C780" s="24"/>
      <c r="D780" s="24">
        <v>0</v>
      </c>
      <c r="E780" s="24">
        <v>1</v>
      </c>
      <c r="F780" s="24" t="s">
        <v>417</v>
      </c>
      <c r="G780" s="24" t="s">
        <v>418</v>
      </c>
      <c r="H780" s="24"/>
      <c r="I780" s="24">
        <v>0</v>
      </c>
      <c r="J780" s="24" t="s">
        <v>1254</v>
      </c>
      <c r="K780" s="24" t="s">
        <v>1812</v>
      </c>
      <c r="L780" s="24"/>
      <c r="M780" s="24"/>
      <c r="N780" s="24" t="str">
        <f t="shared" si="29"/>
        <v>Passive(gray.passive.critical.event.buff.03)</v>
      </c>
      <c r="O780" s="24">
        <v>0</v>
      </c>
      <c r="P780" s="24">
        <v>0</v>
      </c>
      <c r="Q780" s="24"/>
      <c r="R780" s="24" t="b">
        <v>1</v>
      </c>
    </row>
    <row r="781" spans="1:18">
      <c r="A781" s="34" t="s">
        <v>568</v>
      </c>
      <c r="B781" s="34"/>
      <c r="C781" s="34"/>
      <c r="D781" s="34">
        <v>0</v>
      </c>
      <c r="E781" s="34">
        <v>1</v>
      </c>
      <c r="F781" s="34" t="s">
        <v>417</v>
      </c>
      <c r="G781" s="34" t="s">
        <v>418</v>
      </c>
      <c r="H781" s="34"/>
      <c r="I781" s="34">
        <v>0</v>
      </c>
      <c r="J781" s="34" t="s">
        <v>1254</v>
      </c>
      <c r="K781" s="34" t="s">
        <v>1813</v>
      </c>
      <c r="L781" s="34"/>
      <c r="M781" s="34"/>
      <c r="N781" s="34" t="str">
        <f t="shared" si="29"/>
        <v>Passive(gray.passive.critical.event.buff.04)</v>
      </c>
      <c r="O781" s="34">
        <v>0</v>
      </c>
      <c r="P781" s="34">
        <v>0</v>
      </c>
      <c r="Q781" s="34"/>
      <c r="R781" s="34" t="b">
        <v>1</v>
      </c>
    </row>
    <row r="782" spans="1:18">
      <c r="A782" s="34" t="s">
        <v>3332</v>
      </c>
      <c r="B782" s="34"/>
      <c r="C782" s="34"/>
      <c r="D782" s="34">
        <v>0</v>
      </c>
      <c r="E782" s="34">
        <v>1</v>
      </c>
      <c r="F782" s="34" t="s">
        <v>417</v>
      </c>
      <c r="G782" s="34" t="s">
        <v>418</v>
      </c>
      <c r="H782" s="34"/>
      <c r="I782" s="34">
        <v>0</v>
      </c>
      <c r="J782" s="34" t="s">
        <v>1254</v>
      </c>
      <c r="K782" s="34" t="s">
        <v>3333</v>
      </c>
      <c r="L782" s="34"/>
      <c r="M782" s="34"/>
      <c r="N782" s="34" t="str">
        <f t="shared" si="29"/>
        <v>Passive(gray.passive.critical.event.buff.05)</v>
      </c>
      <c r="O782" s="34">
        <v>0</v>
      </c>
      <c r="P782" s="34">
        <v>0</v>
      </c>
      <c r="Q782" s="34"/>
      <c r="R782" s="34" t="b">
        <v>1</v>
      </c>
    </row>
    <row r="783" spans="1:18">
      <c r="A783" s="23" t="s">
        <v>8727</v>
      </c>
      <c r="B783" s="23"/>
      <c r="C783" s="23"/>
      <c r="D783" s="23">
        <v>0</v>
      </c>
      <c r="E783" s="23">
        <v>1</v>
      </c>
      <c r="F783" s="23" t="s">
        <v>197</v>
      </c>
      <c r="G783" s="23" t="s">
        <v>198</v>
      </c>
      <c r="H783" s="23"/>
      <c r="I783" s="23">
        <v>0</v>
      </c>
      <c r="J783" s="23" t="s">
        <v>893</v>
      </c>
      <c r="K783" s="23" t="s">
        <v>8728</v>
      </c>
      <c r="L783" s="23"/>
      <c r="M783" s="23"/>
      <c r="N783" s="23" t="str">
        <f t="shared" si="29"/>
        <v>Active(gray.passive.shield.skilleffect.01)</v>
      </c>
      <c r="O783" s="23">
        <v>0</v>
      </c>
      <c r="P783" s="23">
        <v>0</v>
      </c>
      <c r="Q783" s="23"/>
      <c r="R783" s="23" t="b">
        <v>1</v>
      </c>
    </row>
    <row r="784" spans="1:18">
      <c r="A784" s="23" t="s">
        <v>8719</v>
      </c>
      <c r="B784" s="23"/>
      <c r="C784" s="23"/>
      <c r="D784" s="23">
        <v>0</v>
      </c>
      <c r="E784" s="23">
        <v>1</v>
      </c>
      <c r="F784" s="23" t="s">
        <v>197</v>
      </c>
      <c r="G784" s="23" t="s">
        <v>198</v>
      </c>
      <c r="H784" s="23"/>
      <c r="I784" s="23">
        <v>0</v>
      </c>
      <c r="J784" s="23" t="s">
        <v>893</v>
      </c>
      <c r="K784" s="23" t="s">
        <v>8720</v>
      </c>
      <c r="L784" s="23"/>
      <c r="M784" s="23"/>
      <c r="N784" s="23" t="str">
        <f t="shared" si="29"/>
        <v>Active(gray.passive.shield.skilleffect.02)</v>
      </c>
      <c r="O784" s="23">
        <v>0</v>
      </c>
      <c r="P784" s="23">
        <v>0</v>
      </c>
      <c r="Q784" s="23"/>
      <c r="R784" s="23" t="b">
        <v>1</v>
      </c>
    </row>
    <row r="785" spans="1:18">
      <c r="A785" s="23" t="s">
        <v>8721</v>
      </c>
      <c r="B785" s="23"/>
      <c r="C785" s="23"/>
      <c r="D785" s="23">
        <v>0</v>
      </c>
      <c r="E785" s="23">
        <v>1</v>
      </c>
      <c r="F785" s="23" t="s">
        <v>197</v>
      </c>
      <c r="G785" s="23" t="s">
        <v>198</v>
      </c>
      <c r="H785" s="23"/>
      <c r="I785" s="23">
        <v>0</v>
      </c>
      <c r="J785" s="23" t="s">
        <v>893</v>
      </c>
      <c r="K785" s="23" t="s">
        <v>8722</v>
      </c>
      <c r="L785" s="23"/>
      <c r="M785" s="23"/>
      <c r="N785" s="23" t="str">
        <f t="shared" si="29"/>
        <v>Active(gray.passive.shield.skilleffect.03)</v>
      </c>
      <c r="O785" s="23">
        <v>0</v>
      </c>
      <c r="P785" s="23">
        <v>0</v>
      </c>
      <c r="Q785" s="23"/>
      <c r="R785" s="23" t="b">
        <v>1</v>
      </c>
    </row>
    <row r="786" spans="1:18">
      <c r="A786" s="34" t="s">
        <v>8723</v>
      </c>
      <c r="B786" s="34"/>
      <c r="C786" s="34"/>
      <c r="D786" s="34">
        <v>0</v>
      </c>
      <c r="E786" s="34">
        <v>1</v>
      </c>
      <c r="F786" s="34" t="s">
        <v>197</v>
      </c>
      <c r="G786" s="34" t="s">
        <v>198</v>
      </c>
      <c r="H786" s="34"/>
      <c r="I786" s="34">
        <v>0</v>
      </c>
      <c r="J786" s="34" t="s">
        <v>893</v>
      </c>
      <c r="K786" s="34" t="s">
        <v>8724</v>
      </c>
      <c r="L786" s="34"/>
      <c r="M786" s="34"/>
      <c r="N786" s="34" t="str">
        <f t="shared" si="29"/>
        <v>Active(gray.passive.shield.skilleffect.04)</v>
      </c>
      <c r="O786" s="34">
        <v>0</v>
      </c>
      <c r="P786" s="34">
        <v>0</v>
      </c>
      <c r="Q786" s="34"/>
      <c r="R786" s="34" t="b">
        <v>1</v>
      </c>
    </row>
    <row r="787" spans="1:18">
      <c r="A787" s="34" t="s">
        <v>8725</v>
      </c>
      <c r="B787" s="34"/>
      <c r="C787" s="34"/>
      <c r="D787" s="34">
        <v>0</v>
      </c>
      <c r="E787" s="34">
        <v>1</v>
      </c>
      <c r="F787" s="34" t="s">
        <v>197</v>
      </c>
      <c r="G787" s="34" t="s">
        <v>198</v>
      </c>
      <c r="H787" s="34"/>
      <c r="I787" s="34">
        <v>0</v>
      </c>
      <c r="J787" s="34" t="s">
        <v>893</v>
      </c>
      <c r="K787" s="34" t="s">
        <v>8726</v>
      </c>
      <c r="L787" s="34"/>
      <c r="M787" s="34"/>
      <c r="N787" s="34" t="str">
        <f t="shared" si="29"/>
        <v>Active(gray.passive.shield.skilleffect.05)</v>
      </c>
      <c r="O787" s="34">
        <v>0</v>
      </c>
      <c r="P787" s="34">
        <v>0</v>
      </c>
      <c r="Q787" s="34"/>
      <c r="R787" s="34" t="b">
        <v>1</v>
      </c>
    </row>
    <row r="788" spans="1:18">
      <c r="A788" s="24" t="s">
        <v>1814</v>
      </c>
      <c r="B788" s="24"/>
      <c r="C788" s="24"/>
      <c r="D788" s="24">
        <v>0</v>
      </c>
      <c r="E788" s="24">
        <v>1</v>
      </c>
      <c r="F788" s="24" t="s">
        <v>197</v>
      </c>
      <c r="G788" s="24" t="s">
        <v>198</v>
      </c>
      <c r="H788" s="24"/>
      <c r="I788" s="24">
        <v>0</v>
      </c>
      <c r="J788" s="24" t="s">
        <v>191</v>
      </c>
      <c r="K788" s="24" t="s">
        <v>974</v>
      </c>
      <c r="L788" s="24" t="s">
        <v>1818</v>
      </c>
      <c r="M788" s="24"/>
      <c r="N788" s="24" t="str">
        <f t="shared" si="29"/>
        <v>Effect(OnCritical, gray.passive.critical.event.skilleffect.01)</v>
      </c>
      <c r="O788" s="24">
        <v>0</v>
      </c>
      <c r="P788" s="24">
        <v>0</v>
      </c>
      <c r="Q788" s="24"/>
      <c r="R788" s="24" t="b">
        <v>1</v>
      </c>
    </row>
    <row r="789" spans="1:18">
      <c r="A789" s="24" t="s">
        <v>1815</v>
      </c>
      <c r="B789" s="24"/>
      <c r="C789" s="24"/>
      <c r="D789" s="24">
        <v>0</v>
      </c>
      <c r="E789" s="24">
        <v>1</v>
      </c>
      <c r="F789" s="24" t="s">
        <v>197</v>
      </c>
      <c r="G789" s="24" t="s">
        <v>198</v>
      </c>
      <c r="H789" s="24"/>
      <c r="I789" s="24">
        <v>0</v>
      </c>
      <c r="J789" s="24" t="s">
        <v>191</v>
      </c>
      <c r="K789" s="24" t="s">
        <v>974</v>
      </c>
      <c r="L789" s="24" t="s">
        <v>1819</v>
      </c>
      <c r="M789" s="24"/>
      <c r="N789" s="24" t="str">
        <f t="shared" si="29"/>
        <v>Effect(OnCritical, gray.passive.critical.event.skilleffect.02)</v>
      </c>
      <c r="O789" s="24">
        <v>0</v>
      </c>
      <c r="P789" s="24">
        <v>0</v>
      </c>
      <c r="Q789" s="24"/>
      <c r="R789" s="24" t="b">
        <v>1</v>
      </c>
    </row>
    <row r="790" spans="1:18">
      <c r="A790" s="24" t="s">
        <v>1816</v>
      </c>
      <c r="B790" s="24"/>
      <c r="C790" s="24"/>
      <c r="D790" s="24">
        <v>0</v>
      </c>
      <c r="E790" s="24">
        <v>1</v>
      </c>
      <c r="F790" s="24" t="s">
        <v>197</v>
      </c>
      <c r="G790" s="24" t="s">
        <v>198</v>
      </c>
      <c r="H790" s="24"/>
      <c r="I790" s="24">
        <v>0</v>
      </c>
      <c r="J790" s="24" t="s">
        <v>191</v>
      </c>
      <c r="K790" s="24" t="s">
        <v>974</v>
      </c>
      <c r="L790" s="24" t="s">
        <v>1820</v>
      </c>
      <c r="M790" s="24"/>
      <c r="N790" s="24" t="str">
        <f t="shared" si="29"/>
        <v>Effect(OnCritical, gray.passive.critical.event.skilleffect.03)</v>
      </c>
      <c r="O790" s="24">
        <v>0</v>
      </c>
      <c r="P790" s="24">
        <v>0</v>
      </c>
      <c r="Q790" s="24"/>
      <c r="R790" s="24" t="b">
        <v>1</v>
      </c>
    </row>
    <row r="791" spans="1:18">
      <c r="A791" s="34" t="s">
        <v>1817</v>
      </c>
      <c r="B791" s="34"/>
      <c r="C791" s="34"/>
      <c r="D791" s="34">
        <v>0</v>
      </c>
      <c r="E791" s="34">
        <v>1</v>
      </c>
      <c r="F791" s="34" t="s">
        <v>197</v>
      </c>
      <c r="G791" s="34" t="s">
        <v>198</v>
      </c>
      <c r="H791" s="34"/>
      <c r="I791" s="34">
        <v>0</v>
      </c>
      <c r="J791" s="34" t="s">
        <v>191</v>
      </c>
      <c r="K791" s="34" t="s">
        <v>974</v>
      </c>
      <c r="L791" s="34" t="s">
        <v>1821</v>
      </c>
      <c r="M791" s="34"/>
      <c r="N791" s="34" t="str">
        <f t="shared" si="29"/>
        <v>Effect(OnCritical, gray.passive.critical.event.skilleffect.04)</v>
      </c>
      <c r="O791" s="34">
        <v>0</v>
      </c>
      <c r="P791" s="34">
        <v>0</v>
      </c>
      <c r="Q791" s="34"/>
      <c r="R791" s="34" t="b">
        <v>1</v>
      </c>
    </row>
    <row r="792" spans="1:18" s="142" customFormat="1">
      <c r="A792" s="34" t="s">
        <v>3334</v>
      </c>
      <c r="B792" s="34"/>
      <c r="C792" s="34"/>
      <c r="D792" s="34">
        <v>0</v>
      </c>
      <c r="E792" s="34">
        <v>1</v>
      </c>
      <c r="F792" s="34" t="s">
        <v>197</v>
      </c>
      <c r="G792" s="34" t="s">
        <v>198</v>
      </c>
      <c r="H792" s="34"/>
      <c r="I792" s="34">
        <v>0</v>
      </c>
      <c r="J792" s="34" t="s">
        <v>191</v>
      </c>
      <c r="K792" s="34" t="s">
        <v>974</v>
      </c>
      <c r="L792" s="34" t="s">
        <v>3337</v>
      </c>
      <c r="M792" s="34"/>
      <c r="N792" s="34" t="str">
        <f t="shared" si="29"/>
        <v>Effect(OnCritical, gray.passive.critical.event.skilleffect.05)</v>
      </c>
      <c r="O792" s="34">
        <v>0</v>
      </c>
      <c r="P792" s="34">
        <v>0</v>
      </c>
      <c r="Q792" s="34"/>
      <c r="R792" s="34" t="b">
        <v>1</v>
      </c>
    </row>
    <row r="793" spans="1:18" s="142" customFormat="1">
      <c r="A793" s="23" t="s">
        <v>1803</v>
      </c>
      <c r="B793" s="23" t="s">
        <v>1367</v>
      </c>
      <c r="C793" s="23" t="s">
        <v>2566</v>
      </c>
      <c r="D793" s="23">
        <v>0</v>
      </c>
      <c r="E793" s="23">
        <v>1</v>
      </c>
      <c r="F793" s="23" t="s">
        <v>197</v>
      </c>
      <c r="G793" s="23" t="s">
        <v>198</v>
      </c>
      <c r="H793" s="23"/>
      <c r="I793" s="23">
        <v>0</v>
      </c>
      <c r="J793" s="23" t="s">
        <v>893</v>
      </c>
      <c r="K793" s="23" t="s">
        <v>6909</v>
      </c>
      <c r="L793" s="23"/>
      <c r="M793" s="23"/>
      <c r="N793" s="23" t="str">
        <f t="shared" si="29"/>
        <v>Active(gray.passive.critical.event.ep.skilleffect.01)</v>
      </c>
      <c r="O793" s="23">
        <v>0</v>
      </c>
      <c r="P793" s="23">
        <v>0</v>
      </c>
      <c r="Q793" s="23"/>
      <c r="R793" s="23" t="b">
        <v>1</v>
      </c>
    </row>
    <row r="794" spans="1:18" s="142" customFormat="1">
      <c r="A794" s="23" t="s">
        <v>1804</v>
      </c>
      <c r="B794" s="23" t="s">
        <v>1367</v>
      </c>
      <c r="C794" s="23" t="s">
        <v>2566</v>
      </c>
      <c r="D794" s="23">
        <v>0</v>
      </c>
      <c r="E794" s="23">
        <v>1</v>
      </c>
      <c r="F794" s="23" t="s">
        <v>197</v>
      </c>
      <c r="G794" s="23" t="s">
        <v>198</v>
      </c>
      <c r="H794" s="23"/>
      <c r="I794" s="23">
        <v>0</v>
      </c>
      <c r="J794" s="23" t="s">
        <v>893</v>
      </c>
      <c r="K794" s="23" t="s">
        <v>1807</v>
      </c>
      <c r="L794" s="23"/>
      <c r="M794" s="23"/>
      <c r="N794" s="23" t="str">
        <f t="shared" si="29"/>
        <v>Active(gray.passive.critical.event.ep.skilleffect.02)</v>
      </c>
      <c r="O794" s="23">
        <v>0</v>
      </c>
      <c r="P794" s="23">
        <v>0</v>
      </c>
      <c r="Q794" s="23"/>
      <c r="R794" s="23" t="b">
        <v>1</v>
      </c>
    </row>
    <row r="795" spans="1:18" s="142" customFormat="1">
      <c r="A795" s="23" t="s">
        <v>1805</v>
      </c>
      <c r="B795" s="23" t="s">
        <v>1367</v>
      </c>
      <c r="C795" s="23" t="s">
        <v>2566</v>
      </c>
      <c r="D795" s="23">
        <v>0</v>
      </c>
      <c r="E795" s="23">
        <v>1</v>
      </c>
      <c r="F795" s="23" t="s">
        <v>197</v>
      </c>
      <c r="G795" s="23" t="s">
        <v>198</v>
      </c>
      <c r="H795" s="23"/>
      <c r="I795" s="23">
        <v>0</v>
      </c>
      <c r="J795" s="23" t="s">
        <v>893</v>
      </c>
      <c r="K795" s="23" t="s">
        <v>1808</v>
      </c>
      <c r="L795" s="23"/>
      <c r="M795" s="23"/>
      <c r="N795" s="23" t="str">
        <f t="shared" si="29"/>
        <v>Active(gray.passive.critical.event.ep.skilleffect.03)</v>
      </c>
      <c r="O795" s="23">
        <v>0</v>
      </c>
      <c r="P795" s="23">
        <v>0</v>
      </c>
      <c r="Q795" s="23"/>
      <c r="R795" s="23" t="b">
        <v>1</v>
      </c>
    </row>
    <row r="796" spans="1:18" s="142" customFormat="1">
      <c r="A796" s="34" t="s">
        <v>1806</v>
      </c>
      <c r="B796" s="34" t="s">
        <v>1367</v>
      </c>
      <c r="C796" s="34" t="s">
        <v>2566</v>
      </c>
      <c r="D796" s="34">
        <v>0</v>
      </c>
      <c r="E796" s="34">
        <v>1</v>
      </c>
      <c r="F796" s="34" t="s">
        <v>197</v>
      </c>
      <c r="G796" s="34" t="s">
        <v>198</v>
      </c>
      <c r="H796" s="34"/>
      <c r="I796" s="34">
        <v>0</v>
      </c>
      <c r="J796" s="34" t="s">
        <v>893</v>
      </c>
      <c r="K796" s="34" t="s">
        <v>1809</v>
      </c>
      <c r="L796" s="34"/>
      <c r="M796" s="34"/>
      <c r="N796" s="34" t="str">
        <f t="shared" si="29"/>
        <v>Active(gray.passive.critical.event.ep.skilleffect.04)</v>
      </c>
      <c r="O796" s="34">
        <v>0</v>
      </c>
      <c r="P796" s="34">
        <v>0</v>
      </c>
      <c r="Q796" s="34"/>
      <c r="R796" s="34" t="b">
        <v>1</v>
      </c>
    </row>
    <row r="797" spans="1:18" s="142" customFormat="1">
      <c r="A797" s="34" t="s">
        <v>3335</v>
      </c>
      <c r="B797" s="34" t="s">
        <v>1367</v>
      </c>
      <c r="C797" s="34" t="s">
        <v>2566</v>
      </c>
      <c r="D797" s="34">
        <v>0</v>
      </c>
      <c r="E797" s="34">
        <v>1</v>
      </c>
      <c r="F797" s="34" t="s">
        <v>197</v>
      </c>
      <c r="G797" s="34" t="s">
        <v>198</v>
      </c>
      <c r="H797" s="34"/>
      <c r="I797" s="34">
        <v>0</v>
      </c>
      <c r="J797" s="34" t="s">
        <v>893</v>
      </c>
      <c r="K797" s="34" t="s">
        <v>3336</v>
      </c>
      <c r="L797" s="34"/>
      <c r="M797" s="34"/>
      <c r="N797" s="34" t="str">
        <f t="shared" si="29"/>
        <v>Active(gray.passive.critical.event.ep.skilleffect.05)</v>
      </c>
      <c r="O797" s="34">
        <v>0</v>
      </c>
      <c r="P797" s="34">
        <v>0</v>
      </c>
      <c r="Q797" s="34"/>
      <c r="R797" s="34" t="b">
        <v>1</v>
      </c>
    </row>
    <row r="798" spans="1:18" s="142" customFormat="1">
      <c r="A798" s="24" t="s">
        <v>8701</v>
      </c>
      <c r="B798" s="24"/>
      <c r="C798" s="24"/>
      <c r="D798" s="24">
        <v>0</v>
      </c>
      <c r="E798" s="24">
        <v>1</v>
      </c>
      <c r="F798" s="24" t="s">
        <v>197</v>
      </c>
      <c r="G798" s="24" t="s">
        <v>198</v>
      </c>
      <c r="H798" s="24"/>
      <c r="I798" s="24">
        <v>0</v>
      </c>
      <c r="J798" s="24" t="s">
        <v>889</v>
      </c>
      <c r="K798" s="24" t="s">
        <v>875</v>
      </c>
      <c r="L798" s="24">
        <v>2000</v>
      </c>
      <c r="M798" s="24"/>
      <c r="N798" s="24" t="str">
        <f t="shared" si="29"/>
        <v>Shield(Attack, 2000)</v>
      </c>
      <c r="O798" s="24">
        <v>0</v>
      </c>
      <c r="P798" s="24">
        <v>0</v>
      </c>
      <c r="Q798" s="24"/>
      <c r="R798" s="24" t="b">
        <v>1</v>
      </c>
    </row>
    <row r="799" spans="1:18" s="142" customFormat="1">
      <c r="A799" s="24" t="s">
        <v>8703</v>
      </c>
      <c r="B799" s="24"/>
      <c r="C799" s="24"/>
      <c r="D799" s="24">
        <v>0</v>
      </c>
      <c r="E799" s="24">
        <v>1</v>
      </c>
      <c r="F799" s="24" t="s">
        <v>197</v>
      </c>
      <c r="G799" s="24" t="s">
        <v>198</v>
      </c>
      <c r="H799" s="24"/>
      <c r="I799" s="24">
        <v>0</v>
      </c>
      <c r="J799" s="24" t="s">
        <v>889</v>
      </c>
      <c r="K799" s="24" t="s">
        <v>875</v>
      </c>
      <c r="L799" s="24">
        <v>2000</v>
      </c>
      <c r="M799" s="24"/>
      <c r="N799" s="24" t="str">
        <f t="shared" si="29"/>
        <v>Shield(Attack, 2000)</v>
      </c>
      <c r="O799" s="24">
        <v>0</v>
      </c>
      <c r="P799" s="24">
        <v>0</v>
      </c>
      <c r="Q799" s="24"/>
      <c r="R799" s="24" t="b">
        <v>1</v>
      </c>
    </row>
    <row r="800" spans="1:18" s="142" customFormat="1">
      <c r="A800" s="24" t="s">
        <v>8705</v>
      </c>
      <c r="B800" s="24"/>
      <c r="C800" s="24"/>
      <c r="D800" s="24">
        <v>0</v>
      </c>
      <c r="E800" s="24">
        <v>1</v>
      </c>
      <c r="F800" s="24" t="s">
        <v>197</v>
      </c>
      <c r="G800" s="24" t="s">
        <v>198</v>
      </c>
      <c r="H800" s="24"/>
      <c r="I800" s="24">
        <v>0</v>
      </c>
      <c r="J800" s="24" t="s">
        <v>889</v>
      </c>
      <c r="K800" s="24" t="s">
        <v>875</v>
      </c>
      <c r="L800" s="24">
        <v>2500</v>
      </c>
      <c r="M800" s="24"/>
      <c r="N800" s="24" t="str">
        <f t="shared" si="29"/>
        <v>Shield(Attack, 2500)</v>
      </c>
      <c r="O800" s="24">
        <v>0</v>
      </c>
      <c r="P800" s="24">
        <v>0</v>
      </c>
      <c r="Q800" s="24"/>
      <c r="R800" s="24" t="b">
        <v>1</v>
      </c>
    </row>
    <row r="801" spans="1:18" s="142" customFormat="1">
      <c r="A801" s="34" t="s">
        <v>8707</v>
      </c>
      <c r="B801" s="34"/>
      <c r="C801" s="34"/>
      <c r="D801" s="34">
        <v>0</v>
      </c>
      <c r="E801" s="34">
        <v>1</v>
      </c>
      <c r="F801" s="34" t="s">
        <v>197</v>
      </c>
      <c r="G801" s="34" t="s">
        <v>198</v>
      </c>
      <c r="H801" s="34"/>
      <c r="I801" s="34">
        <v>0</v>
      </c>
      <c r="J801" s="34" t="s">
        <v>889</v>
      </c>
      <c r="K801" s="34" t="s">
        <v>875</v>
      </c>
      <c r="L801" s="34">
        <v>2500</v>
      </c>
      <c r="M801" s="34"/>
      <c r="N801" s="34" t="str">
        <f t="shared" si="29"/>
        <v>Shield(Attack, 2500)</v>
      </c>
      <c r="O801" s="34">
        <v>0</v>
      </c>
      <c r="P801" s="34">
        <v>0</v>
      </c>
      <c r="Q801" s="34"/>
      <c r="R801" s="34" t="b">
        <v>1</v>
      </c>
    </row>
    <row r="802" spans="1:18" s="142" customFormat="1">
      <c r="A802" s="34" t="s">
        <v>8709</v>
      </c>
      <c r="B802" s="34"/>
      <c r="C802" s="34"/>
      <c r="D802" s="34">
        <v>0</v>
      </c>
      <c r="E802" s="34">
        <v>1</v>
      </c>
      <c r="F802" s="34" t="s">
        <v>197</v>
      </c>
      <c r="G802" s="34" t="s">
        <v>198</v>
      </c>
      <c r="H802" s="34"/>
      <c r="I802" s="34">
        <v>0</v>
      </c>
      <c r="J802" s="34" t="s">
        <v>889</v>
      </c>
      <c r="K802" s="34" t="s">
        <v>875</v>
      </c>
      <c r="L802" s="34">
        <v>3000</v>
      </c>
      <c r="M802" s="34"/>
      <c r="N802" s="34" t="str">
        <f t="shared" si="29"/>
        <v>Shield(Attack, 3000)</v>
      </c>
      <c r="O802" s="34">
        <v>0</v>
      </c>
      <c r="P802" s="34">
        <v>0</v>
      </c>
      <c r="Q802" s="34"/>
      <c r="R802" s="34" t="b">
        <v>1</v>
      </c>
    </row>
    <row r="803" spans="1:18" s="142" customFormat="1">
      <c r="A803" s="23" t="s">
        <v>3694</v>
      </c>
      <c r="B803" s="23"/>
      <c r="C803" s="23"/>
      <c r="D803" s="23">
        <v>0</v>
      </c>
      <c r="E803" s="23">
        <v>1</v>
      </c>
      <c r="F803" s="23" t="s">
        <v>197</v>
      </c>
      <c r="G803" s="23" t="s">
        <v>198</v>
      </c>
      <c r="H803" s="23"/>
      <c r="I803" s="23">
        <v>0</v>
      </c>
      <c r="J803" s="23" t="s">
        <v>876</v>
      </c>
      <c r="K803" s="23" t="s">
        <v>1758</v>
      </c>
      <c r="L803" s="23" t="s">
        <v>6910</v>
      </c>
      <c r="M803" s="23" t="s">
        <v>1759</v>
      </c>
      <c r="N803" s="23" t="str">
        <f t="shared" si="29"/>
        <v>Event(FireSkill, gray.passive.ex.buff.buffeffect.skilleffect.01, FireCondition(Skill2))</v>
      </c>
      <c r="O803" s="23">
        <v>0</v>
      </c>
      <c r="P803" s="23">
        <v>0</v>
      </c>
      <c r="Q803" s="23"/>
      <c r="R803" s="23" t="b">
        <v>1</v>
      </c>
    </row>
    <row r="804" spans="1:18" s="142" customFormat="1">
      <c r="A804" s="23" t="s">
        <v>3695</v>
      </c>
      <c r="B804" s="23"/>
      <c r="C804" s="23"/>
      <c r="D804" s="23">
        <v>0</v>
      </c>
      <c r="E804" s="23">
        <v>1</v>
      </c>
      <c r="F804" s="23" t="s">
        <v>197</v>
      </c>
      <c r="G804" s="23" t="s">
        <v>198</v>
      </c>
      <c r="H804" s="23"/>
      <c r="I804" s="23">
        <v>0</v>
      </c>
      <c r="J804" s="23" t="s">
        <v>876</v>
      </c>
      <c r="K804" s="23" t="s">
        <v>1758</v>
      </c>
      <c r="L804" s="23" t="s">
        <v>3699</v>
      </c>
      <c r="M804" s="23" t="s">
        <v>1759</v>
      </c>
      <c r="N804" s="23" t="str">
        <f t="shared" si="29"/>
        <v>Event(FireSkill, gray.passive.ex.buff.buffeffect.skilleffect.02, FireCondition(Skill2))</v>
      </c>
      <c r="O804" s="23">
        <v>0</v>
      </c>
      <c r="P804" s="23">
        <v>0</v>
      </c>
      <c r="Q804" s="23"/>
      <c r="R804" s="23" t="b">
        <v>1</v>
      </c>
    </row>
    <row r="805" spans="1:18" s="142" customFormat="1">
      <c r="A805" s="23" t="s">
        <v>3696</v>
      </c>
      <c r="B805" s="23"/>
      <c r="C805" s="23"/>
      <c r="D805" s="23">
        <v>0</v>
      </c>
      <c r="E805" s="23">
        <v>1</v>
      </c>
      <c r="F805" s="23" t="s">
        <v>197</v>
      </c>
      <c r="G805" s="23" t="s">
        <v>198</v>
      </c>
      <c r="H805" s="23"/>
      <c r="I805" s="23">
        <v>0</v>
      </c>
      <c r="J805" s="23" t="s">
        <v>876</v>
      </c>
      <c r="K805" s="23" t="s">
        <v>1758</v>
      </c>
      <c r="L805" s="23" t="s">
        <v>3700</v>
      </c>
      <c r="M805" s="23" t="s">
        <v>1759</v>
      </c>
      <c r="N805" s="23" t="str">
        <f t="shared" si="29"/>
        <v>Event(FireSkill, gray.passive.ex.buff.buffeffect.skilleffect.03, FireCondition(Skill2))</v>
      </c>
      <c r="O805" s="23">
        <v>0</v>
      </c>
      <c r="P805" s="23">
        <v>0</v>
      </c>
      <c r="Q805" s="23"/>
      <c r="R805" s="23" t="b">
        <v>1</v>
      </c>
    </row>
    <row r="806" spans="1:18" s="142" customFormat="1">
      <c r="A806" s="34" t="s">
        <v>3697</v>
      </c>
      <c r="B806" s="34"/>
      <c r="C806" s="34"/>
      <c r="D806" s="34">
        <v>0</v>
      </c>
      <c r="E806" s="34">
        <v>1</v>
      </c>
      <c r="F806" s="34" t="s">
        <v>197</v>
      </c>
      <c r="G806" s="34" t="s">
        <v>198</v>
      </c>
      <c r="H806" s="34"/>
      <c r="I806" s="34">
        <v>0</v>
      </c>
      <c r="J806" s="34" t="s">
        <v>876</v>
      </c>
      <c r="K806" s="34" t="s">
        <v>1758</v>
      </c>
      <c r="L806" s="34" t="s">
        <v>3701</v>
      </c>
      <c r="M806" s="34" t="s">
        <v>1759</v>
      </c>
      <c r="N806" s="34" t="str">
        <f t="shared" si="29"/>
        <v>Event(FireSkill, gray.passive.ex.buff.buffeffect.skilleffect.04, FireCondition(Skill2))</v>
      </c>
      <c r="O806" s="34">
        <v>0</v>
      </c>
      <c r="P806" s="34">
        <v>0</v>
      </c>
      <c r="Q806" s="34"/>
      <c r="R806" s="34" t="b">
        <v>1</v>
      </c>
    </row>
    <row r="807" spans="1:18" s="142" customFormat="1">
      <c r="A807" s="34" t="s">
        <v>3698</v>
      </c>
      <c r="B807" s="34"/>
      <c r="C807" s="34"/>
      <c r="D807" s="34">
        <v>0</v>
      </c>
      <c r="E807" s="34">
        <v>1</v>
      </c>
      <c r="F807" s="34" t="s">
        <v>197</v>
      </c>
      <c r="G807" s="34" t="s">
        <v>198</v>
      </c>
      <c r="H807" s="34"/>
      <c r="I807" s="34">
        <v>0</v>
      </c>
      <c r="J807" s="34" t="s">
        <v>876</v>
      </c>
      <c r="K807" s="34" t="s">
        <v>1758</v>
      </c>
      <c r="L807" s="34" t="s">
        <v>3702</v>
      </c>
      <c r="M807" s="34" t="s">
        <v>1759</v>
      </c>
      <c r="N807" s="34" t="str">
        <f t="shared" si="29"/>
        <v>Event(FireSkill, gray.passive.ex.buff.buffeffect.skilleffect.05, FireCondition(Skill2))</v>
      </c>
      <c r="O807" s="34">
        <v>0</v>
      </c>
      <c r="P807" s="34">
        <v>0</v>
      </c>
      <c r="Q807" s="34"/>
      <c r="R807" s="34" t="b">
        <v>1</v>
      </c>
    </row>
    <row r="808" spans="1:18" s="142" customFormat="1">
      <c r="A808" s="65" t="s">
        <v>6911</v>
      </c>
      <c r="B808" s="65"/>
      <c r="C808" s="65"/>
      <c r="D808" s="65">
        <v>0</v>
      </c>
      <c r="E808" s="65">
        <v>1</v>
      </c>
      <c r="F808" s="65" t="s">
        <v>197</v>
      </c>
      <c r="G808" s="65" t="s">
        <v>198</v>
      </c>
      <c r="H808" s="65"/>
      <c r="I808" s="65">
        <v>0</v>
      </c>
      <c r="J808" s="65" t="s">
        <v>837</v>
      </c>
      <c r="K808" s="65"/>
      <c r="L808" s="67"/>
      <c r="M808" s="65"/>
      <c r="N808" s="65" t="str">
        <f t="shared" si="29"/>
        <v>None()</v>
      </c>
      <c r="O808" s="65">
        <v>0</v>
      </c>
      <c r="P808" s="65">
        <v>0</v>
      </c>
      <c r="Q808" s="65"/>
      <c r="R808" s="65" t="b">
        <v>1</v>
      </c>
    </row>
    <row r="809" spans="1:18">
      <c r="A809" s="26" t="s">
        <v>6912</v>
      </c>
      <c r="B809" s="26" t="s">
        <v>1414</v>
      </c>
      <c r="C809" s="26" t="s">
        <v>4539</v>
      </c>
      <c r="D809" s="26">
        <v>0</v>
      </c>
      <c r="E809" s="26">
        <v>1</v>
      </c>
      <c r="F809" s="26" t="s">
        <v>197</v>
      </c>
      <c r="G809" s="26" t="s">
        <v>198</v>
      </c>
      <c r="H809" s="26"/>
      <c r="I809" s="26">
        <v>0</v>
      </c>
      <c r="J809" s="26" t="s">
        <v>893</v>
      </c>
      <c r="K809" s="26" t="s">
        <v>6913</v>
      </c>
      <c r="L809" s="45"/>
      <c r="M809" s="26"/>
      <c r="N809" s="26" t="str">
        <f t="shared" si="29"/>
        <v>Active(fei.ult.pre.buff.buffeffect.skilleffect.01)</v>
      </c>
      <c r="O809" s="26">
        <v>0</v>
      </c>
      <c r="P809" s="26">
        <v>0</v>
      </c>
      <c r="Q809" s="26"/>
      <c r="R809" s="26" t="b">
        <v>1</v>
      </c>
    </row>
    <row r="810" spans="1:18">
      <c r="A810" s="26" t="s">
        <v>4535</v>
      </c>
      <c r="B810" s="26" t="s">
        <v>1367</v>
      </c>
      <c r="C810" s="26" t="s">
        <v>4540</v>
      </c>
      <c r="D810" s="26">
        <v>0</v>
      </c>
      <c r="E810" s="26">
        <v>1</v>
      </c>
      <c r="F810" s="26" t="s">
        <v>197</v>
      </c>
      <c r="G810" s="26" t="s">
        <v>198</v>
      </c>
      <c r="H810" s="26"/>
      <c r="I810" s="26">
        <v>0</v>
      </c>
      <c r="J810" s="26" t="s">
        <v>893</v>
      </c>
      <c r="K810" s="26" t="s">
        <v>4530</v>
      </c>
      <c r="L810" s="45"/>
      <c r="M810" s="26"/>
      <c r="N810" s="26" t="str">
        <f t="shared" si="29"/>
        <v>Active(fei.ult.pre.buff.buffeffect.skilleffect.02)</v>
      </c>
      <c r="O810" s="26">
        <v>0</v>
      </c>
      <c r="P810" s="26">
        <v>0</v>
      </c>
      <c r="Q810" s="26"/>
      <c r="R810" s="26" t="b">
        <v>1</v>
      </c>
    </row>
    <row r="811" spans="1:18">
      <c r="A811" s="26" t="s">
        <v>4536</v>
      </c>
      <c r="B811" s="26" t="s">
        <v>1367</v>
      </c>
      <c r="C811" s="26" t="s">
        <v>2996</v>
      </c>
      <c r="D811" s="26">
        <v>0</v>
      </c>
      <c r="E811" s="26">
        <v>1</v>
      </c>
      <c r="F811" s="26" t="s">
        <v>197</v>
      </c>
      <c r="G811" s="26" t="s">
        <v>198</v>
      </c>
      <c r="H811" s="26"/>
      <c r="I811" s="26">
        <v>0</v>
      </c>
      <c r="J811" s="26" t="s">
        <v>893</v>
      </c>
      <c r="K811" s="26" t="s">
        <v>4531</v>
      </c>
      <c r="L811" s="45"/>
      <c r="M811" s="26"/>
      <c r="N811" s="26" t="str">
        <f t="shared" si="29"/>
        <v>Active(fei.ult.pre.buff.buffeffect.skilleffect.03)</v>
      </c>
      <c r="O811" s="26">
        <v>0</v>
      </c>
      <c r="P811" s="26">
        <v>0</v>
      </c>
      <c r="Q811" s="26"/>
      <c r="R811" s="26" t="b">
        <v>1</v>
      </c>
    </row>
    <row r="812" spans="1:18">
      <c r="A812" s="34" t="s">
        <v>4537</v>
      </c>
      <c r="B812" s="34" t="s">
        <v>1367</v>
      </c>
      <c r="C812" s="34" t="s">
        <v>2997</v>
      </c>
      <c r="D812" s="34">
        <v>0</v>
      </c>
      <c r="E812" s="34">
        <v>1</v>
      </c>
      <c r="F812" s="34" t="s">
        <v>197</v>
      </c>
      <c r="G812" s="34" t="s">
        <v>198</v>
      </c>
      <c r="H812" s="34"/>
      <c r="I812" s="34">
        <v>0</v>
      </c>
      <c r="J812" s="34" t="s">
        <v>893</v>
      </c>
      <c r="K812" s="34" t="s">
        <v>4532</v>
      </c>
      <c r="L812" s="40"/>
      <c r="M812" s="34"/>
      <c r="N812" s="34" t="str">
        <f t="shared" si="29"/>
        <v>Active(fei.ult.pre.buff.buffeffect.skilleffect.04)</v>
      </c>
      <c r="O812" s="34">
        <v>0</v>
      </c>
      <c r="P812" s="34">
        <v>0</v>
      </c>
      <c r="Q812" s="34"/>
      <c r="R812" s="34" t="b">
        <v>1</v>
      </c>
    </row>
    <row r="813" spans="1:18" s="142" customFormat="1">
      <c r="A813" s="34" t="s">
        <v>4538</v>
      </c>
      <c r="B813" s="34" t="s">
        <v>1367</v>
      </c>
      <c r="C813" s="34" t="s">
        <v>2998</v>
      </c>
      <c r="D813" s="34">
        <v>0</v>
      </c>
      <c r="E813" s="34">
        <v>1</v>
      </c>
      <c r="F813" s="34" t="s">
        <v>197</v>
      </c>
      <c r="G813" s="34" t="s">
        <v>198</v>
      </c>
      <c r="H813" s="34"/>
      <c r="I813" s="34">
        <v>0</v>
      </c>
      <c r="J813" s="34" t="s">
        <v>893</v>
      </c>
      <c r="K813" s="34" t="s">
        <v>4533</v>
      </c>
      <c r="L813" s="40"/>
      <c r="M813" s="34"/>
      <c r="N813" s="34" t="str">
        <f t="shared" si="29"/>
        <v>Active(fei.ult.pre.buff.buffeffect.skilleffect.05)</v>
      </c>
      <c r="O813" s="34">
        <v>0</v>
      </c>
      <c r="P813" s="34">
        <v>0</v>
      </c>
      <c r="Q813" s="34"/>
      <c r="R813" s="34" t="b">
        <v>1</v>
      </c>
    </row>
    <row r="814" spans="1:18">
      <c r="A814" s="25" t="s">
        <v>6914</v>
      </c>
      <c r="B814" s="25"/>
      <c r="C814" s="25"/>
      <c r="D814" s="25">
        <v>0</v>
      </c>
      <c r="E814" s="25">
        <v>1</v>
      </c>
      <c r="F814" s="26" t="s">
        <v>197</v>
      </c>
      <c r="G814" s="26" t="s">
        <v>198</v>
      </c>
      <c r="H814" s="25"/>
      <c r="I814" s="25">
        <v>0</v>
      </c>
      <c r="J814" s="25" t="s">
        <v>893</v>
      </c>
      <c r="K814" s="25" t="s">
        <v>6915</v>
      </c>
      <c r="L814" s="25"/>
      <c r="M814" s="25"/>
      <c r="N814" s="25" t="str">
        <f t="shared" si="29"/>
        <v>Active(fei.passive.maindealer.skilleffect)</v>
      </c>
      <c r="O814" s="25">
        <v>0</v>
      </c>
      <c r="P814" s="23">
        <v>0</v>
      </c>
      <c r="Q814" s="25"/>
      <c r="R814" s="25" t="b">
        <v>1</v>
      </c>
    </row>
    <row r="815" spans="1:18">
      <c r="A815" s="25" t="s">
        <v>7654</v>
      </c>
      <c r="B815" s="25"/>
      <c r="C815" s="25"/>
      <c r="D815" s="25">
        <v>0</v>
      </c>
      <c r="E815" s="25">
        <v>1</v>
      </c>
      <c r="F815" s="26" t="s">
        <v>197</v>
      </c>
      <c r="G815" s="26" t="s">
        <v>198</v>
      </c>
      <c r="H815" s="25"/>
      <c r="I815" s="25">
        <v>0</v>
      </c>
      <c r="J815" s="25" t="s">
        <v>838</v>
      </c>
      <c r="K815" s="25" t="s">
        <v>908</v>
      </c>
      <c r="L815" s="25">
        <v>150</v>
      </c>
      <c r="M815" s="25"/>
      <c r="N815" s="25" t="str">
        <f t="shared" si="29"/>
        <v>Status(AttackRatio, 150)</v>
      </c>
      <c r="O815" s="25">
        <v>0</v>
      </c>
      <c r="P815" s="23">
        <v>0</v>
      </c>
      <c r="Q815" s="25"/>
      <c r="R815" s="25" t="b">
        <v>1</v>
      </c>
    </row>
    <row r="816" spans="1:18">
      <c r="A816" s="26" t="s">
        <v>3942</v>
      </c>
      <c r="B816" s="26" t="s">
        <v>1365</v>
      </c>
      <c r="C816" s="26" t="s">
        <v>6510</v>
      </c>
      <c r="D816" s="26">
        <v>0</v>
      </c>
      <c r="E816" s="26">
        <v>1</v>
      </c>
      <c r="F816" s="26" t="s">
        <v>197</v>
      </c>
      <c r="G816" s="26" t="s">
        <v>198</v>
      </c>
      <c r="H816" s="26"/>
      <c r="I816" s="26">
        <v>0</v>
      </c>
      <c r="J816" s="26" t="s">
        <v>1254</v>
      </c>
      <c r="K816" s="26" t="s">
        <v>3977</v>
      </c>
      <c r="L816" s="26"/>
      <c r="M816" s="26"/>
      <c r="N816" s="26" t="str">
        <f t="shared" si="29"/>
        <v>Passive(fei.passive.maindealer.ranger)</v>
      </c>
      <c r="O816" s="26">
        <v>0</v>
      </c>
      <c r="P816" s="26">
        <v>0</v>
      </c>
      <c r="Q816" s="26"/>
      <c r="R816" s="26" t="b">
        <v>1</v>
      </c>
    </row>
    <row r="817" spans="1:18">
      <c r="A817" s="26" t="s">
        <v>3943</v>
      </c>
      <c r="B817" s="26" t="s">
        <v>1365</v>
      </c>
      <c r="C817" s="26" t="s">
        <v>1366</v>
      </c>
      <c r="D817" s="26">
        <v>0</v>
      </c>
      <c r="E817" s="26">
        <v>1</v>
      </c>
      <c r="F817" s="26" t="s">
        <v>197</v>
      </c>
      <c r="G817" s="26" t="s">
        <v>198</v>
      </c>
      <c r="H817" s="26"/>
      <c r="I817" s="26">
        <v>0</v>
      </c>
      <c r="J817" s="26" t="s">
        <v>1254</v>
      </c>
      <c r="K817" s="26" t="s">
        <v>3978</v>
      </c>
      <c r="L817" s="26"/>
      <c r="M817" s="26"/>
      <c r="N817" s="26" t="str">
        <f t="shared" si="29"/>
        <v>Passive(fei.passive.maindealer.attacker)</v>
      </c>
      <c r="O817" s="26">
        <v>0</v>
      </c>
      <c r="P817" s="26">
        <v>0</v>
      </c>
      <c r="Q817" s="26"/>
      <c r="R817" s="26" t="b">
        <v>1</v>
      </c>
    </row>
    <row r="818" spans="1:18">
      <c r="A818" s="25" t="s">
        <v>6917</v>
      </c>
      <c r="B818" s="25"/>
      <c r="C818" s="25"/>
      <c r="D818" s="25">
        <v>0</v>
      </c>
      <c r="E818" s="25">
        <v>1</v>
      </c>
      <c r="F818" s="25" t="s">
        <v>417</v>
      </c>
      <c r="G818" s="25" t="s">
        <v>418</v>
      </c>
      <c r="H818" s="25"/>
      <c r="I818" s="25">
        <v>0</v>
      </c>
      <c r="J818" s="25" t="s">
        <v>1254</v>
      </c>
      <c r="K818" s="25" t="s">
        <v>3964</v>
      </c>
      <c r="L818" s="25"/>
      <c r="M818" s="25"/>
      <c r="N818" s="25" t="str">
        <f t="shared" si="29"/>
        <v>Passive(fei.passive.ranger.buff.01)</v>
      </c>
      <c r="O818" s="25">
        <v>0</v>
      </c>
      <c r="P818" s="25">
        <v>0</v>
      </c>
      <c r="Q818" s="25"/>
      <c r="R818" s="25" t="b">
        <v>1</v>
      </c>
    </row>
    <row r="819" spans="1:18">
      <c r="A819" s="25" t="s">
        <v>3944</v>
      </c>
      <c r="B819" s="25"/>
      <c r="C819" s="25"/>
      <c r="D819" s="25">
        <v>0</v>
      </c>
      <c r="E819" s="25">
        <v>1</v>
      </c>
      <c r="F819" s="25" t="s">
        <v>417</v>
      </c>
      <c r="G819" s="25" t="s">
        <v>418</v>
      </c>
      <c r="H819" s="25"/>
      <c r="I819" s="25">
        <v>0</v>
      </c>
      <c r="J819" s="25" t="s">
        <v>1254</v>
      </c>
      <c r="K819" s="25" t="s">
        <v>3965</v>
      </c>
      <c r="L819" s="25"/>
      <c r="M819" s="25"/>
      <c r="N819" s="25" t="str">
        <f t="shared" si="29"/>
        <v>Passive(fei.passive.ranger.buff.02)</v>
      </c>
      <c r="O819" s="25">
        <v>0</v>
      </c>
      <c r="P819" s="25">
        <v>0</v>
      </c>
      <c r="Q819" s="25"/>
      <c r="R819" s="25" t="b">
        <v>1</v>
      </c>
    </row>
    <row r="820" spans="1:18">
      <c r="A820" s="25" t="s">
        <v>3945</v>
      </c>
      <c r="B820" s="25"/>
      <c r="C820" s="25"/>
      <c r="D820" s="25">
        <v>0</v>
      </c>
      <c r="E820" s="25">
        <v>1</v>
      </c>
      <c r="F820" s="25" t="s">
        <v>417</v>
      </c>
      <c r="G820" s="25" t="s">
        <v>418</v>
      </c>
      <c r="H820" s="25"/>
      <c r="I820" s="25">
        <v>0</v>
      </c>
      <c r="J820" s="25" t="s">
        <v>1254</v>
      </c>
      <c r="K820" s="25" t="s">
        <v>3966</v>
      </c>
      <c r="L820" s="25"/>
      <c r="M820" s="25"/>
      <c r="N820" s="25" t="str">
        <f t="shared" ref="N820:N890" si="30">J820&amp;"("&amp;IF(K820="","",K820)&amp;IF(L820="","",", "&amp;L820)&amp;IF(M820="","",", "&amp;M820)&amp;")"</f>
        <v>Passive(fei.passive.ranger.buff.03)</v>
      </c>
      <c r="O820" s="25">
        <v>0</v>
      </c>
      <c r="P820" s="25">
        <v>0</v>
      </c>
      <c r="Q820" s="25"/>
      <c r="R820" s="25" t="b">
        <v>1</v>
      </c>
    </row>
    <row r="821" spans="1:18">
      <c r="A821" s="26" t="s">
        <v>3946</v>
      </c>
      <c r="B821" s="26"/>
      <c r="C821" s="26"/>
      <c r="D821" s="26">
        <v>0</v>
      </c>
      <c r="E821" s="26">
        <v>1</v>
      </c>
      <c r="F821" s="26" t="s">
        <v>417</v>
      </c>
      <c r="G821" s="26" t="s">
        <v>418</v>
      </c>
      <c r="H821" s="26"/>
      <c r="I821" s="26">
        <v>0</v>
      </c>
      <c r="J821" s="26" t="s">
        <v>1254</v>
      </c>
      <c r="K821" s="26" t="s">
        <v>3967</v>
      </c>
      <c r="L821" s="26"/>
      <c r="M821" s="26"/>
      <c r="N821" s="26" t="str">
        <f t="shared" si="30"/>
        <v>Passive(fei.passive.ranger.buff.04)</v>
      </c>
      <c r="O821" s="26">
        <v>0</v>
      </c>
      <c r="P821" s="26">
        <v>0</v>
      </c>
      <c r="Q821" s="26"/>
      <c r="R821" s="26" t="b">
        <v>1</v>
      </c>
    </row>
    <row r="822" spans="1:18">
      <c r="A822" s="26" t="s">
        <v>3947</v>
      </c>
      <c r="B822" s="26"/>
      <c r="C822" s="26"/>
      <c r="D822" s="26">
        <v>0</v>
      </c>
      <c r="E822" s="26">
        <v>1</v>
      </c>
      <c r="F822" s="26" t="s">
        <v>417</v>
      </c>
      <c r="G822" s="26" t="s">
        <v>418</v>
      </c>
      <c r="H822" s="26"/>
      <c r="I822" s="26">
        <v>0</v>
      </c>
      <c r="J822" s="26" t="s">
        <v>1254</v>
      </c>
      <c r="K822" s="26" t="s">
        <v>3968</v>
      </c>
      <c r="L822" s="26"/>
      <c r="M822" s="26"/>
      <c r="N822" s="26" t="str">
        <f t="shared" si="30"/>
        <v>Passive(fei.passive.ranger.buff.05)</v>
      </c>
      <c r="O822" s="26">
        <v>0</v>
      </c>
      <c r="P822" s="26">
        <v>0</v>
      </c>
      <c r="Q822" s="26"/>
      <c r="R822" s="26" t="b">
        <v>1</v>
      </c>
    </row>
    <row r="823" spans="1:18">
      <c r="A823" s="26" t="s">
        <v>3948</v>
      </c>
      <c r="B823" s="26"/>
      <c r="C823" s="26"/>
      <c r="D823" s="26">
        <v>0</v>
      </c>
      <c r="E823" s="26">
        <v>1</v>
      </c>
      <c r="F823" s="26" t="s">
        <v>417</v>
      </c>
      <c r="G823" s="26" t="s">
        <v>418</v>
      </c>
      <c r="H823" s="26"/>
      <c r="I823" s="26">
        <v>0</v>
      </c>
      <c r="J823" s="26" t="s">
        <v>1254</v>
      </c>
      <c r="K823" s="26" t="s">
        <v>3969</v>
      </c>
      <c r="L823" s="26"/>
      <c r="M823" s="26"/>
      <c r="N823" s="26" t="str">
        <f t="shared" si="30"/>
        <v>Passive(fei.passive.ranger.buff.06)</v>
      </c>
      <c r="O823" s="26">
        <v>0</v>
      </c>
      <c r="P823" s="26">
        <v>0</v>
      </c>
      <c r="Q823" s="26"/>
      <c r="R823" s="26" t="b">
        <v>1</v>
      </c>
    </row>
    <row r="824" spans="1:18">
      <c r="A824" s="25" t="s">
        <v>6918</v>
      </c>
      <c r="B824" s="25"/>
      <c r="C824" s="25"/>
      <c r="D824" s="25">
        <v>0</v>
      </c>
      <c r="E824" s="25">
        <v>1</v>
      </c>
      <c r="F824" s="25" t="s">
        <v>417</v>
      </c>
      <c r="G824" s="25" t="s">
        <v>418</v>
      </c>
      <c r="H824" s="25"/>
      <c r="I824" s="25">
        <v>0</v>
      </c>
      <c r="J824" s="25" t="s">
        <v>1254</v>
      </c>
      <c r="K824" s="25" t="s">
        <v>3970</v>
      </c>
      <c r="L824" s="25"/>
      <c r="M824" s="25"/>
      <c r="N824" s="25" t="str">
        <f t="shared" si="30"/>
        <v>Passive(fei.passive.attacker.buff.01)</v>
      </c>
      <c r="O824" s="25">
        <v>0</v>
      </c>
      <c r="P824" s="25">
        <v>0</v>
      </c>
      <c r="Q824" s="25"/>
      <c r="R824" s="25" t="b">
        <v>1</v>
      </c>
    </row>
    <row r="825" spans="1:18">
      <c r="A825" s="25" t="s">
        <v>3949</v>
      </c>
      <c r="B825" s="25"/>
      <c r="C825" s="25"/>
      <c r="D825" s="25">
        <v>0</v>
      </c>
      <c r="E825" s="25">
        <v>1</v>
      </c>
      <c r="F825" s="25" t="s">
        <v>417</v>
      </c>
      <c r="G825" s="25" t="s">
        <v>418</v>
      </c>
      <c r="H825" s="25"/>
      <c r="I825" s="25">
        <v>0</v>
      </c>
      <c r="J825" s="25" t="s">
        <v>1254</v>
      </c>
      <c r="K825" s="25" t="s">
        <v>3971</v>
      </c>
      <c r="L825" s="25"/>
      <c r="M825" s="25"/>
      <c r="N825" s="25" t="str">
        <f t="shared" si="30"/>
        <v>Passive(fei.passive.attacker.buff.02)</v>
      </c>
      <c r="O825" s="25">
        <v>0</v>
      </c>
      <c r="P825" s="25">
        <v>0</v>
      </c>
      <c r="Q825" s="25"/>
      <c r="R825" s="25" t="b">
        <v>1</v>
      </c>
    </row>
    <row r="826" spans="1:18">
      <c r="A826" s="25" t="s">
        <v>3950</v>
      </c>
      <c r="B826" s="25"/>
      <c r="C826" s="25"/>
      <c r="D826" s="25">
        <v>0</v>
      </c>
      <c r="E826" s="25">
        <v>1</v>
      </c>
      <c r="F826" s="25" t="s">
        <v>417</v>
      </c>
      <c r="G826" s="25" t="s">
        <v>418</v>
      </c>
      <c r="H826" s="25"/>
      <c r="I826" s="25">
        <v>0</v>
      </c>
      <c r="J826" s="25" t="s">
        <v>1254</v>
      </c>
      <c r="K826" s="25" t="s">
        <v>3972</v>
      </c>
      <c r="L826" s="25"/>
      <c r="M826" s="25"/>
      <c r="N826" s="25" t="str">
        <f t="shared" si="30"/>
        <v>Passive(fei.passive.attacker.buff.03)</v>
      </c>
      <c r="O826" s="25">
        <v>0</v>
      </c>
      <c r="P826" s="25">
        <v>0</v>
      </c>
      <c r="Q826" s="25"/>
      <c r="R826" s="25" t="b">
        <v>1</v>
      </c>
    </row>
    <row r="827" spans="1:18">
      <c r="A827" s="26" t="s">
        <v>3951</v>
      </c>
      <c r="B827" s="26"/>
      <c r="C827" s="26"/>
      <c r="D827" s="26">
        <v>0</v>
      </c>
      <c r="E827" s="26">
        <v>1</v>
      </c>
      <c r="F827" s="26" t="s">
        <v>417</v>
      </c>
      <c r="G827" s="26" t="s">
        <v>418</v>
      </c>
      <c r="H827" s="26"/>
      <c r="I827" s="26">
        <v>0</v>
      </c>
      <c r="J827" s="26" t="s">
        <v>1254</v>
      </c>
      <c r="K827" s="26" t="s">
        <v>3973</v>
      </c>
      <c r="L827" s="26"/>
      <c r="M827" s="26"/>
      <c r="N827" s="26" t="str">
        <f t="shared" si="30"/>
        <v>Passive(fei.passive.attacker.buff.04)</v>
      </c>
      <c r="O827" s="26">
        <v>0</v>
      </c>
      <c r="P827" s="26">
        <v>0</v>
      </c>
      <c r="Q827" s="26"/>
      <c r="R827" s="26" t="b">
        <v>1</v>
      </c>
    </row>
    <row r="828" spans="1:18">
      <c r="A828" s="26" t="s">
        <v>3952</v>
      </c>
      <c r="B828" s="26"/>
      <c r="C828" s="26"/>
      <c r="D828" s="26">
        <v>0</v>
      </c>
      <c r="E828" s="26">
        <v>1</v>
      </c>
      <c r="F828" s="26" t="s">
        <v>417</v>
      </c>
      <c r="G828" s="26" t="s">
        <v>418</v>
      </c>
      <c r="H828" s="26"/>
      <c r="I828" s="26">
        <v>0</v>
      </c>
      <c r="J828" s="26" t="s">
        <v>1254</v>
      </c>
      <c r="K828" s="26" t="s">
        <v>3974</v>
      </c>
      <c r="L828" s="26"/>
      <c r="M828" s="26"/>
      <c r="N828" s="26" t="str">
        <f t="shared" si="30"/>
        <v>Passive(fei.passive.attacker.buff.05)</v>
      </c>
      <c r="O828" s="26">
        <v>0</v>
      </c>
      <c r="P828" s="26">
        <v>0</v>
      </c>
      <c r="Q828" s="26"/>
      <c r="R828" s="26" t="b">
        <v>1</v>
      </c>
    </row>
    <row r="829" spans="1:18">
      <c r="A829" s="26" t="s">
        <v>3953</v>
      </c>
      <c r="B829" s="26"/>
      <c r="C829" s="26"/>
      <c r="D829" s="26">
        <v>0</v>
      </c>
      <c r="E829" s="26">
        <v>1</v>
      </c>
      <c r="F829" s="26" t="s">
        <v>417</v>
      </c>
      <c r="G829" s="26" t="s">
        <v>418</v>
      </c>
      <c r="H829" s="26"/>
      <c r="I829" s="26">
        <v>0</v>
      </c>
      <c r="J829" s="26" t="s">
        <v>1254</v>
      </c>
      <c r="K829" s="26" t="s">
        <v>3975</v>
      </c>
      <c r="L829" s="26"/>
      <c r="M829" s="26"/>
      <c r="N829" s="26" t="str">
        <f t="shared" si="30"/>
        <v>Passive(fei.passive.attacker.buff.06)</v>
      </c>
      <c r="O829" s="26">
        <v>0</v>
      </c>
      <c r="P829" s="26">
        <v>0</v>
      </c>
      <c r="Q829" s="26"/>
      <c r="R829" s="26" t="b">
        <v>1</v>
      </c>
    </row>
    <row r="830" spans="1:18">
      <c r="A830" s="25" t="s">
        <v>6782</v>
      </c>
      <c r="B830" s="25" t="s">
        <v>1367</v>
      </c>
      <c r="C830" s="25" t="s">
        <v>3977</v>
      </c>
      <c r="D830" s="25">
        <v>0</v>
      </c>
      <c r="E830" s="25">
        <v>1</v>
      </c>
      <c r="F830" s="25" t="s">
        <v>197</v>
      </c>
      <c r="G830" s="25" t="s">
        <v>198</v>
      </c>
      <c r="H830" s="25"/>
      <c r="I830" s="25">
        <v>0</v>
      </c>
      <c r="J830" s="25" t="s">
        <v>838</v>
      </c>
      <c r="K830" s="25" t="s">
        <v>926</v>
      </c>
      <c r="L830" s="25">
        <v>400</v>
      </c>
      <c r="M830" s="25"/>
      <c r="N830" s="25" t="str">
        <f t="shared" si="30"/>
        <v>Status(CriticalDamageRate, 400)</v>
      </c>
      <c r="O830" s="25">
        <v>0</v>
      </c>
      <c r="P830" s="25">
        <v>0</v>
      </c>
      <c r="Q830" s="25"/>
      <c r="R830" s="25" t="b">
        <v>1</v>
      </c>
    </row>
    <row r="831" spans="1:18">
      <c r="A831" s="25" t="s">
        <v>3954</v>
      </c>
      <c r="B831" s="25" t="s">
        <v>1367</v>
      </c>
      <c r="C831" s="25" t="s">
        <v>3977</v>
      </c>
      <c r="D831" s="25">
        <v>0</v>
      </c>
      <c r="E831" s="25">
        <v>1</v>
      </c>
      <c r="F831" s="25" t="s">
        <v>197</v>
      </c>
      <c r="G831" s="25" t="s">
        <v>198</v>
      </c>
      <c r="H831" s="25"/>
      <c r="I831" s="25">
        <v>0</v>
      </c>
      <c r="J831" s="25" t="s">
        <v>838</v>
      </c>
      <c r="K831" s="25" t="s">
        <v>926</v>
      </c>
      <c r="L831" s="25">
        <v>500</v>
      </c>
      <c r="M831" s="25"/>
      <c r="N831" s="25" t="str">
        <f t="shared" si="30"/>
        <v>Status(CriticalDamageRate, 500)</v>
      </c>
      <c r="O831" s="25">
        <v>0</v>
      </c>
      <c r="P831" s="25">
        <v>0</v>
      </c>
      <c r="Q831" s="25"/>
      <c r="R831" s="25" t="b">
        <v>1</v>
      </c>
    </row>
    <row r="832" spans="1:18">
      <c r="A832" s="25" t="s">
        <v>3955</v>
      </c>
      <c r="B832" s="25" t="s">
        <v>1367</v>
      </c>
      <c r="C832" s="25" t="s">
        <v>3977</v>
      </c>
      <c r="D832" s="25">
        <v>0</v>
      </c>
      <c r="E832" s="25">
        <v>1</v>
      </c>
      <c r="F832" s="25" t="s">
        <v>197</v>
      </c>
      <c r="G832" s="25" t="s">
        <v>198</v>
      </c>
      <c r="H832" s="25"/>
      <c r="I832" s="25">
        <v>0</v>
      </c>
      <c r="J832" s="25" t="s">
        <v>838</v>
      </c>
      <c r="K832" s="25" t="s">
        <v>926</v>
      </c>
      <c r="L832" s="25">
        <v>600</v>
      </c>
      <c r="M832" s="25"/>
      <c r="N832" s="25" t="str">
        <f t="shared" si="30"/>
        <v>Status(CriticalDamageRate, 600)</v>
      </c>
      <c r="O832" s="25">
        <v>0</v>
      </c>
      <c r="P832" s="25">
        <v>0</v>
      </c>
      <c r="Q832" s="25"/>
      <c r="R832" s="25" t="b">
        <v>1</v>
      </c>
    </row>
    <row r="833" spans="1:18">
      <c r="A833" s="26" t="s">
        <v>3956</v>
      </c>
      <c r="B833" s="26" t="s">
        <v>1367</v>
      </c>
      <c r="C833" s="26" t="s">
        <v>3977</v>
      </c>
      <c r="D833" s="26">
        <v>0</v>
      </c>
      <c r="E833" s="26">
        <v>1</v>
      </c>
      <c r="F833" s="26" t="s">
        <v>197</v>
      </c>
      <c r="G833" s="26" t="s">
        <v>198</v>
      </c>
      <c r="H833" s="26"/>
      <c r="I833" s="26">
        <v>0</v>
      </c>
      <c r="J833" s="26" t="s">
        <v>838</v>
      </c>
      <c r="K833" s="26" t="s">
        <v>926</v>
      </c>
      <c r="L833" s="26">
        <v>700</v>
      </c>
      <c r="M833" s="26"/>
      <c r="N833" s="26" t="str">
        <f t="shared" si="30"/>
        <v>Status(CriticalDamageRate, 700)</v>
      </c>
      <c r="O833" s="26">
        <v>0</v>
      </c>
      <c r="P833" s="26">
        <v>0</v>
      </c>
      <c r="Q833" s="26"/>
      <c r="R833" s="26" t="b">
        <v>1</v>
      </c>
    </row>
    <row r="834" spans="1:18">
      <c r="A834" s="26" t="s">
        <v>3957</v>
      </c>
      <c r="B834" s="26" t="s">
        <v>1367</v>
      </c>
      <c r="C834" s="26" t="s">
        <v>3977</v>
      </c>
      <c r="D834" s="26">
        <v>0</v>
      </c>
      <c r="E834" s="26">
        <v>1</v>
      </c>
      <c r="F834" s="26" t="s">
        <v>197</v>
      </c>
      <c r="G834" s="26" t="s">
        <v>198</v>
      </c>
      <c r="H834" s="26"/>
      <c r="I834" s="26">
        <v>0</v>
      </c>
      <c r="J834" s="26" t="s">
        <v>838</v>
      </c>
      <c r="K834" s="26" t="s">
        <v>926</v>
      </c>
      <c r="L834" s="26">
        <v>800</v>
      </c>
      <c r="M834" s="26"/>
      <c r="N834" s="26" t="str">
        <f t="shared" si="30"/>
        <v>Status(CriticalDamageRate, 800)</v>
      </c>
      <c r="O834" s="26">
        <v>0</v>
      </c>
      <c r="P834" s="26">
        <v>0</v>
      </c>
      <c r="Q834" s="26"/>
      <c r="R834" s="26" t="b">
        <v>1</v>
      </c>
    </row>
    <row r="835" spans="1:18">
      <c r="A835" s="26" t="s">
        <v>3958</v>
      </c>
      <c r="B835" s="26" t="s">
        <v>1367</v>
      </c>
      <c r="C835" s="26" t="s">
        <v>3977</v>
      </c>
      <c r="D835" s="26">
        <v>0</v>
      </c>
      <c r="E835" s="26">
        <v>1</v>
      </c>
      <c r="F835" s="26" t="s">
        <v>197</v>
      </c>
      <c r="G835" s="26" t="s">
        <v>198</v>
      </c>
      <c r="H835" s="26"/>
      <c r="I835" s="26">
        <v>0</v>
      </c>
      <c r="J835" s="26" t="s">
        <v>838</v>
      </c>
      <c r="K835" s="26" t="s">
        <v>926</v>
      </c>
      <c r="L835" s="26">
        <v>700</v>
      </c>
      <c r="M835" s="26"/>
      <c r="N835" s="26" t="str">
        <f t="shared" si="30"/>
        <v>Status(CriticalDamageRate, 700)</v>
      </c>
      <c r="O835" s="26">
        <v>0</v>
      </c>
      <c r="P835" s="26">
        <v>0</v>
      </c>
      <c r="Q835" s="26"/>
      <c r="R835" s="26" t="b">
        <v>1</v>
      </c>
    </row>
    <row r="836" spans="1:18">
      <c r="A836" s="25" t="s">
        <v>6783</v>
      </c>
      <c r="B836" s="25" t="s">
        <v>1367</v>
      </c>
      <c r="C836" s="25" t="s">
        <v>3978</v>
      </c>
      <c r="D836" s="25">
        <v>0</v>
      </c>
      <c r="E836" s="25">
        <v>1</v>
      </c>
      <c r="F836" s="25" t="s">
        <v>197</v>
      </c>
      <c r="G836" s="25" t="s">
        <v>198</v>
      </c>
      <c r="H836" s="25"/>
      <c r="I836" s="25">
        <v>0</v>
      </c>
      <c r="J836" s="25" t="s">
        <v>838</v>
      </c>
      <c r="K836" s="25" t="s">
        <v>867</v>
      </c>
      <c r="L836" s="25">
        <v>150</v>
      </c>
      <c r="M836" s="25"/>
      <c r="N836" s="25" t="str">
        <f t="shared" si="30"/>
        <v>Status(CriticalRate, 150)</v>
      </c>
      <c r="O836" s="25">
        <v>0</v>
      </c>
      <c r="P836" s="25">
        <v>0</v>
      </c>
      <c r="Q836" s="25"/>
      <c r="R836" s="25" t="b">
        <v>1</v>
      </c>
    </row>
    <row r="837" spans="1:18">
      <c r="A837" s="25" t="s">
        <v>3959</v>
      </c>
      <c r="B837" s="25" t="s">
        <v>1367</v>
      </c>
      <c r="C837" s="25" t="s">
        <v>3978</v>
      </c>
      <c r="D837" s="25">
        <v>0</v>
      </c>
      <c r="E837" s="25">
        <v>1</v>
      </c>
      <c r="F837" s="25" t="s">
        <v>197</v>
      </c>
      <c r="G837" s="25" t="s">
        <v>198</v>
      </c>
      <c r="H837" s="25"/>
      <c r="I837" s="25">
        <v>0</v>
      </c>
      <c r="J837" s="25" t="s">
        <v>838</v>
      </c>
      <c r="K837" s="25" t="s">
        <v>867</v>
      </c>
      <c r="L837" s="25">
        <v>175</v>
      </c>
      <c r="M837" s="25"/>
      <c r="N837" s="25" t="str">
        <f t="shared" si="30"/>
        <v>Status(CriticalRate, 175)</v>
      </c>
      <c r="O837" s="25">
        <v>0</v>
      </c>
      <c r="P837" s="25">
        <v>0</v>
      </c>
      <c r="Q837" s="25"/>
      <c r="R837" s="25" t="b">
        <v>1</v>
      </c>
    </row>
    <row r="838" spans="1:18">
      <c r="A838" s="25" t="s">
        <v>3960</v>
      </c>
      <c r="B838" s="25" t="s">
        <v>1367</v>
      </c>
      <c r="C838" s="25" t="s">
        <v>3978</v>
      </c>
      <c r="D838" s="25">
        <v>0</v>
      </c>
      <c r="E838" s="25">
        <v>1</v>
      </c>
      <c r="F838" s="25" t="s">
        <v>197</v>
      </c>
      <c r="G838" s="25" t="s">
        <v>198</v>
      </c>
      <c r="H838" s="25"/>
      <c r="I838" s="25">
        <v>0</v>
      </c>
      <c r="J838" s="25" t="s">
        <v>838</v>
      </c>
      <c r="K838" s="25" t="s">
        <v>867</v>
      </c>
      <c r="L838" s="25">
        <v>200</v>
      </c>
      <c r="M838" s="25"/>
      <c r="N838" s="25" t="str">
        <f t="shared" si="30"/>
        <v>Status(CriticalRate, 200)</v>
      </c>
      <c r="O838" s="25">
        <v>0</v>
      </c>
      <c r="P838" s="25">
        <v>0</v>
      </c>
      <c r="Q838" s="25"/>
      <c r="R838" s="25" t="b">
        <v>1</v>
      </c>
    </row>
    <row r="839" spans="1:18">
      <c r="A839" s="26" t="s">
        <v>3961</v>
      </c>
      <c r="B839" s="26" t="s">
        <v>1367</v>
      </c>
      <c r="C839" s="26" t="s">
        <v>3978</v>
      </c>
      <c r="D839" s="26">
        <v>0</v>
      </c>
      <c r="E839" s="26">
        <v>1</v>
      </c>
      <c r="F839" s="26" t="s">
        <v>197</v>
      </c>
      <c r="G839" s="26" t="s">
        <v>198</v>
      </c>
      <c r="H839" s="26"/>
      <c r="I839" s="26">
        <v>0</v>
      </c>
      <c r="J839" s="26" t="s">
        <v>838</v>
      </c>
      <c r="K839" s="26" t="s">
        <v>867</v>
      </c>
      <c r="L839" s="26">
        <v>225</v>
      </c>
      <c r="M839" s="26"/>
      <c r="N839" s="26" t="str">
        <f t="shared" si="30"/>
        <v>Status(CriticalRate, 225)</v>
      </c>
      <c r="O839" s="26">
        <v>0</v>
      </c>
      <c r="P839" s="26">
        <v>0</v>
      </c>
      <c r="Q839" s="26"/>
      <c r="R839" s="26" t="b">
        <v>1</v>
      </c>
    </row>
    <row r="840" spans="1:18">
      <c r="A840" s="26" t="s">
        <v>3962</v>
      </c>
      <c r="B840" s="26" t="s">
        <v>1367</v>
      </c>
      <c r="C840" s="26" t="s">
        <v>3978</v>
      </c>
      <c r="D840" s="26">
        <v>0</v>
      </c>
      <c r="E840" s="26">
        <v>1</v>
      </c>
      <c r="F840" s="26" t="s">
        <v>197</v>
      </c>
      <c r="G840" s="26" t="s">
        <v>198</v>
      </c>
      <c r="H840" s="26"/>
      <c r="I840" s="26">
        <v>0</v>
      </c>
      <c r="J840" s="26" t="s">
        <v>838</v>
      </c>
      <c r="K840" s="26" t="s">
        <v>867</v>
      </c>
      <c r="L840" s="26">
        <v>250</v>
      </c>
      <c r="M840" s="26"/>
      <c r="N840" s="26" t="str">
        <f t="shared" si="30"/>
        <v>Status(CriticalRate, 250)</v>
      </c>
      <c r="O840" s="26">
        <v>0</v>
      </c>
      <c r="P840" s="26">
        <v>0</v>
      </c>
      <c r="Q840" s="26"/>
      <c r="R840" s="26" t="b">
        <v>1</v>
      </c>
    </row>
    <row r="841" spans="1:18">
      <c r="A841" s="26" t="s">
        <v>3963</v>
      </c>
      <c r="B841" s="26" t="s">
        <v>1367</v>
      </c>
      <c r="C841" s="26" t="s">
        <v>3978</v>
      </c>
      <c r="D841" s="26">
        <v>0</v>
      </c>
      <c r="E841" s="26">
        <v>1</v>
      </c>
      <c r="F841" s="26" t="s">
        <v>197</v>
      </c>
      <c r="G841" s="26" t="s">
        <v>198</v>
      </c>
      <c r="H841" s="26"/>
      <c r="I841" s="26">
        <v>0</v>
      </c>
      <c r="J841" s="26" t="s">
        <v>838</v>
      </c>
      <c r="K841" s="26" t="s">
        <v>867</v>
      </c>
      <c r="L841" s="26">
        <v>220</v>
      </c>
      <c r="M841" s="26"/>
      <c r="N841" s="26" t="str">
        <f t="shared" si="30"/>
        <v>Status(CriticalRate, 220)</v>
      </c>
      <c r="O841" s="26">
        <v>0</v>
      </c>
      <c r="P841" s="26">
        <v>0</v>
      </c>
      <c r="Q841" s="26"/>
      <c r="R841" s="26" t="b">
        <v>1</v>
      </c>
    </row>
    <row r="842" spans="1:18">
      <c r="A842" s="25" t="s">
        <v>6919</v>
      </c>
      <c r="B842" s="25"/>
      <c r="C842" s="25"/>
      <c r="D842" s="25">
        <v>0</v>
      </c>
      <c r="E842" s="25">
        <v>1</v>
      </c>
      <c r="F842" s="26" t="s">
        <v>197</v>
      </c>
      <c r="G842" s="26" t="s">
        <v>198</v>
      </c>
      <c r="H842" s="25"/>
      <c r="I842" s="25">
        <v>0</v>
      </c>
      <c r="J842" s="25" t="s">
        <v>876</v>
      </c>
      <c r="K842" s="25" t="s">
        <v>1758</v>
      </c>
      <c r="L842" s="25" t="s">
        <v>6920</v>
      </c>
      <c r="M842" s="25" t="s">
        <v>3976</v>
      </c>
      <c r="N842" s="25" t="str">
        <f t="shared" si="30"/>
        <v>Event(FireSkill, fei.passive.ex.buff.buffeffect.skilleffect.01, FireCondition(Ultimate))</v>
      </c>
      <c r="O842" s="25">
        <v>0</v>
      </c>
      <c r="P842" s="25">
        <v>0</v>
      </c>
      <c r="Q842" s="25"/>
      <c r="R842" s="25" t="b">
        <v>1</v>
      </c>
    </row>
    <row r="843" spans="1:18">
      <c r="A843" s="25" t="s">
        <v>3001</v>
      </c>
      <c r="B843" s="25"/>
      <c r="C843" s="25"/>
      <c r="D843" s="25">
        <v>0</v>
      </c>
      <c r="E843" s="25">
        <v>1</v>
      </c>
      <c r="F843" s="25" t="s">
        <v>197</v>
      </c>
      <c r="G843" s="25" t="s">
        <v>198</v>
      </c>
      <c r="H843" s="25"/>
      <c r="I843" s="25">
        <v>0</v>
      </c>
      <c r="J843" s="25" t="s">
        <v>876</v>
      </c>
      <c r="K843" s="25" t="s">
        <v>1758</v>
      </c>
      <c r="L843" s="25" t="s">
        <v>3017</v>
      </c>
      <c r="M843" s="25" t="s">
        <v>3976</v>
      </c>
      <c r="N843" s="25" t="str">
        <f t="shared" si="30"/>
        <v>Event(FireSkill, fei.passive.ex.buff.buffeffect.skilleffect.02, FireCondition(Ultimate))</v>
      </c>
      <c r="O843" s="25">
        <v>0</v>
      </c>
      <c r="P843" s="25">
        <v>0</v>
      </c>
      <c r="Q843" s="25"/>
      <c r="R843" s="25" t="b">
        <v>1</v>
      </c>
    </row>
    <row r="844" spans="1:18">
      <c r="A844" s="25" t="s">
        <v>3002</v>
      </c>
      <c r="B844" s="25"/>
      <c r="C844" s="25"/>
      <c r="D844" s="25">
        <v>0</v>
      </c>
      <c r="E844" s="25">
        <v>1</v>
      </c>
      <c r="F844" s="25" t="s">
        <v>197</v>
      </c>
      <c r="G844" s="25" t="s">
        <v>198</v>
      </c>
      <c r="H844" s="25"/>
      <c r="I844" s="25">
        <v>0</v>
      </c>
      <c r="J844" s="25" t="s">
        <v>876</v>
      </c>
      <c r="K844" s="25" t="s">
        <v>1758</v>
      </c>
      <c r="L844" s="25" t="s">
        <v>3018</v>
      </c>
      <c r="M844" s="25" t="s">
        <v>3976</v>
      </c>
      <c r="N844" s="25" t="str">
        <f t="shared" si="30"/>
        <v>Event(FireSkill, fei.passive.ex.buff.buffeffect.skilleffect.03, FireCondition(Ultimate))</v>
      </c>
      <c r="O844" s="25">
        <v>0</v>
      </c>
      <c r="P844" s="25">
        <v>0</v>
      </c>
      <c r="Q844" s="25"/>
      <c r="R844" s="25" t="b">
        <v>1</v>
      </c>
    </row>
    <row r="845" spans="1:18">
      <c r="A845" s="26" t="s">
        <v>3003</v>
      </c>
      <c r="B845" s="26"/>
      <c r="C845" s="26"/>
      <c r="D845" s="26">
        <v>0</v>
      </c>
      <c r="E845" s="26">
        <v>1</v>
      </c>
      <c r="F845" s="26" t="s">
        <v>197</v>
      </c>
      <c r="G845" s="26" t="s">
        <v>198</v>
      </c>
      <c r="H845" s="26"/>
      <c r="I845" s="26">
        <v>0</v>
      </c>
      <c r="J845" s="26" t="s">
        <v>876</v>
      </c>
      <c r="K845" s="26" t="s">
        <v>1758</v>
      </c>
      <c r="L845" s="26" t="s">
        <v>3019</v>
      </c>
      <c r="M845" s="26" t="s">
        <v>3976</v>
      </c>
      <c r="N845" s="26" t="str">
        <f t="shared" si="30"/>
        <v>Event(FireSkill, fei.passive.ex.buff.buffeffect.skilleffect.04, FireCondition(Ultimate))</v>
      </c>
      <c r="O845" s="26">
        <v>0</v>
      </c>
      <c r="P845" s="26">
        <v>0</v>
      </c>
      <c r="Q845" s="26"/>
      <c r="R845" s="26" t="b">
        <v>1</v>
      </c>
    </row>
    <row r="846" spans="1:18">
      <c r="A846" s="26" t="s">
        <v>3004</v>
      </c>
      <c r="B846" s="26"/>
      <c r="C846" s="26"/>
      <c r="D846" s="26">
        <v>0</v>
      </c>
      <c r="E846" s="26">
        <v>1</v>
      </c>
      <c r="F846" s="26" t="s">
        <v>197</v>
      </c>
      <c r="G846" s="26" t="s">
        <v>198</v>
      </c>
      <c r="H846" s="26"/>
      <c r="I846" s="26">
        <v>0</v>
      </c>
      <c r="J846" s="26" t="s">
        <v>876</v>
      </c>
      <c r="K846" s="26" t="s">
        <v>1758</v>
      </c>
      <c r="L846" s="26" t="s">
        <v>3020</v>
      </c>
      <c r="M846" s="26" t="s">
        <v>3976</v>
      </c>
      <c r="N846" s="26" t="str">
        <f t="shared" si="30"/>
        <v>Event(FireSkill, fei.passive.ex.buff.buffeffect.skilleffect.05, FireCondition(Ultimate))</v>
      </c>
      <c r="O846" s="26">
        <v>0</v>
      </c>
      <c r="P846" s="26">
        <v>0</v>
      </c>
      <c r="Q846" s="26"/>
      <c r="R846" s="26" t="b">
        <v>1</v>
      </c>
    </row>
    <row r="847" spans="1:18">
      <c r="A847" s="26" t="s">
        <v>3005</v>
      </c>
      <c r="B847" s="26"/>
      <c r="C847" s="26"/>
      <c r="D847" s="26">
        <v>0</v>
      </c>
      <c r="E847" s="26">
        <v>1</v>
      </c>
      <c r="F847" s="26" t="s">
        <v>197</v>
      </c>
      <c r="G847" s="26" t="s">
        <v>198</v>
      </c>
      <c r="H847" s="26"/>
      <c r="I847" s="26">
        <v>0</v>
      </c>
      <c r="J847" s="26" t="s">
        <v>876</v>
      </c>
      <c r="K847" s="26" t="s">
        <v>1758</v>
      </c>
      <c r="L847" s="26" t="s">
        <v>3021</v>
      </c>
      <c r="M847" s="26" t="s">
        <v>3976</v>
      </c>
      <c r="N847" s="26" t="str">
        <f t="shared" si="30"/>
        <v>Event(FireSkill, fei.passive.ex.buff.buffeffect.skilleffect.06, FireCondition(Ultimate))</v>
      </c>
      <c r="O847" s="26">
        <v>0</v>
      </c>
      <c r="P847" s="26">
        <v>0</v>
      </c>
      <c r="Q847" s="26"/>
      <c r="R847" s="26" t="b">
        <v>1</v>
      </c>
    </row>
    <row r="848" spans="1:18">
      <c r="A848" s="23" t="s">
        <v>6921</v>
      </c>
      <c r="B848" s="23"/>
      <c r="C848" s="23"/>
      <c r="D848" s="23">
        <v>0</v>
      </c>
      <c r="E848" s="23">
        <v>1</v>
      </c>
      <c r="F848" s="23" t="s">
        <v>197</v>
      </c>
      <c r="G848" s="23" t="s">
        <v>198</v>
      </c>
      <c r="H848" s="23"/>
      <c r="I848" s="23">
        <v>0</v>
      </c>
      <c r="J848" s="23" t="s">
        <v>837</v>
      </c>
      <c r="K848" s="23"/>
      <c r="L848" s="23"/>
      <c r="M848" s="23"/>
      <c r="N848" s="23" t="str">
        <f t="shared" si="30"/>
        <v>None()</v>
      </c>
      <c r="O848" s="23">
        <v>0</v>
      </c>
      <c r="P848" s="23">
        <v>0</v>
      </c>
      <c r="Q848" s="23"/>
      <c r="R848" s="23" t="b">
        <v>1</v>
      </c>
    </row>
    <row r="849" spans="1:18">
      <c r="A849" s="23" t="s">
        <v>1663</v>
      </c>
      <c r="B849" s="23"/>
      <c r="C849" s="23"/>
      <c r="D849" s="23">
        <v>0</v>
      </c>
      <c r="E849" s="23">
        <v>1</v>
      </c>
      <c r="F849" s="23" t="s">
        <v>197</v>
      </c>
      <c r="G849" s="23" t="s">
        <v>198</v>
      </c>
      <c r="H849" s="23"/>
      <c r="I849" s="23">
        <v>0</v>
      </c>
      <c r="J849" s="23" t="s">
        <v>838</v>
      </c>
      <c r="K849" s="23" t="s">
        <v>867</v>
      </c>
      <c r="L849" s="23">
        <v>250</v>
      </c>
      <c r="M849" s="23"/>
      <c r="N849" s="23" t="str">
        <f t="shared" si="30"/>
        <v>Status(CriticalRate, 250)</v>
      </c>
      <c r="O849" s="23">
        <v>0</v>
      </c>
      <c r="P849" s="23">
        <v>0</v>
      </c>
      <c r="Q849" s="23"/>
      <c r="R849" s="23" t="b">
        <v>1</v>
      </c>
    </row>
    <row r="850" spans="1:18">
      <c r="A850" s="23" t="s">
        <v>1664</v>
      </c>
      <c r="B850" s="23"/>
      <c r="C850" s="23"/>
      <c r="D850" s="23">
        <v>0</v>
      </c>
      <c r="E850" s="23">
        <v>1</v>
      </c>
      <c r="F850" s="23" t="s">
        <v>197</v>
      </c>
      <c r="G850" s="23" t="s">
        <v>198</v>
      </c>
      <c r="H850" s="23"/>
      <c r="I850" s="23">
        <v>0</v>
      </c>
      <c r="J850" s="23" t="s">
        <v>838</v>
      </c>
      <c r="K850" s="23" t="s">
        <v>867</v>
      </c>
      <c r="L850" s="23">
        <v>300</v>
      </c>
      <c r="M850" s="23"/>
      <c r="N850" s="23" t="str">
        <f t="shared" si="30"/>
        <v>Status(CriticalRate, 300)</v>
      </c>
      <c r="O850" s="23">
        <v>0</v>
      </c>
      <c r="P850" s="23">
        <v>0</v>
      </c>
      <c r="Q850" s="23"/>
      <c r="R850" s="23" t="b">
        <v>1</v>
      </c>
    </row>
    <row r="851" spans="1:18">
      <c r="A851" s="23" t="s">
        <v>1665</v>
      </c>
      <c r="B851" s="23"/>
      <c r="C851" s="23"/>
      <c r="D851" s="23">
        <v>0</v>
      </c>
      <c r="E851" s="23">
        <v>1</v>
      </c>
      <c r="F851" s="23" t="s">
        <v>197</v>
      </c>
      <c r="G851" s="23" t="s">
        <v>198</v>
      </c>
      <c r="H851" s="23"/>
      <c r="I851" s="23">
        <v>0</v>
      </c>
      <c r="J851" s="23" t="s">
        <v>838</v>
      </c>
      <c r="K851" s="23" t="s">
        <v>867</v>
      </c>
      <c r="L851" s="23">
        <v>350</v>
      </c>
      <c r="M851" s="23"/>
      <c r="N851" s="23" t="str">
        <f t="shared" si="30"/>
        <v>Status(CriticalRate, 350)</v>
      </c>
      <c r="O851" s="23">
        <v>0</v>
      </c>
      <c r="P851" s="23">
        <v>0</v>
      </c>
      <c r="Q851" s="23"/>
      <c r="R851" s="23" t="b">
        <v>1</v>
      </c>
    </row>
    <row r="852" spans="1:18">
      <c r="A852" s="34" t="s">
        <v>1666</v>
      </c>
      <c r="B852" s="34"/>
      <c r="C852" s="34"/>
      <c r="D852" s="34">
        <v>0</v>
      </c>
      <c r="E852" s="34">
        <v>1</v>
      </c>
      <c r="F852" s="34" t="s">
        <v>197</v>
      </c>
      <c r="G852" s="34" t="s">
        <v>198</v>
      </c>
      <c r="H852" s="34"/>
      <c r="I852" s="34">
        <v>0</v>
      </c>
      <c r="J852" s="34" t="s">
        <v>838</v>
      </c>
      <c r="K852" s="34" t="s">
        <v>867</v>
      </c>
      <c r="L852" s="34">
        <v>400</v>
      </c>
      <c r="M852" s="34"/>
      <c r="N852" s="34" t="str">
        <f t="shared" si="30"/>
        <v>Status(CriticalRate, 400)</v>
      </c>
      <c r="O852" s="34">
        <v>0</v>
      </c>
      <c r="P852" s="34">
        <v>0</v>
      </c>
      <c r="Q852" s="34"/>
      <c r="R852" s="34" t="b">
        <v>1</v>
      </c>
    </row>
    <row r="853" spans="1:18">
      <c r="A853" s="34" t="s">
        <v>1667</v>
      </c>
      <c r="B853" s="34"/>
      <c r="C853" s="34"/>
      <c r="D853" s="34">
        <v>0</v>
      </c>
      <c r="E853" s="34">
        <v>1</v>
      </c>
      <c r="F853" s="34" t="s">
        <v>197</v>
      </c>
      <c r="G853" s="34" t="s">
        <v>198</v>
      </c>
      <c r="H853" s="34"/>
      <c r="I853" s="34">
        <v>0</v>
      </c>
      <c r="J853" s="34" t="s">
        <v>838</v>
      </c>
      <c r="K853" s="34" t="s">
        <v>867</v>
      </c>
      <c r="L853" s="34">
        <v>200</v>
      </c>
      <c r="M853" s="34"/>
      <c r="N853" s="34" t="str">
        <f t="shared" si="30"/>
        <v>Status(CriticalRate, 200)</v>
      </c>
      <c r="O853" s="34">
        <v>0</v>
      </c>
      <c r="P853" s="34">
        <v>0</v>
      </c>
      <c r="Q853" s="34"/>
      <c r="R853" s="34" t="b">
        <v>1</v>
      </c>
    </row>
    <row r="854" spans="1:18">
      <c r="A854" s="34" t="s">
        <v>1668</v>
      </c>
      <c r="B854" s="34"/>
      <c r="C854" s="34"/>
      <c r="D854" s="34">
        <v>0</v>
      </c>
      <c r="E854" s="34">
        <v>1</v>
      </c>
      <c r="F854" s="34" t="s">
        <v>197</v>
      </c>
      <c r="G854" s="34" t="s">
        <v>198</v>
      </c>
      <c r="H854" s="34"/>
      <c r="I854" s="34">
        <v>0</v>
      </c>
      <c r="J854" s="34" t="s">
        <v>838</v>
      </c>
      <c r="K854" s="34" t="s">
        <v>867</v>
      </c>
      <c r="L854" s="34">
        <v>200</v>
      </c>
      <c r="M854" s="34"/>
      <c r="N854" s="34" t="str">
        <f t="shared" si="30"/>
        <v>Status(CriticalRate, 200)</v>
      </c>
      <c r="O854" s="34">
        <v>0</v>
      </c>
      <c r="P854" s="34">
        <v>0</v>
      </c>
      <c r="Q854" s="34"/>
      <c r="R854" s="34" t="b">
        <v>1</v>
      </c>
    </row>
    <row r="855" spans="1:18">
      <c r="A855" s="24" t="s">
        <v>1669</v>
      </c>
      <c r="B855" s="24"/>
      <c r="C855" s="24"/>
      <c r="D855" s="24">
        <v>0</v>
      </c>
      <c r="E855" s="24">
        <v>1</v>
      </c>
      <c r="F855" s="24" t="s">
        <v>197</v>
      </c>
      <c r="G855" s="24" t="s">
        <v>198</v>
      </c>
      <c r="H855" s="24"/>
      <c r="I855" s="24">
        <v>0</v>
      </c>
      <c r="J855" s="24" t="s">
        <v>838</v>
      </c>
      <c r="K855" s="24" t="s">
        <v>925</v>
      </c>
      <c r="L855" s="24">
        <v>350</v>
      </c>
      <c r="M855" s="24"/>
      <c r="N855" s="24" t="str">
        <f t="shared" si="30"/>
        <v>Status(AddEnergyRate, 350)</v>
      </c>
      <c r="O855" s="24">
        <v>0</v>
      </c>
      <c r="P855" s="24">
        <v>0</v>
      </c>
      <c r="Q855" s="24"/>
      <c r="R855" s="24" t="b">
        <v>1</v>
      </c>
    </row>
    <row r="856" spans="1:18">
      <c r="A856" s="24" t="s">
        <v>1670</v>
      </c>
      <c r="B856" s="24"/>
      <c r="C856" s="24"/>
      <c r="D856" s="24">
        <v>0</v>
      </c>
      <c r="E856" s="24">
        <v>1</v>
      </c>
      <c r="F856" s="24" t="s">
        <v>197</v>
      </c>
      <c r="G856" s="24" t="s">
        <v>198</v>
      </c>
      <c r="H856" s="24"/>
      <c r="I856" s="24">
        <v>0</v>
      </c>
      <c r="J856" s="24" t="s">
        <v>838</v>
      </c>
      <c r="K856" s="24" t="s">
        <v>925</v>
      </c>
      <c r="L856" s="24">
        <v>400</v>
      </c>
      <c r="M856" s="24"/>
      <c r="N856" s="24" t="str">
        <f t="shared" si="30"/>
        <v>Status(AddEnergyRate, 400)</v>
      </c>
      <c r="O856" s="24">
        <v>0</v>
      </c>
      <c r="P856" s="24">
        <v>0</v>
      </c>
      <c r="Q856" s="24"/>
      <c r="R856" s="24" t="b">
        <v>1</v>
      </c>
    </row>
    <row r="857" spans="1:18">
      <c r="A857" s="24" t="s">
        <v>1671</v>
      </c>
      <c r="B857" s="24"/>
      <c r="C857" s="24"/>
      <c r="D857" s="24">
        <v>0</v>
      </c>
      <c r="E857" s="24">
        <v>1</v>
      </c>
      <c r="F857" s="24" t="s">
        <v>197</v>
      </c>
      <c r="G857" s="24" t="s">
        <v>198</v>
      </c>
      <c r="H857" s="24"/>
      <c r="I857" s="24">
        <v>0</v>
      </c>
      <c r="J857" s="24" t="s">
        <v>838</v>
      </c>
      <c r="K857" s="24" t="s">
        <v>925</v>
      </c>
      <c r="L857" s="24">
        <v>450</v>
      </c>
      <c r="M857" s="24"/>
      <c r="N857" s="24" t="str">
        <f t="shared" si="30"/>
        <v>Status(AddEnergyRate, 450)</v>
      </c>
      <c r="O857" s="24">
        <v>0</v>
      </c>
      <c r="P857" s="24">
        <v>0</v>
      </c>
      <c r="Q857" s="24"/>
      <c r="R857" s="24" t="b">
        <v>1</v>
      </c>
    </row>
    <row r="858" spans="1:18">
      <c r="A858" s="24" t="s">
        <v>1672</v>
      </c>
      <c r="B858" s="24"/>
      <c r="C858" s="24"/>
      <c r="D858" s="24">
        <v>0</v>
      </c>
      <c r="E858" s="24">
        <v>1</v>
      </c>
      <c r="F858" s="24" t="s">
        <v>197</v>
      </c>
      <c r="G858" s="24" t="s">
        <v>198</v>
      </c>
      <c r="H858" s="24"/>
      <c r="I858" s="24">
        <v>0</v>
      </c>
      <c r="J858" s="24" t="s">
        <v>838</v>
      </c>
      <c r="K858" s="24" t="s">
        <v>925</v>
      </c>
      <c r="L858" s="24">
        <v>500</v>
      </c>
      <c r="M858" s="24"/>
      <c r="N858" s="24" t="str">
        <f t="shared" si="30"/>
        <v>Status(AddEnergyRate, 500)</v>
      </c>
      <c r="O858" s="24">
        <v>0</v>
      </c>
      <c r="P858" s="24">
        <v>0</v>
      </c>
      <c r="Q858" s="24"/>
      <c r="R858" s="24" t="b">
        <v>1</v>
      </c>
    </row>
    <row r="859" spans="1:18">
      <c r="A859" s="24" t="s">
        <v>4558</v>
      </c>
      <c r="B859" s="24"/>
      <c r="C859" s="24"/>
      <c r="D859" s="24">
        <v>0</v>
      </c>
      <c r="E859" s="24">
        <v>1</v>
      </c>
      <c r="F859" s="24" t="s">
        <v>197</v>
      </c>
      <c r="G859" s="24" t="s">
        <v>198</v>
      </c>
      <c r="H859" s="24"/>
      <c r="I859" s="24">
        <v>0</v>
      </c>
      <c r="J859" s="24" t="s">
        <v>838</v>
      </c>
      <c r="K859" s="24" t="s">
        <v>925</v>
      </c>
      <c r="L859" s="24">
        <v>450</v>
      </c>
      <c r="M859" s="24"/>
      <c r="N859" s="24" t="str">
        <f t="shared" si="30"/>
        <v>Status(AddEnergyRate, 450)</v>
      </c>
      <c r="O859" s="24">
        <v>0</v>
      </c>
      <c r="P859" s="24">
        <v>0</v>
      </c>
      <c r="Q859" s="24"/>
      <c r="R859" s="24" t="b">
        <v>1</v>
      </c>
    </row>
    <row r="860" spans="1:18">
      <c r="A860" s="24" t="s">
        <v>4559</v>
      </c>
      <c r="B860" s="24"/>
      <c r="C860" s="24"/>
      <c r="D860" s="24">
        <v>0</v>
      </c>
      <c r="E860" s="24">
        <v>1</v>
      </c>
      <c r="F860" s="24" t="s">
        <v>197</v>
      </c>
      <c r="G860" s="24" t="s">
        <v>198</v>
      </c>
      <c r="H860" s="24"/>
      <c r="I860" s="24">
        <v>0</v>
      </c>
      <c r="J860" s="24" t="s">
        <v>838</v>
      </c>
      <c r="K860" s="24" t="s">
        <v>925</v>
      </c>
      <c r="L860" s="24">
        <v>500</v>
      </c>
      <c r="M860" s="24"/>
      <c r="N860" s="24" t="str">
        <f t="shared" si="30"/>
        <v>Status(AddEnergyRate, 500)</v>
      </c>
      <c r="O860" s="24">
        <v>0</v>
      </c>
      <c r="P860" s="24">
        <v>0</v>
      </c>
      <c r="Q860" s="24"/>
      <c r="R860" s="24" t="b">
        <v>1</v>
      </c>
    </row>
    <row r="861" spans="1:18" s="160" customFormat="1">
      <c r="A861" s="65" t="s">
        <v>4566</v>
      </c>
      <c r="B861" s="65"/>
      <c r="C861" s="65"/>
      <c r="D861" s="65">
        <v>0</v>
      </c>
      <c r="E861" s="65">
        <v>1</v>
      </c>
      <c r="F861" s="65" t="s">
        <v>197</v>
      </c>
      <c r="G861" s="65" t="s">
        <v>198</v>
      </c>
      <c r="H861" s="65"/>
      <c r="I861" s="65">
        <v>0</v>
      </c>
      <c r="J861" s="65" t="s">
        <v>838</v>
      </c>
      <c r="K861" s="65" t="s">
        <v>870</v>
      </c>
      <c r="L861" s="65">
        <v>150</v>
      </c>
      <c r="M861" s="65"/>
      <c r="N861" s="65" t="str">
        <f t="shared" si="30"/>
        <v>Status(AccuracyRate, 150)</v>
      </c>
      <c r="O861" s="65">
        <v>0</v>
      </c>
      <c r="P861" s="65">
        <v>0</v>
      </c>
      <c r="Q861" s="65"/>
      <c r="R861" s="65" t="b">
        <v>1</v>
      </c>
    </row>
    <row r="862" spans="1:18" s="160" customFormat="1">
      <c r="A862" s="65" t="s">
        <v>4567</v>
      </c>
      <c r="B862" s="65"/>
      <c r="C862" s="65"/>
      <c r="D862" s="65">
        <v>0</v>
      </c>
      <c r="E862" s="65">
        <v>1</v>
      </c>
      <c r="F862" s="65" t="s">
        <v>197</v>
      </c>
      <c r="G862" s="65" t="s">
        <v>198</v>
      </c>
      <c r="H862" s="65"/>
      <c r="I862" s="65">
        <v>0</v>
      </c>
      <c r="J862" s="65" t="s">
        <v>838</v>
      </c>
      <c r="K862" s="65" t="s">
        <v>870</v>
      </c>
      <c r="L862" s="65">
        <v>175</v>
      </c>
      <c r="M862" s="65"/>
      <c r="N862" s="65" t="str">
        <f t="shared" si="30"/>
        <v>Status(AccuracyRate, 175)</v>
      </c>
      <c r="O862" s="65">
        <v>0</v>
      </c>
      <c r="P862" s="65">
        <v>0</v>
      </c>
      <c r="Q862" s="65"/>
      <c r="R862" s="65" t="b">
        <v>1</v>
      </c>
    </row>
    <row r="863" spans="1:18" s="160" customFormat="1">
      <c r="A863" s="65" t="s">
        <v>4568</v>
      </c>
      <c r="B863" s="65"/>
      <c r="C863" s="65"/>
      <c r="D863" s="65">
        <v>0</v>
      </c>
      <c r="E863" s="65">
        <v>1</v>
      </c>
      <c r="F863" s="65" t="s">
        <v>197</v>
      </c>
      <c r="G863" s="65" t="s">
        <v>198</v>
      </c>
      <c r="H863" s="65"/>
      <c r="I863" s="65">
        <v>0</v>
      </c>
      <c r="J863" s="65" t="s">
        <v>838</v>
      </c>
      <c r="K863" s="65" t="s">
        <v>870</v>
      </c>
      <c r="L863" s="65">
        <v>200</v>
      </c>
      <c r="M863" s="65"/>
      <c r="N863" s="65" t="str">
        <f t="shared" si="30"/>
        <v>Status(AccuracyRate, 200)</v>
      </c>
      <c r="O863" s="65">
        <v>0</v>
      </c>
      <c r="P863" s="65">
        <v>0</v>
      </c>
      <c r="Q863" s="65"/>
      <c r="R863" s="65" t="b">
        <v>1</v>
      </c>
    </row>
    <row r="864" spans="1:18" s="160" customFormat="1">
      <c r="A864" s="65" t="s">
        <v>4569</v>
      </c>
      <c r="B864" s="65"/>
      <c r="C864" s="65"/>
      <c r="D864" s="65">
        <v>0</v>
      </c>
      <c r="E864" s="65">
        <v>1</v>
      </c>
      <c r="F864" s="65" t="s">
        <v>197</v>
      </c>
      <c r="G864" s="65" t="s">
        <v>198</v>
      </c>
      <c r="H864" s="65"/>
      <c r="I864" s="65">
        <v>0</v>
      </c>
      <c r="J864" s="65" t="s">
        <v>838</v>
      </c>
      <c r="K864" s="65" t="s">
        <v>870</v>
      </c>
      <c r="L864" s="65">
        <v>225</v>
      </c>
      <c r="M864" s="65"/>
      <c r="N864" s="65" t="str">
        <f t="shared" si="30"/>
        <v>Status(AccuracyRate, 225)</v>
      </c>
      <c r="O864" s="65">
        <v>0</v>
      </c>
      <c r="P864" s="65">
        <v>0</v>
      </c>
      <c r="Q864" s="65"/>
      <c r="R864" s="65" t="b">
        <v>1</v>
      </c>
    </row>
    <row r="865" spans="1:18" s="160" customFormat="1">
      <c r="A865" s="65" t="s">
        <v>4570</v>
      </c>
      <c r="B865" s="65"/>
      <c r="C865" s="65"/>
      <c r="D865" s="65">
        <v>0</v>
      </c>
      <c r="E865" s="65">
        <v>1</v>
      </c>
      <c r="F865" s="65" t="s">
        <v>197</v>
      </c>
      <c r="G865" s="65" t="s">
        <v>198</v>
      </c>
      <c r="H865" s="65"/>
      <c r="I865" s="65">
        <v>0</v>
      </c>
      <c r="J865" s="65" t="s">
        <v>838</v>
      </c>
      <c r="K865" s="65" t="s">
        <v>870</v>
      </c>
      <c r="L865" s="65">
        <v>450</v>
      </c>
      <c r="M865" s="65"/>
      <c r="N865" s="65" t="str">
        <f t="shared" si="30"/>
        <v>Status(AccuracyRate, 450)</v>
      </c>
      <c r="O865" s="65">
        <v>0</v>
      </c>
      <c r="P865" s="65">
        <v>0</v>
      </c>
      <c r="Q865" s="65"/>
      <c r="R865" s="65" t="b">
        <v>1</v>
      </c>
    </row>
    <row r="866" spans="1:18" s="160" customFormat="1">
      <c r="A866" s="65" t="s">
        <v>4571</v>
      </c>
      <c r="B866" s="65"/>
      <c r="C866" s="65"/>
      <c r="D866" s="65">
        <v>0</v>
      </c>
      <c r="E866" s="65">
        <v>1</v>
      </c>
      <c r="F866" s="65" t="s">
        <v>197</v>
      </c>
      <c r="G866" s="65" t="s">
        <v>198</v>
      </c>
      <c r="H866" s="65"/>
      <c r="I866" s="65">
        <v>0</v>
      </c>
      <c r="J866" s="65" t="s">
        <v>838</v>
      </c>
      <c r="K866" s="65" t="s">
        <v>870</v>
      </c>
      <c r="L866" s="65">
        <v>500</v>
      </c>
      <c r="M866" s="65"/>
      <c r="N866" s="65" t="str">
        <f t="shared" si="30"/>
        <v>Status(AccuracyRate, 500)</v>
      </c>
      <c r="O866" s="65">
        <v>0</v>
      </c>
      <c r="P866" s="65">
        <v>0</v>
      </c>
      <c r="Q866" s="65"/>
      <c r="R866" s="65" t="b">
        <v>1</v>
      </c>
    </row>
    <row r="867" spans="1:18">
      <c r="A867" s="23" t="s">
        <v>576</v>
      </c>
      <c r="B867" s="23"/>
      <c r="C867" s="23"/>
      <c r="D867" s="23">
        <v>0</v>
      </c>
      <c r="E867" s="23">
        <v>1</v>
      </c>
      <c r="F867" s="23" t="s">
        <v>197</v>
      </c>
      <c r="G867" s="23" t="s">
        <v>198</v>
      </c>
      <c r="H867" s="23"/>
      <c r="I867" s="23">
        <v>0</v>
      </c>
      <c r="J867" s="23" t="s">
        <v>191</v>
      </c>
      <c r="K867" s="23" t="s">
        <v>974</v>
      </c>
      <c r="L867" s="23" t="s">
        <v>949</v>
      </c>
      <c r="M867" s="23"/>
      <c r="N867" s="23" t="str">
        <f t="shared" si="30"/>
        <v>Effect(OnCritical, airen.passive.buff.buffeffect.skilleffect.01)</v>
      </c>
      <c r="O867" s="23">
        <v>0</v>
      </c>
      <c r="P867" s="23">
        <v>0</v>
      </c>
      <c r="Q867" s="23"/>
      <c r="R867" s="23" t="b">
        <v>1</v>
      </c>
    </row>
    <row r="868" spans="1:18">
      <c r="A868" s="23" t="s">
        <v>579</v>
      </c>
      <c r="B868" s="23"/>
      <c r="C868" s="23"/>
      <c r="D868" s="23">
        <v>0</v>
      </c>
      <c r="E868" s="23">
        <v>1</v>
      </c>
      <c r="F868" s="23" t="s">
        <v>197</v>
      </c>
      <c r="G868" s="23" t="s">
        <v>198</v>
      </c>
      <c r="H868" s="23"/>
      <c r="I868" s="23">
        <v>0</v>
      </c>
      <c r="J868" s="23" t="s">
        <v>191</v>
      </c>
      <c r="K868" s="23" t="s">
        <v>974</v>
      </c>
      <c r="L868" s="23" t="s">
        <v>950</v>
      </c>
      <c r="M868" s="23"/>
      <c r="N868" s="23" t="str">
        <f t="shared" si="30"/>
        <v>Effect(OnCritical, airen.passive.buff.buffeffect.skilleffect.02)</v>
      </c>
      <c r="O868" s="23">
        <v>0</v>
      </c>
      <c r="P868" s="23">
        <v>0</v>
      </c>
      <c r="Q868" s="23"/>
      <c r="R868" s="23" t="b">
        <v>1</v>
      </c>
    </row>
    <row r="869" spans="1:18">
      <c r="A869" s="23" t="s">
        <v>581</v>
      </c>
      <c r="B869" s="23"/>
      <c r="C869" s="23"/>
      <c r="D869" s="23">
        <v>0</v>
      </c>
      <c r="E869" s="23">
        <v>1</v>
      </c>
      <c r="F869" s="23" t="s">
        <v>197</v>
      </c>
      <c r="G869" s="23" t="s">
        <v>198</v>
      </c>
      <c r="H869" s="23"/>
      <c r="I869" s="23">
        <v>0</v>
      </c>
      <c r="J869" s="23" t="s">
        <v>191</v>
      </c>
      <c r="K869" s="23" t="s">
        <v>974</v>
      </c>
      <c r="L869" s="23" t="s">
        <v>951</v>
      </c>
      <c r="M869" s="23"/>
      <c r="N869" s="23" t="str">
        <f t="shared" si="30"/>
        <v>Effect(OnCritical, airen.passive.buff.buffeffect.skilleffect.03)</v>
      </c>
      <c r="O869" s="23">
        <v>0</v>
      </c>
      <c r="P869" s="23">
        <v>0</v>
      </c>
      <c r="Q869" s="23"/>
      <c r="R869" s="23" t="b">
        <v>1</v>
      </c>
    </row>
    <row r="870" spans="1:18">
      <c r="A870" s="34" t="s">
        <v>583</v>
      </c>
      <c r="B870" s="34"/>
      <c r="C870" s="34"/>
      <c r="D870" s="34">
        <v>0</v>
      </c>
      <c r="E870" s="34">
        <v>1</v>
      </c>
      <c r="F870" s="34" t="s">
        <v>197</v>
      </c>
      <c r="G870" s="34" t="s">
        <v>198</v>
      </c>
      <c r="H870" s="34"/>
      <c r="I870" s="34">
        <v>0</v>
      </c>
      <c r="J870" s="34" t="s">
        <v>191</v>
      </c>
      <c r="K870" s="34" t="s">
        <v>974</v>
      </c>
      <c r="L870" s="34" t="s">
        <v>952</v>
      </c>
      <c r="M870" s="34"/>
      <c r="N870" s="34" t="str">
        <f t="shared" si="30"/>
        <v>Effect(OnCritical, airen.passive.buff.buffeffect.skilleffect.04)</v>
      </c>
      <c r="O870" s="34">
        <v>0</v>
      </c>
      <c r="P870" s="34">
        <v>0</v>
      </c>
      <c r="Q870" s="34"/>
      <c r="R870" s="34" t="b">
        <v>1</v>
      </c>
    </row>
    <row r="871" spans="1:18">
      <c r="A871" s="34" t="s">
        <v>585</v>
      </c>
      <c r="B871" s="34"/>
      <c r="C871" s="34"/>
      <c r="D871" s="34">
        <v>0</v>
      </c>
      <c r="E871" s="34">
        <v>1</v>
      </c>
      <c r="F871" s="34" t="s">
        <v>197</v>
      </c>
      <c r="G871" s="34" t="s">
        <v>198</v>
      </c>
      <c r="H871" s="34"/>
      <c r="I871" s="34">
        <v>0</v>
      </c>
      <c r="J871" s="34" t="s">
        <v>191</v>
      </c>
      <c r="K871" s="34" t="s">
        <v>974</v>
      </c>
      <c r="L871" s="34" t="s">
        <v>953</v>
      </c>
      <c r="M871" s="34"/>
      <c r="N871" s="34" t="str">
        <f t="shared" si="30"/>
        <v>Effect(OnCritical, airen.passive.buff.buffeffect.skilleffect.05)</v>
      </c>
      <c r="O871" s="34">
        <v>0</v>
      </c>
      <c r="P871" s="34">
        <v>0</v>
      </c>
      <c r="Q871" s="34"/>
      <c r="R871" s="34" t="b">
        <v>1</v>
      </c>
    </row>
    <row r="872" spans="1:18">
      <c r="A872" s="34" t="s">
        <v>587</v>
      </c>
      <c r="B872" s="34"/>
      <c r="C872" s="34"/>
      <c r="D872" s="34">
        <v>0</v>
      </c>
      <c r="E872" s="34">
        <v>1</v>
      </c>
      <c r="F872" s="34" t="s">
        <v>197</v>
      </c>
      <c r="G872" s="34" t="s">
        <v>198</v>
      </c>
      <c r="H872" s="34"/>
      <c r="I872" s="34">
        <v>0</v>
      </c>
      <c r="J872" s="34" t="s">
        <v>191</v>
      </c>
      <c r="K872" s="34" t="s">
        <v>974</v>
      </c>
      <c r="L872" s="34" t="s">
        <v>954</v>
      </c>
      <c r="M872" s="34"/>
      <c r="N872" s="34" t="str">
        <f t="shared" si="30"/>
        <v>Effect(OnCritical, airen.passive.buff.buffeffect.skilleffect.06)</v>
      </c>
      <c r="O872" s="34">
        <v>0</v>
      </c>
      <c r="P872" s="34">
        <v>0</v>
      </c>
      <c r="Q872" s="34"/>
      <c r="R872" s="34" t="b">
        <v>1</v>
      </c>
    </row>
    <row r="873" spans="1:18">
      <c r="A873" s="23" t="s">
        <v>6922</v>
      </c>
      <c r="B873" s="23"/>
      <c r="C873" s="23"/>
      <c r="D873" s="23">
        <v>0</v>
      </c>
      <c r="E873" s="23">
        <v>1</v>
      </c>
      <c r="F873" s="23" t="s">
        <v>197</v>
      </c>
      <c r="G873" s="23" t="s">
        <v>198</v>
      </c>
      <c r="H873" s="23"/>
      <c r="I873" s="23">
        <v>0</v>
      </c>
      <c r="J873" s="23" t="s">
        <v>838</v>
      </c>
      <c r="K873" s="23" t="s">
        <v>926</v>
      </c>
      <c r="L873" s="23">
        <v>240</v>
      </c>
      <c r="M873" s="23"/>
      <c r="N873" s="23" t="str">
        <f t="shared" si="30"/>
        <v>Status(CriticalDamageRate, 240)</v>
      </c>
      <c r="O873" s="23">
        <v>0</v>
      </c>
      <c r="P873" s="23">
        <v>0</v>
      </c>
      <c r="Q873" s="23"/>
      <c r="R873" s="23" t="b">
        <v>1</v>
      </c>
    </row>
    <row r="874" spans="1:18">
      <c r="A874" s="23" t="s">
        <v>1658</v>
      </c>
      <c r="B874" s="23"/>
      <c r="C874" s="23"/>
      <c r="D874" s="23">
        <v>0</v>
      </c>
      <c r="E874" s="23">
        <v>1</v>
      </c>
      <c r="F874" s="23" t="s">
        <v>197</v>
      </c>
      <c r="G874" s="23" t="s">
        <v>198</v>
      </c>
      <c r="H874" s="23"/>
      <c r="I874" s="23">
        <v>0</v>
      </c>
      <c r="J874" s="23" t="s">
        <v>838</v>
      </c>
      <c r="K874" s="23" t="s">
        <v>926</v>
      </c>
      <c r="L874" s="23">
        <v>260</v>
      </c>
      <c r="M874" s="23"/>
      <c r="N874" s="23" t="str">
        <f t="shared" si="30"/>
        <v>Status(CriticalDamageRate, 260)</v>
      </c>
      <c r="O874" s="23">
        <v>0</v>
      </c>
      <c r="P874" s="23">
        <v>0</v>
      </c>
      <c r="Q874" s="23"/>
      <c r="R874" s="23" t="b">
        <v>1</v>
      </c>
    </row>
    <row r="875" spans="1:18">
      <c r="A875" s="23" t="s">
        <v>1659</v>
      </c>
      <c r="B875" s="23"/>
      <c r="C875" s="23"/>
      <c r="D875" s="23">
        <v>0</v>
      </c>
      <c r="E875" s="23">
        <v>1</v>
      </c>
      <c r="F875" s="23" t="s">
        <v>197</v>
      </c>
      <c r="G875" s="23" t="s">
        <v>198</v>
      </c>
      <c r="H875" s="23"/>
      <c r="I875" s="23">
        <v>0</v>
      </c>
      <c r="J875" s="23" t="s">
        <v>838</v>
      </c>
      <c r="K875" s="23" t="s">
        <v>926</v>
      </c>
      <c r="L875" s="23">
        <v>280</v>
      </c>
      <c r="M875" s="23"/>
      <c r="N875" s="23" t="str">
        <f t="shared" si="30"/>
        <v>Status(CriticalDamageRate, 280)</v>
      </c>
      <c r="O875" s="23">
        <v>0</v>
      </c>
      <c r="P875" s="23">
        <v>0</v>
      </c>
      <c r="Q875" s="23"/>
      <c r="R875" s="23" t="b">
        <v>1</v>
      </c>
    </row>
    <row r="876" spans="1:18">
      <c r="A876" s="34" t="s">
        <v>1660</v>
      </c>
      <c r="B876" s="34"/>
      <c r="C876" s="34"/>
      <c r="D876" s="34">
        <v>0</v>
      </c>
      <c r="E876" s="34">
        <v>1</v>
      </c>
      <c r="F876" s="34" t="s">
        <v>197</v>
      </c>
      <c r="G876" s="34" t="s">
        <v>198</v>
      </c>
      <c r="H876" s="34"/>
      <c r="I876" s="34">
        <v>0</v>
      </c>
      <c r="J876" s="34" t="s">
        <v>838</v>
      </c>
      <c r="K876" s="34" t="s">
        <v>926</v>
      </c>
      <c r="L876" s="34">
        <v>320</v>
      </c>
      <c r="M876" s="34"/>
      <c r="N876" s="34" t="str">
        <f t="shared" si="30"/>
        <v>Status(CriticalDamageRate, 320)</v>
      </c>
      <c r="O876" s="34">
        <v>0</v>
      </c>
      <c r="P876" s="34">
        <v>0</v>
      </c>
      <c r="Q876" s="34"/>
      <c r="R876" s="34" t="b">
        <v>1</v>
      </c>
    </row>
    <row r="877" spans="1:18">
      <c r="A877" s="34" t="s">
        <v>1661</v>
      </c>
      <c r="B877" s="34"/>
      <c r="C877" s="34"/>
      <c r="D877" s="34">
        <v>0</v>
      </c>
      <c r="E877" s="34">
        <v>1</v>
      </c>
      <c r="F877" s="34" t="s">
        <v>197</v>
      </c>
      <c r="G877" s="34" t="s">
        <v>198</v>
      </c>
      <c r="H877" s="34"/>
      <c r="I877" s="34">
        <v>0</v>
      </c>
      <c r="J877" s="34" t="s">
        <v>838</v>
      </c>
      <c r="K877" s="34" t="s">
        <v>926</v>
      </c>
      <c r="L877" s="34">
        <v>350</v>
      </c>
      <c r="M877" s="34"/>
      <c r="N877" s="34" t="str">
        <f t="shared" si="30"/>
        <v>Status(CriticalDamageRate, 350)</v>
      </c>
      <c r="O877" s="34">
        <v>0</v>
      </c>
      <c r="P877" s="34">
        <v>0</v>
      </c>
      <c r="Q877" s="34"/>
      <c r="R877" s="34" t="b">
        <v>1</v>
      </c>
    </row>
    <row r="878" spans="1:18">
      <c r="A878" s="34" t="s">
        <v>1662</v>
      </c>
      <c r="B878" s="34"/>
      <c r="C878" s="34"/>
      <c r="D878" s="34">
        <v>0</v>
      </c>
      <c r="E878" s="34">
        <v>1</v>
      </c>
      <c r="F878" s="34" t="s">
        <v>197</v>
      </c>
      <c r="G878" s="34" t="s">
        <v>198</v>
      </c>
      <c r="H878" s="34"/>
      <c r="I878" s="34">
        <v>0</v>
      </c>
      <c r="J878" s="34" t="s">
        <v>838</v>
      </c>
      <c r="K878" s="34" t="s">
        <v>926</v>
      </c>
      <c r="L878" s="34">
        <v>350</v>
      </c>
      <c r="M878" s="34"/>
      <c r="N878" s="34" t="str">
        <f t="shared" si="30"/>
        <v>Status(CriticalDamageRate, 350)</v>
      </c>
      <c r="O878" s="34">
        <v>0</v>
      </c>
      <c r="P878" s="34">
        <v>0</v>
      </c>
      <c r="Q878" s="34"/>
      <c r="R878" s="34" t="b">
        <v>1</v>
      </c>
    </row>
    <row r="879" spans="1:18">
      <c r="A879" s="24" t="s">
        <v>1652</v>
      </c>
      <c r="B879" s="24"/>
      <c r="C879" s="24"/>
      <c r="D879" s="24">
        <v>0</v>
      </c>
      <c r="E879" s="24">
        <v>1</v>
      </c>
      <c r="F879" s="24" t="s">
        <v>197</v>
      </c>
      <c r="G879" s="24" t="s">
        <v>198</v>
      </c>
      <c r="H879" s="24"/>
      <c r="I879" s="24">
        <v>0</v>
      </c>
      <c r="J879" s="24" t="s">
        <v>838</v>
      </c>
      <c r="K879" s="24" t="s">
        <v>908</v>
      </c>
      <c r="L879" s="24">
        <v>200</v>
      </c>
      <c r="M879" s="24"/>
      <c r="N879" s="24" t="str">
        <f t="shared" si="30"/>
        <v>Status(AttackRatio, 200)</v>
      </c>
      <c r="O879" s="24">
        <v>0</v>
      </c>
      <c r="P879" s="24">
        <v>0</v>
      </c>
      <c r="Q879" s="24"/>
      <c r="R879" s="24" t="b">
        <v>1</v>
      </c>
    </row>
    <row r="880" spans="1:18">
      <c r="A880" s="24" t="s">
        <v>1653</v>
      </c>
      <c r="B880" s="24"/>
      <c r="C880" s="24"/>
      <c r="D880" s="24">
        <v>0</v>
      </c>
      <c r="E880" s="24">
        <v>1</v>
      </c>
      <c r="F880" s="24" t="s">
        <v>197</v>
      </c>
      <c r="G880" s="24" t="s">
        <v>198</v>
      </c>
      <c r="H880" s="24"/>
      <c r="I880" s="24">
        <v>0</v>
      </c>
      <c r="J880" s="24" t="s">
        <v>838</v>
      </c>
      <c r="K880" s="24" t="s">
        <v>908</v>
      </c>
      <c r="L880" s="24">
        <v>200</v>
      </c>
      <c r="M880" s="24"/>
      <c r="N880" s="24" t="str">
        <f t="shared" si="30"/>
        <v>Status(AttackRatio, 200)</v>
      </c>
      <c r="O880" s="24">
        <v>0</v>
      </c>
      <c r="P880" s="24">
        <v>0</v>
      </c>
      <c r="Q880" s="24"/>
      <c r="R880" s="24" t="b">
        <v>1</v>
      </c>
    </row>
    <row r="881" spans="1:18">
      <c r="A881" s="24" t="s">
        <v>1654</v>
      </c>
      <c r="B881" s="24"/>
      <c r="C881" s="24"/>
      <c r="D881" s="24">
        <v>0</v>
      </c>
      <c r="E881" s="24">
        <v>1</v>
      </c>
      <c r="F881" s="24" t="s">
        <v>197</v>
      </c>
      <c r="G881" s="24" t="s">
        <v>198</v>
      </c>
      <c r="H881" s="24"/>
      <c r="I881" s="24">
        <v>0</v>
      </c>
      <c r="J881" s="24" t="s">
        <v>838</v>
      </c>
      <c r="K881" s="24" t="s">
        <v>908</v>
      </c>
      <c r="L881" s="24">
        <v>200</v>
      </c>
      <c r="M881" s="24"/>
      <c r="N881" s="24" t="str">
        <f t="shared" si="30"/>
        <v>Status(AttackRatio, 200)</v>
      </c>
      <c r="O881" s="24">
        <v>0</v>
      </c>
      <c r="P881" s="24">
        <v>0</v>
      </c>
      <c r="Q881" s="24"/>
      <c r="R881" s="24" t="b">
        <v>1</v>
      </c>
    </row>
    <row r="882" spans="1:18">
      <c r="A882" s="34" t="s">
        <v>1655</v>
      </c>
      <c r="B882" s="34"/>
      <c r="C882" s="34"/>
      <c r="D882" s="34">
        <v>0</v>
      </c>
      <c r="E882" s="34">
        <v>1</v>
      </c>
      <c r="F882" s="34" t="s">
        <v>197</v>
      </c>
      <c r="G882" s="34" t="s">
        <v>198</v>
      </c>
      <c r="H882" s="34"/>
      <c r="I882" s="34">
        <v>0</v>
      </c>
      <c r="J882" s="34" t="s">
        <v>838</v>
      </c>
      <c r="K882" s="34" t="s">
        <v>908</v>
      </c>
      <c r="L882" s="34">
        <v>200</v>
      </c>
      <c r="M882" s="34"/>
      <c r="N882" s="34" t="str">
        <f t="shared" si="30"/>
        <v>Status(AttackRatio, 200)</v>
      </c>
      <c r="O882" s="34">
        <v>0</v>
      </c>
      <c r="P882" s="34">
        <v>0</v>
      </c>
      <c r="Q882" s="34"/>
      <c r="R882" s="34" t="b">
        <v>1</v>
      </c>
    </row>
    <row r="883" spans="1:18">
      <c r="A883" s="34" t="s">
        <v>1656</v>
      </c>
      <c r="B883" s="34"/>
      <c r="C883" s="34"/>
      <c r="D883" s="34">
        <v>0</v>
      </c>
      <c r="E883" s="34">
        <v>1</v>
      </c>
      <c r="F883" s="34" t="s">
        <v>197</v>
      </c>
      <c r="G883" s="34" t="s">
        <v>198</v>
      </c>
      <c r="H883" s="34"/>
      <c r="I883" s="34">
        <v>0</v>
      </c>
      <c r="J883" s="34" t="s">
        <v>838</v>
      </c>
      <c r="K883" s="34" t="s">
        <v>908</v>
      </c>
      <c r="L883" s="34">
        <v>200</v>
      </c>
      <c r="M883" s="34"/>
      <c r="N883" s="34" t="str">
        <f t="shared" si="30"/>
        <v>Status(AttackRatio, 200)</v>
      </c>
      <c r="O883" s="34">
        <v>0</v>
      </c>
      <c r="P883" s="34">
        <v>0</v>
      </c>
      <c r="Q883" s="34"/>
      <c r="R883" s="34" t="b">
        <v>1</v>
      </c>
    </row>
    <row r="884" spans="1:18">
      <c r="A884" s="34" t="s">
        <v>1657</v>
      </c>
      <c r="B884" s="34"/>
      <c r="C884" s="34"/>
      <c r="D884" s="34">
        <v>0</v>
      </c>
      <c r="E884" s="34">
        <v>1</v>
      </c>
      <c r="F884" s="34" t="s">
        <v>197</v>
      </c>
      <c r="G884" s="34" t="s">
        <v>198</v>
      </c>
      <c r="H884" s="34"/>
      <c r="I884" s="34">
        <v>0</v>
      </c>
      <c r="J884" s="34" t="s">
        <v>838</v>
      </c>
      <c r="K884" s="34" t="s">
        <v>908</v>
      </c>
      <c r="L884" s="34">
        <v>400</v>
      </c>
      <c r="M884" s="34"/>
      <c r="N884" s="34" t="str">
        <f t="shared" si="30"/>
        <v>Status(AttackRatio, 400)</v>
      </c>
      <c r="O884" s="34">
        <v>0</v>
      </c>
      <c r="P884" s="34">
        <v>0</v>
      </c>
      <c r="Q884" s="34"/>
      <c r="R884" s="34" t="b">
        <v>1</v>
      </c>
    </row>
    <row r="885" spans="1:18">
      <c r="A885" s="24" t="s">
        <v>3747</v>
      </c>
      <c r="B885" s="24"/>
      <c r="C885" s="24"/>
      <c r="D885" s="24">
        <v>0</v>
      </c>
      <c r="E885" s="24">
        <v>1</v>
      </c>
      <c r="F885" s="24" t="s">
        <v>197</v>
      </c>
      <c r="G885" s="24" t="s">
        <v>198</v>
      </c>
      <c r="H885" s="24"/>
      <c r="I885" s="24">
        <v>0</v>
      </c>
      <c r="J885" s="24" t="s">
        <v>876</v>
      </c>
      <c r="K885" s="24" t="s">
        <v>1758</v>
      </c>
      <c r="L885" s="24" t="s">
        <v>3760</v>
      </c>
      <c r="M885" s="24" t="s">
        <v>1759</v>
      </c>
      <c r="N885" s="24" t="str">
        <f t="shared" si="30"/>
        <v>Event(FireSkill, airen.passive.ex.buff.buffeffect.skilleffect.01, FireCondition(Skill2))</v>
      </c>
      <c r="O885" s="24">
        <v>0</v>
      </c>
      <c r="P885" s="24">
        <v>0</v>
      </c>
      <c r="Q885" s="24"/>
      <c r="R885" s="24" t="b">
        <v>1</v>
      </c>
    </row>
    <row r="886" spans="1:18">
      <c r="A886" s="24" t="s">
        <v>3749</v>
      </c>
      <c r="B886" s="24"/>
      <c r="C886" s="24"/>
      <c r="D886" s="24">
        <v>0</v>
      </c>
      <c r="E886" s="24">
        <v>1</v>
      </c>
      <c r="F886" s="24" t="s">
        <v>197</v>
      </c>
      <c r="G886" s="24" t="s">
        <v>198</v>
      </c>
      <c r="H886" s="24"/>
      <c r="I886" s="24">
        <v>0</v>
      </c>
      <c r="J886" s="24" t="s">
        <v>876</v>
      </c>
      <c r="K886" s="24" t="s">
        <v>1758</v>
      </c>
      <c r="L886" s="24" t="s">
        <v>3761</v>
      </c>
      <c r="M886" s="24" t="s">
        <v>1759</v>
      </c>
      <c r="N886" s="24" t="str">
        <f t="shared" si="30"/>
        <v>Event(FireSkill, airen.passive.ex.buff.buffeffect.skilleffect.02, FireCondition(Skill2))</v>
      </c>
      <c r="O886" s="24">
        <v>0</v>
      </c>
      <c r="P886" s="24">
        <v>0</v>
      </c>
      <c r="Q886" s="24"/>
      <c r="R886" s="24" t="b">
        <v>1</v>
      </c>
    </row>
    <row r="887" spans="1:18">
      <c r="A887" s="24" t="s">
        <v>3751</v>
      </c>
      <c r="B887" s="24"/>
      <c r="C887" s="24"/>
      <c r="D887" s="24">
        <v>0</v>
      </c>
      <c r="E887" s="24">
        <v>1</v>
      </c>
      <c r="F887" s="24" t="s">
        <v>197</v>
      </c>
      <c r="G887" s="24" t="s">
        <v>198</v>
      </c>
      <c r="H887" s="24"/>
      <c r="I887" s="24">
        <v>0</v>
      </c>
      <c r="J887" s="24" t="s">
        <v>876</v>
      </c>
      <c r="K887" s="24" t="s">
        <v>1758</v>
      </c>
      <c r="L887" s="24" t="s">
        <v>3762</v>
      </c>
      <c r="M887" s="24" t="s">
        <v>1759</v>
      </c>
      <c r="N887" s="24" t="str">
        <f t="shared" si="30"/>
        <v>Event(FireSkill, airen.passive.ex.buff.buffeffect.skilleffect.03, FireCondition(Skill2))</v>
      </c>
      <c r="O887" s="24">
        <v>0</v>
      </c>
      <c r="P887" s="24">
        <v>0</v>
      </c>
      <c r="Q887" s="24"/>
      <c r="R887" s="24" t="b">
        <v>1</v>
      </c>
    </row>
    <row r="888" spans="1:18">
      <c r="A888" s="24" t="s">
        <v>3753</v>
      </c>
      <c r="B888" s="24"/>
      <c r="C888" s="24"/>
      <c r="D888" s="24">
        <v>0</v>
      </c>
      <c r="E888" s="24">
        <v>1</v>
      </c>
      <c r="F888" s="24" t="s">
        <v>197</v>
      </c>
      <c r="G888" s="24" t="s">
        <v>198</v>
      </c>
      <c r="H888" s="24"/>
      <c r="I888" s="24">
        <v>0</v>
      </c>
      <c r="J888" s="24" t="s">
        <v>876</v>
      </c>
      <c r="K888" s="24" t="s">
        <v>1758</v>
      </c>
      <c r="L888" s="24" t="s">
        <v>3763</v>
      </c>
      <c r="M888" s="24" t="s">
        <v>1759</v>
      </c>
      <c r="N888" s="24" t="str">
        <f t="shared" si="30"/>
        <v>Event(FireSkill, airen.passive.ex.buff.buffeffect.skilleffect.04, FireCondition(Skill2))</v>
      </c>
      <c r="O888" s="24">
        <v>0</v>
      </c>
      <c r="P888" s="24">
        <v>0</v>
      </c>
      <c r="Q888" s="24"/>
      <c r="R888" s="24" t="b">
        <v>1</v>
      </c>
    </row>
    <row r="889" spans="1:18">
      <c r="A889" s="24" t="s">
        <v>3755</v>
      </c>
      <c r="B889" s="24"/>
      <c r="C889" s="24"/>
      <c r="D889" s="24">
        <v>0</v>
      </c>
      <c r="E889" s="24">
        <v>1</v>
      </c>
      <c r="F889" s="24" t="s">
        <v>197</v>
      </c>
      <c r="G889" s="24" t="s">
        <v>198</v>
      </c>
      <c r="H889" s="24"/>
      <c r="I889" s="24">
        <v>0</v>
      </c>
      <c r="J889" s="24" t="s">
        <v>876</v>
      </c>
      <c r="K889" s="24" t="s">
        <v>1758</v>
      </c>
      <c r="L889" s="24" t="s">
        <v>3764</v>
      </c>
      <c r="M889" s="24" t="s">
        <v>1759</v>
      </c>
      <c r="N889" s="24" t="str">
        <f t="shared" si="30"/>
        <v>Event(FireSkill, airen.passive.ex.buff.buffeffect.skilleffect.05, FireCondition(Skill2))</v>
      </c>
      <c r="O889" s="24">
        <v>0</v>
      </c>
      <c r="P889" s="24">
        <v>0</v>
      </c>
      <c r="Q889" s="24"/>
      <c r="R889" s="24" t="b">
        <v>1</v>
      </c>
    </row>
    <row r="890" spans="1:18" s="142" customFormat="1">
      <c r="A890" s="23" t="s">
        <v>6801</v>
      </c>
      <c r="B890" s="23"/>
      <c r="C890" s="23"/>
      <c r="D890" s="23">
        <v>0</v>
      </c>
      <c r="E890" s="23">
        <v>1</v>
      </c>
      <c r="F890" s="23" t="s">
        <v>197</v>
      </c>
      <c r="G890" s="23" t="s">
        <v>198</v>
      </c>
      <c r="H890" s="23"/>
      <c r="I890" s="23">
        <v>0</v>
      </c>
      <c r="J890" s="23" t="s">
        <v>838</v>
      </c>
      <c r="K890" s="23" t="s">
        <v>868</v>
      </c>
      <c r="L890" s="23">
        <v>550</v>
      </c>
      <c r="M890" s="23"/>
      <c r="N890" s="23" t="str">
        <f t="shared" si="30"/>
        <v>Status(IgnoreDefenseRate, 550)</v>
      </c>
      <c r="O890" s="23">
        <v>0</v>
      </c>
      <c r="P890" s="23">
        <v>0</v>
      </c>
      <c r="Q890" s="23"/>
      <c r="R890" s="23" t="b">
        <v>1</v>
      </c>
    </row>
    <row r="891" spans="1:18" s="142" customFormat="1">
      <c r="A891" s="23" t="s">
        <v>4374</v>
      </c>
      <c r="B891" s="23"/>
      <c r="C891" s="23"/>
      <c r="D891" s="23">
        <v>0</v>
      </c>
      <c r="E891" s="23">
        <v>1</v>
      </c>
      <c r="F891" s="23" t="s">
        <v>197</v>
      </c>
      <c r="G891" s="23" t="s">
        <v>198</v>
      </c>
      <c r="H891" s="23"/>
      <c r="I891" s="23">
        <v>0</v>
      </c>
      <c r="J891" s="23" t="s">
        <v>838</v>
      </c>
      <c r="K891" s="23" t="s">
        <v>868</v>
      </c>
      <c r="L891" s="23">
        <v>600</v>
      </c>
      <c r="M891" s="23"/>
      <c r="N891" s="23" t="str">
        <f t="shared" ref="N891:N912" si="31">J891&amp;"("&amp;IF(K891="","",K891)&amp;IF(L891="","",", "&amp;L891)&amp;IF(M891="","",", "&amp;M891)&amp;")"</f>
        <v>Status(IgnoreDefenseRate, 600)</v>
      </c>
      <c r="O891" s="23">
        <v>0</v>
      </c>
      <c r="P891" s="23">
        <v>0</v>
      </c>
      <c r="Q891" s="23"/>
      <c r="R891" s="23" t="b">
        <v>1</v>
      </c>
    </row>
    <row r="892" spans="1:18" s="142" customFormat="1">
      <c r="A892" s="23" t="s">
        <v>4375</v>
      </c>
      <c r="B892" s="23"/>
      <c r="C892" s="23"/>
      <c r="D892" s="23">
        <v>0</v>
      </c>
      <c r="E892" s="23">
        <v>1</v>
      </c>
      <c r="F892" s="23" t="s">
        <v>197</v>
      </c>
      <c r="G892" s="23" t="s">
        <v>198</v>
      </c>
      <c r="H892" s="23"/>
      <c r="I892" s="23">
        <v>0</v>
      </c>
      <c r="J892" s="23" t="s">
        <v>838</v>
      </c>
      <c r="K892" s="23" t="s">
        <v>868</v>
      </c>
      <c r="L892" s="23">
        <v>650</v>
      </c>
      <c r="M892" s="23"/>
      <c r="N892" s="23" t="str">
        <f t="shared" si="31"/>
        <v>Status(IgnoreDefenseRate, 650)</v>
      </c>
      <c r="O892" s="23">
        <v>0</v>
      </c>
      <c r="P892" s="23">
        <v>0</v>
      </c>
      <c r="Q892" s="23"/>
      <c r="R892" s="23" t="b">
        <v>1</v>
      </c>
    </row>
    <row r="893" spans="1:18" s="142" customFormat="1">
      <c r="A893" s="23" t="s">
        <v>4376</v>
      </c>
      <c r="B893" s="23"/>
      <c r="C893" s="23"/>
      <c r="D893" s="23">
        <v>0</v>
      </c>
      <c r="E893" s="23">
        <v>1</v>
      </c>
      <c r="F893" s="23" t="s">
        <v>197</v>
      </c>
      <c r="G893" s="23" t="s">
        <v>198</v>
      </c>
      <c r="H893" s="23"/>
      <c r="I893" s="23">
        <v>0</v>
      </c>
      <c r="J893" s="23" t="s">
        <v>838</v>
      </c>
      <c r="K893" s="23" t="s">
        <v>868</v>
      </c>
      <c r="L893" s="23">
        <v>750</v>
      </c>
      <c r="M893" s="23"/>
      <c r="N893" s="23" t="str">
        <f t="shared" si="31"/>
        <v>Status(IgnoreDefenseRate, 750)</v>
      </c>
      <c r="O893" s="23">
        <v>0</v>
      </c>
      <c r="P893" s="23">
        <v>0</v>
      </c>
      <c r="Q893" s="23"/>
      <c r="R893" s="23" t="b">
        <v>1</v>
      </c>
    </row>
    <row r="894" spans="1:18" s="142" customFormat="1">
      <c r="A894" s="23" t="s">
        <v>4377</v>
      </c>
      <c r="B894" s="23"/>
      <c r="C894" s="23"/>
      <c r="D894" s="23">
        <v>0</v>
      </c>
      <c r="E894" s="23">
        <v>1</v>
      </c>
      <c r="F894" s="23" t="s">
        <v>197</v>
      </c>
      <c r="G894" s="23" t="s">
        <v>198</v>
      </c>
      <c r="H894" s="23"/>
      <c r="I894" s="23">
        <v>0</v>
      </c>
      <c r="J894" s="23" t="s">
        <v>838</v>
      </c>
      <c r="K894" s="23" t="s">
        <v>868</v>
      </c>
      <c r="L894" s="23">
        <v>800</v>
      </c>
      <c r="M894" s="23"/>
      <c r="N894" s="23" t="str">
        <f t="shared" si="31"/>
        <v>Status(IgnoreDefenseRate, 800)</v>
      </c>
      <c r="O894" s="23">
        <v>0</v>
      </c>
      <c r="P894" s="23">
        <v>0</v>
      </c>
      <c r="Q894" s="23"/>
      <c r="R894" s="23" t="b">
        <v>1</v>
      </c>
    </row>
    <row r="895" spans="1:18">
      <c r="A895" s="25" t="s">
        <v>2203</v>
      </c>
      <c r="B895" s="25"/>
      <c r="C895" s="25"/>
      <c r="D895" s="25">
        <v>0</v>
      </c>
      <c r="E895" s="25">
        <v>1</v>
      </c>
      <c r="F895" s="25" t="s">
        <v>197</v>
      </c>
      <c r="G895" s="25" t="s">
        <v>198</v>
      </c>
      <c r="H895" s="25"/>
      <c r="I895" s="25">
        <v>0</v>
      </c>
      <c r="J895" s="25" t="s">
        <v>191</v>
      </c>
      <c r="K895" s="25" t="s">
        <v>892</v>
      </c>
      <c r="L895" s="25" t="s">
        <v>2209</v>
      </c>
      <c r="M895" s="25"/>
      <c r="N895" s="25" t="str">
        <f t="shared" si="31"/>
        <v>Effect(BeHit, klairs.passive.buff.buffeffect.skilleffect.01)</v>
      </c>
      <c r="O895" s="25">
        <v>0</v>
      </c>
      <c r="P895" s="25">
        <v>10000</v>
      </c>
      <c r="Q895" s="25"/>
      <c r="R895" s="25" t="b">
        <v>1</v>
      </c>
    </row>
    <row r="896" spans="1:18">
      <c r="A896" s="25" t="s">
        <v>2204</v>
      </c>
      <c r="B896" s="25"/>
      <c r="C896" s="25"/>
      <c r="D896" s="25">
        <v>0</v>
      </c>
      <c r="E896" s="25">
        <v>1</v>
      </c>
      <c r="F896" s="25" t="s">
        <v>197</v>
      </c>
      <c r="G896" s="25" t="s">
        <v>198</v>
      </c>
      <c r="H896" s="25"/>
      <c r="I896" s="25">
        <v>0</v>
      </c>
      <c r="J896" s="25" t="s">
        <v>191</v>
      </c>
      <c r="K896" s="25" t="s">
        <v>892</v>
      </c>
      <c r="L896" s="25" t="s">
        <v>2210</v>
      </c>
      <c r="M896" s="25"/>
      <c r="N896" s="25" t="str">
        <f t="shared" si="31"/>
        <v>Effect(BeHit, klairs.passive.buff.buffeffect.skilleffect.02)</v>
      </c>
      <c r="O896" s="25">
        <v>0</v>
      </c>
      <c r="P896" s="25">
        <v>10000</v>
      </c>
      <c r="Q896" s="25"/>
      <c r="R896" s="25" t="b">
        <v>1</v>
      </c>
    </row>
    <row r="897" spans="1:18">
      <c r="A897" s="25" t="s">
        <v>2205</v>
      </c>
      <c r="B897" s="25"/>
      <c r="C897" s="25"/>
      <c r="D897" s="25">
        <v>0</v>
      </c>
      <c r="E897" s="25">
        <v>1</v>
      </c>
      <c r="F897" s="25" t="s">
        <v>197</v>
      </c>
      <c r="G897" s="25" t="s">
        <v>198</v>
      </c>
      <c r="H897" s="25"/>
      <c r="I897" s="25">
        <v>0</v>
      </c>
      <c r="J897" s="25" t="s">
        <v>191</v>
      </c>
      <c r="K897" s="25" t="s">
        <v>892</v>
      </c>
      <c r="L897" s="25" t="s">
        <v>2211</v>
      </c>
      <c r="M897" s="25"/>
      <c r="N897" s="25" t="str">
        <f t="shared" si="31"/>
        <v>Effect(BeHit, klairs.passive.buff.buffeffect.skilleffect.03)</v>
      </c>
      <c r="O897" s="25">
        <v>0</v>
      </c>
      <c r="P897" s="25">
        <v>10000</v>
      </c>
      <c r="Q897" s="25"/>
      <c r="R897" s="25" t="b">
        <v>1</v>
      </c>
    </row>
    <row r="898" spans="1:18">
      <c r="A898" s="34" t="s">
        <v>2206</v>
      </c>
      <c r="B898" s="34"/>
      <c r="C898" s="34"/>
      <c r="D898" s="34">
        <v>0</v>
      </c>
      <c r="E898" s="34">
        <v>1</v>
      </c>
      <c r="F898" s="34" t="s">
        <v>197</v>
      </c>
      <c r="G898" s="34" t="s">
        <v>198</v>
      </c>
      <c r="H898" s="34"/>
      <c r="I898" s="34">
        <v>0</v>
      </c>
      <c r="J898" s="34" t="s">
        <v>191</v>
      </c>
      <c r="K898" s="34" t="s">
        <v>892</v>
      </c>
      <c r="L898" s="34" t="s">
        <v>2212</v>
      </c>
      <c r="M898" s="34"/>
      <c r="N898" s="34" t="str">
        <f t="shared" si="31"/>
        <v>Effect(BeHit, klairs.passive.buff.buffeffect.skilleffect.04)</v>
      </c>
      <c r="O898" s="34">
        <v>0</v>
      </c>
      <c r="P898" s="34">
        <v>10000</v>
      </c>
      <c r="Q898" s="34"/>
      <c r="R898" s="34" t="b">
        <v>1</v>
      </c>
    </row>
    <row r="899" spans="1:18">
      <c r="A899" s="34" t="s">
        <v>2207</v>
      </c>
      <c r="B899" s="34"/>
      <c r="C899" s="34"/>
      <c r="D899" s="34">
        <v>0</v>
      </c>
      <c r="E899" s="34">
        <v>1</v>
      </c>
      <c r="F899" s="34" t="s">
        <v>197</v>
      </c>
      <c r="G899" s="34" t="s">
        <v>198</v>
      </c>
      <c r="H899" s="34"/>
      <c r="I899" s="34">
        <v>0</v>
      </c>
      <c r="J899" s="34" t="s">
        <v>191</v>
      </c>
      <c r="K899" s="34" t="s">
        <v>892</v>
      </c>
      <c r="L899" s="34" t="s">
        <v>2213</v>
      </c>
      <c r="M899" s="34"/>
      <c r="N899" s="34" t="str">
        <f t="shared" si="31"/>
        <v>Effect(BeHit, klairs.passive.buff.buffeffect.skilleffect.05)</v>
      </c>
      <c r="O899" s="34">
        <v>0</v>
      </c>
      <c r="P899" s="34">
        <v>10000</v>
      </c>
      <c r="Q899" s="34"/>
      <c r="R899" s="34" t="b">
        <v>1</v>
      </c>
    </row>
    <row r="900" spans="1:18">
      <c r="A900" s="34" t="s">
        <v>2208</v>
      </c>
      <c r="B900" s="34"/>
      <c r="C900" s="34"/>
      <c r="D900" s="34">
        <v>0</v>
      </c>
      <c r="E900" s="34">
        <v>1</v>
      </c>
      <c r="F900" s="34" t="s">
        <v>197</v>
      </c>
      <c r="G900" s="34" t="s">
        <v>198</v>
      </c>
      <c r="H900" s="34"/>
      <c r="I900" s="34">
        <v>0</v>
      </c>
      <c r="J900" s="34" t="s">
        <v>191</v>
      </c>
      <c r="K900" s="34" t="s">
        <v>892</v>
      </c>
      <c r="L900" s="34" t="s">
        <v>2214</v>
      </c>
      <c r="M900" s="34"/>
      <c r="N900" s="34" t="str">
        <f t="shared" si="31"/>
        <v>Effect(BeHit, klairs.passive.buff.buffeffect.skilleffect.06)</v>
      </c>
      <c r="O900" s="34">
        <v>0</v>
      </c>
      <c r="P900" s="34">
        <v>10000</v>
      </c>
      <c r="Q900" s="34"/>
      <c r="R900" s="34" t="b">
        <v>1</v>
      </c>
    </row>
    <row r="901" spans="1:18" s="150" customFormat="1">
      <c r="A901" s="24" t="s">
        <v>6811</v>
      </c>
      <c r="B901" s="24"/>
      <c r="C901" s="24"/>
      <c r="D901" s="24">
        <v>0</v>
      </c>
      <c r="E901" s="24">
        <v>1</v>
      </c>
      <c r="F901" s="24" t="s">
        <v>2157</v>
      </c>
      <c r="G901" s="24" t="s">
        <v>418</v>
      </c>
      <c r="H901" s="24"/>
      <c r="I901" s="24">
        <v>0</v>
      </c>
      <c r="J901" s="24" t="s">
        <v>1254</v>
      </c>
      <c r="K901" s="24" t="s">
        <v>6812</v>
      </c>
      <c r="L901" s="24"/>
      <c r="M901" s="24"/>
      <c r="N901" s="24" t="str">
        <f t="shared" si="31"/>
        <v>Passive(klairs.passive.ex.event.buff.01)</v>
      </c>
      <c r="O901" s="24">
        <v>0</v>
      </c>
      <c r="P901" s="24">
        <v>0</v>
      </c>
      <c r="Q901" s="24"/>
      <c r="R901" s="24" t="b">
        <v>1</v>
      </c>
    </row>
    <row r="902" spans="1:18" s="150" customFormat="1">
      <c r="A902" s="24" t="s">
        <v>3718</v>
      </c>
      <c r="B902" s="24"/>
      <c r="C902" s="24"/>
      <c r="D902" s="24">
        <v>0</v>
      </c>
      <c r="E902" s="24">
        <v>1</v>
      </c>
      <c r="F902" s="24" t="s">
        <v>2157</v>
      </c>
      <c r="G902" s="24" t="s">
        <v>418</v>
      </c>
      <c r="H902" s="24"/>
      <c r="I902" s="24">
        <v>0</v>
      </c>
      <c r="J902" s="24" t="s">
        <v>1254</v>
      </c>
      <c r="K902" s="24" t="s">
        <v>3723</v>
      </c>
      <c r="L902" s="24"/>
      <c r="M902" s="24"/>
      <c r="N902" s="24" t="str">
        <f t="shared" si="31"/>
        <v>Passive(klairs.passive.ex.event.buff.02)</v>
      </c>
      <c r="O902" s="24">
        <v>0</v>
      </c>
      <c r="P902" s="24">
        <v>0</v>
      </c>
      <c r="Q902" s="24"/>
      <c r="R902" s="24" t="b">
        <v>1</v>
      </c>
    </row>
    <row r="903" spans="1:18" s="150" customFormat="1">
      <c r="A903" s="24" t="s">
        <v>3719</v>
      </c>
      <c r="B903" s="24"/>
      <c r="C903" s="24"/>
      <c r="D903" s="24">
        <v>0</v>
      </c>
      <c r="E903" s="24">
        <v>1</v>
      </c>
      <c r="F903" s="24" t="s">
        <v>2157</v>
      </c>
      <c r="G903" s="24" t="s">
        <v>418</v>
      </c>
      <c r="H903" s="24"/>
      <c r="I903" s="24">
        <v>0</v>
      </c>
      <c r="J903" s="24" t="s">
        <v>1254</v>
      </c>
      <c r="K903" s="24" t="s">
        <v>3724</v>
      </c>
      <c r="L903" s="24"/>
      <c r="M903" s="24"/>
      <c r="N903" s="24" t="str">
        <f t="shared" si="31"/>
        <v>Passive(klairs.passive.ex.event.buff.03)</v>
      </c>
      <c r="O903" s="24">
        <v>0</v>
      </c>
      <c r="P903" s="24">
        <v>0</v>
      </c>
      <c r="Q903" s="24"/>
      <c r="R903" s="24" t="b">
        <v>1</v>
      </c>
    </row>
    <row r="904" spans="1:18" s="150" customFormat="1">
      <c r="A904" s="24" t="s">
        <v>3720</v>
      </c>
      <c r="B904" s="24"/>
      <c r="C904" s="24"/>
      <c r="D904" s="24">
        <v>0</v>
      </c>
      <c r="E904" s="24">
        <v>1</v>
      </c>
      <c r="F904" s="24" t="s">
        <v>2157</v>
      </c>
      <c r="G904" s="24" t="s">
        <v>418</v>
      </c>
      <c r="H904" s="24"/>
      <c r="I904" s="24">
        <v>0</v>
      </c>
      <c r="J904" s="24" t="s">
        <v>1254</v>
      </c>
      <c r="K904" s="24" t="s">
        <v>3725</v>
      </c>
      <c r="L904" s="24"/>
      <c r="M904" s="24"/>
      <c r="N904" s="24" t="str">
        <f t="shared" si="31"/>
        <v>Passive(klairs.passive.ex.event.buff.04)</v>
      </c>
      <c r="O904" s="24">
        <v>0</v>
      </c>
      <c r="P904" s="24">
        <v>0</v>
      </c>
      <c r="Q904" s="24"/>
      <c r="R904" s="24" t="b">
        <v>1</v>
      </c>
    </row>
    <row r="905" spans="1:18" s="150" customFormat="1">
      <c r="A905" s="24" t="s">
        <v>3721</v>
      </c>
      <c r="B905" s="24"/>
      <c r="C905" s="24"/>
      <c r="D905" s="24">
        <v>0</v>
      </c>
      <c r="E905" s="24">
        <v>1</v>
      </c>
      <c r="F905" s="24" t="s">
        <v>2157</v>
      </c>
      <c r="G905" s="24" t="s">
        <v>418</v>
      </c>
      <c r="H905" s="24"/>
      <c r="I905" s="24">
        <v>0</v>
      </c>
      <c r="J905" s="24" t="s">
        <v>1254</v>
      </c>
      <c r="K905" s="24" t="s">
        <v>3726</v>
      </c>
      <c r="L905" s="24"/>
      <c r="M905" s="24"/>
      <c r="N905" s="24" t="str">
        <f t="shared" si="31"/>
        <v>Passive(klairs.passive.ex.event.buff.05)</v>
      </c>
      <c r="O905" s="24">
        <v>0</v>
      </c>
      <c r="P905" s="24">
        <v>0</v>
      </c>
      <c r="Q905" s="24"/>
      <c r="R905" s="24" t="b">
        <v>1</v>
      </c>
    </row>
    <row r="906" spans="1:18" s="150" customFormat="1">
      <c r="A906" s="24" t="s">
        <v>3722</v>
      </c>
      <c r="B906" s="24"/>
      <c r="C906" s="24"/>
      <c r="D906" s="24">
        <v>0</v>
      </c>
      <c r="E906" s="24">
        <v>1</v>
      </c>
      <c r="F906" s="24" t="s">
        <v>2157</v>
      </c>
      <c r="G906" s="24" t="s">
        <v>418</v>
      </c>
      <c r="H906" s="24"/>
      <c r="I906" s="24">
        <v>0</v>
      </c>
      <c r="J906" s="24" t="s">
        <v>1254</v>
      </c>
      <c r="K906" s="24" t="s">
        <v>3727</v>
      </c>
      <c r="L906" s="24"/>
      <c r="M906" s="24"/>
      <c r="N906" s="24" t="str">
        <f t="shared" si="31"/>
        <v>Passive(klairs.passive.ex.event.buff.06)</v>
      </c>
      <c r="O906" s="24">
        <v>0</v>
      </c>
      <c r="P906" s="24">
        <v>0</v>
      </c>
      <c r="Q906" s="24"/>
      <c r="R906" s="24" t="b">
        <v>1</v>
      </c>
    </row>
    <row r="907" spans="1:18" s="164" customFormat="1">
      <c r="A907" s="53" t="s">
        <v>6813</v>
      </c>
      <c r="B907" s="53" t="s">
        <v>8813</v>
      </c>
      <c r="C907" s="53" t="s">
        <v>4631</v>
      </c>
      <c r="D907" s="53">
        <v>0</v>
      </c>
      <c r="E907" s="53">
        <v>1</v>
      </c>
      <c r="F907" s="53" t="s">
        <v>197</v>
      </c>
      <c r="G907" s="53" t="s">
        <v>198</v>
      </c>
      <c r="H907" s="53"/>
      <c r="I907" s="53">
        <v>0</v>
      </c>
      <c r="J907" s="53" t="s">
        <v>838</v>
      </c>
      <c r="K907" s="127" t="s">
        <v>871</v>
      </c>
      <c r="L907" s="127">
        <v>-150</v>
      </c>
      <c r="M907" s="53"/>
      <c r="N907" s="53" t="str">
        <f t="shared" si="31"/>
        <v>Status(GuardRate, -150)</v>
      </c>
      <c r="O907" s="53">
        <v>0</v>
      </c>
      <c r="P907" s="53">
        <v>0</v>
      </c>
      <c r="Q907" s="53"/>
      <c r="R907" s="53" t="b">
        <v>1</v>
      </c>
    </row>
    <row r="908" spans="1:18" s="164" customFormat="1">
      <c r="A908" s="53" t="s">
        <v>3729</v>
      </c>
      <c r="B908" s="53" t="s">
        <v>8813</v>
      </c>
      <c r="C908" s="53" t="s">
        <v>4631</v>
      </c>
      <c r="D908" s="53">
        <v>0</v>
      </c>
      <c r="E908" s="53">
        <v>1</v>
      </c>
      <c r="F908" s="53" t="s">
        <v>197</v>
      </c>
      <c r="G908" s="53" t="s">
        <v>198</v>
      </c>
      <c r="H908" s="53"/>
      <c r="I908" s="53">
        <v>0</v>
      </c>
      <c r="J908" s="53" t="s">
        <v>838</v>
      </c>
      <c r="K908" s="127" t="s">
        <v>871</v>
      </c>
      <c r="L908" s="127">
        <v>-170</v>
      </c>
      <c r="M908" s="53"/>
      <c r="N908" s="53" t="str">
        <f t="shared" si="31"/>
        <v>Status(GuardRate, -170)</v>
      </c>
      <c r="O908" s="53">
        <v>0</v>
      </c>
      <c r="P908" s="53">
        <v>0</v>
      </c>
      <c r="Q908" s="53"/>
      <c r="R908" s="53" t="b">
        <v>1</v>
      </c>
    </row>
    <row r="909" spans="1:18" s="164" customFormat="1">
      <c r="A909" s="53" t="s">
        <v>3730</v>
      </c>
      <c r="B909" s="53" t="s">
        <v>8813</v>
      </c>
      <c r="C909" s="53" t="s">
        <v>4631</v>
      </c>
      <c r="D909" s="53">
        <v>0</v>
      </c>
      <c r="E909" s="53">
        <v>1</v>
      </c>
      <c r="F909" s="53" t="s">
        <v>197</v>
      </c>
      <c r="G909" s="53" t="s">
        <v>198</v>
      </c>
      <c r="H909" s="53"/>
      <c r="I909" s="53">
        <v>0</v>
      </c>
      <c r="J909" s="53" t="s">
        <v>838</v>
      </c>
      <c r="K909" s="127" t="s">
        <v>871</v>
      </c>
      <c r="L909" s="127">
        <v>-190</v>
      </c>
      <c r="M909" s="53"/>
      <c r="N909" s="53" t="str">
        <f t="shared" si="31"/>
        <v>Status(GuardRate, -190)</v>
      </c>
      <c r="O909" s="53">
        <v>0</v>
      </c>
      <c r="P909" s="53">
        <v>0</v>
      </c>
      <c r="Q909" s="53"/>
      <c r="R909" s="53" t="b">
        <v>1</v>
      </c>
    </row>
    <row r="910" spans="1:18" s="164" customFormat="1">
      <c r="A910" s="53" t="s">
        <v>3731</v>
      </c>
      <c r="B910" s="53" t="s">
        <v>8813</v>
      </c>
      <c r="C910" s="53" t="s">
        <v>4631</v>
      </c>
      <c r="D910" s="53">
        <v>0</v>
      </c>
      <c r="E910" s="53">
        <v>1</v>
      </c>
      <c r="F910" s="53" t="s">
        <v>197</v>
      </c>
      <c r="G910" s="53" t="s">
        <v>198</v>
      </c>
      <c r="H910" s="53"/>
      <c r="I910" s="53">
        <v>0</v>
      </c>
      <c r="J910" s="53" t="s">
        <v>838</v>
      </c>
      <c r="K910" s="127" t="s">
        <v>871</v>
      </c>
      <c r="L910" s="127">
        <v>-220</v>
      </c>
      <c r="M910" s="53"/>
      <c r="N910" s="53" t="str">
        <f t="shared" si="31"/>
        <v>Status(GuardRate, -220)</v>
      </c>
      <c r="O910" s="53">
        <v>0</v>
      </c>
      <c r="P910" s="53">
        <v>0</v>
      </c>
      <c r="Q910" s="53"/>
      <c r="R910" s="53" t="b">
        <v>1</v>
      </c>
    </row>
    <row r="911" spans="1:18" s="164" customFormat="1">
      <c r="A911" s="53" t="s">
        <v>3732</v>
      </c>
      <c r="B911" s="53" t="s">
        <v>8813</v>
      </c>
      <c r="C911" s="53" t="s">
        <v>4631</v>
      </c>
      <c r="D911" s="53">
        <v>0</v>
      </c>
      <c r="E911" s="53">
        <v>1</v>
      </c>
      <c r="F911" s="53" t="s">
        <v>197</v>
      </c>
      <c r="G911" s="53" t="s">
        <v>198</v>
      </c>
      <c r="H911" s="53"/>
      <c r="I911" s="53">
        <v>0</v>
      </c>
      <c r="J911" s="53" t="s">
        <v>838</v>
      </c>
      <c r="K911" s="127" t="s">
        <v>871</v>
      </c>
      <c r="L911" s="127">
        <v>-100</v>
      </c>
      <c r="M911" s="53"/>
      <c r="N911" s="53" t="str">
        <f t="shared" si="31"/>
        <v>Status(GuardRate, -100)</v>
      </c>
      <c r="O911" s="53">
        <v>0</v>
      </c>
      <c r="P911" s="53">
        <v>0</v>
      </c>
      <c r="Q911" s="53"/>
      <c r="R911" s="53" t="b">
        <v>1</v>
      </c>
    </row>
    <row r="912" spans="1:18" s="164" customFormat="1">
      <c r="A912" s="53" t="s">
        <v>3733</v>
      </c>
      <c r="B912" s="53" t="s">
        <v>8813</v>
      </c>
      <c r="C912" s="53" t="s">
        <v>4631</v>
      </c>
      <c r="D912" s="53">
        <v>0</v>
      </c>
      <c r="E912" s="53">
        <v>1</v>
      </c>
      <c r="F912" s="53" t="s">
        <v>197</v>
      </c>
      <c r="G912" s="53" t="s">
        <v>198</v>
      </c>
      <c r="H912" s="53"/>
      <c r="I912" s="53">
        <v>0</v>
      </c>
      <c r="J912" s="53" t="s">
        <v>838</v>
      </c>
      <c r="K912" s="127" t="s">
        <v>871</v>
      </c>
      <c r="L912" s="127">
        <v>-100</v>
      </c>
      <c r="M912" s="53"/>
      <c r="N912" s="53" t="str">
        <f t="shared" si="31"/>
        <v>Status(GuardRate, -100)</v>
      </c>
      <c r="O912" s="53">
        <v>0</v>
      </c>
      <c r="P912" s="53">
        <v>0</v>
      </c>
      <c r="Q912" s="53"/>
      <c r="R912" s="53" t="b">
        <v>1</v>
      </c>
    </row>
  </sheetData>
  <phoneticPr fontId="3" type="noConversion"/>
  <conditionalFormatting sqref="A1:A1048576">
    <cfRule type="duplicateValues" dxfId="168" priority="126"/>
  </conditionalFormatting>
  <conditionalFormatting sqref="A1:XFD1048576">
    <cfRule type="cellIs" dxfId="167" priority="127" operator="equal">
      <formula>TRUE</formula>
    </cfRule>
    <cfRule type="cellIs" dxfId="166" priority="128" operator="equal">
      <formula>FALSE</formula>
    </cfRule>
    <cfRule type="cellIs" dxfId="165" priority="129" operator="equal">
      <formula>0</formula>
    </cfRule>
    <cfRule type="cellIs" dxfId="164" priority="130" operator="equal">
      <formula>"Single"</formula>
    </cfRule>
    <cfRule type="cellIs" dxfId="163" priority="131" operator="equal">
      <formula>"Self"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741"/>
  <sheetViews>
    <sheetView zoomScale="85" zoomScaleNormal="85" workbookViewId="0">
      <pane xSplit="1" ySplit="4" topLeftCell="B550" activePane="bottomRight" state="frozen"/>
      <selection activeCell="A270" sqref="A270"/>
      <selection pane="topRight" activeCell="A270" sqref="A270"/>
      <selection pane="bottomLeft" activeCell="A270" sqref="A270"/>
      <selection pane="bottomRight" activeCell="C554" sqref="C554"/>
    </sheetView>
  </sheetViews>
  <sheetFormatPr defaultColWidth="80" defaultRowHeight="16.5"/>
  <cols>
    <col min="1" max="1" width="52.375" bestFit="1" customWidth="1"/>
    <col min="2" max="2" width="16.625" bestFit="1" customWidth="1"/>
    <col min="3" max="3" width="30.375" bestFit="1" customWidth="1"/>
    <col min="4" max="4" width="10.125" bestFit="1" customWidth="1"/>
    <col min="5" max="5" width="9.625" bestFit="1" customWidth="1"/>
    <col min="6" max="6" width="9.5" bestFit="1" customWidth="1"/>
    <col min="7" max="7" width="90.125" bestFit="1" customWidth="1"/>
    <col min="8" max="8" width="18.125" bestFit="1" customWidth="1"/>
    <col min="9" max="9" width="12.125" bestFit="1" customWidth="1"/>
    <col min="10" max="10" width="13" bestFit="1" customWidth="1"/>
    <col min="11" max="11" width="9" bestFit="1" customWidth="1"/>
    <col min="12" max="12" width="69.125" bestFit="1" customWidth="1"/>
    <col min="13" max="13" width="30.5" bestFit="1" customWidth="1"/>
    <col min="14" max="14" width="31.875" bestFit="1" customWidth="1"/>
    <col min="15" max="15" width="40.75" bestFit="1" customWidth="1"/>
    <col min="16" max="16" width="39.625" bestFit="1" customWidth="1"/>
    <col min="17" max="17" width="13" bestFit="1" customWidth="1"/>
    <col min="18" max="18" width="9" bestFit="1" customWidth="1"/>
  </cols>
  <sheetData>
    <row r="1" spans="1:18" ht="33" customHeight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6571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2" t="s">
        <v>23</v>
      </c>
      <c r="H2" s="5" t="s">
        <v>24</v>
      </c>
      <c r="I2" s="5" t="s">
        <v>25</v>
      </c>
      <c r="J2" s="1" t="s">
        <v>26</v>
      </c>
      <c r="K2" s="1" t="s">
        <v>27</v>
      </c>
      <c r="L2" s="1" t="s">
        <v>28</v>
      </c>
      <c r="M2" s="1" t="s">
        <v>883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4" t="s">
        <v>37</v>
      </c>
      <c r="F3" s="4" t="s">
        <v>37</v>
      </c>
      <c r="G3" s="2" t="s">
        <v>38</v>
      </c>
      <c r="H3" s="5" t="s">
        <v>39</v>
      </c>
      <c r="I3" s="5" t="s">
        <v>40</v>
      </c>
      <c r="J3" s="1" t="s">
        <v>40</v>
      </c>
      <c r="K3" s="1" t="s">
        <v>40</v>
      </c>
      <c r="L3" s="1" t="s">
        <v>41</v>
      </c>
      <c r="M3" s="1" t="s">
        <v>883</v>
      </c>
      <c r="N3" s="1" t="s">
        <v>36</v>
      </c>
      <c r="O3" s="1" t="s">
        <v>36</v>
      </c>
      <c r="P3" s="1" t="s">
        <v>36</v>
      </c>
      <c r="Q3" s="1" t="s">
        <v>40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4" t="s">
        <v>42</v>
      </c>
      <c r="F4" s="4" t="s">
        <v>42</v>
      </c>
      <c r="G4" s="2" t="s">
        <v>42</v>
      </c>
      <c r="H4" s="5" t="s">
        <v>42</v>
      </c>
      <c r="I4" s="5" t="s">
        <v>42</v>
      </c>
      <c r="J4" s="1" t="s">
        <v>42</v>
      </c>
      <c r="K4" s="1" t="s">
        <v>42</v>
      </c>
      <c r="L4" s="1" t="s">
        <v>43</v>
      </c>
      <c r="M4" s="1" t="s">
        <v>883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42</v>
      </c>
    </row>
    <row r="5" spans="1:18" s="155" customFormat="1" ht="33">
      <c r="A5" s="6" t="s">
        <v>8294</v>
      </c>
      <c r="B5" s="6"/>
      <c r="C5" s="6"/>
      <c r="D5" s="6">
        <v>10000</v>
      </c>
      <c r="E5" s="6">
        <v>12</v>
      </c>
      <c r="F5" s="6">
        <v>1</v>
      </c>
      <c r="G5" s="158" t="s">
        <v>8295</v>
      </c>
      <c r="H5" s="6"/>
      <c r="I5" s="6" t="b">
        <v>0</v>
      </c>
      <c r="J5" s="6" t="b">
        <v>0</v>
      </c>
      <c r="K5" s="6" t="b">
        <v>0</v>
      </c>
      <c r="L5" s="6" t="s">
        <v>5476</v>
      </c>
      <c r="M5" s="6" t="s">
        <v>7806</v>
      </c>
      <c r="N5" s="6" t="str">
        <f>_xlfn.IFNA(VLOOKUP($M5,Buff.CM!$A:$O,13,FALSE),"")</f>
        <v>icon_battle_freyja_debuff_01</v>
      </c>
      <c r="O5" s="6" t="str">
        <f>_xlfn.IFNA(VLOOKUP($M5,Buff.CM!$A:$O,14,FALSE),"")</f>
        <v>info.freyja.debuff.ultA</v>
      </c>
      <c r="P5" s="6" t="str">
        <f>_xlfn.IFNA(VLOOKUP($M5,Buff.CM!$A:$O,15,FALSE),"")</f>
        <v>Desc.info.freyja.debuff.ultA</v>
      </c>
      <c r="Q5" s="6" t="b">
        <v>0</v>
      </c>
      <c r="R5" s="6" t="b">
        <v>0</v>
      </c>
    </row>
    <row r="6" spans="1:18" s="155" customFormat="1" ht="33">
      <c r="A6" s="6" t="s">
        <v>7750</v>
      </c>
      <c r="B6" s="6"/>
      <c r="C6" s="6"/>
      <c r="D6" s="6">
        <v>10000</v>
      </c>
      <c r="E6" s="6">
        <v>12</v>
      </c>
      <c r="F6" s="6">
        <v>1</v>
      </c>
      <c r="G6" s="158" t="s">
        <v>8296</v>
      </c>
      <c r="H6" s="6"/>
      <c r="I6" s="6" t="b">
        <v>0</v>
      </c>
      <c r="J6" s="6" t="b">
        <v>0</v>
      </c>
      <c r="K6" s="6" t="b">
        <v>0</v>
      </c>
      <c r="L6" s="6" t="s">
        <v>5476</v>
      </c>
      <c r="M6" s="6" t="s">
        <v>7806</v>
      </c>
      <c r="N6" s="6" t="str">
        <f>_xlfn.IFNA(VLOOKUP($M6,Buff.CM!$A:$O,13,FALSE),"")</f>
        <v>icon_battle_freyja_debuff_01</v>
      </c>
      <c r="O6" s="6" t="str">
        <f>_xlfn.IFNA(VLOOKUP($M6,Buff.CM!$A:$O,14,FALSE),"")</f>
        <v>info.freyja.debuff.ultA</v>
      </c>
      <c r="P6" s="6" t="str">
        <f>_xlfn.IFNA(VLOOKUP($M6,Buff.CM!$A:$O,15,FALSE),"")</f>
        <v>Desc.info.freyja.debuff.ultA</v>
      </c>
      <c r="Q6" s="6" t="b">
        <v>0</v>
      </c>
      <c r="R6" s="6" t="b">
        <v>0</v>
      </c>
    </row>
    <row r="7" spans="1:18" s="155" customFormat="1" ht="33">
      <c r="A7" s="6" t="s">
        <v>7751</v>
      </c>
      <c r="B7" s="6"/>
      <c r="C7" s="6"/>
      <c r="D7" s="6">
        <v>10000</v>
      </c>
      <c r="E7" s="6">
        <v>12</v>
      </c>
      <c r="F7" s="6">
        <v>1</v>
      </c>
      <c r="G7" s="158" t="s">
        <v>8297</v>
      </c>
      <c r="H7" s="6"/>
      <c r="I7" s="6" t="b">
        <v>0</v>
      </c>
      <c r="J7" s="6" t="b">
        <v>0</v>
      </c>
      <c r="K7" s="6" t="b">
        <v>0</v>
      </c>
      <c r="L7" s="6" t="s">
        <v>8298</v>
      </c>
      <c r="M7" s="6" t="s">
        <v>7806</v>
      </c>
      <c r="N7" s="6" t="str">
        <f>_xlfn.IFNA(VLOOKUP($M7,Buff.CM!$A:$O,13,FALSE),"")</f>
        <v>icon_battle_freyja_debuff_01</v>
      </c>
      <c r="O7" s="6" t="str">
        <f>_xlfn.IFNA(VLOOKUP($M7,Buff.CM!$A:$O,14,FALSE),"")</f>
        <v>info.freyja.debuff.ultA</v>
      </c>
      <c r="P7" s="6" t="str">
        <f>_xlfn.IFNA(VLOOKUP($M7,Buff.CM!$A:$O,15,FALSE),"")</f>
        <v>Desc.info.freyja.debuff.ultA</v>
      </c>
      <c r="Q7" s="6" t="b">
        <v>0</v>
      </c>
      <c r="R7" s="6" t="b">
        <v>0</v>
      </c>
    </row>
    <row r="8" spans="1:18" s="155" customFormat="1" ht="33">
      <c r="A8" s="6" t="s">
        <v>7752</v>
      </c>
      <c r="B8" s="6"/>
      <c r="C8" s="6"/>
      <c r="D8" s="6">
        <v>10000</v>
      </c>
      <c r="E8" s="6">
        <v>12</v>
      </c>
      <c r="F8" s="6">
        <v>1</v>
      </c>
      <c r="G8" s="158" t="s">
        <v>8299</v>
      </c>
      <c r="H8" s="6"/>
      <c r="I8" s="6" t="b">
        <v>0</v>
      </c>
      <c r="J8" s="6" t="b">
        <v>0</v>
      </c>
      <c r="K8" s="6" t="b">
        <v>0</v>
      </c>
      <c r="L8" s="6" t="s">
        <v>5476</v>
      </c>
      <c r="M8" s="6" t="s">
        <v>7806</v>
      </c>
      <c r="N8" s="6" t="str">
        <f>_xlfn.IFNA(VLOOKUP($M8,Buff.CM!$A:$O,13,FALSE),"")</f>
        <v>icon_battle_freyja_debuff_01</v>
      </c>
      <c r="O8" s="6" t="str">
        <f>_xlfn.IFNA(VLOOKUP($M8,Buff.CM!$A:$O,14,FALSE),"")</f>
        <v>info.freyja.debuff.ultA</v>
      </c>
      <c r="P8" s="6" t="str">
        <f>_xlfn.IFNA(VLOOKUP($M8,Buff.CM!$A:$O,15,FALSE),"")</f>
        <v>Desc.info.freyja.debuff.ultA</v>
      </c>
      <c r="Q8" s="6" t="b">
        <v>0</v>
      </c>
      <c r="R8" s="6" t="b">
        <v>0</v>
      </c>
    </row>
    <row r="9" spans="1:18" s="155" customFormat="1" ht="33">
      <c r="A9" s="6" t="s">
        <v>7753</v>
      </c>
      <c r="B9" s="6"/>
      <c r="C9" s="6"/>
      <c r="D9" s="6">
        <v>10000</v>
      </c>
      <c r="E9" s="6">
        <v>12</v>
      </c>
      <c r="F9" s="6">
        <v>1</v>
      </c>
      <c r="G9" s="158" t="s">
        <v>8300</v>
      </c>
      <c r="H9" s="6"/>
      <c r="I9" s="6" t="b">
        <v>0</v>
      </c>
      <c r="J9" s="6" t="b">
        <v>0</v>
      </c>
      <c r="K9" s="6" t="b">
        <v>0</v>
      </c>
      <c r="L9" s="6" t="s">
        <v>5476</v>
      </c>
      <c r="M9" s="6" t="s">
        <v>7806</v>
      </c>
      <c r="N9" s="6" t="str">
        <f>_xlfn.IFNA(VLOOKUP($M9,Buff.CM!$A:$O,13,FALSE),"")</f>
        <v>icon_battle_freyja_debuff_01</v>
      </c>
      <c r="O9" s="6" t="str">
        <f>_xlfn.IFNA(VLOOKUP($M9,Buff.CM!$A:$O,14,FALSE),"")</f>
        <v>info.freyja.debuff.ultA</v>
      </c>
      <c r="P9" s="6" t="str">
        <f>_xlfn.IFNA(VLOOKUP($M9,Buff.CM!$A:$O,15,FALSE),"")</f>
        <v>Desc.info.freyja.debuff.ultA</v>
      </c>
      <c r="Q9" s="6" t="b">
        <v>0</v>
      </c>
      <c r="R9" s="6" t="b">
        <v>0</v>
      </c>
    </row>
    <row r="10" spans="1:18" s="155" customFormat="1" ht="33">
      <c r="A10" s="6" t="s">
        <v>7754</v>
      </c>
      <c r="B10" s="6"/>
      <c r="C10" s="6"/>
      <c r="D10" s="6">
        <v>10000</v>
      </c>
      <c r="E10" s="6">
        <v>12</v>
      </c>
      <c r="F10" s="6">
        <v>1</v>
      </c>
      <c r="G10" s="158" t="s">
        <v>8301</v>
      </c>
      <c r="H10" s="6"/>
      <c r="I10" s="6" t="b">
        <v>0</v>
      </c>
      <c r="J10" s="6" t="b">
        <v>0</v>
      </c>
      <c r="K10" s="6" t="b">
        <v>0</v>
      </c>
      <c r="L10" s="6" t="s">
        <v>5476</v>
      </c>
      <c r="M10" s="6" t="s">
        <v>7806</v>
      </c>
      <c r="N10" s="6" t="str">
        <f>_xlfn.IFNA(VLOOKUP($M10,Buff.CM!$A:$O,13,FALSE),"")</f>
        <v>icon_battle_freyja_debuff_01</v>
      </c>
      <c r="O10" s="6" t="str">
        <f>_xlfn.IFNA(VLOOKUP($M10,Buff.CM!$A:$O,14,FALSE),"")</f>
        <v>info.freyja.debuff.ultA</v>
      </c>
      <c r="P10" s="6" t="str">
        <f>_xlfn.IFNA(VLOOKUP($M10,Buff.CM!$A:$O,15,FALSE),"")</f>
        <v>Desc.info.freyja.debuff.ultA</v>
      </c>
      <c r="Q10" s="6" t="b">
        <v>0</v>
      </c>
      <c r="R10" s="6" t="b">
        <v>0</v>
      </c>
    </row>
    <row r="11" spans="1:18" s="155" customFormat="1" ht="33">
      <c r="A11" s="6" t="s">
        <v>7755</v>
      </c>
      <c r="B11" s="6"/>
      <c r="C11" s="6"/>
      <c r="D11" s="6">
        <v>10000</v>
      </c>
      <c r="E11" s="6">
        <v>12</v>
      </c>
      <c r="F11" s="6">
        <v>1</v>
      </c>
      <c r="G11" s="158" t="s">
        <v>8302</v>
      </c>
      <c r="H11" s="6"/>
      <c r="I11" s="6" t="b">
        <v>0</v>
      </c>
      <c r="J11" s="6" t="b">
        <v>0</v>
      </c>
      <c r="K11" s="6" t="b">
        <v>0</v>
      </c>
      <c r="L11" s="6" t="s">
        <v>5476</v>
      </c>
      <c r="M11" s="6" t="s">
        <v>7806</v>
      </c>
      <c r="N11" s="6" t="str">
        <f>_xlfn.IFNA(VLOOKUP($M11,Buff.CM!$A:$O,13,FALSE),"")</f>
        <v>icon_battle_freyja_debuff_01</v>
      </c>
      <c r="O11" s="6" t="str">
        <f>_xlfn.IFNA(VLOOKUP($M11,Buff.CM!$A:$O,14,FALSE),"")</f>
        <v>info.freyja.debuff.ultA</v>
      </c>
      <c r="P11" s="6" t="str">
        <f>_xlfn.IFNA(VLOOKUP($M11,Buff.CM!$A:$O,15,FALSE),"")</f>
        <v>Desc.info.freyja.debuff.ultA</v>
      </c>
      <c r="Q11" s="6" t="b">
        <v>0</v>
      </c>
      <c r="R11" s="6" t="b">
        <v>0</v>
      </c>
    </row>
    <row r="12" spans="1:18" s="12" customFormat="1">
      <c r="A12" s="190" t="s">
        <v>8303</v>
      </c>
      <c r="B12" s="41"/>
      <c r="C12" s="41"/>
      <c r="D12" s="41">
        <v>10000</v>
      </c>
      <c r="E12" s="41">
        <v>7</v>
      </c>
      <c r="F12" s="41">
        <v>1</v>
      </c>
      <c r="G12" s="41" t="s">
        <v>8304</v>
      </c>
      <c r="H12" s="41"/>
      <c r="I12" s="41" t="b">
        <v>0</v>
      </c>
      <c r="J12" s="41" t="b">
        <v>0</v>
      </c>
      <c r="K12" s="41" t="b">
        <v>0</v>
      </c>
      <c r="L12" s="41"/>
      <c r="M12" s="41" t="s">
        <v>7808</v>
      </c>
      <c r="N12" s="41" t="str">
        <f>_xlfn.IFNA(VLOOKUP($M12,Buff.CM!$A:$O,13,FALSE),"")</f>
        <v>icon_battle_freyja_debuff_02</v>
      </c>
      <c r="O12" s="41" t="str">
        <f>_xlfn.IFNA(VLOOKUP($M12,Buff.CM!$A:$O,14,FALSE),"")</f>
        <v>info.freyja.debuff.ultB</v>
      </c>
      <c r="P12" s="41" t="str">
        <f>_xlfn.IFNA(VLOOKUP($M12,Buff.CM!$A:$O,15,FALSE),"")</f>
        <v>Desc.info.freyja.debuff.ultB</v>
      </c>
      <c r="Q12" s="41" t="b">
        <v>0</v>
      </c>
      <c r="R12" s="41" t="b">
        <v>0</v>
      </c>
    </row>
    <row r="13" spans="1:18" s="12" customFormat="1">
      <c r="A13" s="190" t="s">
        <v>7793</v>
      </c>
      <c r="B13" s="41"/>
      <c r="C13" s="41"/>
      <c r="D13" s="41">
        <v>10000</v>
      </c>
      <c r="E13" s="41">
        <v>7</v>
      </c>
      <c r="F13" s="41">
        <v>1</v>
      </c>
      <c r="G13" s="41" t="s">
        <v>8304</v>
      </c>
      <c r="H13" s="41"/>
      <c r="I13" s="41" t="b">
        <v>0</v>
      </c>
      <c r="J13" s="41" t="b">
        <v>0</v>
      </c>
      <c r="K13" s="41" t="b">
        <v>0</v>
      </c>
      <c r="L13" s="41"/>
      <c r="M13" s="41" t="s">
        <v>7808</v>
      </c>
      <c r="N13" s="41" t="str">
        <f>_xlfn.IFNA(VLOOKUP($M13,Buff.CM!$A:$O,13,FALSE),"")</f>
        <v>icon_battle_freyja_debuff_02</v>
      </c>
      <c r="O13" s="41" t="str">
        <f>_xlfn.IFNA(VLOOKUP($M13,Buff.CM!$A:$O,14,FALSE),"")</f>
        <v>info.freyja.debuff.ultB</v>
      </c>
      <c r="P13" s="41" t="str">
        <f>_xlfn.IFNA(VLOOKUP($M13,Buff.CM!$A:$O,15,FALSE),"")</f>
        <v>Desc.info.freyja.debuff.ultB</v>
      </c>
      <c r="Q13" s="41" t="b">
        <v>0</v>
      </c>
      <c r="R13" s="41" t="b">
        <v>0</v>
      </c>
    </row>
    <row r="14" spans="1:18" s="12" customFormat="1">
      <c r="A14" s="190" t="s">
        <v>7794</v>
      </c>
      <c r="B14" s="41"/>
      <c r="C14" s="41"/>
      <c r="D14" s="41">
        <v>10000</v>
      </c>
      <c r="E14" s="41">
        <v>7</v>
      </c>
      <c r="F14" s="41">
        <v>1</v>
      </c>
      <c r="G14" s="41" t="s">
        <v>8304</v>
      </c>
      <c r="H14" s="41"/>
      <c r="I14" s="41" t="b">
        <v>0</v>
      </c>
      <c r="J14" s="41" t="b">
        <v>0</v>
      </c>
      <c r="K14" s="41" t="b">
        <v>0</v>
      </c>
      <c r="L14" s="41"/>
      <c r="M14" s="41" t="s">
        <v>7808</v>
      </c>
      <c r="N14" s="41" t="str">
        <f>_xlfn.IFNA(VLOOKUP($M14,Buff.CM!$A:$O,13,FALSE),"")</f>
        <v>icon_battle_freyja_debuff_02</v>
      </c>
      <c r="O14" s="41" t="str">
        <f>_xlfn.IFNA(VLOOKUP($M14,Buff.CM!$A:$O,14,FALSE),"")</f>
        <v>info.freyja.debuff.ultB</v>
      </c>
      <c r="P14" s="41" t="str">
        <f>_xlfn.IFNA(VLOOKUP($M14,Buff.CM!$A:$O,15,FALSE),"")</f>
        <v>Desc.info.freyja.debuff.ultB</v>
      </c>
      <c r="Q14" s="41" t="b">
        <v>0</v>
      </c>
      <c r="R14" s="41" t="b">
        <v>0</v>
      </c>
    </row>
    <row r="15" spans="1:18" s="12" customFormat="1">
      <c r="A15" s="190" t="s">
        <v>7795</v>
      </c>
      <c r="B15" s="41"/>
      <c r="C15" s="41"/>
      <c r="D15" s="41">
        <v>10000</v>
      </c>
      <c r="E15" s="41">
        <v>7</v>
      </c>
      <c r="F15" s="41">
        <v>1</v>
      </c>
      <c r="G15" s="41" t="s">
        <v>8304</v>
      </c>
      <c r="H15" s="41"/>
      <c r="I15" s="41" t="b">
        <v>0</v>
      </c>
      <c r="J15" s="41" t="b">
        <v>0</v>
      </c>
      <c r="K15" s="41" t="b">
        <v>0</v>
      </c>
      <c r="L15" s="41"/>
      <c r="M15" s="41" t="s">
        <v>7808</v>
      </c>
      <c r="N15" s="41" t="str">
        <f>_xlfn.IFNA(VLOOKUP($M15,Buff.CM!$A:$O,13,FALSE),"")</f>
        <v>icon_battle_freyja_debuff_02</v>
      </c>
      <c r="O15" s="41" t="str">
        <f>_xlfn.IFNA(VLOOKUP($M15,Buff.CM!$A:$O,14,FALSE),"")</f>
        <v>info.freyja.debuff.ultB</v>
      </c>
      <c r="P15" s="41" t="str">
        <f>_xlfn.IFNA(VLOOKUP($M15,Buff.CM!$A:$O,15,FALSE),"")</f>
        <v>Desc.info.freyja.debuff.ultB</v>
      </c>
      <c r="Q15" s="41" t="b">
        <v>0</v>
      </c>
      <c r="R15" s="41" t="b">
        <v>0</v>
      </c>
    </row>
    <row r="16" spans="1:18" s="12" customFormat="1">
      <c r="A16" s="190" t="s">
        <v>7796</v>
      </c>
      <c r="B16" s="41"/>
      <c r="C16" s="41"/>
      <c r="D16" s="41">
        <v>10000</v>
      </c>
      <c r="E16" s="41">
        <v>7</v>
      </c>
      <c r="F16" s="41">
        <v>1</v>
      </c>
      <c r="G16" s="41" t="s">
        <v>8403</v>
      </c>
      <c r="H16" s="41"/>
      <c r="I16" s="41" t="b">
        <v>0</v>
      </c>
      <c r="J16" s="41" t="b">
        <v>0</v>
      </c>
      <c r="K16" s="41" t="b">
        <v>0</v>
      </c>
      <c r="L16" s="41"/>
      <c r="M16" s="41" t="s">
        <v>7808</v>
      </c>
      <c r="N16" s="41" t="str">
        <f>_xlfn.IFNA(VLOOKUP($M16,Buff.CM!$A:$O,13,FALSE),"")</f>
        <v>icon_battle_freyja_debuff_02</v>
      </c>
      <c r="O16" s="41" t="str">
        <f>_xlfn.IFNA(VLOOKUP($M16,Buff.CM!$A:$O,14,FALSE),"")</f>
        <v>info.freyja.debuff.ultB</v>
      </c>
      <c r="P16" s="41" t="str">
        <f>_xlfn.IFNA(VLOOKUP($M16,Buff.CM!$A:$O,15,FALSE),"")</f>
        <v>Desc.info.freyja.debuff.ultB</v>
      </c>
      <c r="Q16" s="41" t="b">
        <v>0</v>
      </c>
      <c r="R16" s="41" t="b">
        <v>0</v>
      </c>
    </row>
    <row r="17" spans="1:18" s="12" customFormat="1">
      <c r="A17" s="190" t="s">
        <v>7797</v>
      </c>
      <c r="B17" s="41"/>
      <c r="C17" s="41"/>
      <c r="D17" s="41">
        <v>10000</v>
      </c>
      <c r="E17" s="41">
        <v>7</v>
      </c>
      <c r="F17" s="41">
        <v>1</v>
      </c>
      <c r="G17" s="41" t="s">
        <v>8403</v>
      </c>
      <c r="H17" s="41"/>
      <c r="I17" s="41" t="b">
        <v>0</v>
      </c>
      <c r="J17" s="41" t="b">
        <v>0</v>
      </c>
      <c r="K17" s="41" t="b">
        <v>0</v>
      </c>
      <c r="L17" s="41"/>
      <c r="M17" s="41" t="s">
        <v>7808</v>
      </c>
      <c r="N17" s="41" t="str">
        <f>_xlfn.IFNA(VLOOKUP($M17,Buff.CM!$A:$O,13,FALSE),"")</f>
        <v>icon_battle_freyja_debuff_02</v>
      </c>
      <c r="O17" s="41" t="str">
        <f>_xlfn.IFNA(VLOOKUP($M17,Buff.CM!$A:$O,14,FALSE),"")</f>
        <v>info.freyja.debuff.ultB</v>
      </c>
      <c r="P17" s="41" t="str">
        <f>_xlfn.IFNA(VLOOKUP($M17,Buff.CM!$A:$O,15,FALSE),"")</f>
        <v>Desc.info.freyja.debuff.ultB</v>
      </c>
      <c r="Q17" s="41" t="b">
        <v>0</v>
      </c>
      <c r="R17" s="41" t="b">
        <v>0</v>
      </c>
    </row>
    <row r="18" spans="1:18" s="12" customFormat="1">
      <c r="A18" s="190" t="s">
        <v>7798</v>
      </c>
      <c r="B18" s="41"/>
      <c r="C18" s="41"/>
      <c r="D18" s="41">
        <v>10000</v>
      </c>
      <c r="E18" s="41">
        <v>7</v>
      </c>
      <c r="F18" s="41">
        <v>1</v>
      </c>
      <c r="G18" s="41" t="s">
        <v>8304</v>
      </c>
      <c r="H18" s="41"/>
      <c r="I18" s="41" t="b">
        <v>0</v>
      </c>
      <c r="J18" s="41" t="b">
        <v>0</v>
      </c>
      <c r="K18" s="41" t="b">
        <v>0</v>
      </c>
      <c r="L18" s="41"/>
      <c r="M18" s="41" t="s">
        <v>7808</v>
      </c>
      <c r="N18" s="41" t="str">
        <f>_xlfn.IFNA(VLOOKUP($M18,Buff.CM!$A:$O,13,FALSE),"")</f>
        <v>icon_battle_freyja_debuff_02</v>
      </c>
      <c r="O18" s="41" t="str">
        <f>_xlfn.IFNA(VLOOKUP($M18,Buff.CM!$A:$O,14,FALSE),"")</f>
        <v>info.freyja.debuff.ultB</v>
      </c>
      <c r="P18" s="41" t="str">
        <f>_xlfn.IFNA(VLOOKUP($M18,Buff.CM!$A:$O,15,FALSE),"")</f>
        <v>Desc.info.freyja.debuff.ultB</v>
      </c>
      <c r="Q18" s="41" t="b">
        <v>0</v>
      </c>
      <c r="R18" s="41" t="b">
        <v>0</v>
      </c>
    </row>
    <row r="19" spans="1:18" s="191" customFormat="1">
      <c r="A19" s="9" t="s">
        <v>7805</v>
      </c>
      <c r="B19" s="9"/>
      <c r="C19" s="9"/>
      <c r="D19" s="9">
        <v>10000</v>
      </c>
      <c r="E19" s="9">
        <v>0</v>
      </c>
      <c r="F19" s="9">
        <v>0</v>
      </c>
      <c r="G19" s="9" t="s">
        <v>8305</v>
      </c>
      <c r="H19" s="9"/>
      <c r="I19" s="9" t="b">
        <v>1</v>
      </c>
      <c r="J19" s="9" t="b">
        <v>0</v>
      </c>
      <c r="K19" s="9" t="b">
        <v>0</v>
      </c>
      <c r="L19" s="9"/>
      <c r="M19" s="9"/>
      <c r="N19" s="9" t="str">
        <f>_xlfn.IFNA(VLOOKUP($M19,Buff.CM!$A:$O,13,FALSE),"")</f>
        <v/>
      </c>
      <c r="O19" s="9" t="str">
        <f>_xlfn.IFNA(VLOOKUP($M19,Buff.CM!$A:$O,14,FALSE),"")</f>
        <v/>
      </c>
      <c r="P19" s="9" t="str">
        <f>_xlfn.IFNA(VLOOKUP($M19,Buff.CM!$A:$O,15,FALSE),"")</f>
        <v/>
      </c>
      <c r="Q19" s="9" t="b">
        <v>0</v>
      </c>
      <c r="R19" s="9" t="b">
        <v>0</v>
      </c>
    </row>
    <row r="20" spans="1:18" s="191" customFormat="1">
      <c r="A20" s="9" t="s">
        <v>7799</v>
      </c>
      <c r="B20" s="9"/>
      <c r="C20" s="9"/>
      <c r="D20" s="9">
        <v>10000</v>
      </c>
      <c r="E20" s="9">
        <v>0</v>
      </c>
      <c r="F20" s="9">
        <v>0</v>
      </c>
      <c r="G20" s="9" t="s">
        <v>7712</v>
      </c>
      <c r="H20" s="9"/>
      <c r="I20" s="9" t="b">
        <v>1</v>
      </c>
      <c r="J20" s="9" t="b">
        <v>0</v>
      </c>
      <c r="K20" s="9" t="b">
        <v>0</v>
      </c>
      <c r="L20" s="9"/>
      <c r="M20" s="9"/>
      <c r="N20" s="9" t="str">
        <f>_xlfn.IFNA(VLOOKUP($M20,Buff.CM!$A:$O,13,FALSE),"")</f>
        <v/>
      </c>
      <c r="O20" s="9" t="str">
        <f>_xlfn.IFNA(VLOOKUP($M20,Buff.CM!$A:$O,14,FALSE),"")</f>
        <v/>
      </c>
      <c r="P20" s="9" t="str">
        <f>_xlfn.IFNA(VLOOKUP($M20,Buff.CM!$A:$O,15,FALSE),"")</f>
        <v/>
      </c>
      <c r="Q20" s="9" t="b">
        <v>0</v>
      </c>
      <c r="R20" s="9" t="b">
        <v>0</v>
      </c>
    </row>
    <row r="21" spans="1:18" s="191" customFormat="1">
      <c r="A21" s="9" t="s">
        <v>7800</v>
      </c>
      <c r="B21" s="9"/>
      <c r="C21" s="9"/>
      <c r="D21" s="9">
        <v>10000</v>
      </c>
      <c r="E21" s="9">
        <v>0</v>
      </c>
      <c r="F21" s="9">
        <v>0</v>
      </c>
      <c r="G21" s="9" t="s">
        <v>7713</v>
      </c>
      <c r="H21" s="9"/>
      <c r="I21" s="9" t="b">
        <v>1</v>
      </c>
      <c r="J21" s="9" t="b">
        <v>0</v>
      </c>
      <c r="K21" s="9" t="b">
        <v>0</v>
      </c>
      <c r="L21" s="9"/>
      <c r="M21" s="9"/>
      <c r="N21" s="9" t="str">
        <f>_xlfn.IFNA(VLOOKUP($M21,Buff.CM!$A:$O,13,FALSE),"")</f>
        <v/>
      </c>
      <c r="O21" s="9" t="str">
        <f>_xlfn.IFNA(VLOOKUP($M21,Buff.CM!$A:$O,14,FALSE),"")</f>
        <v/>
      </c>
      <c r="P21" s="9" t="str">
        <f>_xlfn.IFNA(VLOOKUP($M21,Buff.CM!$A:$O,15,FALSE),"")</f>
        <v/>
      </c>
      <c r="Q21" s="9" t="b">
        <v>0</v>
      </c>
      <c r="R21" s="9" t="b">
        <v>0</v>
      </c>
    </row>
    <row r="22" spans="1:18" s="191" customFormat="1">
      <c r="A22" s="9" t="s">
        <v>7801</v>
      </c>
      <c r="B22" s="9"/>
      <c r="C22" s="9"/>
      <c r="D22" s="9">
        <v>10000</v>
      </c>
      <c r="E22" s="9">
        <v>0</v>
      </c>
      <c r="F22" s="9">
        <v>0</v>
      </c>
      <c r="G22" s="9" t="s">
        <v>7714</v>
      </c>
      <c r="H22" s="9"/>
      <c r="I22" s="9" t="b">
        <v>1</v>
      </c>
      <c r="J22" s="9" t="b">
        <v>0</v>
      </c>
      <c r="K22" s="9" t="b">
        <v>0</v>
      </c>
      <c r="L22" s="9"/>
      <c r="M22" s="9"/>
      <c r="N22" s="9" t="str">
        <f>_xlfn.IFNA(VLOOKUP($M22,Buff.CM!$A:$O,13,FALSE),"")</f>
        <v/>
      </c>
      <c r="O22" s="9" t="str">
        <f>_xlfn.IFNA(VLOOKUP($M22,Buff.CM!$A:$O,14,FALSE),"")</f>
        <v/>
      </c>
      <c r="P22" s="9" t="str">
        <f>_xlfn.IFNA(VLOOKUP($M22,Buff.CM!$A:$O,15,FALSE),"")</f>
        <v/>
      </c>
      <c r="Q22" s="9" t="b">
        <v>0</v>
      </c>
      <c r="R22" s="9" t="b">
        <v>0</v>
      </c>
    </row>
    <row r="23" spans="1:18" s="191" customFormat="1">
      <c r="A23" s="9" t="s">
        <v>7802</v>
      </c>
      <c r="B23" s="9"/>
      <c r="C23" s="9"/>
      <c r="D23" s="9">
        <v>10000</v>
      </c>
      <c r="E23" s="9">
        <v>0</v>
      </c>
      <c r="F23" s="9">
        <v>0</v>
      </c>
      <c r="G23" s="9" t="s">
        <v>7715</v>
      </c>
      <c r="H23" s="9"/>
      <c r="I23" s="9" t="b">
        <v>1</v>
      </c>
      <c r="J23" s="9" t="b">
        <v>0</v>
      </c>
      <c r="K23" s="9" t="b">
        <v>0</v>
      </c>
      <c r="L23" s="9"/>
      <c r="M23" s="9"/>
      <c r="N23" s="9" t="str">
        <f>_xlfn.IFNA(VLOOKUP($M23,Buff.CM!$A:$O,13,FALSE),"")</f>
        <v/>
      </c>
      <c r="O23" s="9" t="str">
        <f>_xlfn.IFNA(VLOOKUP($M23,Buff.CM!$A:$O,14,FALSE),"")</f>
        <v/>
      </c>
      <c r="P23" s="9" t="str">
        <f>_xlfn.IFNA(VLOOKUP($M23,Buff.CM!$A:$O,15,FALSE),"")</f>
        <v/>
      </c>
      <c r="Q23" s="9" t="b">
        <v>0</v>
      </c>
      <c r="R23" s="9" t="b">
        <v>0</v>
      </c>
    </row>
    <row r="24" spans="1:18" s="191" customFormat="1">
      <c r="A24" s="9" t="s">
        <v>7803</v>
      </c>
      <c r="B24" s="9"/>
      <c r="C24" s="9"/>
      <c r="D24" s="9">
        <v>10000</v>
      </c>
      <c r="E24" s="9">
        <v>0</v>
      </c>
      <c r="F24" s="9">
        <v>0</v>
      </c>
      <c r="G24" s="9" t="s">
        <v>7716</v>
      </c>
      <c r="H24" s="9"/>
      <c r="I24" s="9" t="b">
        <v>1</v>
      </c>
      <c r="J24" s="9" t="b">
        <v>0</v>
      </c>
      <c r="K24" s="9" t="b">
        <v>0</v>
      </c>
      <c r="L24" s="9"/>
      <c r="M24" s="9"/>
      <c r="N24" s="9" t="str">
        <f>_xlfn.IFNA(VLOOKUP($M24,Buff.CM!$A:$O,13,FALSE),"")</f>
        <v/>
      </c>
      <c r="O24" s="9" t="str">
        <f>_xlfn.IFNA(VLOOKUP($M24,Buff.CM!$A:$O,14,FALSE),"")</f>
        <v/>
      </c>
      <c r="P24" s="9" t="str">
        <f>_xlfn.IFNA(VLOOKUP($M24,Buff.CM!$A:$O,15,FALSE),"")</f>
        <v/>
      </c>
      <c r="Q24" s="9" t="b">
        <v>0</v>
      </c>
      <c r="R24" s="9" t="b">
        <v>0</v>
      </c>
    </row>
    <row r="25" spans="1:18" s="191" customFormat="1">
      <c r="A25" s="9" t="s">
        <v>7804</v>
      </c>
      <c r="B25" s="9"/>
      <c r="C25" s="9"/>
      <c r="D25" s="9">
        <v>10000</v>
      </c>
      <c r="E25" s="9">
        <v>0</v>
      </c>
      <c r="F25" s="9">
        <v>0</v>
      </c>
      <c r="G25" s="9" t="s">
        <v>7717</v>
      </c>
      <c r="H25" s="9"/>
      <c r="I25" s="9" t="b">
        <v>1</v>
      </c>
      <c r="J25" s="9" t="b">
        <v>0</v>
      </c>
      <c r="K25" s="9" t="b">
        <v>0</v>
      </c>
      <c r="L25" s="9"/>
      <c r="M25" s="9"/>
      <c r="N25" s="9" t="str">
        <f>_xlfn.IFNA(VLOOKUP($M25,Buff.CM!$A:$O,13,FALSE),"")</f>
        <v/>
      </c>
      <c r="O25" s="9" t="str">
        <f>_xlfn.IFNA(VLOOKUP($M25,Buff.CM!$A:$O,14,FALSE),"")</f>
        <v/>
      </c>
      <c r="P25" s="9" t="str">
        <f>_xlfn.IFNA(VLOOKUP($M25,Buff.CM!$A:$O,15,FALSE),"")</f>
        <v/>
      </c>
      <c r="Q25" s="9" t="b">
        <v>0</v>
      </c>
      <c r="R25" s="9" t="b">
        <v>0</v>
      </c>
    </row>
    <row r="26" spans="1:18" s="155" customFormat="1">
      <c r="A26" s="156" t="s">
        <v>8306</v>
      </c>
      <c r="B26" s="6"/>
      <c r="C26" s="6"/>
      <c r="D26" s="6">
        <v>0</v>
      </c>
      <c r="E26" s="6">
        <v>0</v>
      </c>
      <c r="F26" s="6">
        <v>0</v>
      </c>
      <c r="G26" s="6" t="s">
        <v>8307</v>
      </c>
      <c r="H26" s="6"/>
      <c r="I26" s="6" t="b">
        <v>0</v>
      </c>
      <c r="J26" s="6" t="b">
        <v>0</v>
      </c>
      <c r="K26" s="6" t="b">
        <v>1</v>
      </c>
      <c r="L26" s="6"/>
      <c r="M26" s="6"/>
      <c r="N26" s="6" t="str">
        <f>_xlfn.IFNA(VLOOKUP($M26,Buff.CM!$A:$O,13,FALSE),"")</f>
        <v/>
      </c>
      <c r="O26" s="6" t="str">
        <f>_xlfn.IFNA(VLOOKUP($M26,Buff.CM!$A:$O,14,FALSE),"")</f>
        <v/>
      </c>
      <c r="P26" s="6" t="str">
        <f>_xlfn.IFNA(VLOOKUP($M26,Buff.CM!$A:$O,15,FALSE),"")</f>
        <v/>
      </c>
      <c r="Q26" s="6" t="b">
        <v>0</v>
      </c>
      <c r="R26" s="6" t="b">
        <v>0</v>
      </c>
    </row>
    <row r="27" spans="1:18" s="155" customFormat="1">
      <c r="A27" s="156" t="s">
        <v>7719</v>
      </c>
      <c r="B27" s="6"/>
      <c r="C27" s="6"/>
      <c r="D27" s="6">
        <v>0</v>
      </c>
      <c r="E27" s="6">
        <v>0</v>
      </c>
      <c r="F27" s="6">
        <v>0</v>
      </c>
      <c r="G27" s="6" t="s">
        <v>7725</v>
      </c>
      <c r="H27" s="6"/>
      <c r="I27" s="6" t="b">
        <v>0</v>
      </c>
      <c r="J27" s="6" t="b">
        <v>0</v>
      </c>
      <c r="K27" s="6" t="b">
        <v>1</v>
      </c>
      <c r="L27" s="6"/>
      <c r="M27" s="6"/>
      <c r="N27" s="6" t="str">
        <f>_xlfn.IFNA(VLOOKUP($M27,Buff.CM!$A:$O,13,FALSE),"")</f>
        <v/>
      </c>
      <c r="O27" s="6" t="str">
        <f>_xlfn.IFNA(VLOOKUP($M27,Buff.CM!$A:$O,14,FALSE),"")</f>
        <v/>
      </c>
      <c r="P27" s="6" t="str">
        <f>_xlfn.IFNA(VLOOKUP($M27,Buff.CM!$A:$O,15,FALSE),"")</f>
        <v/>
      </c>
      <c r="Q27" s="6" t="b">
        <v>0</v>
      </c>
      <c r="R27" s="6" t="b">
        <v>0</v>
      </c>
    </row>
    <row r="28" spans="1:18" s="155" customFormat="1">
      <c r="A28" s="156" t="s">
        <v>7720</v>
      </c>
      <c r="B28" s="6"/>
      <c r="C28" s="6"/>
      <c r="D28" s="6">
        <v>0</v>
      </c>
      <c r="E28" s="6">
        <v>0</v>
      </c>
      <c r="F28" s="6">
        <v>0</v>
      </c>
      <c r="G28" s="6" t="s">
        <v>7726</v>
      </c>
      <c r="H28" s="6"/>
      <c r="I28" s="6" t="b">
        <v>0</v>
      </c>
      <c r="J28" s="6" t="b">
        <v>0</v>
      </c>
      <c r="K28" s="6" t="b">
        <v>1</v>
      </c>
      <c r="L28" s="6"/>
      <c r="M28" s="6"/>
      <c r="N28" s="6" t="str">
        <f>_xlfn.IFNA(VLOOKUP($M28,Buff.CM!$A:$O,13,FALSE),"")</f>
        <v/>
      </c>
      <c r="O28" s="6" t="str">
        <f>_xlfn.IFNA(VLOOKUP($M28,Buff.CM!$A:$O,14,FALSE),"")</f>
        <v/>
      </c>
      <c r="P28" s="6" t="str">
        <f>_xlfn.IFNA(VLOOKUP($M28,Buff.CM!$A:$O,15,FALSE),"")</f>
        <v/>
      </c>
      <c r="Q28" s="6" t="b">
        <v>0</v>
      </c>
      <c r="R28" s="6" t="b">
        <v>0</v>
      </c>
    </row>
    <row r="29" spans="1:18" s="155" customFormat="1">
      <c r="A29" s="156" t="s">
        <v>7721</v>
      </c>
      <c r="B29" s="6"/>
      <c r="C29" s="6"/>
      <c r="D29" s="6">
        <v>0</v>
      </c>
      <c r="E29" s="6">
        <v>0</v>
      </c>
      <c r="F29" s="6">
        <v>0</v>
      </c>
      <c r="G29" s="6" t="s">
        <v>7727</v>
      </c>
      <c r="H29" s="6"/>
      <c r="I29" s="6" t="b">
        <v>0</v>
      </c>
      <c r="J29" s="6" t="b">
        <v>0</v>
      </c>
      <c r="K29" s="6" t="b">
        <v>1</v>
      </c>
      <c r="L29" s="6"/>
      <c r="M29" s="6"/>
      <c r="N29" s="6" t="str">
        <f>_xlfn.IFNA(VLOOKUP($M29,Buff.CM!$A:$O,13,FALSE),"")</f>
        <v/>
      </c>
      <c r="O29" s="6" t="str">
        <f>_xlfn.IFNA(VLOOKUP($M29,Buff.CM!$A:$O,14,FALSE),"")</f>
        <v/>
      </c>
      <c r="P29" s="6" t="str">
        <f>_xlfn.IFNA(VLOOKUP($M29,Buff.CM!$A:$O,15,FALSE),"")</f>
        <v/>
      </c>
      <c r="Q29" s="6" t="b">
        <v>0</v>
      </c>
      <c r="R29" s="6" t="b">
        <v>0</v>
      </c>
    </row>
    <row r="30" spans="1:18" s="155" customFormat="1">
      <c r="A30" s="156" t="s">
        <v>7722</v>
      </c>
      <c r="B30" s="6"/>
      <c r="C30" s="6"/>
      <c r="D30" s="6">
        <v>0</v>
      </c>
      <c r="E30" s="6">
        <v>0</v>
      </c>
      <c r="F30" s="6">
        <v>0</v>
      </c>
      <c r="G30" s="6" t="s">
        <v>7728</v>
      </c>
      <c r="H30" s="6"/>
      <c r="I30" s="6" t="b">
        <v>0</v>
      </c>
      <c r="J30" s="6" t="b">
        <v>0</v>
      </c>
      <c r="K30" s="6" t="b">
        <v>1</v>
      </c>
      <c r="L30" s="6"/>
      <c r="M30" s="6"/>
      <c r="N30" s="6" t="str">
        <f>_xlfn.IFNA(VLOOKUP($M30,Buff.CM!$A:$O,13,FALSE),"")</f>
        <v/>
      </c>
      <c r="O30" s="6" t="str">
        <f>_xlfn.IFNA(VLOOKUP($M30,Buff.CM!$A:$O,14,FALSE),"")</f>
        <v/>
      </c>
      <c r="P30" s="6" t="str">
        <f>_xlfn.IFNA(VLOOKUP($M30,Buff.CM!$A:$O,15,FALSE),"")</f>
        <v/>
      </c>
      <c r="Q30" s="6" t="b">
        <v>0</v>
      </c>
      <c r="R30" s="6" t="b">
        <v>0</v>
      </c>
    </row>
    <row r="31" spans="1:18" s="155" customFormat="1">
      <c r="A31" s="156" t="s">
        <v>7723</v>
      </c>
      <c r="B31" s="6"/>
      <c r="C31" s="6"/>
      <c r="D31" s="6">
        <v>0</v>
      </c>
      <c r="E31" s="6">
        <v>0</v>
      </c>
      <c r="F31" s="6">
        <v>0</v>
      </c>
      <c r="G31" s="6" t="s">
        <v>7729</v>
      </c>
      <c r="H31" s="6"/>
      <c r="I31" s="6" t="b">
        <v>0</v>
      </c>
      <c r="J31" s="6" t="b">
        <v>0</v>
      </c>
      <c r="K31" s="6" t="b">
        <v>1</v>
      </c>
      <c r="L31" s="6"/>
      <c r="M31" s="6"/>
      <c r="N31" s="6" t="str">
        <f>_xlfn.IFNA(VLOOKUP($M31,Buff.CM!$A:$O,13,FALSE),"")</f>
        <v/>
      </c>
      <c r="O31" s="6" t="str">
        <f>_xlfn.IFNA(VLOOKUP($M31,Buff.CM!$A:$O,14,FALSE),"")</f>
        <v/>
      </c>
      <c r="P31" s="6" t="str">
        <f>_xlfn.IFNA(VLOOKUP($M31,Buff.CM!$A:$O,15,FALSE),"")</f>
        <v/>
      </c>
      <c r="Q31" s="6" t="b">
        <v>0</v>
      </c>
      <c r="R31" s="6" t="b">
        <v>0</v>
      </c>
    </row>
    <row r="32" spans="1:18" s="155" customFormat="1">
      <c r="A32" s="156" t="s">
        <v>7724</v>
      </c>
      <c r="B32" s="6"/>
      <c r="C32" s="6"/>
      <c r="D32" s="6">
        <v>0</v>
      </c>
      <c r="E32" s="6">
        <v>0</v>
      </c>
      <c r="F32" s="6">
        <v>0</v>
      </c>
      <c r="G32" s="6" t="s">
        <v>7730</v>
      </c>
      <c r="H32" s="6"/>
      <c r="I32" s="6" t="b">
        <v>0</v>
      </c>
      <c r="J32" s="6" t="b">
        <v>0</v>
      </c>
      <c r="K32" s="6" t="b">
        <v>1</v>
      </c>
      <c r="L32" s="6"/>
      <c r="M32" s="6"/>
      <c r="N32" s="6" t="str">
        <f>_xlfn.IFNA(VLOOKUP($M32,Buff.CM!$A:$O,13,FALSE),"")</f>
        <v/>
      </c>
      <c r="O32" s="6" t="str">
        <f>_xlfn.IFNA(VLOOKUP($M32,Buff.CM!$A:$O,14,FALSE),"")</f>
        <v/>
      </c>
      <c r="P32" s="6" t="str">
        <f>_xlfn.IFNA(VLOOKUP($M32,Buff.CM!$A:$O,15,FALSE),"")</f>
        <v/>
      </c>
      <c r="Q32" s="6" t="b">
        <v>0</v>
      </c>
      <c r="R32" s="6" t="b">
        <v>0</v>
      </c>
    </row>
    <row r="33" spans="1:18" s="12" customFormat="1">
      <c r="A33" s="190" t="s">
        <v>8308</v>
      </c>
      <c r="B33" s="41"/>
      <c r="C33" s="41"/>
      <c r="D33" s="41">
        <v>0</v>
      </c>
      <c r="E33" s="41">
        <v>0</v>
      </c>
      <c r="F33" s="41">
        <v>0</v>
      </c>
      <c r="G33" s="190" t="s">
        <v>8309</v>
      </c>
      <c r="H33" s="41"/>
      <c r="I33" s="41" t="b">
        <v>0</v>
      </c>
      <c r="J33" s="41" t="b">
        <v>1</v>
      </c>
      <c r="K33" s="41" t="b">
        <v>1</v>
      </c>
      <c r="L33" s="41"/>
      <c r="M33" s="41"/>
      <c r="N33" s="41" t="str">
        <f>_xlfn.IFNA(VLOOKUP($M33,Buff.CM!$A:$O,13,FALSE),"")</f>
        <v/>
      </c>
      <c r="O33" s="41" t="str">
        <f>_xlfn.IFNA(VLOOKUP($M33,Buff.CM!$A:$O,14,FALSE),"")</f>
        <v/>
      </c>
      <c r="P33" s="41" t="str">
        <f>_xlfn.IFNA(VLOOKUP($M33,Buff.CM!$A:$O,15,FALSE),"")</f>
        <v/>
      </c>
      <c r="Q33" s="41" t="b">
        <v>0</v>
      </c>
      <c r="R33" s="41" t="b">
        <v>0</v>
      </c>
    </row>
    <row r="34" spans="1:18" s="12" customFormat="1">
      <c r="A34" s="190" t="s">
        <v>7732</v>
      </c>
      <c r="B34" s="41"/>
      <c r="C34" s="41"/>
      <c r="D34" s="41">
        <v>0</v>
      </c>
      <c r="E34" s="41">
        <v>0</v>
      </c>
      <c r="F34" s="41">
        <v>0</v>
      </c>
      <c r="G34" s="190" t="s">
        <v>7738</v>
      </c>
      <c r="H34" s="41"/>
      <c r="I34" s="41" t="b">
        <v>0</v>
      </c>
      <c r="J34" s="41" t="b">
        <v>1</v>
      </c>
      <c r="K34" s="41" t="b">
        <v>1</v>
      </c>
      <c r="L34" s="41"/>
      <c r="M34" s="41"/>
      <c r="N34" s="41" t="str">
        <f>_xlfn.IFNA(VLOOKUP($M34,Buff.CM!$A:$O,13,FALSE),"")</f>
        <v/>
      </c>
      <c r="O34" s="41" t="str">
        <f>_xlfn.IFNA(VLOOKUP($M34,Buff.CM!$A:$O,14,FALSE),"")</f>
        <v/>
      </c>
      <c r="P34" s="41" t="str">
        <f>_xlfn.IFNA(VLOOKUP($M34,Buff.CM!$A:$O,15,FALSE),"")</f>
        <v/>
      </c>
      <c r="Q34" s="41" t="b">
        <v>0</v>
      </c>
      <c r="R34" s="41" t="b">
        <v>0</v>
      </c>
    </row>
    <row r="35" spans="1:18" s="12" customFormat="1">
      <c r="A35" s="190" t="s">
        <v>7733</v>
      </c>
      <c r="B35" s="41"/>
      <c r="C35" s="41"/>
      <c r="D35" s="41">
        <v>0</v>
      </c>
      <c r="E35" s="41">
        <v>0</v>
      </c>
      <c r="F35" s="41">
        <v>0</v>
      </c>
      <c r="G35" s="190" t="s">
        <v>7739</v>
      </c>
      <c r="H35" s="41"/>
      <c r="I35" s="41" t="b">
        <v>0</v>
      </c>
      <c r="J35" s="41" t="b">
        <v>1</v>
      </c>
      <c r="K35" s="41" t="b">
        <v>1</v>
      </c>
      <c r="L35" s="41"/>
      <c r="M35" s="41"/>
      <c r="N35" s="41" t="str">
        <f>_xlfn.IFNA(VLOOKUP($M35,Buff.CM!$A:$O,13,FALSE),"")</f>
        <v/>
      </c>
      <c r="O35" s="41" t="str">
        <f>_xlfn.IFNA(VLOOKUP($M35,Buff.CM!$A:$O,14,FALSE),"")</f>
        <v/>
      </c>
      <c r="P35" s="41" t="str">
        <f>_xlfn.IFNA(VLOOKUP($M35,Buff.CM!$A:$O,15,FALSE),"")</f>
        <v/>
      </c>
      <c r="Q35" s="41" t="b">
        <v>0</v>
      </c>
      <c r="R35" s="41" t="b">
        <v>0</v>
      </c>
    </row>
    <row r="36" spans="1:18" s="12" customFormat="1">
      <c r="A36" s="190" t="s">
        <v>7734</v>
      </c>
      <c r="B36" s="41"/>
      <c r="C36" s="41"/>
      <c r="D36" s="41">
        <v>0</v>
      </c>
      <c r="E36" s="41">
        <v>0</v>
      </c>
      <c r="F36" s="41">
        <v>0</v>
      </c>
      <c r="G36" s="190" t="s">
        <v>7740</v>
      </c>
      <c r="H36" s="41"/>
      <c r="I36" s="41" t="b">
        <v>0</v>
      </c>
      <c r="J36" s="41" t="b">
        <v>1</v>
      </c>
      <c r="K36" s="41" t="b">
        <v>1</v>
      </c>
      <c r="L36" s="41"/>
      <c r="M36" s="41"/>
      <c r="N36" s="41" t="str">
        <f>_xlfn.IFNA(VLOOKUP($M36,Buff.CM!$A:$O,13,FALSE),"")</f>
        <v/>
      </c>
      <c r="O36" s="41" t="str">
        <f>_xlfn.IFNA(VLOOKUP($M36,Buff.CM!$A:$O,14,FALSE),"")</f>
        <v/>
      </c>
      <c r="P36" s="41" t="str">
        <f>_xlfn.IFNA(VLOOKUP($M36,Buff.CM!$A:$O,15,FALSE),"")</f>
        <v/>
      </c>
      <c r="Q36" s="41" t="b">
        <v>0</v>
      </c>
      <c r="R36" s="41" t="b">
        <v>0</v>
      </c>
    </row>
    <row r="37" spans="1:18" s="12" customFormat="1">
      <c r="A37" s="190" t="s">
        <v>7735</v>
      </c>
      <c r="B37" s="41"/>
      <c r="C37" s="41"/>
      <c r="D37" s="41">
        <v>0</v>
      </c>
      <c r="E37" s="41">
        <v>0</v>
      </c>
      <c r="F37" s="41">
        <v>0</v>
      </c>
      <c r="G37" s="190" t="s">
        <v>7741</v>
      </c>
      <c r="H37" s="41"/>
      <c r="I37" s="41" t="b">
        <v>0</v>
      </c>
      <c r="J37" s="41" t="b">
        <v>1</v>
      </c>
      <c r="K37" s="41" t="b">
        <v>1</v>
      </c>
      <c r="L37" s="41"/>
      <c r="M37" s="41"/>
      <c r="N37" s="41" t="str">
        <f>_xlfn.IFNA(VLOOKUP($M37,Buff.CM!$A:$O,13,FALSE),"")</f>
        <v/>
      </c>
      <c r="O37" s="41" t="str">
        <f>_xlfn.IFNA(VLOOKUP($M37,Buff.CM!$A:$O,14,FALSE),"")</f>
        <v/>
      </c>
      <c r="P37" s="41" t="str">
        <f>_xlfn.IFNA(VLOOKUP($M37,Buff.CM!$A:$O,15,FALSE),"")</f>
        <v/>
      </c>
      <c r="Q37" s="41" t="b">
        <v>0</v>
      </c>
      <c r="R37" s="41" t="b">
        <v>0</v>
      </c>
    </row>
    <row r="38" spans="1:18" s="12" customFormat="1">
      <c r="A38" s="190" t="s">
        <v>7736</v>
      </c>
      <c r="B38" s="41"/>
      <c r="C38" s="41"/>
      <c r="D38" s="41">
        <v>0</v>
      </c>
      <c r="E38" s="41">
        <v>0</v>
      </c>
      <c r="F38" s="41">
        <v>0</v>
      </c>
      <c r="G38" s="190" t="s">
        <v>7742</v>
      </c>
      <c r="H38" s="41"/>
      <c r="I38" s="41" t="b">
        <v>0</v>
      </c>
      <c r="J38" s="41" t="b">
        <v>1</v>
      </c>
      <c r="K38" s="41" t="b">
        <v>1</v>
      </c>
      <c r="L38" s="41"/>
      <c r="M38" s="41"/>
      <c r="N38" s="41" t="str">
        <f>_xlfn.IFNA(VLOOKUP($M38,Buff.CM!$A:$O,13,FALSE),"")</f>
        <v/>
      </c>
      <c r="O38" s="41" t="str">
        <f>_xlfn.IFNA(VLOOKUP($M38,Buff.CM!$A:$O,14,FALSE),"")</f>
        <v/>
      </c>
      <c r="P38" s="41" t="str">
        <f>_xlfn.IFNA(VLOOKUP($M38,Buff.CM!$A:$O,15,FALSE),"")</f>
        <v/>
      </c>
      <c r="Q38" s="41" t="b">
        <v>0</v>
      </c>
      <c r="R38" s="41" t="b">
        <v>0</v>
      </c>
    </row>
    <row r="39" spans="1:18" s="12" customFormat="1">
      <c r="A39" s="190" t="s">
        <v>7737</v>
      </c>
      <c r="B39" s="41"/>
      <c r="C39" s="41"/>
      <c r="D39" s="41">
        <v>0</v>
      </c>
      <c r="E39" s="41">
        <v>0</v>
      </c>
      <c r="F39" s="41">
        <v>0</v>
      </c>
      <c r="G39" s="190" t="s">
        <v>7743</v>
      </c>
      <c r="H39" s="41"/>
      <c r="I39" s="41" t="b">
        <v>0</v>
      </c>
      <c r="J39" s="41" t="b">
        <v>1</v>
      </c>
      <c r="K39" s="41" t="b">
        <v>1</v>
      </c>
      <c r="L39" s="41"/>
      <c r="M39" s="41"/>
      <c r="N39" s="41" t="str">
        <f>_xlfn.IFNA(VLOOKUP($M39,Buff.CM!$A:$O,13,FALSE),"")</f>
        <v/>
      </c>
      <c r="O39" s="41" t="str">
        <f>_xlfn.IFNA(VLOOKUP($M39,Buff.CM!$A:$O,14,FALSE),"")</f>
        <v/>
      </c>
      <c r="P39" s="41" t="str">
        <f>_xlfn.IFNA(VLOOKUP($M39,Buff.CM!$A:$O,15,FALSE),"")</f>
        <v/>
      </c>
      <c r="Q39" s="41" t="b">
        <v>0</v>
      </c>
      <c r="R39" s="41" t="b">
        <v>0</v>
      </c>
    </row>
    <row r="40" spans="1:18">
      <c r="A40" s="23" t="s">
        <v>6930</v>
      </c>
      <c r="B40" s="23"/>
      <c r="C40" s="23"/>
      <c r="D40" s="23">
        <v>5000</v>
      </c>
      <c r="E40" s="23">
        <v>0</v>
      </c>
      <c r="F40" s="23">
        <v>0</v>
      </c>
      <c r="G40" s="23" t="s">
        <v>8310</v>
      </c>
      <c r="H40" s="23"/>
      <c r="I40" s="23" t="b">
        <v>0</v>
      </c>
      <c r="J40" s="23" t="b">
        <v>0</v>
      </c>
      <c r="K40" s="23" t="b">
        <v>0</v>
      </c>
      <c r="L40" s="23" t="s">
        <v>8311</v>
      </c>
      <c r="M40" s="126" t="s">
        <v>8312</v>
      </c>
      <c r="N40" s="41" t="str">
        <f>_xlfn.IFNA(VLOOKUP($M40,Buff.CM!$A:$O,13,FALSE),"")</f>
        <v>icon_battle_wound</v>
      </c>
      <c r="O40" s="23" t="str">
        <f>_xlfn.IFNA(VLOOKUP($M40,Buff.CM!$A:$O,14,FALSE),"")</f>
        <v>Buff.Name.Wound</v>
      </c>
      <c r="P40" s="23" t="str">
        <f>_xlfn.IFNA(VLOOKUP($M40,Buff.CM!$A:$O,15,FALSE),"")</f>
        <v>Buff.Desc.Wound</v>
      </c>
      <c r="Q40" s="23" t="b">
        <v>0</v>
      </c>
      <c r="R40" s="23" t="b">
        <v>0</v>
      </c>
    </row>
    <row r="41" spans="1:18">
      <c r="A41" s="23" t="s">
        <v>589</v>
      </c>
      <c r="B41" s="23"/>
      <c r="C41" s="23"/>
      <c r="D41" s="23">
        <v>6000</v>
      </c>
      <c r="E41" s="23">
        <v>0</v>
      </c>
      <c r="F41" s="23">
        <v>0</v>
      </c>
      <c r="G41" s="23" t="s">
        <v>8310</v>
      </c>
      <c r="H41" s="23"/>
      <c r="I41" s="23" t="b">
        <v>0</v>
      </c>
      <c r="J41" s="23" t="b">
        <v>0</v>
      </c>
      <c r="K41" s="23" t="b">
        <v>0</v>
      </c>
      <c r="L41" s="23" t="s">
        <v>8311</v>
      </c>
      <c r="M41" s="126" t="s">
        <v>8312</v>
      </c>
      <c r="N41" s="41" t="str">
        <f>_xlfn.IFNA(VLOOKUP($M41,Buff.CM!$A:$O,13,FALSE),"")</f>
        <v>icon_battle_wound</v>
      </c>
      <c r="O41" s="23" t="str">
        <f>_xlfn.IFNA(VLOOKUP($M41,Buff.CM!$A:$O,14,FALSE),"")</f>
        <v>Buff.Name.Wound</v>
      </c>
      <c r="P41" s="23" t="str">
        <f>_xlfn.IFNA(VLOOKUP($M41,Buff.CM!$A:$O,15,FALSE),"")</f>
        <v>Buff.Desc.Wound</v>
      </c>
      <c r="Q41" s="23" t="b">
        <v>0</v>
      </c>
      <c r="R41" s="23" t="b">
        <v>0</v>
      </c>
    </row>
    <row r="42" spans="1:18">
      <c r="A42" s="23" t="s">
        <v>590</v>
      </c>
      <c r="B42" s="23"/>
      <c r="C42" s="23"/>
      <c r="D42" s="23">
        <v>7000</v>
      </c>
      <c r="E42" s="23">
        <v>0</v>
      </c>
      <c r="F42" s="23">
        <v>0</v>
      </c>
      <c r="G42" s="23" t="s">
        <v>8310</v>
      </c>
      <c r="H42" s="23"/>
      <c r="I42" s="23" t="b">
        <v>0</v>
      </c>
      <c r="J42" s="23" t="b">
        <v>0</v>
      </c>
      <c r="K42" s="23" t="b">
        <v>0</v>
      </c>
      <c r="L42" s="23" t="s">
        <v>8311</v>
      </c>
      <c r="M42" s="126" t="s">
        <v>8312</v>
      </c>
      <c r="N42" s="41" t="str">
        <f>_xlfn.IFNA(VLOOKUP($M42,Buff.CM!$A:$O,13,FALSE),"")</f>
        <v>icon_battle_wound</v>
      </c>
      <c r="O42" s="23" t="str">
        <f>_xlfn.IFNA(VLOOKUP($M42,Buff.CM!$A:$O,14,FALSE),"")</f>
        <v>Buff.Name.Wound</v>
      </c>
      <c r="P42" s="23" t="str">
        <f>_xlfn.IFNA(VLOOKUP($M42,Buff.CM!$A:$O,15,FALSE),"")</f>
        <v>Buff.Desc.Wound</v>
      </c>
      <c r="Q42" s="23" t="b">
        <v>0</v>
      </c>
      <c r="R42" s="23" t="b">
        <v>0</v>
      </c>
    </row>
    <row r="43" spans="1:18">
      <c r="A43" s="23" t="s">
        <v>8313</v>
      </c>
      <c r="B43" s="23"/>
      <c r="C43" s="23"/>
      <c r="D43" s="23">
        <v>8000</v>
      </c>
      <c r="E43" s="23">
        <v>0</v>
      </c>
      <c r="F43" s="23">
        <v>0</v>
      </c>
      <c r="G43" s="23" t="s">
        <v>8310</v>
      </c>
      <c r="H43" s="23"/>
      <c r="I43" s="23" t="b">
        <v>0</v>
      </c>
      <c r="J43" s="23" t="b">
        <v>0</v>
      </c>
      <c r="K43" s="23" t="b">
        <v>0</v>
      </c>
      <c r="L43" s="23" t="s">
        <v>8311</v>
      </c>
      <c r="M43" s="126" t="s">
        <v>8312</v>
      </c>
      <c r="N43" s="41" t="str">
        <f>_xlfn.IFNA(VLOOKUP($M43,Buff.CM!$A:$O,13,FALSE),"")</f>
        <v>icon_battle_wound</v>
      </c>
      <c r="O43" s="23" t="str">
        <f>_xlfn.IFNA(VLOOKUP($M43,Buff.CM!$A:$O,14,FALSE),"")</f>
        <v>Buff.Name.Wound</v>
      </c>
      <c r="P43" s="23" t="str">
        <f>_xlfn.IFNA(VLOOKUP($M43,Buff.CM!$A:$O,15,FALSE),"")</f>
        <v>Buff.Desc.Wound</v>
      </c>
      <c r="Q43" s="23" t="b">
        <v>0</v>
      </c>
      <c r="R43" s="23" t="b">
        <v>0</v>
      </c>
    </row>
    <row r="44" spans="1:18" s="155" customFormat="1">
      <c r="A44" s="6" t="s">
        <v>8314</v>
      </c>
      <c r="B44" s="6"/>
      <c r="C44" s="6"/>
      <c r="D44" s="6">
        <v>6000</v>
      </c>
      <c r="E44" s="6">
        <v>0</v>
      </c>
      <c r="F44" s="6">
        <v>0</v>
      </c>
      <c r="G44" s="6" t="s">
        <v>1417</v>
      </c>
      <c r="H44" s="6"/>
      <c r="I44" s="6" t="b">
        <v>0</v>
      </c>
      <c r="J44" s="6" t="b">
        <v>0</v>
      </c>
      <c r="K44" s="6" t="b">
        <v>1</v>
      </c>
      <c r="L44" s="6" t="s">
        <v>66</v>
      </c>
      <c r="M44" s="6" t="s">
        <v>1417</v>
      </c>
      <c r="N44" s="6" t="str">
        <f>_xlfn.IFNA(VLOOKUP($M44,Buff.CM!$A:$O,13,FALSE),"")</f>
        <v>icon_battle_attack</v>
      </c>
      <c r="O44" s="6" t="str">
        <f>_xlfn.IFNA(VLOOKUP($M44,Buff.CM!$A:$O,14,FALSE),"")</f>
        <v>Buff.Name.Atk.Up.03</v>
      </c>
      <c r="P44" s="6" t="str">
        <f>_xlfn.IFNA(VLOOKUP($M44,Buff.CM!$A:$O,15,FALSE),"")</f>
        <v>Buff.Desc.Atk.Up.03</v>
      </c>
      <c r="Q44" s="6" t="b">
        <v>0</v>
      </c>
      <c r="R44" s="6" t="b">
        <v>0</v>
      </c>
    </row>
    <row r="45" spans="1:18" s="155" customFormat="1">
      <c r="A45" s="6" t="s">
        <v>7756</v>
      </c>
      <c r="B45" s="6"/>
      <c r="C45" s="6"/>
      <c r="D45" s="6">
        <v>7000</v>
      </c>
      <c r="E45" s="6">
        <v>0</v>
      </c>
      <c r="F45" s="6">
        <v>0</v>
      </c>
      <c r="G45" s="6" t="s">
        <v>1417</v>
      </c>
      <c r="H45" s="6"/>
      <c r="I45" s="6" t="b">
        <v>0</v>
      </c>
      <c r="J45" s="6" t="b">
        <v>0</v>
      </c>
      <c r="K45" s="6" t="b">
        <v>1</v>
      </c>
      <c r="L45" s="6" t="s">
        <v>66</v>
      </c>
      <c r="M45" s="6" t="s">
        <v>1417</v>
      </c>
      <c r="N45" s="6" t="str">
        <f>_xlfn.IFNA(VLOOKUP($M45,Buff.CM!$A:$O,13,FALSE),"")</f>
        <v>icon_battle_attack</v>
      </c>
      <c r="O45" s="6" t="str">
        <f>_xlfn.IFNA(VLOOKUP($M45,Buff.CM!$A:$O,14,FALSE),"")</f>
        <v>Buff.Name.Atk.Up.03</v>
      </c>
      <c r="P45" s="6" t="str">
        <f>_xlfn.IFNA(VLOOKUP($M45,Buff.CM!$A:$O,15,FALSE),"")</f>
        <v>Buff.Desc.Atk.Up.03</v>
      </c>
      <c r="Q45" s="6" t="b">
        <v>0</v>
      </c>
      <c r="R45" s="6" t="b">
        <v>0</v>
      </c>
    </row>
    <row r="46" spans="1:18" s="155" customFormat="1">
      <c r="A46" s="6" t="s">
        <v>7757</v>
      </c>
      <c r="B46" s="6"/>
      <c r="C46" s="6"/>
      <c r="D46" s="6">
        <v>7000</v>
      </c>
      <c r="E46" s="6">
        <v>0</v>
      </c>
      <c r="F46" s="6">
        <v>0</v>
      </c>
      <c r="G46" s="6" t="s">
        <v>1418</v>
      </c>
      <c r="H46" s="6"/>
      <c r="I46" s="6" t="b">
        <v>0</v>
      </c>
      <c r="J46" s="6" t="b">
        <v>0</v>
      </c>
      <c r="K46" s="6" t="b">
        <v>1</v>
      </c>
      <c r="L46" s="6" t="s">
        <v>66</v>
      </c>
      <c r="M46" s="6" t="s">
        <v>1418</v>
      </c>
      <c r="N46" s="6" t="str">
        <f>_xlfn.IFNA(VLOOKUP($M46,Buff.CM!$A:$O,13,FALSE),"")</f>
        <v>icon_battle_attack</v>
      </c>
      <c r="O46" s="6" t="str">
        <f>_xlfn.IFNA(VLOOKUP($M46,Buff.CM!$A:$O,14,FALSE),"")</f>
        <v>Buff.Name.Atk.Up.04</v>
      </c>
      <c r="P46" s="6" t="str">
        <f>_xlfn.IFNA(VLOOKUP($M46,Buff.CM!$A:$O,15,FALSE),"")</f>
        <v>Buff.Desc.Atk.Up.04</v>
      </c>
      <c r="Q46" s="6" t="b">
        <v>0</v>
      </c>
      <c r="R46" s="6" t="b">
        <v>0</v>
      </c>
    </row>
    <row r="47" spans="1:18" s="155" customFormat="1">
      <c r="A47" s="6" t="s">
        <v>7758</v>
      </c>
      <c r="B47" s="6"/>
      <c r="C47" s="6"/>
      <c r="D47" s="6">
        <v>8000</v>
      </c>
      <c r="E47" s="6">
        <v>0</v>
      </c>
      <c r="F47" s="6">
        <v>0</v>
      </c>
      <c r="G47" s="6" t="s">
        <v>1418</v>
      </c>
      <c r="H47" s="6"/>
      <c r="I47" s="6" t="b">
        <v>0</v>
      </c>
      <c r="J47" s="6" t="b">
        <v>0</v>
      </c>
      <c r="K47" s="6" t="b">
        <v>1</v>
      </c>
      <c r="L47" s="6" t="s">
        <v>66</v>
      </c>
      <c r="M47" s="6" t="s">
        <v>1418</v>
      </c>
      <c r="N47" s="6" t="str">
        <f>_xlfn.IFNA(VLOOKUP($M47,Buff.CM!$A:$O,13,FALSE),"")</f>
        <v>icon_battle_attack</v>
      </c>
      <c r="O47" s="6" t="str">
        <f>_xlfn.IFNA(VLOOKUP($M47,Buff.CM!$A:$O,14,FALSE),"")</f>
        <v>Buff.Name.Atk.Up.04</v>
      </c>
      <c r="P47" s="6" t="str">
        <f>_xlfn.IFNA(VLOOKUP($M47,Buff.CM!$A:$O,15,FALSE),"")</f>
        <v>Buff.Desc.Atk.Up.04</v>
      </c>
      <c r="Q47" s="6" t="b">
        <v>0</v>
      </c>
      <c r="R47" s="6" t="b">
        <v>0</v>
      </c>
    </row>
    <row r="48" spans="1:18" s="155" customFormat="1">
      <c r="A48" s="6" t="s">
        <v>7759</v>
      </c>
      <c r="B48" s="6"/>
      <c r="C48" s="6"/>
      <c r="D48" s="6">
        <v>8000</v>
      </c>
      <c r="E48" s="6">
        <v>0</v>
      </c>
      <c r="F48" s="6">
        <v>0</v>
      </c>
      <c r="G48" s="6" t="s">
        <v>1418</v>
      </c>
      <c r="H48" s="6"/>
      <c r="I48" s="6" t="b">
        <v>0</v>
      </c>
      <c r="J48" s="6" t="b">
        <v>0</v>
      </c>
      <c r="K48" s="6" t="b">
        <v>1</v>
      </c>
      <c r="L48" s="6" t="s">
        <v>66</v>
      </c>
      <c r="M48" s="6" t="s">
        <v>1418</v>
      </c>
      <c r="N48" s="6" t="str">
        <f>_xlfn.IFNA(VLOOKUP($M48,Buff.CM!$A:$O,13,FALSE),"")</f>
        <v>icon_battle_attack</v>
      </c>
      <c r="O48" s="6" t="str">
        <f>_xlfn.IFNA(VLOOKUP($M48,Buff.CM!$A:$O,14,FALSE),"")</f>
        <v>Buff.Name.Atk.Up.04</v>
      </c>
      <c r="P48" s="6" t="str">
        <f>_xlfn.IFNA(VLOOKUP($M48,Buff.CM!$A:$O,15,FALSE),"")</f>
        <v>Buff.Desc.Atk.Up.04</v>
      </c>
      <c r="Q48" s="6" t="b">
        <v>0</v>
      </c>
      <c r="R48" s="6" t="b">
        <v>0</v>
      </c>
    </row>
    <row r="49" spans="1:18" s="155" customFormat="1">
      <c r="A49" s="6" t="s">
        <v>7760</v>
      </c>
      <c r="B49" s="6"/>
      <c r="C49" s="6"/>
      <c r="D49" s="6">
        <v>8000</v>
      </c>
      <c r="E49" s="6">
        <v>0</v>
      </c>
      <c r="F49" s="6">
        <v>0</v>
      </c>
      <c r="G49" s="6" t="s">
        <v>1418</v>
      </c>
      <c r="H49" s="6"/>
      <c r="I49" s="6" t="b">
        <v>0</v>
      </c>
      <c r="J49" s="6" t="b">
        <v>0</v>
      </c>
      <c r="K49" s="6" t="b">
        <v>1</v>
      </c>
      <c r="L49" s="6" t="s">
        <v>66</v>
      </c>
      <c r="M49" s="6" t="s">
        <v>1418</v>
      </c>
      <c r="N49" s="6" t="str">
        <f>_xlfn.IFNA(VLOOKUP($M49,Buff.CM!$A:$O,13,FALSE),"")</f>
        <v>icon_battle_attack</v>
      </c>
      <c r="O49" s="6" t="str">
        <f>_xlfn.IFNA(VLOOKUP($M49,Buff.CM!$A:$O,14,FALSE),"")</f>
        <v>Buff.Name.Atk.Up.04</v>
      </c>
      <c r="P49" s="6" t="str">
        <f>_xlfn.IFNA(VLOOKUP($M49,Buff.CM!$A:$O,15,FALSE),"")</f>
        <v>Buff.Desc.Atk.Up.04</v>
      </c>
      <c r="Q49" s="6" t="b">
        <v>0</v>
      </c>
      <c r="R49" s="6" t="b">
        <v>0</v>
      </c>
    </row>
    <row r="50" spans="1:18" s="12" customFormat="1">
      <c r="A50" s="41" t="s">
        <v>8315</v>
      </c>
      <c r="B50" s="41"/>
      <c r="C50" s="41"/>
      <c r="D50" s="41">
        <v>6000</v>
      </c>
      <c r="E50" s="41">
        <v>0</v>
      </c>
      <c r="F50" s="41">
        <v>0</v>
      </c>
      <c r="G50" s="41" t="s">
        <v>8316</v>
      </c>
      <c r="H50" s="41"/>
      <c r="I50" s="41" t="b">
        <v>0</v>
      </c>
      <c r="J50" s="41" t="b">
        <v>0</v>
      </c>
      <c r="K50" s="41" t="b">
        <v>1</v>
      </c>
      <c r="L50" s="41" t="s">
        <v>317</v>
      </c>
      <c r="M50" s="41" t="s">
        <v>5461</v>
      </c>
      <c r="N50" s="41" t="str">
        <f>_xlfn.IFNA(VLOOKUP($M50,Buff.CM!$A:$O,13,FALSE),"")</f>
        <v>icon_battle_shield</v>
      </c>
      <c r="O50" s="41" t="str">
        <f>_xlfn.IFNA(VLOOKUP($M50,Buff.CM!$A:$O,14,FALSE),"")</f>
        <v>Buff.Name.Shield</v>
      </c>
      <c r="P50" s="41" t="str">
        <f>_xlfn.IFNA(VLOOKUP($M50,Buff.CM!$A:$O,15,FALSE),"")</f>
        <v>Buff.Desc.Shield</v>
      </c>
      <c r="Q50" s="41" t="b">
        <v>0</v>
      </c>
      <c r="R50" s="41" t="b">
        <v>0</v>
      </c>
    </row>
    <row r="51" spans="1:18" s="12" customFormat="1">
      <c r="A51" s="41" t="s">
        <v>7761</v>
      </c>
      <c r="B51" s="41"/>
      <c r="C51" s="41"/>
      <c r="D51" s="41">
        <v>7000</v>
      </c>
      <c r="E51" s="41">
        <v>0</v>
      </c>
      <c r="F51" s="41">
        <v>0</v>
      </c>
      <c r="G51" s="41" t="s">
        <v>7767</v>
      </c>
      <c r="H51" s="41"/>
      <c r="I51" s="41" t="b">
        <v>0</v>
      </c>
      <c r="J51" s="41" t="b">
        <v>0</v>
      </c>
      <c r="K51" s="41" t="b">
        <v>1</v>
      </c>
      <c r="L51" s="41" t="s">
        <v>317</v>
      </c>
      <c r="M51" s="41" t="s">
        <v>5461</v>
      </c>
      <c r="N51" s="41" t="str">
        <f>_xlfn.IFNA(VLOOKUP($M51,Buff.CM!$A:$O,13,FALSE),"")</f>
        <v>icon_battle_shield</v>
      </c>
      <c r="O51" s="41" t="str">
        <f>_xlfn.IFNA(VLOOKUP($M51,Buff.CM!$A:$O,14,FALSE),"")</f>
        <v>Buff.Name.Shield</v>
      </c>
      <c r="P51" s="41" t="str">
        <f>_xlfn.IFNA(VLOOKUP($M51,Buff.CM!$A:$O,15,FALSE),"")</f>
        <v>Buff.Desc.Shield</v>
      </c>
      <c r="Q51" s="41" t="b">
        <v>0</v>
      </c>
      <c r="R51" s="41" t="b">
        <v>0</v>
      </c>
    </row>
    <row r="52" spans="1:18" s="12" customFormat="1">
      <c r="A52" s="41" t="s">
        <v>7762</v>
      </c>
      <c r="B52" s="41"/>
      <c r="C52" s="41"/>
      <c r="D52" s="41">
        <v>7000</v>
      </c>
      <c r="E52" s="41">
        <v>0</v>
      </c>
      <c r="F52" s="41">
        <v>0</v>
      </c>
      <c r="G52" s="41" t="s">
        <v>7768</v>
      </c>
      <c r="H52" s="41"/>
      <c r="I52" s="41" t="b">
        <v>0</v>
      </c>
      <c r="J52" s="41" t="b">
        <v>0</v>
      </c>
      <c r="K52" s="41" t="b">
        <v>1</v>
      </c>
      <c r="L52" s="41" t="s">
        <v>317</v>
      </c>
      <c r="M52" s="41" t="s">
        <v>5461</v>
      </c>
      <c r="N52" s="41" t="str">
        <f>_xlfn.IFNA(VLOOKUP($M52,Buff.CM!$A:$O,13,FALSE),"")</f>
        <v>icon_battle_shield</v>
      </c>
      <c r="O52" s="41" t="str">
        <f>_xlfn.IFNA(VLOOKUP($M52,Buff.CM!$A:$O,14,FALSE),"")</f>
        <v>Buff.Name.Shield</v>
      </c>
      <c r="P52" s="41" t="str">
        <f>_xlfn.IFNA(VLOOKUP($M52,Buff.CM!$A:$O,15,FALSE),"")</f>
        <v>Buff.Desc.Shield</v>
      </c>
      <c r="Q52" s="41" t="b">
        <v>0</v>
      </c>
      <c r="R52" s="41" t="b">
        <v>0</v>
      </c>
    </row>
    <row r="53" spans="1:18" s="12" customFormat="1">
      <c r="A53" s="41" t="s">
        <v>7763</v>
      </c>
      <c r="B53" s="41"/>
      <c r="C53" s="41"/>
      <c r="D53" s="41">
        <v>8000</v>
      </c>
      <c r="E53" s="41">
        <v>0</v>
      </c>
      <c r="F53" s="41">
        <v>0</v>
      </c>
      <c r="G53" s="41" t="s">
        <v>7769</v>
      </c>
      <c r="H53" s="41"/>
      <c r="I53" s="41" t="b">
        <v>0</v>
      </c>
      <c r="J53" s="41" t="b">
        <v>0</v>
      </c>
      <c r="K53" s="41" t="b">
        <v>1</v>
      </c>
      <c r="L53" s="41" t="s">
        <v>317</v>
      </c>
      <c r="M53" s="41" t="s">
        <v>5461</v>
      </c>
      <c r="N53" s="41" t="str">
        <f>_xlfn.IFNA(VLOOKUP($M53,Buff.CM!$A:$O,13,FALSE),"")</f>
        <v>icon_battle_shield</v>
      </c>
      <c r="O53" s="41" t="str">
        <f>_xlfn.IFNA(VLOOKUP($M53,Buff.CM!$A:$O,14,FALSE),"")</f>
        <v>Buff.Name.Shield</v>
      </c>
      <c r="P53" s="41" t="str">
        <f>_xlfn.IFNA(VLOOKUP($M53,Buff.CM!$A:$O,15,FALSE),"")</f>
        <v>Buff.Desc.Shield</v>
      </c>
      <c r="Q53" s="41" t="b">
        <v>0</v>
      </c>
      <c r="R53" s="41" t="b">
        <v>0</v>
      </c>
    </row>
    <row r="54" spans="1:18" s="12" customFormat="1">
      <c r="A54" s="41" t="s">
        <v>7764</v>
      </c>
      <c r="B54" s="41"/>
      <c r="C54" s="41"/>
      <c r="D54" s="41">
        <v>8000</v>
      </c>
      <c r="E54" s="41">
        <v>0</v>
      </c>
      <c r="F54" s="41">
        <v>0</v>
      </c>
      <c r="G54" s="41" t="s">
        <v>7770</v>
      </c>
      <c r="H54" s="41"/>
      <c r="I54" s="41" t="b">
        <v>0</v>
      </c>
      <c r="J54" s="41" t="b">
        <v>0</v>
      </c>
      <c r="K54" s="41" t="b">
        <v>1</v>
      </c>
      <c r="L54" s="41" t="s">
        <v>317</v>
      </c>
      <c r="M54" s="41" t="s">
        <v>5461</v>
      </c>
      <c r="N54" s="41" t="str">
        <f>_xlfn.IFNA(VLOOKUP($M54,Buff.CM!$A:$O,13,FALSE),"")</f>
        <v>icon_battle_shield</v>
      </c>
      <c r="O54" s="41" t="str">
        <f>_xlfn.IFNA(VLOOKUP($M54,Buff.CM!$A:$O,14,FALSE),"")</f>
        <v>Buff.Name.Shield</v>
      </c>
      <c r="P54" s="41" t="str">
        <f>_xlfn.IFNA(VLOOKUP($M54,Buff.CM!$A:$O,15,FALSE),"")</f>
        <v>Buff.Desc.Shield</v>
      </c>
      <c r="Q54" s="41" t="b">
        <v>0</v>
      </c>
      <c r="R54" s="41" t="b">
        <v>0</v>
      </c>
    </row>
    <row r="55" spans="1:18" s="12" customFormat="1">
      <c r="A55" s="41" t="s">
        <v>7765</v>
      </c>
      <c r="B55" s="41"/>
      <c r="C55" s="41"/>
      <c r="D55" s="41">
        <v>8000</v>
      </c>
      <c r="E55" s="41">
        <v>0</v>
      </c>
      <c r="F55" s="41">
        <v>0</v>
      </c>
      <c r="G55" s="41" t="s">
        <v>7771</v>
      </c>
      <c r="H55" s="41"/>
      <c r="I55" s="41" t="b">
        <v>0</v>
      </c>
      <c r="J55" s="41" t="b">
        <v>0</v>
      </c>
      <c r="K55" s="41" t="b">
        <v>1</v>
      </c>
      <c r="L55" s="41" t="s">
        <v>317</v>
      </c>
      <c r="M55" s="41" t="s">
        <v>5461</v>
      </c>
      <c r="N55" s="41" t="str">
        <f>_xlfn.IFNA(VLOOKUP($M55,Buff.CM!$A:$O,13,FALSE),"")</f>
        <v>icon_battle_shield</v>
      </c>
      <c r="O55" s="41" t="str">
        <f>_xlfn.IFNA(VLOOKUP($M55,Buff.CM!$A:$O,14,FALSE),"")</f>
        <v>Buff.Name.Shield</v>
      </c>
      <c r="P55" s="41" t="str">
        <f>_xlfn.IFNA(VLOOKUP($M55,Buff.CM!$A:$O,15,FALSE),"")</f>
        <v>Buff.Desc.Shield</v>
      </c>
      <c r="Q55" s="41" t="b">
        <v>0</v>
      </c>
      <c r="R55" s="41" t="b">
        <v>0</v>
      </c>
    </row>
    <row r="56" spans="1:18" s="155" customFormat="1" ht="49.5">
      <c r="A56" s="6" t="s">
        <v>591</v>
      </c>
      <c r="B56" s="6"/>
      <c r="C56" s="6"/>
      <c r="D56" s="6">
        <v>0</v>
      </c>
      <c r="E56" s="6">
        <v>0</v>
      </c>
      <c r="F56" s="6">
        <v>0</v>
      </c>
      <c r="G56" s="158" t="s">
        <v>8317</v>
      </c>
      <c r="H56" s="6"/>
      <c r="I56" s="6" t="b">
        <v>1</v>
      </c>
      <c r="J56" s="6" t="b">
        <v>0</v>
      </c>
      <c r="K56" s="6" t="b">
        <v>1</v>
      </c>
      <c r="L56" s="6"/>
      <c r="M56" s="6"/>
      <c r="N56" s="6" t="str">
        <f>_xlfn.IFNA(VLOOKUP($M56,Buff.CM!$A:$O,13,FALSE),"")</f>
        <v/>
      </c>
      <c r="O56" s="6" t="str">
        <f>_xlfn.IFNA(VLOOKUP($M56,Buff.CM!$A:$O,14,FALSE),"")</f>
        <v/>
      </c>
      <c r="P56" s="6" t="str">
        <f>_xlfn.IFNA(VLOOKUP($M56,Buff.CM!$A:$O,15,FALSE),"")</f>
        <v/>
      </c>
      <c r="Q56" s="6" t="b">
        <v>0</v>
      </c>
      <c r="R56" s="6" t="b">
        <v>0</v>
      </c>
    </row>
    <row r="57" spans="1:18" s="155" customFormat="1" ht="49.5">
      <c r="A57" s="6" t="s">
        <v>592</v>
      </c>
      <c r="B57" s="6"/>
      <c r="C57" s="6"/>
      <c r="D57" s="6">
        <v>0</v>
      </c>
      <c r="E57" s="6">
        <v>0</v>
      </c>
      <c r="F57" s="6">
        <v>0</v>
      </c>
      <c r="G57" s="158" t="s">
        <v>8318</v>
      </c>
      <c r="H57" s="6"/>
      <c r="I57" s="6" t="b">
        <v>1</v>
      </c>
      <c r="J57" s="6" t="b">
        <v>0</v>
      </c>
      <c r="K57" s="6" t="b">
        <v>1</v>
      </c>
      <c r="L57" s="6"/>
      <c r="M57" s="6"/>
      <c r="N57" s="6" t="str">
        <f>_xlfn.IFNA(VLOOKUP($M57,Buff.CM!$A:$O,13,FALSE),"")</f>
        <v/>
      </c>
      <c r="O57" s="6" t="str">
        <f>_xlfn.IFNA(VLOOKUP($M57,Buff.CM!$A:$O,14,FALSE),"")</f>
        <v/>
      </c>
      <c r="P57" s="6" t="str">
        <f>_xlfn.IFNA(VLOOKUP($M57,Buff.CM!$A:$O,15,FALSE),"")</f>
        <v/>
      </c>
      <c r="Q57" s="6" t="b">
        <v>0</v>
      </c>
      <c r="R57" s="6" t="b">
        <v>0</v>
      </c>
    </row>
    <row r="58" spans="1:18" s="155" customFormat="1" ht="49.5">
      <c r="A58" s="6" t="s">
        <v>593</v>
      </c>
      <c r="B58" s="6"/>
      <c r="C58" s="6"/>
      <c r="D58" s="6">
        <v>0</v>
      </c>
      <c r="E58" s="6">
        <v>0</v>
      </c>
      <c r="F58" s="6">
        <v>0</v>
      </c>
      <c r="G58" s="158" t="s">
        <v>8319</v>
      </c>
      <c r="H58" s="6"/>
      <c r="I58" s="6" t="b">
        <v>1</v>
      </c>
      <c r="J58" s="6" t="b">
        <v>0</v>
      </c>
      <c r="K58" s="6" t="b">
        <v>1</v>
      </c>
      <c r="L58" s="6"/>
      <c r="M58" s="6"/>
      <c r="N58" s="6" t="str">
        <f>_xlfn.IFNA(VLOOKUP($M58,Buff.CM!$A:$O,13,FALSE),"")</f>
        <v/>
      </c>
      <c r="O58" s="6" t="str">
        <f>_xlfn.IFNA(VLOOKUP($M58,Buff.CM!$A:$O,14,FALSE),"")</f>
        <v/>
      </c>
      <c r="P58" s="6" t="str">
        <f>_xlfn.IFNA(VLOOKUP($M58,Buff.CM!$A:$O,15,FALSE),"")</f>
        <v/>
      </c>
      <c r="Q58" s="6" t="b">
        <v>0</v>
      </c>
      <c r="R58" s="6" t="b">
        <v>0</v>
      </c>
    </row>
    <row r="59" spans="1:18" s="155" customFormat="1" ht="49.5">
      <c r="A59" s="6" t="s">
        <v>594</v>
      </c>
      <c r="B59" s="6"/>
      <c r="C59" s="6"/>
      <c r="D59" s="6">
        <v>0</v>
      </c>
      <c r="E59" s="6">
        <v>0</v>
      </c>
      <c r="F59" s="6">
        <v>0</v>
      </c>
      <c r="G59" s="158" t="s">
        <v>8320</v>
      </c>
      <c r="H59" s="6"/>
      <c r="I59" s="6" t="b">
        <v>1</v>
      </c>
      <c r="J59" s="6" t="b">
        <v>0</v>
      </c>
      <c r="K59" s="6" t="b">
        <v>1</v>
      </c>
      <c r="L59" s="6"/>
      <c r="M59" s="6"/>
      <c r="N59" s="6" t="str">
        <f>_xlfn.IFNA(VLOOKUP($M59,Buff.CM!$A:$O,13,FALSE),"")</f>
        <v/>
      </c>
      <c r="O59" s="6" t="str">
        <f>_xlfn.IFNA(VLOOKUP($M59,Buff.CM!$A:$O,14,FALSE),"")</f>
        <v/>
      </c>
      <c r="P59" s="6" t="str">
        <f>_xlfn.IFNA(VLOOKUP($M59,Buff.CM!$A:$O,15,FALSE),"")</f>
        <v/>
      </c>
      <c r="Q59" s="6" t="b">
        <v>0</v>
      </c>
      <c r="R59" s="6" t="b">
        <v>0</v>
      </c>
    </row>
    <row r="60" spans="1:18" s="155" customFormat="1" ht="49.5">
      <c r="A60" s="6" t="s">
        <v>595</v>
      </c>
      <c r="B60" s="6"/>
      <c r="C60" s="6"/>
      <c r="D60" s="6">
        <v>0</v>
      </c>
      <c r="E60" s="6">
        <v>0</v>
      </c>
      <c r="F60" s="6">
        <v>0</v>
      </c>
      <c r="G60" s="158" t="s">
        <v>8321</v>
      </c>
      <c r="H60" s="6"/>
      <c r="I60" s="6" t="b">
        <v>1</v>
      </c>
      <c r="J60" s="6" t="b">
        <v>0</v>
      </c>
      <c r="K60" s="6" t="b">
        <v>1</v>
      </c>
      <c r="L60" s="6"/>
      <c r="M60" s="6"/>
      <c r="N60" s="6" t="str">
        <f>_xlfn.IFNA(VLOOKUP($M60,Buff.CM!$A:$O,13,FALSE),"")</f>
        <v/>
      </c>
      <c r="O60" s="6" t="str">
        <f>_xlfn.IFNA(VLOOKUP($M60,Buff.CM!$A:$O,14,FALSE),"")</f>
        <v/>
      </c>
      <c r="P60" s="6" t="str">
        <f>_xlfn.IFNA(VLOOKUP($M60,Buff.CM!$A:$O,15,FALSE),"")</f>
        <v/>
      </c>
      <c r="Q60" s="6" t="b">
        <v>0</v>
      </c>
      <c r="R60" s="6" t="b">
        <v>0</v>
      </c>
    </row>
    <row r="61" spans="1:18" s="155" customFormat="1" ht="49.5">
      <c r="A61" s="6" t="s">
        <v>596</v>
      </c>
      <c r="B61" s="6"/>
      <c r="C61" s="6"/>
      <c r="D61" s="6">
        <v>0</v>
      </c>
      <c r="E61" s="6">
        <v>0</v>
      </c>
      <c r="F61" s="6">
        <v>0</v>
      </c>
      <c r="G61" s="158" t="s">
        <v>8322</v>
      </c>
      <c r="H61" s="6"/>
      <c r="I61" s="6" t="b">
        <v>1</v>
      </c>
      <c r="J61" s="6" t="b">
        <v>0</v>
      </c>
      <c r="K61" s="6" t="b">
        <v>1</v>
      </c>
      <c r="L61" s="6"/>
      <c r="M61" s="6"/>
      <c r="N61" s="6" t="str">
        <f>_xlfn.IFNA(VLOOKUP($M61,Buff.CM!$A:$O,13,FALSE),"")</f>
        <v/>
      </c>
      <c r="O61" s="6" t="str">
        <f>_xlfn.IFNA(VLOOKUP($M61,Buff.CM!$A:$O,14,FALSE),"")</f>
        <v/>
      </c>
      <c r="P61" s="6" t="str">
        <f>_xlfn.IFNA(VLOOKUP($M61,Buff.CM!$A:$O,15,FALSE),"")</f>
        <v/>
      </c>
      <c r="Q61" s="6" t="b">
        <v>0</v>
      </c>
      <c r="R61" s="6" t="b">
        <v>0</v>
      </c>
    </row>
    <row r="62" spans="1:18" s="142" customFormat="1" ht="49.5">
      <c r="A62" s="23" t="s">
        <v>8323</v>
      </c>
      <c r="B62" s="23"/>
      <c r="C62" s="23"/>
      <c r="D62" s="23">
        <v>0</v>
      </c>
      <c r="E62" s="23">
        <v>0</v>
      </c>
      <c r="F62" s="23">
        <v>0</v>
      </c>
      <c r="G62" s="39" t="s">
        <v>7872</v>
      </c>
      <c r="H62" s="23"/>
      <c r="I62" s="23" t="b">
        <v>1</v>
      </c>
      <c r="J62" s="23" t="b">
        <v>0</v>
      </c>
      <c r="K62" s="23" t="b">
        <v>1</v>
      </c>
      <c r="L62" s="23"/>
      <c r="M62" s="23"/>
      <c r="N62" s="23" t="str">
        <f>_xlfn.IFNA(VLOOKUP($M62,Buff.CM!$A:$O,13,FALSE),"")</f>
        <v/>
      </c>
      <c r="O62" s="23" t="str">
        <f>_xlfn.IFNA(VLOOKUP($M62,Buff.CM!$A:$O,14,FALSE),"")</f>
        <v/>
      </c>
      <c r="P62" s="23" t="str">
        <f>_xlfn.IFNA(VLOOKUP($M62,Buff.CM!$A:$O,15,FALSE),"")</f>
        <v/>
      </c>
      <c r="Q62" s="23" t="b">
        <v>0</v>
      </c>
      <c r="R62" s="23" t="b">
        <v>0</v>
      </c>
    </row>
    <row r="63" spans="1:18" s="142" customFormat="1" ht="49.5">
      <c r="A63" s="23" t="s">
        <v>7846</v>
      </c>
      <c r="B63" s="23"/>
      <c r="C63" s="23"/>
      <c r="D63" s="23">
        <v>0</v>
      </c>
      <c r="E63" s="23">
        <v>0</v>
      </c>
      <c r="F63" s="23">
        <v>0</v>
      </c>
      <c r="G63" s="39" t="s">
        <v>7873</v>
      </c>
      <c r="H63" s="23"/>
      <c r="I63" s="23" t="b">
        <v>1</v>
      </c>
      <c r="J63" s="23" t="b">
        <v>0</v>
      </c>
      <c r="K63" s="23" t="b">
        <v>1</v>
      </c>
      <c r="L63" s="23"/>
      <c r="M63" s="23"/>
      <c r="N63" s="23" t="str">
        <f>_xlfn.IFNA(VLOOKUP($M63,Buff.CM!$A:$O,13,FALSE),"")</f>
        <v/>
      </c>
      <c r="O63" s="23" t="str">
        <f>_xlfn.IFNA(VLOOKUP($M63,Buff.CM!$A:$O,14,FALSE),"")</f>
        <v/>
      </c>
      <c r="P63" s="23" t="str">
        <f>_xlfn.IFNA(VLOOKUP($M63,Buff.CM!$A:$O,15,FALSE),"")</f>
        <v/>
      </c>
      <c r="Q63" s="23" t="b">
        <v>0</v>
      </c>
      <c r="R63" s="23" t="b">
        <v>0</v>
      </c>
    </row>
    <row r="64" spans="1:18" s="142" customFormat="1" ht="49.5">
      <c r="A64" s="23" t="s">
        <v>7847</v>
      </c>
      <c r="B64" s="23"/>
      <c r="C64" s="23"/>
      <c r="D64" s="23">
        <v>0</v>
      </c>
      <c r="E64" s="23">
        <v>0</v>
      </c>
      <c r="F64" s="23">
        <v>0</v>
      </c>
      <c r="G64" s="39" t="s">
        <v>7874</v>
      </c>
      <c r="H64" s="23"/>
      <c r="I64" s="23" t="b">
        <v>1</v>
      </c>
      <c r="J64" s="23" t="b">
        <v>0</v>
      </c>
      <c r="K64" s="23" t="b">
        <v>1</v>
      </c>
      <c r="L64" s="23"/>
      <c r="M64" s="23"/>
      <c r="N64" s="23" t="str">
        <f>_xlfn.IFNA(VLOOKUP($M64,Buff.CM!$A:$O,13,FALSE),"")</f>
        <v/>
      </c>
      <c r="O64" s="23" t="str">
        <f>_xlfn.IFNA(VLOOKUP($M64,Buff.CM!$A:$O,14,FALSE),"")</f>
        <v/>
      </c>
      <c r="P64" s="23" t="str">
        <f>_xlfn.IFNA(VLOOKUP($M64,Buff.CM!$A:$O,15,FALSE),"")</f>
        <v/>
      </c>
      <c r="Q64" s="23" t="b">
        <v>0</v>
      </c>
      <c r="R64" s="23" t="b">
        <v>0</v>
      </c>
    </row>
    <row r="65" spans="1:18" s="142" customFormat="1" ht="49.5">
      <c r="A65" s="23" t="s">
        <v>7848</v>
      </c>
      <c r="B65" s="23"/>
      <c r="C65" s="23"/>
      <c r="D65" s="23">
        <v>0</v>
      </c>
      <c r="E65" s="23">
        <v>0</v>
      </c>
      <c r="F65" s="23">
        <v>0</v>
      </c>
      <c r="G65" s="39" t="s">
        <v>7875</v>
      </c>
      <c r="H65" s="23"/>
      <c r="I65" s="23" t="b">
        <v>1</v>
      </c>
      <c r="J65" s="23" t="b">
        <v>0</v>
      </c>
      <c r="K65" s="23" t="b">
        <v>1</v>
      </c>
      <c r="L65" s="23"/>
      <c r="M65" s="23"/>
      <c r="N65" s="23" t="str">
        <f>_xlfn.IFNA(VLOOKUP($M65,Buff.CM!$A:$O,13,FALSE),"")</f>
        <v/>
      </c>
      <c r="O65" s="23" t="str">
        <f>_xlfn.IFNA(VLOOKUP($M65,Buff.CM!$A:$O,14,FALSE),"")</f>
        <v/>
      </c>
      <c r="P65" s="23" t="str">
        <f>_xlfn.IFNA(VLOOKUP($M65,Buff.CM!$A:$O,15,FALSE),"")</f>
        <v/>
      </c>
      <c r="Q65" s="23" t="b">
        <v>0</v>
      </c>
      <c r="R65" s="23" t="b">
        <v>0</v>
      </c>
    </row>
    <row r="66" spans="1:18" s="142" customFormat="1" ht="49.5">
      <c r="A66" s="23" t="s">
        <v>7849</v>
      </c>
      <c r="B66" s="23"/>
      <c r="C66" s="23"/>
      <c r="D66" s="23">
        <v>0</v>
      </c>
      <c r="E66" s="23">
        <v>0</v>
      </c>
      <c r="F66" s="23">
        <v>0</v>
      </c>
      <c r="G66" s="39" t="s">
        <v>7876</v>
      </c>
      <c r="H66" s="23"/>
      <c r="I66" s="23" t="b">
        <v>1</v>
      </c>
      <c r="J66" s="23" t="b">
        <v>0</v>
      </c>
      <c r="K66" s="23" t="b">
        <v>1</v>
      </c>
      <c r="L66" s="23"/>
      <c r="M66" s="23"/>
      <c r="N66" s="23" t="str">
        <f>_xlfn.IFNA(VLOOKUP($M66,Buff.CM!$A:$O,13,FALSE),"")</f>
        <v/>
      </c>
      <c r="O66" s="23" t="str">
        <f>_xlfn.IFNA(VLOOKUP($M66,Buff.CM!$A:$O,14,FALSE),"")</f>
        <v/>
      </c>
      <c r="P66" s="23" t="str">
        <f>_xlfn.IFNA(VLOOKUP($M66,Buff.CM!$A:$O,15,FALSE),"")</f>
        <v/>
      </c>
      <c r="Q66" s="23" t="b">
        <v>0</v>
      </c>
      <c r="R66" s="23" t="b">
        <v>0</v>
      </c>
    </row>
    <row r="67" spans="1:18" s="142" customFormat="1" ht="49.5">
      <c r="A67" s="23" t="s">
        <v>7850</v>
      </c>
      <c r="B67" s="23"/>
      <c r="C67" s="23"/>
      <c r="D67" s="23">
        <v>0</v>
      </c>
      <c r="E67" s="23">
        <v>0</v>
      </c>
      <c r="F67" s="23">
        <v>0</v>
      </c>
      <c r="G67" s="39" t="s">
        <v>7877</v>
      </c>
      <c r="H67" s="23"/>
      <c r="I67" s="23" t="b">
        <v>1</v>
      </c>
      <c r="J67" s="23" t="b">
        <v>0</v>
      </c>
      <c r="K67" s="23" t="b">
        <v>1</v>
      </c>
      <c r="L67" s="23"/>
      <c r="M67" s="23"/>
      <c r="N67" s="23" t="str">
        <f>_xlfn.IFNA(VLOOKUP($M67,Buff.CM!$A:$O,13,FALSE),"")</f>
        <v/>
      </c>
      <c r="O67" s="23" t="str">
        <f>_xlfn.IFNA(VLOOKUP($M67,Buff.CM!$A:$O,14,FALSE),"")</f>
        <v/>
      </c>
      <c r="P67" s="23" t="str">
        <f>_xlfn.IFNA(VLOOKUP($M67,Buff.CM!$A:$O,15,FALSE),"")</f>
        <v/>
      </c>
      <c r="Q67" s="23" t="b">
        <v>0</v>
      </c>
      <c r="R67" s="23" t="b">
        <v>0</v>
      </c>
    </row>
    <row r="68" spans="1:18" s="12" customFormat="1">
      <c r="A68" s="41" t="s">
        <v>8324</v>
      </c>
      <c r="B68" s="41"/>
      <c r="C68" s="41"/>
      <c r="D68" s="41">
        <v>0</v>
      </c>
      <c r="E68" s="41">
        <v>0</v>
      </c>
      <c r="F68" s="41">
        <v>0</v>
      </c>
      <c r="G68" s="41" t="s">
        <v>7833</v>
      </c>
      <c r="H68" s="41"/>
      <c r="I68" s="41" t="b">
        <v>1</v>
      </c>
      <c r="J68" s="41" t="b">
        <v>1</v>
      </c>
      <c r="K68" s="41" t="b">
        <v>1</v>
      </c>
      <c r="L68" s="41"/>
      <c r="M68" s="41"/>
      <c r="N68" s="41" t="str">
        <f>_xlfn.IFNA(VLOOKUP($M68,Buff.CM!$A:$O,13,FALSE),"")</f>
        <v/>
      </c>
      <c r="O68" s="41" t="str">
        <f>_xlfn.IFNA(VLOOKUP($M68,Buff.CM!$A:$O,14,FALSE),"")</f>
        <v/>
      </c>
      <c r="P68" s="41" t="str">
        <f>_xlfn.IFNA(VLOOKUP($M68,Buff.CM!$A:$O,15,FALSE),"")</f>
        <v/>
      </c>
      <c r="Q68" s="41" t="b">
        <v>0</v>
      </c>
      <c r="R68" s="41" t="b">
        <v>0</v>
      </c>
    </row>
    <row r="69" spans="1:18" s="12" customFormat="1">
      <c r="A69" s="41" t="s">
        <v>7824</v>
      </c>
      <c r="B69" s="41"/>
      <c r="C69" s="41"/>
      <c r="D69" s="41">
        <v>0</v>
      </c>
      <c r="E69" s="41">
        <v>0</v>
      </c>
      <c r="F69" s="41">
        <v>0</v>
      </c>
      <c r="G69" s="41" t="s">
        <v>7835</v>
      </c>
      <c r="H69" s="41"/>
      <c r="I69" s="41" t="b">
        <v>1</v>
      </c>
      <c r="J69" s="41" t="b">
        <v>1</v>
      </c>
      <c r="K69" s="41" t="b">
        <v>1</v>
      </c>
      <c r="L69" s="41"/>
      <c r="M69" s="41"/>
      <c r="N69" s="41" t="str">
        <f>_xlfn.IFNA(VLOOKUP($M69,Buff.CM!$A:$O,13,FALSE),"")</f>
        <v/>
      </c>
      <c r="O69" s="41" t="str">
        <f>_xlfn.IFNA(VLOOKUP($M69,Buff.CM!$A:$O,14,FALSE),"")</f>
        <v/>
      </c>
      <c r="P69" s="41" t="str">
        <f>_xlfn.IFNA(VLOOKUP($M69,Buff.CM!$A:$O,15,FALSE),"")</f>
        <v/>
      </c>
      <c r="Q69" s="41" t="b">
        <v>0</v>
      </c>
      <c r="R69" s="41" t="b">
        <v>0</v>
      </c>
    </row>
    <row r="70" spans="1:18" s="12" customFormat="1">
      <c r="A70" s="41" t="s">
        <v>7826</v>
      </c>
      <c r="B70" s="41"/>
      <c r="C70" s="41"/>
      <c r="D70" s="41">
        <v>0</v>
      </c>
      <c r="E70" s="41">
        <v>0</v>
      </c>
      <c r="F70" s="41">
        <v>0</v>
      </c>
      <c r="G70" s="41" t="s">
        <v>7836</v>
      </c>
      <c r="H70" s="41"/>
      <c r="I70" s="41" t="b">
        <v>1</v>
      </c>
      <c r="J70" s="41" t="b">
        <v>1</v>
      </c>
      <c r="K70" s="41" t="b">
        <v>1</v>
      </c>
      <c r="L70" s="41"/>
      <c r="M70" s="41"/>
      <c r="N70" s="41" t="str">
        <f>_xlfn.IFNA(VLOOKUP($M70,Buff.CM!$A:$O,13,FALSE),"")</f>
        <v/>
      </c>
      <c r="O70" s="41" t="str">
        <f>_xlfn.IFNA(VLOOKUP($M70,Buff.CM!$A:$O,14,FALSE),"")</f>
        <v/>
      </c>
      <c r="P70" s="41" t="str">
        <f>_xlfn.IFNA(VLOOKUP($M70,Buff.CM!$A:$O,15,FALSE),"")</f>
        <v/>
      </c>
      <c r="Q70" s="41" t="b">
        <v>0</v>
      </c>
      <c r="R70" s="41" t="b">
        <v>0</v>
      </c>
    </row>
    <row r="71" spans="1:18" s="12" customFormat="1">
      <c r="A71" s="41" t="s">
        <v>7828</v>
      </c>
      <c r="B71" s="41"/>
      <c r="C71" s="41"/>
      <c r="D71" s="41">
        <v>0</v>
      </c>
      <c r="E71" s="41">
        <v>0</v>
      </c>
      <c r="F71" s="41">
        <v>0</v>
      </c>
      <c r="G71" s="41" t="s">
        <v>7837</v>
      </c>
      <c r="H71" s="41"/>
      <c r="I71" s="41" t="b">
        <v>1</v>
      </c>
      <c r="J71" s="41" t="b">
        <v>1</v>
      </c>
      <c r="K71" s="41" t="b">
        <v>1</v>
      </c>
      <c r="L71" s="41"/>
      <c r="M71" s="41"/>
      <c r="N71" s="41" t="str">
        <f>_xlfn.IFNA(VLOOKUP($M71,Buff.CM!$A:$O,13,FALSE),"")</f>
        <v/>
      </c>
      <c r="O71" s="41" t="str">
        <f>_xlfn.IFNA(VLOOKUP($M71,Buff.CM!$A:$O,14,FALSE),"")</f>
        <v/>
      </c>
      <c r="P71" s="41" t="str">
        <f>_xlfn.IFNA(VLOOKUP($M71,Buff.CM!$A:$O,15,FALSE),"")</f>
        <v/>
      </c>
      <c r="Q71" s="41" t="b">
        <v>0</v>
      </c>
      <c r="R71" s="41" t="b">
        <v>0</v>
      </c>
    </row>
    <row r="72" spans="1:18" s="12" customFormat="1">
      <c r="A72" s="41" t="s">
        <v>7830</v>
      </c>
      <c r="B72" s="41"/>
      <c r="C72" s="41"/>
      <c r="D72" s="41">
        <v>0</v>
      </c>
      <c r="E72" s="41">
        <v>0</v>
      </c>
      <c r="F72" s="41">
        <v>0</v>
      </c>
      <c r="G72" s="41" t="s">
        <v>7838</v>
      </c>
      <c r="H72" s="41"/>
      <c r="I72" s="41" t="b">
        <v>1</v>
      </c>
      <c r="J72" s="41" t="b">
        <v>1</v>
      </c>
      <c r="K72" s="41" t="b">
        <v>1</v>
      </c>
      <c r="L72" s="41"/>
      <c r="M72" s="41"/>
      <c r="N72" s="41" t="str">
        <f>_xlfn.IFNA(VLOOKUP($M72,Buff.CM!$A:$O,13,FALSE),"")</f>
        <v/>
      </c>
      <c r="O72" s="41" t="str">
        <f>_xlfn.IFNA(VLOOKUP($M72,Buff.CM!$A:$O,14,FALSE),"")</f>
        <v/>
      </c>
      <c r="P72" s="41" t="str">
        <f>_xlfn.IFNA(VLOOKUP($M72,Buff.CM!$A:$O,15,FALSE),"")</f>
        <v/>
      </c>
      <c r="Q72" s="41" t="b">
        <v>0</v>
      </c>
      <c r="R72" s="41" t="b">
        <v>0</v>
      </c>
    </row>
    <row r="73" spans="1:18" s="12" customFormat="1">
      <c r="A73" s="41" t="s">
        <v>7832</v>
      </c>
      <c r="B73" s="41"/>
      <c r="C73" s="41"/>
      <c r="D73" s="41">
        <v>0</v>
      </c>
      <c r="E73" s="41">
        <v>0</v>
      </c>
      <c r="F73" s="41">
        <v>0</v>
      </c>
      <c r="G73" s="41" t="s">
        <v>7839</v>
      </c>
      <c r="H73" s="41"/>
      <c r="I73" s="41" t="b">
        <v>1</v>
      </c>
      <c r="J73" s="41" t="b">
        <v>1</v>
      </c>
      <c r="K73" s="41" t="b">
        <v>1</v>
      </c>
      <c r="L73" s="41"/>
      <c r="M73" s="41"/>
      <c r="N73" s="41" t="str">
        <f>_xlfn.IFNA(VLOOKUP($M73,Buff.CM!$A:$O,13,FALSE),"")</f>
        <v/>
      </c>
      <c r="O73" s="41" t="str">
        <f>_xlfn.IFNA(VLOOKUP($M73,Buff.CM!$A:$O,14,FALSE),"")</f>
        <v/>
      </c>
      <c r="P73" s="41" t="str">
        <f>_xlfn.IFNA(VLOOKUP($M73,Buff.CM!$A:$O,15,FALSE),"")</f>
        <v/>
      </c>
      <c r="Q73" s="41" t="b">
        <v>0</v>
      </c>
      <c r="R73" s="41" t="b">
        <v>0</v>
      </c>
    </row>
    <row r="74" spans="1:18" s="191" customFormat="1">
      <c r="A74" s="9" t="s">
        <v>8325</v>
      </c>
      <c r="B74" s="9" t="s">
        <v>1234</v>
      </c>
      <c r="C74" s="9" t="s">
        <v>1236</v>
      </c>
      <c r="D74" s="9">
        <v>0</v>
      </c>
      <c r="E74" s="9">
        <v>0</v>
      </c>
      <c r="F74" s="9">
        <v>0</v>
      </c>
      <c r="G74" s="193" t="s">
        <v>8326</v>
      </c>
      <c r="H74" s="9"/>
      <c r="I74" s="9" t="b">
        <v>1</v>
      </c>
      <c r="J74" s="9" t="b">
        <v>1</v>
      </c>
      <c r="K74" s="9" t="b">
        <v>1</v>
      </c>
      <c r="L74" s="9"/>
      <c r="M74" s="9" t="s">
        <v>7813</v>
      </c>
      <c r="N74" s="9" t="str">
        <f>_xlfn.IFNA(VLOOKUP($M74,Buff.CM!$A:$O,13,FALSE),"")</f>
        <v>icon_battle_freyja_buff_01</v>
      </c>
      <c r="O74" s="9" t="str">
        <f>_xlfn.IFNA(VLOOKUP($M74,Buff.CM!$A:$O,14,FALSE),"")</f>
        <v>info.freyja.buff.passive</v>
      </c>
      <c r="P74" s="9" t="str">
        <f>_xlfn.IFNA(VLOOKUP($M74,Buff.CM!$A:$O,15,FALSE),"")</f>
        <v>Desc.info.freyja.buff.passive</v>
      </c>
      <c r="Q74" s="9" t="b">
        <v>0</v>
      </c>
      <c r="R74" s="9" t="b">
        <v>0</v>
      </c>
    </row>
    <row r="75" spans="1:18" s="191" customFormat="1">
      <c r="A75" s="9" t="s">
        <v>7708</v>
      </c>
      <c r="B75" s="9" t="s">
        <v>1234</v>
      </c>
      <c r="C75" s="9" t="s">
        <v>1236</v>
      </c>
      <c r="D75" s="9">
        <v>0</v>
      </c>
      <c r="E75" s="9">
        <v>0</v>
      </c>
      <c r="F75" s="9">
        <v>0</v>
      </c>
      <c r="G75" s="193" t="s">
        <v>7867</v>
      </c>
      <c r="H75" s="9"/>
      <c r="I75" s="9" t="b">
        <v>1</v>
      </c>
      <c r="J75" s="9" t="b">
        <v>1</v>
      </c>
      <c r="K75" s="9" t="b">
        <v>1</v>
      </c>
      <c r="L75" s="9"/>
      <c r="M75" s="9" t="s">
        <v>7813</v>
      </c>
      <c r="N75" s="9" t="str">
        <f>_xlfn.IFNA(VLOOKUP($M75,Buff.CM!$A:$O,13,FALSE),"")</f>
        <v>icon_battle_freyja_buff_01</v>
      </c>
      <c r="O75" s="9" t="str">
        <f>_xlfn.IFNA(VLOOKUP($M75,Buff.CM!$A:$O,14,FALSE),"")</f>
        <v>info.freyja.buff.passive</v>
      </c>
      <c r="P75" s="9" t="str">
        <f>_xlfn.IFNA(VLOOKUP($M75,Buff.CM!$A:$O,15,FALSE),"")</f>
        <v>Desc.info.freyja.buff.passive</v>
      </c>
      <c r="Q75" s="9" t="b">
        <v>0</v>
      </c>
      <c r="R75" s="9" t="b">
        <v>0</v>
      </c>
    </row>
    <row r="76" spans="1:18" s="191" customFormat="1">
      <c r="A76" s="9" t="s">
        <v>8327</v>
      </c>
      <c r="B76" s="9" t="s">
        <v>1234</v>
      </c>
      <c r="C76" s="9" t="s">
        <v>1236</v>
      </c>
      <c r="D76" s="9">
        <v>0</v>
      </c>
      <c r="E76" s="9">
        <v>0</v>
      </c>
      <c r="F76" s="9">
        <v>0</v>
      </c>
      <c r="G76" s="193" t="s">
        <v>7868</v>
      </c>
      <c r="H76" s="9"/>
      <c r="I76" s="9" t="b">
        <v>1</v>
      </c>
      <c r="J76" s="9" t="b">
        <v>1</v>
      </c>
      <c r="K76" s="9" t="b">
        <v>1</v>
      </c>
      <c r="L76" s="9"/>
      <c r="M76" s="9" t="s">
        <v>7813</v>
      </c>
      <c r="N76" s="9" t="str">
        <f>_xlfn.IFNA(VLOOKUP($M76,Buff.CM!$A:$O,13,FALSE),"")</f>
        <v>icon_battle_freyja_buff_01</v>
      </c>
      <c r="O76" s="9" t="str">
        <f>_xlfn.IFNA(VLOOKUP($M76,Buff.CM!$A:$O,14,FALSE),"")</f>
        <v>info.freyja.buff.passive</v>
      </c>
      <c r="P76" s="9" t="str">
        <f>_xlfn.IFNA(VLOOKUP($M76,Buff.CM!$A:$O,15,FALSE),"")</f>
        <v>Desc.info.freyja.buff.passive</v>
      </c>
      <c r="Q76" s="9" t="b">
        <v>0</v>
      </c>
      <c r="R76" s="9" t="b">
        <v>0</v>
      </c>
    </row>
    <row r="77" spans="1:18" s="191" customFormat="1">
      <c r="A77" s="9" t="s">
        <v>8328</v>
      </c>
      <c r="B77" s="9" t="s">
        <v>1234</v>
      </c>
      <c r="C77" s="9" t="s">
        <v>1236</v>
      </c>
      <c r="D77" s="9">
        <v>0</v>
      </c>
      <c r="E77" s="9">
        <v>0</v>
      </c>
      <c r="F77" s="9">
        <v>0</v>
      </c>
      <c r="G77" s="193" t="s">
        <v>7869</v>
      </c>
      <c r="H77" s="9"/>
      <c r="I77" s="9" t="b">
        <v>1</v>
      </c>
      <c r="J77" s="9" t="b">
        <v>1</v>
      </c>
      <c r="K77" s="9" t="b">
        <v>1</v>
      </c>
      <c r="L77" s="9"/>
      <c r="M77" s="9" t="s">
        <v>7813</v>
      </c>
      <c r="N77" s="9" t="str">
        <f>_xlfn.IFNA(VLOOKUP($M77,Buff.CM!$A:$O,13,FALSE),"")</f>
        <v>icon_battle_freyja_buff_01</v>
      </c>
      <c r="O77" s="9" t="str">
        <f>_xlfn.IFNA(VLOOKUP($M77,Buff.CM!$A:$O,14,FALSE),"")</f>
        <v>info.freyja.buff.passive</v>
      </c>
      <c r="P77" s="9" t="str">
        <f>_xlfn.IFNA(VLOOKUP($M77,Buff.CM!$A:$O,15,FALSE),"")</f>
        <v>Desc.info.freyja.buff.passive</v>
      </c>
      <c r="Q77" s="9" t="b">
        <v>0</v>
      </c>
      <c r="R77" s="9" t="b">
        <v>0</v>
      </c>
    </row>
    <row r="78" spans="1:18" s="191" customFormat="1">
      <c r="A78" s="9" t="s">
        <v>7709</v>
      </c>
      <c r="B78" s="9" t="s">
        <v>1234</v>
      </c>
      <c r="C78" s="9" t="s">
        <v>1236</v>
      </c>
      <c r="D78" s="9">
        <v>0</v>
      </c>
      <c r="E78" s="9">
        <v>0</v>
      </c>
      <c r="F78" s="9">
        <v>0</v>
      </c>
      <c r="G78" s="193" t="s">
        <v>7870</v>
      </c>
      <c r="H78" s="9"/>
      <c r="I78" s="9" t="b">
        <v>1</v>
      </c>
      <c r="J78" s="9" t="b">
        <v>1</v>
      </c>
      <c r="K78" s="9" t="b">
        <v>1</v>
      </c>
      <c r="L78" s="9"/>
      <c r="M78" s="9" t="s">
        <v>7813</v>
      </c>
      <c r="N78" s="9" t="str">
        <f>_xlfn.IFNA(VLOOKUP($M78,Buff.CM!$A:$O,13,FALSE),"")</f>
        <v>icon_battle_freyja_buff_01</v>
      </c>
      <c r="O78" s="9" t="str">
        <f>_xlfn.IFNA(VLOOKUP($M78,Buff.CM!$A:$O,14,FALSE),"")</f>
        <v>info.freyja.buff.passive</v>
      </c>
      <c r="P78" s="9" t="str">
        <f>_xlfn.IFNA(VLOOKUP($M78,Buff.CM!$A:$O,15,FALSE),"")</f>
        <v>Desc.info.freyja.buff.passive</v>
      </c>
      <c r="Q78" s="9" t="b">
        <v>0</v>
      </c>
      <c r="R78" s="9" t="b">
        <v>0</v>
      </c>
    </row>
    <row r="79" spans="1:18" s="191" customFormat="1">
      <c r="A79" s="9" t="s">
        <v>7710</v>
      </c>
      <c r="B79" s="9" t="s">
        <v>1234</v>
      </c>
      <c r="C79" s="9" t="s">
        <v>1236</v>
      </c>
      <c r="D79" s="9">
        <v>0</v>
      </c>
      <c r="E79" s="9">
        <v>0</v>
      </c>
      <c r="F79" s="9">
        <v>0</v>
      </c>
      <c r="G79" s="193" t="s">
        <v>7871</v>
      </c>
      <c r="H79" s="9"/>
      <c r="I79" s="9" t="b">
        <v>1</v>
      </c>
      <c r="J79" s="9" t="b">
        <v>1</v>
      </c>
      <c r="K79" s="9" t="b">
        <v>1</v>
      </c>
      <c r="L79" s="9"/>
      <c r="M79" s="9" t="s">
        <v>7813</v>
      </c>
      <c r="N79" s="9" t="str">
        <f>_xlfn.IFNA(VLOOKUP($M79,Buff.CM!$A:$O,13,FALSE),"")</f>
        <v>icon_battle_freyja_buff_01</v>
      </c>
      <c r="O79" s="9" t="str">
        <f>_xlfn.IFNA(VLOOKUP($M79,Buff.CM!$A:$O,14,FALSE),"")</f>
        <v>info.freyja.buff.passive</v>
      </c>
      <c r="P79" s="9" t="str">
        <f>_xlfn.IFNA(VLOOKUP($M79,Buff.CM!$A:$O,15,FALSE),"")</f>
        <v>Desc.info.freyja.buff.passive</v>
      </c>
      <c r="Q79" s="9" t="b">
        <v>0</v>
      </c>
      <c r="R79" s="9" t="b">
        <v>0</v>
      </c>
    </row>
    <row r="80" spans="1:18" s="155" customFormat="1" ht="49.5">
      <c r="A80" s="6" t="s">
        <v>8329</v>
      </c>
      <c r="B80" s="6"/>
      <c r="C80" s="6"/>
      <c r="D80" s="6">
        <v>0</v>
      </c>
      <c r="E80" s="6">
        <v>0</v>
      </c>
      <c r="F80" s="6">
        <v>0</v>
      </c>
      <c r="G80" s="158" t="s">
        <v>8330</v>
      </c>
      <c r="H80" s="6"/>
      <c r="I80" s="41" t="b">
        <v>1</v>
      </c>
      <c r="J80" s="6" t="b">
        <v>0</v>
      </c>
      <c r="K80" s="6" t="b">
        <v>1</v>
      </c>
      <c r="L80" s="6"/>
      <c r="M80" s="6"/>
      <c r="N80" s="6" t="str">
        <f>_xlfn.IFNA(VLOOKUP($M80,Buff.CM!$A:$O,13,FALSE),"")</f>
        <v/>
      </c>
      <c r="O80" s="6" t="str">
        <f>_xlfn.IFNA(VLOOKUP($M80,Buff.CM!$A:$O,14,FALSE),"")</f>
        <v/>
      </c>
      <c r="P80" s="6" t="str">
        <f>_xlfn.IFNA(VLOOKUP($M80,Buff.CM!$A:$O,15,FALSE),"")</f>
        <v/>
      </c>
      <c r="Q80" s="6" t="b">
        <v>0</v>
      </c>
      <c r="R80" s="6" t="b">
        <v>0</v>
      </c>
    </row>
    <row r="81" spans="1:18" s="155" customFormat="1" ht="49.5">
      <c r="A81" s="6" t="s">
        <v>7772</v>
      </c>
      <c r="B81" s="6"/>
      <c r="C81" s="6"/>
      <c r="D81" s="6">
        <v>0</v>
      </c>
      <c r="E81" s="6">
        <v>0</v>
      </c>
      <c r="F81" s="6">
        <v>0</v>
      </c>
      <c r="G81" s="158" t="s">
        <v>7777</v>
      </c>
      <c r="H81" s="6"/>
      <c r="I81" s="41" t="b">
        <v>1</v>
      </c>
      <c r="J81" s="6" t="b">
        <v>0</v>
      </c>
      <c r="K81" s="6" t="b">
        <v>1</v>
      </c>
      <c r="L81" s="6"/>
      <c r="M81" s="6"/>
      <c r="N81" s="6" t="str">
        <f>_xlfn.IFNA(VLOOKUP($M81,Buff.CM!$A:$O,13,FALSE),"")</f>
        <v/>
      </c>
      <c r="O81" s="6" t="str">
        <f>_xlfn.IFNA(VLOOKUP($M81,Buff.CM!$A:$O,14,FALSE),"")</f>
        <v/>
      </c>
      <c r="P81" s="6" t="str">
        <f>_xlfn.IFNA(VLOOKUP($M81,Buff.CM!$A:$O,15,FALSE),"")</f>
        <v/>
      </c>
      <c r="Q81" s="6" t="b">
        <v>0</v>
      </c>
      <c r="R81" s="6" t="b">
        <v>0</v>
      </c>
    </row>
    <row r="82" spans="1:18" s="155" customFormat="1" ht="49.5">
      <c r="A82" s="6" t="s">
        <v>7773</v>
      </c>
      <c r="B82" s="6"/>
      <c r="C82" s="6"/>
      <c r="D82" s="6">
        <v>0</v>
      </c>
      <c r="E82" s="6">
        <v>0</v>
      </c>
      <c r="F82" s="6">
        <v>0</v>
      </c>
      <c r="G82" s="158" t="s">
        <v>7778</v>
      </c>
      <c r="H82" s="6"/>
      <c r="I82" s="41" t="b">
        <v>1</v>
      </c>
      <c r="J82" s="6" t="b">
        <v>0</v>
      </c>
      <c r="K82" s="6" t="b">
        <v>1</v>
      </c>
      <c r="L82" s="6"/>
      <c r="M82" s="6"/>
      <c r="N82" s="6" t="str">
        <f>_xlfn.IFNA(VLOOKUP($M82,Buff.CM!$A:$O,13,FALSE),"")</f>
        <v/>
      </c>
      <c r="O82" s="6" t="str">
        <f>_xlfn.IFNA(VLOOKUP($M82,Buff.CM!$A:$O,14,FALSE),"")</f>
        <v/>
      </c>
      <c r="P82" s="6" t="str">
        <f>_xlfn.IFNA(VLOOKUP($M82,Buff.CM!$A:$O,15,FALSE),"")</f>
        <v/>
      </c>
      <c r="Q82" s="6" t="b">
        <v>0</v>
      </c>
      <c r="R82" s="6" t="b">
        <v>0</v>
      </c>
    </row>
    <row r="83" spans="1:18" s="155" customFormat="1" ht="49.5">
      <c r="A83" s="6" t="s">
        <v>7774</v>
      </c>
      <c r="B83" s="6"/>
      <c r="C83" s="6"/>
      <c r="D83" s="6">
        <v>0</v>
      </c>
      <c r="E83" s="6">
        <v>0</v>
      </c>
      <c r="F83" s="6">
        <v>0</v>
      </c>
      <c r="G83" s="158" t="s">
        <v>7779</v>
      </c>
      <c r="H83" s="6"/>
      <c r="I83" s="41" t="b">
        <v>1</v>
      </c>
      <c r="J83" s="6" t="b">
        <v>0</v>
      </c>
      <c r="K83" s="6" t="b">
        <v>1</v>
      </c>
      <c r="L83" s="6"/>
      <c r="M83" s="6"/>
      <c r="N83" s="6" t="str">
        <f>_xlfn.IFNA(VLOOKUP($M83,Buff.CM!$A:$O,13,FALSE),"")</f>
        <v/>
      </c>
      <c r="O83" s="6" t="str">
        <f>_xlfn.IFNA(VLOOKUP($M83,Buff.CM!$A:$O,14,FALSE),"")</f>
        <v/>
      </c>
      <c r="P83" s="6" t="str">
        <f>_xlfn.IFNA(VLOOKUP($M83,Buff.CM!$A:$O,15,FALSE),"")</f>
        <v/>
      </c>
      <c r="Q83" s="6" t="b">
        <v>0</v>
      </c>
      <c r="R83" s="6" t="b">
        <v>0</v>
      </c>
    </row>
    <row r="84" spans="1:18" s="155" customFormat="1" ht="49.5">
      <c r="A84" s="6" t="s">
        <v>7775</v>
      </c>
      <c r="B84" s="6"/>
      <c r="C84" s="6"/>
      <c r="D84" s="6">
        <v>0</v>
      </c>
      <c r="E84" s="6">
        <v>0</v>
      </c>
      <c r="F84" s="6">
        <v>0</v>
      </c>
      <c r="G84" s="158" t="s">
        <v>7780</v>
      </c>
      <c r="H84" s="6"/>
      <c r="I84" s="41" t="b">
        <v>1</v>
      </c>
      <c r="J84" s="6" t="b">
        <v>0</v>
      </c>
      <c r="K84" s="6" t="b">
        <v>1</v>
      </c>
      <c r="L84" s="6"/>
      <c r="M84" s="6"/>
      <c r="N84" s="6" t="str">
        <f>_xlfn.IFNA(VLOOKUP($M84,Buff.CM!$A:$O,13,FALSE),"")</f>
        <v/>
      </c>
      <c r="O84" s="6" t="str">
        <f>_xlfn.IFNA(VLOOKUP($M84,Buff.CM!$A:$O,14,FALSE),"")</f>
        <v/>
      </c>
      <c r="P84" s="6" t="str">
        <f>_xlfn.IFNA(VLOOKUP($M84,Buff.CM!$A:$O,15,FALSE),"")</f>
        <v/>
      </c>
      <c r="Q84" s="6" t="b">
        <v>0</v>
      </c>
      <c r="R84" s="6" t="b">
        <v>0</v>
      </c>
    </row>
    <row r="85" spans="1:18" s="155" customFormat="1" ht="49.5">
      <c r="A85" s="6" t="s">
        <v>7776</v>
      </c>
      <c r="B85" s="6"/>
      <c r="C85" s="6"/>
      <c r="D85" s="6">
        <v>0</v>
      </c>
      <c r="E85" s="6">
        <v>0</v>
      </c>
      <c r="F85" s="6">
        <v>0</v>
      </c>
      <c r="G85" s="158" t="s">
        <v>7781</v>
      </c>
      <c r="H85" s="6"/>
      <c r="I85" s="41" t="b">
        <v>1</v>
      </c>
      <c r="J85" s="6" t="b">
        <v>0</v>
      </c>
      <c r="K85" s="6" t="b">
        <v>1</v>
      </c>
      <c r="L85" s="6"/>
      <c r="M85" s="6"/>
      <c r="N85" s="6" t="str">
        <f>_xlfn.IFNA(VLOOKUP($M85,Buff.CM!$A:$O,13,FALSE),"")</f>
        <v/>
      </c>
      <c r="O85" s="6" t="str">
        <f>_xlfn.IFNA(VLOOKUP($M85,Buff.CM!$A:$O,14,FALSE),"")</f>
        <v/>
      </c>
      <c r="P85" s="6" t="str">
        <f>_xlfn.IFNA(VLOOKUP($M85,Buff.CM!$A:$O,15,FALSE),"")</f>
        <v/>
      </c>
      <c r="Q85" s="6" t="b">
        <v>0</v>
      </c>
      <c r="R85" s="6" t="b">
        <v>0</v>
      </c>
    </row>
    <row r="86" spans="1:18" s="12" customFormat="1">
      <c r="A86" s="41" t="s">
        <v>8331</v>
      </c>
      <c r="B86" s="41"/>
      <c r="C86" s="41"/>
      <c r="D86" s="41">
        <v>0</v>
      </c>
      <c r="E86" s="41">
        <v>0</v>
      </c>
      <c r="F86" s="41">
        <v>0</v>
      </c>
      <c r="G86" s="148" t="s">
        <v>8332</v>
      </c>
      <c r="H86" s="41"/>
      <c r="I86" s="41" t="b">
        <v>1</v>
      </c>
      <c r="J86" s="41" t="b">
        <v>0</v>
      </c>
      <c r="K86" s="41" t="b">
        <v>1</v>
      </c>
      <c r="L86" s="41"/>
      <c r="M86" s="41"/>
      <c r="N86" s="41" t="str">
        <f>_xlfn.IFNA(VLOOKUP($M86,Buff.CM!$A:$O,13,FALSE),"")</f>
        <v/>
      </c>
      <c r="O86" s="41" t="str">
        <f>_xlfn.IFNA(VLOOKUP($M86,Buff.CM!$A:$O,14,FALSE),"")</f>
        <v/>
      </c>
      <c r="P86" s="41" t="str">
        <f>_xlfn.IFNA(VLOOKUP($M86,Buff.CM!$A:$O,15,FALSE),"")</f>
        <v/>
      </c>
      <c r="Q86" s="41" t="b">
        <v>0</v>
      </c>
      <c r="R86" s="41" t="b">
        <v>0</v>
      </c>
    </row>
    <row r="87" spans="1:18" s="155" customFormat="1">
      <c r="A87" s="6" t="s">
        <v>8333</v>
      </c>
      <c r="B87" s="6"/>
      <c r="C87" s="6"/>
      <c r="D87" s="6">
        <v>10000</v>
      </c>
      <c r="E87" s="6">
        <v>99</v>
      </c>
      <c r="F87" s="6">
        <v>1</v>
      </c>
      <c r="G87" s="158" t="s">
        <v>8304</v>
      </c>
      <c r="H87" s="6"/>
      <c r="I87" s="6" t="b">
        <v>1</v>
      </c>
      <c r="J87" s="6" t="b">
        <v>1</v>
      </c>
      <c r="K87" s="6" t="b">
        <v>1</v>
      </c>
      <c r="L87" s="6"/>
      <c r="M87" s="6"/>
      <c r="N87" s="6" t="str">
        <f>_xlfn.IFNA(VLOOKUP($M87,Buff.CM!$A:$O,13,FALSE),"")</f>
        <v/>
      </c>
      <c r="O87" s="6" t="str">
        <f>_xlfn.IFNA(VLOOKUP($M87,Buff.CM!$A:$O,14,FALSE),"")</f>
        <v/>
      </c>
      <c r="P87" s="6" t="str">
        <f>_xlfn.IFNA(VLOOKUP($M87,Buff.CM!$A:$O,15,FALSE),"")</f>
        <v/>
      </c>
      <c r="Q87" s="6" t="b">
        <v>0</v>
      </c>
      <c r="R87" s="6" t="b">
        <v>0</v>
      </c>
    </row>
    <row r="88" spans="1:18" s="12" customFormat="1">
      <c r="A88" s="41" t="s">
        <v>7792</v>
      </c>
      <c r="B88" s="41"/>
      <c r="C88" s="41"/>
      <c r="D88" s="41">
        <v>0</v>
      </c>
      <c r="E88" s="41">
        <v>0</v>
      </c>
      <c r="F88" s="41">
        <v>0</v>
      </c>
      <c r="G88" s="148" t="s">
        <v>8304</v>
      </c>
      <c r="H88" s="41"/>
      <c r="I88" s="41" t="b">
        <v>1</v>
      </c>
      <c r="J88" s="41" t="b">
        <v>1</v>
      </c>
      <c r="K88" s="41" t="b">
        <v>1</v>
      </c>
      <c r="L88" s="148" t="s">
        <v>7840</v>
      </c>
      <c r="M88" s="41"/>
      <c r="N88" s="41" t="str">
        <f>_xlfn.IFNA(VLOOKUP($M88,Buff.CM!$A:$O,13,FALSE),"")</f>
        <v/>
      </c>
      <c r="O88" s="41" t="str">
        <f>_xlfn.IFNA(VLOOKUP($M88,Buff.CM!$A:$O,14,FALSE),"")</f>
        <v/>
      </c>
      <c r="P88" s="41" t="str">
        <f>_xlfn.IFNA(VLOOKUP($M88,Buff.CM!$A:$O,15,FALSE),"")</f>
        <v/>
      </c>
      <c r="Q88" s="41" t="b">
        <v>0</v>
      </c>
      <c r="R88" s="41" t="b">
        <v>0</v>
      </c>
    </row>
    <row r="89" spans="1:18" s="142" customFormat="1" ht="66">
      <c r="A89" s="23" t="s">
        <v>8334</v>
      </c>
      <c r="B89" s="23"/>
      <c r="C89" s="23"/>
      <c r="D89" s="23">
        <v>0</v>
      </c>
      <c r="E89" s="23">
        <v>0</v>
      </c>
      <c r="F89" s="23">
        <v>0</v>
      </c>
      <c r="G89" s="39" t="s">
        <v>8335</v>
      </c>
      <c r="H89" s="23"/>
      <c r="I89" s="23" t="b">
        <v>1</v>
      </c>
      <c r="J89" s="23" t="b">
        <v>0</v>
      </c>
      <c r="K89" s="23" t="b">
        <v>1</v>
      </c>
      <c r="L89" s="23"/>
      <c r="M89" s="23"/>
      <c r="N89" s="23" t="str">
        <f>_xlfn.IFNA(VLOOKUP($M89,Buff.CM!$A:$O,13,FALSE),"")</f>
        <v/>
      </c>
      <c r="O89" s="23" t="str">
        <f>_xlfn.IFNA(VLOOKUP($M89,Buff.CM!$A:$O,14,FALSE),"")</f>
        <v/>
      </c>
      <c r="P89" s="23" t="str">
        <f>_xlfn.IFNA(VLOOKUP($M89,Buff.CM!$A:$O,15,FALSE),"")</f>
        <v/>
      </c>
      <c r="Q89" s="23" t="b">
        <v>0</v>
      </c>
      <c r="R89" s="23" t="b">
        <v>0</v>
      </c>
    </row>
    <row r="90" spans="1:18" s="150" customFormat="1">
      <c r="A90" s="24" t="s">
        <v>8336</v>
      </c>
      <c r="B90" s="24" t="s">
        <v>1367</v>
      </c>
      <c r="C90" s="24" t="s">
        <v>7571</v>
      </c>
      <c r="D90" s="24">
        <v>0</v>
      </c>
      <c r="E90" s="24">
        <v>0</v>
      </c>
      <c r="F90" s="24">
        <v>0</v>
      </c>
      <c r="G90" s="38" t="s">
        <v>8337</v>
      </c>
      <c r="H90" s="24"/>
      <c r="I90" s="24" t="b">
        <v>1</v>
      </c>
      <c r="J90" s="24" t="b">
        <v>0</v>
      </c>
      <c r="K90" s="24" t="b">
        <v>1</v>
      </c>
      <c r="L90" s="24"/>
      <c r="M90" s="24"/>
      <c r="N90" s="24" t="str">
        <f>_xlfn.IFNA(VLOOKUP($M90,Buff.CM!$A:$O,13,FALSE),"")</f>
        <v/>
      </c>
      <c r="O90" s="24" t="str">
        <f>_xlfn.IFNA(VLOOKUP($M90,Buff.CM!$A:$O,14,FALSE),"")</f>
        <v/>
      </c>
      <c r="P90" s="24" t="str">
        <f>_xlfn.IFNA(VLOOKUP($M90,Buff.CM!$A:$O,15,FALSE),"")</f>
        <v/>
      </c>
      <c r="Q90" s="24" t="b">
        <v>0</v>
      </c>
      <c r="R90" s="24" t="b">
        <v>0</v>
      </c>
    </row>
    <row r="91" spans="1:18" s="142" customFormat="1">
      <c r="A91" s="23" t="s">
        <v>8338</v>
      </c>
      <c r="B91" s="23" t="s">
        <v>1367</v>
      </c>
      <c r="C91" s="23" t="s">
        <v>7571</v>
      </c>
      <c r="D91" s="23">
        <v>100</v>
      </c>
      <c r="E91" s="23">
        <v>0</v>
      </c>
      <c r="F91" s="23">
        <v>0</v>
      </c>
      <c r="G91" s="39" t="s">
        <v>8339</v>
      </c>
      <c r="H91" s="23"/>
      <c r="I91" s="23" t="b">
        <v>1</v>
      </c>
      <c r="J91" s="23" t="b">
        <v>0</v>
      </c>
      <c r="K91" s="23" t="b">
        <v>1</v>
      </c>
      <c r="L91" s="23"/>
      <c r="M91" s="23"/>
      <c r="N91" s="23" t="str">
        <f>_xlfn.IFNA(VLOOKUP($M91,Buff.CM!$A:$O,13,FALSE),"")</f>
        <v/>
      </c>
      <c r="O91" s="23" t="str">
        <f>_xlfn.IFNA(VLOOKUP($M91,Buff.CM!$A:$O,14,FALSE),"")</f>
        <v/>
      </c>
      <c r="P91" s="23" t="str">
        <f>_xlfn.IFNA(VLOOKUP($M91,Buff.CM!$A:$O,15,FALSE),"")</f>
        <v/>
      </c>
      <c r="Q91" s="23" t="b">
        <v>0</v>
      </c>
      <c r="R91" s="23" t="b">
        <v>0</v>
      </c>
    </row>
    <row r="92" spans="1:18" s="142" customFormat="1">
      <c r="A92" s="23" t="s">
        <v>7632</v>
      </c>
      <c r="B92" s="23" t="s">
        <v>1367</v>
      </c>
      <c r="C92" s="23" t="s">
        <v>7571</v>
      </c>
      <c r="D92" s="23">
        <v>100</v>
      </c>
      <c r="E92" s="23">
        <v>0</v>
      </c>
      <c r="F92" s="23">
        <v>0</v>
      </c>
      <c r="G92" s="39" t="s">
        <v>7639</v>
      </c>
      <c r="H92" s="23"/>
      <c r="I92" s="23" t="b">
        <v>1</v>
      </c>
      <c r="J92" s="23" t="b">
        <v>0</v>
      </c>
      <c r="K92" s="23" t="b">
        <v>1</v>
      </c>
      <c r="L92" s="23"/>
      <c r="M92" s="23"/>
      <c r="N92" s="23" t="str">
        <f>_xlfn.IFNA(VLOOKUP($M92,Buff.CM!$A:$O,13,FALSE),"")</f>
        <v/>
      </c>
      <c r="O92" s="23" t="str">
        <f>_xlfn.IFNA(VLOOKUP($M92,Buff.CM!$A:$O,14,FALSE),"")</f>
        <v/>
      </c>
      <c r="P92" s="23" t="str">
        <f>_xlfn.IFNA(VLOOKUP($M92,Buff.CM!$A:$O,15,FALSE),"")</f>
        <v/>
      </c>
      <c r="Q92" s="23" t="b">
        <v>0</v>
      </c>
      <c r="R92" s="23" t="b">
        <v>0</v>
      </c>
    </row>
    <row r="93" spans="1:18" s="142" customFormat="1">
      <c r="A93" s="23" t="s">
        <v>7633</v>
      </c>
      <c r="B93" s="23" t="s">
        <v>1367</v>
      </c>
      <c r="C93" s="23" t="s">
        <v>7571</v>
      </c>
      <c r="D93" s="23">
        <v>100</v>
      </c>
      <c r="E93" s="23">
        <v>0</v>
      </c>
      <c r="F93" s="23">
        <v>0</v>
      </c>
      <c r="G93" s="39" t="s">
        <v>7640</v>
      </c>
      <c r="H93" s="23"/>
      <c r="I93" s="23" t="b">
        <v>1</v>
      </c>
      <c r="J93" s="23" t="b">
        <v>0</v>
      </c>
      <c r="K93" s="23" t="b">
        <v>1</v>
      </c>
      <c r="L93" s="23"/>
      <c r="M93" s="23"/>
      <c r="N93" s="23" t="str">
        <f>_xlfn.IFNA(VLOOKUP($M93,Buff.CM!$A:$O,13,FALSE),"")</f>
        <v/>
      </c>
      <c r="O93" s="23" t="str">
        <f>_xlfn.IFNA(VLOOKUP($M93,Buff.CM!$A:$O,14,FALSE),"")</f>
        <v/>
      </c>
      <c r="P93" s="23" t="str">
        <f>_xlfn.IFNA(VLOOKUP($M93,Buff.CM!$A:$O,15,FALSE),"")</f>
        <v/>
      </c>
      <c r="Q93" s="23" t="b">
        <v>0</v>
      </c>
      <c r="R93" s="23" t="b">
        <v>0</v>
      </c>
    </row>
    <row r="94" spans="1:18" s="142" customFormat="1">
      <c r="A94" s="23" t="s">
        <v>7634</v>
      </c>
      <c r="B94" s="23" t="s">
        <v>1367</v>
      </c>
      <c r="C94" s="23" t="s">
        <v>7571</v>
      </c>
      <c r="D94" s="23">
        <v>100</v>
      </c>
      <c r="E94" s="23">
        <v>0</v>
      </c>
      <c r="F94" s="23">
        <v>0</v>
      </c>
      <c r="G94" s="39" t="s">
        <v>7641</v>
      </c>
      <c r="H94" s="23"/>
      <c r="I94" s="23" t="b">
        <v>1</v>
      </c>
      <c r="J94" s="23" t="b">
        <v>0</v>
      </c>
      <c r="K94" s="23" t="b">
        <v>1</v>
      </c>
      <c r="L94" s="23"/>
      <c r="M94" s="23"/>
      <c r="N94" s="23" t="str">
        <f>_xlfn.IFNA(VLOOKUP($M94,Buff.CM!$A:$O,13,FALSE),"")</f>
        <v/>
      </c>
      <c r="O94" s="23" t="str">
        <f>_xlfn.IFNA(VLOOKUP($M94,Buff.CM!$A:$O,14,FALSE),"")</f>
        <v/>
      </c>
      <c r="P94" s="23" t="str">
        <f>_xlfn.IFNA(VLOOKUP($M94,Buff.CM!$A:$O,15,FALSE),"")</f>
        <v/>
      </c>
      <c r="Q94" s="23" t="b">
        <v>0</v>
      </c>
      <c r="R94" s="23" t="b">
        <v>0</v>
      </c>
    </row>
    <row r="95" spans="1:18" s="142" customFormat="1">
      <c r="A95" s="23" t="s">
        <v>7635</v>
      </c>
      <c r="B95" s="23" t="s">
        <v>1367</v>
      </c>
      <c r="C95" s="23" t="s">
        <v>7571</v>
      </c>
      <c r="D95" s="23">
        <v>100</v>
      </c>
      <c r="E95" s="23">
        <v>0</v>
      </c>
      <c r="F95" s="23">
        <v>0</v>
      </c>
      <c r="G95" s="39" t="s">
        <v>7642</v>
      </c>
      <c r="H95" s="23"/>
      <c r="I95" s="23" t="b">
        <v>1</v>
      </c>
      <c r="J95" s="23" t="b">
        <v>0</v>
      </c>
      <c r="K95" s="23" t="b">
        <v>1</v>
      </c>
      <c r="L95" s="23"/>
      <c r="M95" s="23"/>
      <c r="N95" s="23" t="str">
        <f>_xlfn.IFNA(VLOOKUP($M95,Buff.CM!$A:$O,13,FALSE),"")</f>
        <v/>
      </c>
      <c r="O95" s="23" t="str">
        <f>_xlfn.IFNA(VLOOKUP($M95,Buff.CM!$A:$O,14,FALSE),"")</f>
        <v/>
      </c>
      <c r="P95" s="23" t="str">
        <f>_xlfn.IFNA(VLOOKUP($M95,Buff.CM!$A:$O,15,FALSE),"")</f>
        <v/>
      </c>
      <c r="Q95" s="23" t="b">
        <v>0</v>
      </c>
      <c r="R95" s="23" t="b">
        <v>0</v>
      </c>
    </row>
    <row r="96" spans="1:18" s="142" customFormat="1">
      <c r="A96" s="23" t="s">
        <v>7636</v>
      </c>
      <c r="B96" s="23" t="s">
        <v>1367</v>
      </c>
      <c r="C96" s="23" t="s">
        <v>7571</v>
      </c>
      <c r="D96" s="23">
        <v>100</v>
      </c>
      <c r="E96" s="23">
        <v>0</v>
      </c>
      <c r="F96" s="23">
        <v>0</v>
      </c>
      <c r="G96" s="39" t="s">
        <v>7643</v>
      </c>
      <c r="H96" s="23"/>
      <c r="I96" s="23" t="b">
        <v>1</v>
      </c>
      <c r="J96" s="23" t="b">
        <v>0</v>
      </c>
      <c r="K96" s="23" t="b">
        <v>1</v>
      </c>
      <c r="L96" s="23"/>
      <c r="M96" s="23"/>
      <c r="N96" s="23" t="str">
        <f>_xlfn.IFNA(VLOOKUP($M96,Buff.CM!$A:$O,13,FALSE),"")</f>
        <v/>
      </c>
      <c r="O96" s="23" t="str">
        <f>_xlfn.IFNA(VLOOKUP($M96,Buff.CM!$A:$O,14,FALSE),"")</f>
        <v/>
      </c>
      <c r="P96" s="23" t="str">
        <f>_xlfn.IFNA(VLOOKUP($M96,Buff.CM!$A:$O,15,FALSE),"")</f>
        <v/>
      </c>
      <c r="Q96" s="23" t="b">
        <v>0</v>
      </c>
      <c r="R96" s="23" t="b">
        <v>0</v>
      </c>
    </row>
    <row r="97" spans="1:18" s="142" customFormat="1">
      <c r="A97" s="23" t="s">
        <v>7637</v>
      </c>
      <c r="B97" s="23" t="s">
        <v>1367</v>
      </c>
      <c r="C97" s="23" t="s">
        <v>7571</v>
      </c>
      <c r="D97" s="23">
        <v>100</v>
      </c>
      <c r="E97" s="23">
        <v>0</v>
      </c>
      <c r="F97" s="23">
        <v>0</v>
      </c>
      <c r="G97" s="39" t="s">
        <v>7644</v>
      </c>
      <c r="H97" s="23"/>
      <c r="I97" s="23" t="b">
        <v>1</v>
      </c>
      <c r="J97" s="23" t="b">
        <v>0</v>
      </c>
      <c r="K97" s="23" t="b">
        <v>1</v>
      </c>
      <c r="L97" s="23"/>
      <c r="M97" s="23"/>
      <c r="N97" s="23" t="str">
        <f>_xlfn.IFNA(VLOOKUP($M97,Buff.CM!$A:$O,13,FALSE),"")</f>
        <v/>
      </c>
      <c r="O97" s="23" t="str">
        <f>_xlfn.IFNA(VLOOKUP($M97,Buff.CM!$A:$O,14,FALSE),"")</f>
        <v/>
      </c>
      <c r="P97" s="23" t="str">
        <f>_xlfn.IFNA(VLOOKUP($M97,Buff.CM!$A:$O,15,FALSE),"")</f>
        <v/>
      </c>
      <c r="Q97" s="23" t="b">
        <v>0</v>
      </c>
      <c r="R97" s="23" t="b">
        <v>0</v>
      </c>
    </row>
    <row r="98" spans="1:18" s="150" customFormat="1">
      <c r="A98" s="24" t="s">
        <v>8340</v>
      </c>
      <c r="B98" s="24"/>
      <c r="C98" s="24"/>
      <c r="D98" s="24">
        <v>3000</v>
      </c>
      <c r="E98" s="24">
        <v>0</v>
      </c>
      <c r="F98" s="24">
        <v>0</v>
      </c>
      <c r="G98" s="38" t="s">
        <v>8341</v>
      </c>
      <c r="H98" s="24" t="s">
        <v>8342</v>
      </c>
      <c r="I98" s="24" t="b">
        <v>0</v>
      </c>
      <c r="J98" s="24" t="b">
        <v>0</v>
      </c>
      <c r="K98" s="24" t="b">
        <v>0</v>
      </c>
      <c r="L98" s="24" t="s">
        <v>8343</v>
      </c>
      <c r="M98" s="23" t="s">
        <v>8344</v>
      </c>
      <c r="N98" s="24" t="str">
        <f>_xlfn.IFNA(VLOOKUP($M98,Buff.CM!$A:$O,13,FALSE),"")</f>
        <v>icon_battle_exile</v>
      </c>
      <c r="O98" s="24" t="str">
        <f>_xlfn.IFNA(VLOOKUP($M98,Buff.CM!$A:$O,14,FALSE),"")</f>
        <v>Buff.Name.exile</v>
      </c>
      <c r="P98" s="24" t="str">
        <f>_xlfn.IFNA(VLOOKUP($M98,Buff.CM!$A:$O,15,FALSE),"")</f>
        <v>Buff.Desc.exile</v>
      </c>
      <c r="Q98" s="24" t="b">
        <v>0</v>
      </c>
      <c r="R98" s="24" t="b">
        <v>0</v>
      </c>
    </row>
    <row r="99" spans="1:18" s="142" customFormat="1">
      <c r="A99" s="23" t="s">
        <v>7669</v>
      </c>
      <c r="B99" s="23" t="s">
        <v>1367</v>
      </c>
      <c r="C99" s="23" t="s">
        <v>7671</v>
      </c>
      <c r="D99" s="23">
        <v>0</v>
      </c>
      <c r="E99" s="23">
        <v>0</v>
      </c>
      <c r="F99" s="23">
        <v>0</v>
      </c>
      <c r="G99" s="39" t="s">
        <v>8345</v>
      </c>
      <c r="H99" s="23"/>
      <c r="I99" s="23" t="b">
        <v>1</v>
      </c>
      <c r="J99" s="23" t="b">
        <v>0</v>
      </c>
      <c r="K99" s="23" t="b">
        <v>1</v>
      </c>
      <c r="L99" s="23"/>
      <c r="M99" s="23"/>
      <c r="N99" s="23" t="str">
        <f>_xlfn.IFNA(VLOOKUP($M99,Buff.CM!$A:$O,13,FALSE),"")</f>
        <v/>
      </c>
      <c r="O99" s="23" t="str">
        <f>_xlfn.IFNA(VLOOKUP($M99,Buff.CM!$A:$O,14,FALSE),"")</f>
        <v/>
      </c>
      <c r="P99" s="23" t="str">
        <f>_xlfn.IFNA(VLOOKUP($M99,Buff.CM!$A:$O,15,FALSE),"")</f>
        <v/>
      </c>
      <c r="Q99" s="23" t="b">
        <v>0</v>
      </c>
      <c r="R99" s="23" t="b">
        <v>0</v>
      </c>
    </row>
    <row r="100" spans="1:18" s="142" customFormat="1">
      <c r="A100" s="23" t="s">
        <v>8346</v>
      </c>
      <c r="B100" s="23"/>
      <c r="C100" s="23"/>
      <c r="D100" s="23">
        <v>100</v>
      </c>
      <c r="E100" s="23">
        <v>0</v>
      </c>
      <c r="F100" s="23">
        <v>0</v>
      </c>
      <c r="G100" s="39" t="s">
        <v>8304</v>
      </c>
      <c r="H100" s="23"/>
      <c r="I100" s="23" t="b">
        <v>1</v>
      </c>
      <c r="J100" s="23" t="b">
        <v>0</v>
      </c>
      <c r="K100" s="23" t="b">
        <v>1</v>
      </c>
      <c r="L100" s="23"/>
      <c r="M100" s="23"/>
      <c r="N100" s="23" t="str">
        <f>_xlfn.IFNA(VLOOKUP($M100,Buff.CM!$A:$O,13,FALSE),"")</f>
        <v/>
      </c>
      <c r="O100" s="23" t="str">
        <f>_xlfn.IFNA(VLOOKUP($M100,Buff.CM!$A:$O,14,FALSE),"")</f>
        <v/>
      </c>
      <c r="P100" s="23" t="str">
        <f>_xlfn.IFNA(VLOOKUP($M100,Buff.CM!$A:$O,15,FALSE),"")</f>
        <v/>
      </c>
      <c r="Q100" s="23" t="b">
        <v>0</v>
      </c>
      <c r="R100" s="23" t="b">
        <v>0</v>
      </c>
    </row>
    <row r="101" spans="1:18" s="160" customFormat="1">
      <c r="A101" s="65" t="s">
        <v>7555</v>
      </c>
      <c r="B101" s="65"/>
      <c r="C101" s="65"/>
      <c r="D101" s="65">
        <v>0</v>
      </c>
      <c r="E101" s="65">
        <v>0</v>
      </c>
      <c r="F101" s="65">
        <v>0</v>
      </c>
      <c r="G101" s="67" t="s">
        <v>8304</v>
      </c>
      <c r="H101" s="65"/>
      <c r="I101" s="65" t="b">
        <v>1</v>
      </c>
      <c r="J101" s="65" t="b">
        <v>1</v>
      </c>
      <c r="K101" s="65" t="b">
        <v>1</v>
      </c>
      <c r="L101" s="65"/>
      <c r="M101" s="65"/>
      <c r="N101" s="65" t="str">
        <f>_xlfn.IFNA(VLOOKUP($M101,Buff.CM!$A:$O,13,FALSE),"")</f>
        <v/>
      </c>
      <c r="O101" s="65" t="str">
        <f>_xlfn.IFNA(VLOOKUP($M101,Buff.CM!$A:$O,14,FALSE),"")</f>
        <v/>
      </c>
      <c r="P101" s="65" t="str">
        <f>_xlfn.IFNA(VLOOKUP($M101,Buff.CM!$A:$O,15,FALSE),"")</f>
        <v/>
      </c>
      <c r="Q101" s="65" t="b">
        <v>0</v>
      </c>
      <c r="R101" s="65" t="b">
        <v>0</v>
      </c>
    </row>
    <row r="102" spans="1:18" s="160" customFormat="1">
      <c r="A102" s="65" t="s">
        <v>7550</v>
      </c>
      <c r="B102" s="65"/>
      <c r="C102" s="65"/>
      <c r="D102" s="65">
        <v>0</v>
      </c>
      <c r="E102" s="65">
        <v>0</v>
      </c>
      <c r="F102" s="65">
        <v>0</v>
      </c>
      <c r="G102" s="67" t="s">
        <v>8304</v>
      </c>
      <c r="H102" s="65"/>
      <c r="I102" s="65" t="b">
        <v>1</v>
      </c>
      <c r="J102" s="65" t="b">
        <v>1</v>
      </c>
      <c r="K102" s="65" t="b">
        <v>1</v>
      </c>
      <c r="L102" s="65"/>
      <c r="M102" s="65"/>
      <c r="N102" s="65" t="str">
        <f>_xlfn.IFNA(VLOOKUP($M102,Buff.CM!$A:$O,13,FALSE),"")</f>
        <v/>
      </c>
      <c r="O102" s="65" t="str">
        <f>_xlfn.IFNA(VLOOKUP($M102,Buff.CM!$A:$O,14,FALSE),"")</f>
        <v/>
      </c>
      <c r="P102" s="65" t="str">
        <f>_xlfn.IFNA(VLOOKUP($M102,Buff.CM!$A:$O,15,FALSE),"")</f>
        <v/>
      </c>
      <c r="Q102" s="65" t="b">
        <v>0</v>
      </c>
      <c r="R102" s="65" t="b">
        <v>0</v>
      </c>
    </row>
    <row r="103" spans="1:18" s="160" customFormat="1">
      <c r="A103" s="65" t="s">
        <v>7551</v>
      </c>
      <c r="B103" s="65"/>
      <c r="C103" s="65"/>
      <c r="D103" s="65">
        <v>0</v>
      </c>
      <c r="E103" s="65">
        <v>0</v>
      </c>
      <c r="F103" s="65">
        <v>0</v>
      </c>
      <c r="G103" s="67" t="s">
        <v>8304</v>
      </c>
      <c r="H103" s="65"/>
      <c r="I103" s="65" t="b">
        <v>1</v>
      </c>
      <c r="J103" s="65" t="b">
        <v>1</v>
      </c>
      <c r="K103" s="65" t="b">
        <v>1</v>
      </c>
      <c r="L103" s="65"/>
      <c r="M103" s="65"/>
      <c r="N103" s="65" t="str">
        <f>_xlfn.IFNA(VLOOKUP($M103,Buff.CM!$A:$O,13,FALSE),"")</f>
        <v/>
      </c>
      <c r="O103" s="65" t="str">
        <f>_xlfn.IFNA(VLOOKUP($M103,Buff.CM!$A:$O,14,FALSE),"")</f>
        <v/>
      </c>
      <c r="P103" s="65" t="str">
        <f>_xlfn.IFNA(VLOOKUP($M103,Buff.CM!$A:$O,15,FALSE),"")</f>
        <v/>
      </c>
      <c r="Q103" s="65" t="b">
        <v>0</v>
      </c>
      <c r="R103" s="65" t="b">
        <v>0</v>
      </c>
    </row>
    <row r="104" spans="1:18" s="160" customFormat="1">
      <c r="A104" s="65" t="s">
        <v>7552</v>
      </c>
      <c r="B104" s="65"/>
      <c r="C104" s="65"/>
      <c r="D104" s="65">
        <v>0</v>
      </c>
      <c r="E104" s="65">
        <v>0</v>
      </c>
      <c r="F104" s="65">
        <v>0</v>
      </c>
      <c r="G104" s="67" t="s">
        <v>8304</v>
      </c>
      <c r="H104" s="65"/>
      <c r="I104" s="65" t="b">
        <v>1</v>
      </c>
      <c r="J104" s="65" t="b">
        <v>1</v>
      </c>
      <c r="K104" s="65" t="b">
        <v>1</v>
      </c>
      <c r="L104" s="65"/>
      <c r="M104" s="65"/>
      <c r="N104" s="65" t="str">
        <f>_xlfn.IFNA(VLOOKUP($M104,Buff.CM!$A:$O,13,FALSE),"")</f>
        <v/>
      </c>
      <c r="O104" s="65" t="str">
        <f>_xlfn.IFNA(VLOOKUP($M104,Buff.CM!$A:$O,14,FALSE),"")</f>
        <v/>
      </c>
      <c r="P104" s="65" t="str">
        <f>_xlfn.IFNA(VLOOKUP($M104,Buff.CM!$A:$O,15,FALSE),"")</f>
        <v/>
      </c>
      <c r="Q104" s="65" t="b">
        <v>0</v>
      </c>
      <c r="R104" s="65" t="b">
        <v>0</v>
      </c>
    </row>
    <row r="105" spans="1:18" s="160" customFormat="1">
      <c r="A105" s="65" t="s">
        <v>7553</v>
      </c>
      <c r="B105" s="65"/>
      <c r="C105" s="65"/>
      <c r="D105" s="65">
        <v>0</v>
      </c>
      <c r="E105" s="65">
        <v>0</v>
      </c>
      <c r="F105" s="65">
        <v>0</v>
      </c>
      <c r="G105" s="67" t="s">
        <v>8304</v>
      </c>
      <c r="H105" s="65"/>
      <c r="I105" s="65" t="b">
        <v>1</v>
      </c>
      <c r="J105" s="65" t="b">
        <v>1</v>
      </c>
      <c r="K105" s="65" t="b">
        <v>1</v>
      </c>
      <c r="L105" s="65"/>
      <c r="M105" s="65"/>
      <c r="N105" s="65" t="str">
        <f>_xlfn.IFNA(VLOOKUP($M105,Buff.CM!$A:$O,13,FALSE),"")</f>
        <v/>
      </c>
      <c r="O105" s="65" t="str">
        <f>_xlfn.IFNA(VLOOKUP($M105,Buff.CM!$A:$O,14,FALSE),"")</f>
        <v/>
      </c>
      <c r="P105" s="65" t="str">
        <f>_xlfn.IFNA(VLOOKUP($M105,Buff.CM!$A:$O,15,FALSE),"")</f>
        <v/>
      </c>
      <c r="Q105" s="65" t="b">
        <v>0</v>
      </c>
      <c r="R105" s="65" t="b">
        <v>0</v>
      </c>
    </row>
    <row r="106" spans="1:18" s="160" customFormat="1">
      <c r="A106" s="65" t="s">
        <v>7554</v>
      </c>
      <c r="B106" s="65"/>
      <c r="C106" s="65"/>
      <c r="D106" s="65">
        <v>0</v>
      </c>
      <c r="E106" s="65">
        <v>0</v>
      </c>
      <c r="F106" s="65">
        <v>0</v>
      </c>
      <c r="G106" s="67" t="s">
        <v>8304</v>
      </c>
      <c r="H106" s="65"/>
      <c r="I106" s="65" t="b">
        <v>1</v>
      </c>
      <c r="J106" s="65" t="b">
        <v>1</v>
      </c>
      <c r="K106" s="65" t="b">
        <v>1</v>
      </c>
      <c r="L106" s="65"/>
      <c r="M106" s="65"/>
      <c r="N106" s="65" t="str">
        <f>_xlfn.IFNA(VLOOKUP($M106,Buff.CM!$A:$O,13,FALSE),"")</f>
        <v/>
      </c>
      <c r="O106" s="65" t="str">
        <f>_xlfn.IFNA(VLOOKUP($M106,Buff.CM!$A:$O,14,FALSE),"")</f>
        <v/>
      </c>
      <c r="P106" s="65" t="str">
        <f>_xlfn.IFNA(VLOOKUP($M106,Buff.CM!$A:$O,15,FALSE),"")</f>
        <v/>
      </c>
      <c r="Q106" s="65" t="b">
        <v>0</v>
      </c>
      <c r="R106" s="65" t="b">
        <v>0</v>
      </c>
    </row>
    <row r="107" spans="1:18" s="142" customFormat="1" ht="33">
      <c r="A107" s="23" t="s">
        <v>8347</v>
      </c>
      <c r="B107" s="23"/>
      <c r="C107" s="23"/>
      <c r="D107" s="23">
        <v>8000</v>
      </c>
      <c r="E107" s="23">
        <v>0</v>
      </c>
      <c r="F107" s="23">
        <v>0</v>
      </c>
      <c r="G107" s="39" t="s">
        <v>8348</v>
      </c>
      <c r="H107" s="23"/>
      <c r="I107" s="23" t="b">
        <v>0</v>
      </c>
      <c r="J107" s="23" t="b">
        <v>0</v>
      </c>
      <c r="K107" s="23" t="b">
        <v>0</v>
      </c>
      <c r="L107" s="23"/>
      <c r="M107" s="23" t="s">
        <v>8349</v>
      </c>
      <c r="N107" s="23" t="str">
        <f>_xlfn.IFNA(VLOOKUP($M107,Buff.CM!$A:$O,13,FALSE),"")</f>
        <v>icon_battle_eradica_buff_02</v>
      </c>
      <c r="O107" s="23" t="str">
        <f>_xlfn.IFNA(VLOOKUP($M107,Buff.CM!$A:$O,14,FALSE),"")</f>
        <v>info.eradica.debuff.active2</v>
      </c>
      <c r="P107" s="23" t="str">
        <f>_xlfn.IFNA(VLOOKUP($M107,Buff.CM!$A:$O,15,FALSE),"")</f>
        <v>Desc.info.eradica.debuff.active2</v>
      </c>
      <c r="Q107" s="23" t="b">
        <v>0</v>
      </c>
      <c r="R107" s="23" t="b">
        <v>0</v>
      </c>
    </row>
    <row r="108" spans="1:18" s="142" customFormat="1" ht="33">
      <c r="A108" s="23" t="s">
        <v>7561</v>
      </c>
      <c r="B108" s="23"/>
      <c r="C108" s="23"/>
      <c r="D108" s="23">
        <v>8000</v>
      </c>
      <c r="E108" s="23">
        <v>0</v>
      </c>
      <c r="F108" s="23">
        <v>0</v>
      </c>
      <c r="G108" s="39" t="s">
        <v>8350</v>
      </c>
      <c r="H108" s="23"/>
      <c r="I108" s="23" t="b">
        <v>0</v>
      </c>
      <c r="J108" s="23" t="b">
        <v>0</v>
      </c>
      <c r="K108" s="23" t="b">
        <v>0</v>
      </c>
      <c r="L108" s="23"/>
      <c r="M108" s="23" t="s">
        <v>7653</v>
      </c>
      <c r="N108" s="23" t="str">
        <f>_xlfn.IFNA(VLOOKUP($M108,Buff.CM!$A:$O,13,FALSE),"")</f>
        <v>icon_battle_eradica_buff_02</v>
      </c>
      <c r="O108" s="23" t="str">
        <f>_xlfn.IFNA(VLOOKUP($M108,Buff.CM!$A:$O,14,FALSE),"")</f>
        <v>info.eradica.debuff.active2</v>
      </c>
      <c r="P108" s="23" t="str">
        <f>_xlfn.IFNA(VLOOKUP($M108,Buff.CM!$A:$O,15,FALSE),"")</f>
        <v>Desc.info.eradica.debuff.active2</v>
      </c>
      <c r="Q108" s="23" t="b">
        <v>0</v>
      </c>
      <c r="R108" s="23" t="b">
        <v>0</v>
      </c>
    </row>
    <row r="109" spans="1:18" s="142" customFormat="1" ht="33">
      <c r="A109" s="23" t="s">
        <v>7562</v>
      </c>
      <c r="B109" s="23"/>
      <c r="C109" s="23"/>
      <c r="D109" s="23">
        <v>8000</v>
      </c>
      <c r="E109" s="23">
        <v>0</v>
      </c>
      <c r="F109" s="23">
        <v>0</v>
      </c>
      <c r="G109" s="39" t="s">
        <v>8351</v>
      </c>
      <c r="H109" s="23"/>
      <c r="I109" s="23" t="b">
        <v>0</v>
      </c>
      <c r="J109" s="23" t="b">
        <v>0</v>
      </c>
      <c r="K109" s="23" t="b">
        <v>0</v>
      </c>
      <c r="L109" s="23"/>
      <c r="M109" s="23" t="s">
        <v>7653</v>
      </c>
      <c r="N109" s="23" t="str">
        <f>_xlfn.IFNA(VLOOKUP($M109,Buff.CM!$A:$O,13,FALSE),"")</f>
        <v>icon_battle_eradica_buff_02</v>
      </c>
      <c r="O109" s="23" t="str">
        <f>_xlfn.IFNA(VLOOKUP($M109,Buff.CM!$A:$O,14,FALSE),"")</f>
        <v>info.eradica.debuff.active2</v>
      </c>
      <c r="P109" s="23" t="str">
        <f>_xlfn.IFNA(VLOOKUP($M109,Buff.CM!$A:$O,15,FALSE),"")</f>
        <v>Desc.info.eradica.debuff.active2</v>
      </c>
      <c r="Q109" s="23" t="b">
        <v>0</v>
      </c>
      <c r="R109" s="23" t="b">
        <v>0</v>
      </c>
    </row>
    <row r="110" spans="1:18" s="142" customFormat="1" ht="33">
      <c r="A110" s="23" t="s">
        <v>7563</v>
      </c>
      <c r="B110" s="23"/>
      <c r="C110" s="23"/>
      <c r="D110" s="23">
        <v>8000</v>
      </c>
      <c r="E110" s="23">
        <v>0</v>
      </c>
      <c r="F110" s="23">
        <v>0</v>
      </c>
      <c r="G110" s="39" t="s">
        <v>8352</v>
      </c>
      <c r="H110" s="23"/>
      <c r="I110" s="23" t="b">
        <v>0</v>
      </c>
      <c r="J110" s="23" t="b">
        <v>0</v>
      </c>
      <c r="K110" s="23" t="b">
        <v>0</v>
      </c>
      <c r="L110" s="23"/>
      <c r="M110" s="23" t="s">
        <v>7653</v>
      </c>
      <c r="N110" s="23" t="str">
        <f>_xlfn.IFNA(VLOOKUP($M110,Buff.CM!$A:$O,13,FALSE),"")</f>
        <v>icon_battle_eradica_buff_02</v>
      </c>
      <c r="O110" s="23" t="str">
        <f>_xlfn.IFNA(VLOOKUP($M110,Buff.CM!$A:$O,14,FALSE),"")</f>
        <v>info.eradica.debuff.active2</v>
      </c>
      <c r="P110" s="23" t="str">
        <f>_xlfn.IFNA(VLOOKUP($M110,Buff.CM!$A:$O,15,FALSE),"")</f>
        <v>Desc.info.eradica.debuff.active2</v>
      </c>
      <c r="Q110" s="23" t="b">
        <v>0</v>
      </c>
      <c r="R110" s="23" t="b">
        <v>0</v>
      </c>
    </row>
    <row r="111" spans="1:18" s="142" customFormat="1" ht="33">
      <c r="A111" s="23" t="s">
        <v>7564</v>
      </c>
      <c r="B111" s="23"/>
      <c r="C111" s="23"/>
      <c r="D111" s="23">
        <v>8000</v>
      </c>
      <c r="E111" s="23">
        <v>0</v>
      </c>
      <c r="F111" s="23">
        <v>0</v>
      </c>
      <c r="G111" s="39" t="s">
        <v>8353</v>
      </c>
      <c r="H111" s="23"/>
      <c r="I111" s="23" t="b">
        <v>0</v>
      </c>
      <c r="J111" s="23" t="b">
        <v>0</v>
      </c>
      <c r="K111" s="23" t="b">
        <v>0</v>
      </c>
      <c r="L111" s="23"/>
      <c r="M111" s="23" t="s">
        <v>7653</v>
      </c>
      <c r="N111" s="23" t="str">
        <f>_xlfn.IFNA(VLOOKUP($M111,Buff.CM!$A:$O,13,FALSE),"")</f>
        <v>icon_battle_eradica_buff_02</v>
      </c>
      <c r="O111" s="23" t="str">
        <f>_xlfn.IFNA(VLOOKUP($M111,Buff.CM!$A:$O,14,FALSE),"")</f>
        <v>info.eradica.debuff.active2</v>
      </c>
      <c r="P111" s="23" t="str">
        <f>_xlfn.IFNA(VLOOKUP($M111,Buff.CM!$A:$O,15,FALSE),"")</f>
        <v>Desc.info.eradica.debuff.active2</v>
      </c>
      <c r="Q111" s="23" t="b">
        <v>0</v>
      </c>
      <c r="R111" s="23" t="b">
        <v>0</v>
      </c>
    </row>
    <row r="112" spans="1:18" s="142" customFormat="1" ht="33">
      <c r="A112" s="23" t="s">
        <v>7565</v>
      </c>
      <c r="B112" s="23"/>
      <c r="C112" s="23"/>
      <c r="D112" s="23">
        <v>8000</v>
      </c>
      <c r="E112" s="23">
        <v>0</v>
      </c>
      <c r="F112" s="23">
        <v>0</v>
      </c>
      <c r="G112" s="39" t="s">
        <v>8404</v>
      </c>
      <c r="H112" s="23"/>
      <c r="I112" s="23" t="b">
        <v>0</v>
      </c>
      <c r="J112" s="23" t="b">
        <v>0</v>
      </c>
      <c r="K112" s="23" t="b">
        <v>0</v>
      </c>
      <c r="L112" s="23"/>
      <c r="M112" s="23" t="s">
        <v>7653</v>
      </c>
      <c r="N112" s="23" t="str">
        <f>_xlfn.IFNA(VLOOKUP($M112,Buff.CM!$A:$O,13,FALSE),"")</f>
        <v>icon_battle_eradica_buff_02</v>
      </c>
      <c r="O112" s="23" t="str">
        <f>_xlfn.IFNA(VLOOKUP($M112,Buff.CM!$A:$O,14,FALSE),"")</f>
        <v>info.eradica.debuff.active2</v>
      </c>
      <c r="P112" s="23" t="str">
        <f>_xlfn.IFNA(VLOOKUP($M112,Buff.CM!$A:$O,15,FALSE),"")</f>
        <v>Desc.info.eradica.debuff.active2</v>
      </c>
      <c r="Q112" s="23" t="b">
        <v>0</v>
      </c>
      <c r="R112" s="23" t="b">
        <v>0</v>
      </c>
    </row>
    <row r="113" spans="1:18" s="160" customFormat="1">
      <c r="A113" s="65" t="s">
        <v>8354</v>
      </c>
      <c r="B113" s="65"/>
      <c r="C113" s="65"/>
      <c r="D113" s="65">
        <v>1000</v>
      </c>
      <c r="E113" s="65">
        <v>0</v>
      </c>
      <c r="F113" s="65">
        <v>0</v>
      </c>
      <c r="G113" s="67" t="s">
        <v>269</v>
      </c>
      <c r="H113" s="65"/>
      <c r="I113" s="65" t="b">
        <v>0</v>
      </c>
      <c r="J113" s="65" t="b">
        <v>0</v>
      </c>
      <c r="K113" s="65" t="b">
        <v>0</v>
      </c>
      <c r="L113" s="65"/>
      <c r="M113" s="65"/>
      <c r="N113" s="65" t="str">
        <f>_xlfn.IFNA(VLOOKUP($M113,Buff.CM!$A:$O,13,FALSE),"")</f>
        <v/>
      </c>
      <c r="O113" s="65" t="str">
        <f>_xlfn.IFNA(VLOOKUP($M113,Buff.CM!$A:$O,14,FALSE),"")</f>
        <v/>
      </c>
      <c r="P113" s="65" t="str">
        <f>_xlfn.IFNA(VLOOKUP($M113,Buff.CM!$A:$O,15,FALSE),"")</f>
        <v/>
      </c>
      <c r="Q113" s="65" t="b">
        <v>0</v>
      </c>
      <c r="R113" s="65" t="b">
        <v>0</v>
      </c>
    </row>
    <row r="114" spans="1:18" s="142" customFormat="1" ht="82.5">
      <c r="A114" s="23" t="s">
        <v>1069</v>
      </c>
      <c r="B114" s="23"/>
      <c r="C114" s="23"/>
      <c r="D114" s="23">
        <v>0</v>
      </c>
      <c r="E114" s="23">
        <v>0</v>
      </c>
      <c r="F114" s="23">
        <v>0</v>
      </c>
      <c r="G114" s="39" t="s">
        <v>8355</v>
      </c>
      <c r="H114" s="23"/>
      <c r="I114" s="23" t="b">
        <v>1</v>
      </c>
      <c r="J114" s="23" t="b">
        <v>0</v>
      </c>
      <c r="K114" s="23" t="b">
        <v>1</v>
      </c>
      <c r="L114" s="23"/>
      <c r="M114" s="23"/>
      <c r="N114" s="23" t="str">
        <f>_xlfn.IFNA(VLOOKUP($M114,Buff.CM!$A:$O,13,FALSE),"")</f>
        <v/>
      </c>
      <c r="O114" s="23" t="str">
        <f>_xlfn.IFNA(VLOOKUP($M114,Buff.CM!$A:$O,14,FALSE),"")</f>
        <v/>
      </c>
      <c r="P114" s="23" t="str">
        <f>_xlfn.IFNA(VLOOKUP($M114,Buff.CM!$A:$O,15,FALSE),"")</f>
        <v/>
      </c>
      <c r="Q114" s="23" t="b">
        <v>0</v>
      </c>
      <c r="R114" s="23" t="b">
        <v>0</v>
      </c>
    </row>
    <row r="115" spans="1:18" s="142" customFormat="1" ht="82.5">
      <c r="A115" s="23" t="s">
        <v>1070</v>
      </c>
      <c r="B115" s="23"/>
      <c r="C115" s="23"/>
      <c r="D115" s="23">
        <v>0</v>
      </c>
      <c r="E115" s="23">
        <v>0</v>
      </c>
      <c r="F115" s="23">
        <v>0</v>
      </c>
      <c r="G115" s="39" t="s">
        <v>8356</v>
      </c>
      <c r="H115" s="23"/>
      <c r="I115" s="23" t="b">
        <v>1</v>
      </c>
      <c r="J115" s="23" t="b">
        <v>0</v>
      </c>
      <c r="K115" s="23" t="b">
        <v>1</v>
      </c>
      <c r="L115" s="23"/>
      <c r="M115" s="23"/>
      <c r="N115" s="23" t="str">
        <f>_xlfn.IFNA(VLOOKUP($M115,Buff.CM!$A:$O,13,FALSE),"")</f>
        <v/>
      </c>
      <c r="O115" s="23" t="str">
        <f>_xlfn.IFNA(VLOOKUP($M115,Buff.CM!$A:$O,14,FALSE),"")</f>
        <v/>
      </c>
      <c r="P115" s="23" t="str">
        <f>_xlfn.IFNA(VLOOKUP($M115,Buff.CM!$A:$O,15,FALSE),"")</f>
        <v/>
      </c>
      <c r="Q115" s="23" t="b">
        <v>0</v>
      </c>
      <c r="R115" s="23" t="b">
        <v>0</v>
      </c>
    </row>
    <row r="116" spans="1:18" s="142" customFormat="1" ht="82.5">
      <c r="A116" s="23" t="s">
        <v>1071</v>
      </c>
      <c r="B116" s="23"/>
      <c r="C116" s="23"/>
      <c r="D116" s="23">
        <v>0</v>
      </c>
      <c r="E116" s="23">
        <v>0</v>
      </c>
      <c r="F116" s="23">
        <v>0</v>
      </c>
      <c r="G116" s="39" t="s">
        <v>8357</v>
      </c>
      <c r="H116" s="23"/>
      <c r="I116" s="23" t="b">
        <v>1</v>
      </c>
      <c r="J116" s="23" t="b">
        <v>0</v>
      </c>
      <c r="K116" s="23" t="b">
        <v>1</v>
      </c>
      <c r="L116" s="23"/>
      <c r="M116" s="23"/>
      <c r="N116" s="23" t="str">
        <f>_xlfn.IFNA(VLOOKUP($M116,Buff.CM!$A:$O,13,FALSE),"")</f>
        <v/>
      </c>
      <c r="O116" s="23" t="str">
        <f>_xlfn.IFNA(VLOOKUP($M116,Buff.CM!$A:$O,14,FALSE),"")</f>
        <v/>
      </c>
      <c r="P116" s="23" t="str">
        <f>_xlfn.IFNA(VLOOKUP($M116,Buff.CM!$A:$O,15,FALSE),"")</f>
        <v/>
      </c>
      <c r="Q116" s="23" t="b">
        <v>0</v>
      </c>
      <c r="R116" s="23" t="b">
        <v>0</v>
      </c>
    </row>
    <row r="117" spans="1:18" s="142" customFormat="1" ht="82.5">
      <c r="A117" s="23" t="s">
        <v>1072</v>
      </c>
      <c r="B117" s="23"/>
      <c r="C117" s="23"/>
      <c r="D117" s="23">
        <v>0</v>
      </c>
      <c r="E117" s="23">
        <v>0</v>
      </c>
      <c r="F117" s="23">
        <v>0</v>
      </c>
      <c r="G117" s="39" t="s">
        <v>8358</v>
      </c>
      <c r="H117" s="23"/>
      <c r="I117" s="23" t="b">
        <v>1</v>
      </c>
      <c r="J117" s="23" t="b">
        <v>0</v>
      </c>
      <c r="K117" s="23" t="b">
        <v>1</v>
      </c>
      <c r="L117" s="23"/>
      <c r="M117" s="23"/>
      <c r="N117" s="23" t="str">
        <f>_xlfn.IFNA(VLOOKUP($M117,Buff.CM!$A:$O,13,FALSE),"")</f>
        <v/>
      </c>
      <c r="O117" s="23" t="str">
        <f>_xlfn.IFNA(VLOOKUP($M117,Buff.CM!$A:$O,14,FALSE),"")</f>
        <v/>
      </c>
      <c r="P117" s="23" t="str">
        <f>_xlfn.IFNA(VLOOKUP($M117,Buff.CM!$A:$O,15,FALSE),"")</f>
        <v/>
      </c>
      <c r="Q117" s="23" t="b">
        <v>0</v>
      </c>
      <c r="R117" s="23" t="b">
        <v>0</v>
      </c>
    </row>
    <row r="118" spans="1:18" s="142" customFormat="1" ht="82.5">
      <c r="A118" s="23" t="s">
        <v>1073</v>
      </c>
      <c r="B118" s="23"/>
      <c r="C118" s="23"/>
      <c r="D118" s="23">
        <v>0</v>
      </c>
      <c r="E118" s="23">
        <v>0</v>
      </c>
      <c r="F118" s="23">
        <v>0</v>
      </c>
      <c r="G118" s="39" t="s">
        <v>8359</v>
      </c>
      <c r="H118" s="23"/>
      <c r="I118" s="23" t="b">
        <v>1</v>
      </c>
      <c r="J118" s="23" t="b">
        <v>0</v>
      </c>
      <c r="K118" s="23" t="b">
        <v>1</v>
      </c>
      <c r="L118" s="23"/>
      <c r="M118" s="23"/>
      <c r="N118" s="23" t="str">
        <f>_xlfn.IFNA(VLOOKUP($M118,Buff.CM!$A:$O,13,FALSE),"")</f>
        <v/>
      </c>
      <c r="O118" s="23" t="str">
        <f>_xlfn.IFNA(VLOOKUP($M118,Buff.CM!$A:$O,14,FALSE),"")</f>
        <v/>
      </c>
      <c r="P118" s="23" t="str">
        <f>_xlfn.IFNA(VLOOKUP($M118,Buff.CM!$A:$O,15,FALSE),"")</f>
        <v/>
      </c>
      <c r="Q118" s="23" t="b">
        <v>0</v>
      </c>
      <c r="R118" s="23" t="b">
        <v>0</v>
      </c>
    </row>
    <row r="119" spans="1:18" s="142" customFormat="1" ht="82.5">
      <c r="A119" s="23" t="s">
        <v>1074</v>
      </c>
      <c r="B119" s="23"/>
      <c r="C119" s="23"/>
      <c r="D119" s="23">
        <v>0</v>
      </c>
      <c r="E119" s="23">
        <v>0</v>
      </c>
      <c r="F119" s="23">
        <v>0</v>
      </c>
      <c r="G119" s="39" t="s">
        <v>8360</v>
      </c>
      <c r="H119" s="23"/>
      <c r="I119" s="23" t="b">
        <v>1</v>
      </c>
      <c r="J119" s="23" t="b">
        <v>0</v>
      </c>
      <c r="K119" s="23" t="b">
        <v>1</v>
      </c>
      <c r="L119" s="23"/>
      <c r="M119" s="23"/>
      <c r="N119" s="23" t="str">
        <f>_xlfn.IFNA(VLOOKUP($M119,Buff.CM!$A:$O,13,FALSE),"")</f>
        <v/>
      </c>
      <c r="O119" s="23" t="str">
        <f>_xlfn.IFNA(VLOOKUP($M119,Buff.CM!$A:$O,14,FALSE),"")</f>
        <v/>
      </c>
      <c r="P119" s="23" t="str">
        <f>_xlfn.IFNA(VLOOKUP($M119,Buff.CM!$A:$O,15,FALSE),"")</f>
        <v/>
      </c>
      <c r="Q119" s="23" t="b">
        <v>0</v>
      </c>
      <c r="R119" s="23" t="b">
        <v>0</v>
      </c>
    </row>
    <row r="120" spans="1:18" s="150" customFormat="1">
      <c r="A120" s="24" t="s">
        <v>8361</v>
      </c>
      <c r="B120" s="24"/>
      <c r="C120" s="24"/>
      <c r="D120" s="24">
        <v>0</v>
      </c>
      <c r="E120" s="24">
        <v>0</v>
      </c>
      <c r="F120" s="24">
        <v>0</v>
      </c>
      <c r="G120" s="38" t="s">
        <v>8304</v>
      </c>
      <c r="H120" s="24"/>
      <c r="I120" s="24" t="b">
        <v>1</v>
      </c>
      <c r="J120" s="24" t="b">
        <v>1</v>
      </c>
      <c r="K120" s="24" t="b">
        <v>1</v>
      </c>
      <c r="L120" s="24"/>
      <c r="M120" s="24" t="s">
        <v>8362</v>
      </c>
      <c r="N120" s="24" t="str">
        <f>_xlfn.IFNA(VLOOKUP($M120,Buff.CM!$A:$O,13,FALSE),"")</f>
        <v>icon_battle_eradica_buff_01</v>
      </c>
      <c r="O120" s="24" t="str">
        <f>_xlfn.IFNA(VLOOKUP($M120,Buff.CM!$A:$O,14,FALSE),"")</f>
        <v>info.eradica.buff.passive</v>
      </c>
      <c r="P120" s="24" t="str">
        <f>_xlfn.IFNA(VLOOKUP($M120,Buff.CM!$A:$O,15,FALSE),"")</f>
        <v>Desc.info.eradica.buff.passive</v>
      </c>
      <c r="Q120" s="24" t="b">
        <v>0</v>
      </c>
      <c r="R120" s="24" t="b">
        <v>0</v>
      </c>
    </row>
    <row r="121" spans="1:18" s="160" customFormat="1">
      <c r="A121" s="65" t="s">
        <v>8363</v>
      </c>
      <c r="B121" s="65"/>
      <c r="C121" s="65"/>
      <c r="D121" s="65">
        <v>1000</v>
      </c>
      <c r="E121" s="65">
        <v>0</v>
      </c>
      <c r="F121" s="65">
        <v>0</v>
      </c>
      <c r="G121" s="67" t="s">
        <v>8304</v>
      </c>
      <c r="H121" s="65"/>
      <c r="I121" s="65" t="b">
        <v>1</v>
      </c>
      <c r="J121" s="65" t="b">
        <v>1</v>
      </c>
      <c r="K121" s="65" t="b">
        <v>1</v>
      </c>
      <c r="L121" s="65"/>
      <c r="M121" s="65"/>
      <c r="N121" s="65" t="str">
        <f>_xlfn.IFNA(VLOOKUP($M121,Buff.CM!$A:$O,13,FALSE),"")</f>
        <v/>
      </c>
      <c r="O121" s="65" t="str">
        <f>_xlfn.IFNA(VLOOKUP($M121,Buff.CM!$A:$O,14,FALSE),"")</f>
        <v/>
      </c>
      <c r="P121" s="65" t="str">
        <f>_xlfn.IFNA(VLOOKUP($M121,Buff.CM!$A:$O,15,FALSE),"")</f>
        <v/>
      </c>
      <c r="Q121" s="65" t="b">
        <v>0</v>
      </c>
      <c r="R121" s="65" t="b">
        <v>0</v>
      </c>
    </row>
    <row r="122" spans="1:18" s="160" customFormat="1">
      <c r="A122" s="65" t="s">
        <v>8364</v>
      </c>
      <c r="B122" s="65"/>
      <c r="C122" s="65"/>
      <c r="D122" s="65">
        <v>1000</v>
      </c>
      <c r="E122" s="65">
        <v>4</v>
      </c>
      <c r="F122" s="65">
        <v>1</v>
      </c>
      <c r="G122" s="67" t="s">
        <v>8304</v>
      </c>
      <c r="H122" s="65"/>
      <c r="I122" s="65" t="b">
        <v>1</v>
      </c>
      <c r="J122" s="65" t="b">
        <v>1</v>
      </c>
      <c r="K122" s="65" t="b">
        <v>1</v>
      </c>
      <c r="L122" s="65"/>
      <c r="M122" s="65"/>
      <c r="N122" s="65" t="str">
        <f>_xlfn.IFNA(VLOOKUP($M122,Buff.CM!$A:$O,13,FALSE),"")</f>
        <v/>
      </c>
      <c r="O122" s="65" t="str">
        <f>_xlfn.IFNA(VLOOKUP($M122,Buff.CM!$A:$O,14,FALSE),"")</f>
        <v/>
      </c>
      <c r="P122" s="65" t="str">
        <f>_xlfn.IFNA(VLOOKUP($M122,Buff.CM!$A:$O,15,FALSE),"")</f>
        <v/>
      </c>
      <c r="Q122" s="65" t="b">
        <v>0</v>
      </c>
      <c r="R122" s="65" t="b">
        <v>0</v>
      </c>
    </row>
    <row r="123" spans="1:18" s="150" customFormat="1" ht="33">
      <c r="A123" s="23" t="s">
        <v>8365</v>
      </c>
      <c r="B123" s="23" t="s">
        <v>8366</v>
      </c>
      <c r="C123" s="23" t="s">
        <v>7571</v>
      </c>
      <c r="D123" s="23">
        <v>0</v>
      </c>
      <c r="E123" s="23">
        <v>0</v>
      </c>
      <c r="F123" s="23">
        <v>0</v>
      </c>
      <c r="G123" s="39" t="s">
        <v>8367</v>
      </c>
      <c r="H123" s="23"/>
      <c r="I123" s="23" t="b">
        <v>1</v>
      </c>
      <c r="J123" s="23" t="b">
        <v>0</v>
      </c>
      <c r="K123" s="23" t="b">
        <v>1</v>
      </c>
      <c r="L123" s="23"/>
      <c r="M123" s="23"/>
      <c r="N123" s="23" t="str">
        <f>_xlfn.IFNA(VLOOKUP($M123,Buff.CM!$A:$O,13,FALSE),"")</f>
        <v/>
      </c>
      <c r="O123" s="23" t="str">
        <f>_xlfn.IFNA(VLOOKUP($M123,Buff.CM!$A:$O,14,FALSE),"")</f>
        <v/>
      </c>
      <c r="P123" s="23" t="str">
        <f>_xlfn.IFNA(VLOOKUP($M123,Buff.CM!$A:$O,15,FALSE),"")</f>
        <v/>
      </c>
      <c r="Q123" s="23" t="b">
        <v>0</v>
      </c>
      <c r="R123" s="23" t="b">
        <v>0</v>
      </c>
    </row>
    <row r="124" spans="1:18" s="150" customFormat="1" ht="33">
      <c r="A124" s="23" t="s">
        <v>7588</v>
      </c>
      <c r="B124" s="23" t="s">
        <v>8366</v>
      </c>
      <c r="C124" s="23" t="s">
        <v>7571</v>
      </c>
      <c r="D124" s="23">
        <v>0</v>
      </c>
      <c r="E124" s="23">
        <v>0</v>
      </c>
      <c r="F124" s="23">
        <v>0</v>
      </c>
      <c r="G124" s="39" t="s">
        <v>8368</v>
      </c>
      <c r="H124" s="23"/>
      <c r="I124" s="23" t="b">
        <v>1</v>
      </c>
      <c r="J124" s="23" t="b">
        <v>0</v>
      </c>
      <c r="K124" s="23" t="b">
        <v>1</v>
      </c>
      <c r="L124" s="23"/>
      <c r="M124" s="23"/>
      <c r="N124" s="23" t="str">
        <f>_xlfn.IFNA(VLOOKUP($M124,Buff.CM!$A:$O,13,FALSE),"")</f>
        <v/>
      </c>
      <c r="O124" s="23" t="str">
        <f>_xlfn.IFNA(VLOOKUP($M124,Buff.CM!$A:$O,14,FALSE),"")</f>
        <v/>
      </c>
      <c r="P124" s="23" t="str">
        <f>_xlfn.IFNA(VLOOKUP($M124,Buff.CM!$A:$O,15,FALSE),"")</f>
        <v/>
      </c>
      <c r="Q124" s="23" t="b">
        <v>0</v>
      </c>
      <c r="R124" s="23" t="b">
        <v>0</v>
      </c>
    </row>
    <row r="125" spans="1:18" s="150" customFormat="1" ht="33">
      <c r="A125" s="23" t="s">
        <v>7589</v>
      </c>
      <c r="B125" s="23" t="s">
        <v>8366</v>
      </c>
      <c r="C125" s="23" t="s">
        <v>7571</v>
      </c>
      <c r="D125" s="23">
        <v>0</v>
      </c>
      <c r="E125" s="23">
        <v>0</v>
      </c>
      <c r="F125" s="23">
        <v>0</v>
      </c>
      <c r="G125" s="39" t="s">
        <v>8369</v>
      </c>
      <c r="H125" s="23"/>
      <c r="I125" s="23" t="b">
        <v>1</v>
      </c>
      <c r="J125" s="23" t="b">
        <v>0</v>
      </c>
      <c r="K125" s="23" t="b">
        <v>1</v>
      </c>
      <c r="L125" s="23"/>
      <c r="M125" s="23"/>
      <c r="N125" s="23" t="str">
        <f>_xlfn.IFNA(VLOOKUP($M125,Buff.CM!$A:$O,13,FALSE),"")</f>
        <v/>
      </c>
      <c r="O125" s="23" t="str">
        <f>_xlfn.IFNA(VLOOKUP($M125,Buff.CM!$A:$O,14,FALSE),"")</f>
        <v/>
      </c>
      <c r="P125" s="23" t="str">
        <f>_xlfn.IFNA(VLOOKUP($M125,Buff.CM!$A:$O,15,FALSE),"")</f>
        <v/>
      </c>
      <c r="Q125" s="23" t="b">
        <v>0</v>
      </c>
      <c r="R125" s="23" t="b">
        <v>0</v>
      </c>
    </row>
    <row r="126" spans="1:18" s="150" customFormat="1" ht="33">
      <c r="A126" s="23" t="s">
        <v>7590</v>
      </c>
      <c r="B126" s="23" t="s">
        <v>8366</v>
      </c>
      <c r="C126" s="23" t="s">
        <v>7571</v>
      </c>
      <c r="D126" s="23">
        <v>0</v>
      </c>
      <c r="E126" s="23">
        <v>0</v>
      </c>
      <c r="F126" s="23">
        <v>0</v>
      </c>
      <c r="G126" s="39" t="s">
        <v>8405</v>
      </c>
      <c r="H126" s="23"/>
      <c r="I126" s="23" t="b">
        <v>1</v>
      </c>
      <c r="J126" s="23" t="b">
        <v>0</v>
      </c>
      <c r="K126" s="23" t="b">
        <v>1</v>
      </c>
      <c r="L126" s="23"/>
      <c r="M126" s="23"/>
      <c r="N126" s="23" t="str">
        <f>_xlfn.IFNA(VLOOKUP($M126,Buff.CM!$A:$O,13,FALSE),"")</f>
        <v/>
      </c>
      <c r="O126" s="23" t="str">
        <f>_xlfn.IFNA(VLOOKUP($M126,Buff.CM!$A:$O,14,FALSE),"")</f>
        <v/>
      </c>
      <c r="P126" s="23" t="str">
        <f>_xlfn.IFNA(VLOOKUP($M126,Buff.CM!$A:$O,15,FALSE),"")</f>
        <v/>
      </c>
      <c r="Q126" s="23" t="b">
        <v>0</v>
      </c>
      <c r="R126" s="23" t="b">
        <v>0</v>
      </c>
    </row>
    <row r="127" spans="1:18" s="150" customFormat="1" ht="33">
      <c r="A127" s="23" t="s">
        <v>7591</v>
      </c>
      <c r="B127" s="23" t="s">
        <v>8366</v>
      </c>
      <c r="C127" s="23" t="s">
        <v>7571</v>
      </c>
      <c r="D127" s="23">
        <v>0</v>
      </c>
      <c r="E127" s="23">
        <v>0</v>
      </c>
      <c r="F127" s="23">
        <v>0</v>
      </c>
      <c r="G127" s="39" t="s">
        <v>8370</v>
      </c>
      <c r="H127" s="23"/>
      <c r="I127" s="23" t="b">
        <v>1</v>
      </c>
      <c r="J127" s="23" t="b">
        <v>0</v>
      </c>
      <c r="K127" s="23" t="b">
        <v>1</v>
      </c>
      <c r="L127" s="23"/>
      <c r="M127" s="23"/>
      <c r="N127" s="23" t="str">
        <f>_xlfn.IFNA(VLOOKUP($M127,Buff.CM!$A:$O,13,FALSE),"")</f>
        <v/>
      </c>
      <c r="O127" s="23" t="str">
        <f>_xlfn.IFNA(VLOOKUP($M127,Buff.CM!$A:$O,14,FALSE),"")</f>
        <v/>
      </c>
      <c r="P127" s="23" t="str">
        <f>_xlfn.IFNA(VLOOKUP($M127,Buff.CM!$A:$O,15,FALSE),"")</f>
        <v/>
      </c>
      <c r="Q127" s="23" t="b">
        <v>0</v>
      </c>
      <c r="R127" s="23" t="b">
        <v>0</v>
      </c>
    </row>
    <row r="128" spans="1:18" s="150" customFormat="1" ht="33">
      <c r="A128" s="23" t="s">
        <v>7592</v>
      </c>
      <c r="B128" s="23" t="s">
        <v>8366</v>
      </c>
      <c r="C128" s="23" t="s">
        <v>7571</v>
      </c>
      <c r="D128" s="23">
        <v>0</v>
      </c>
      <c r="E128" s="23">
        <v>0</v>
      </c>
      <c r="F128" s="23">
        <v>0</v>
      </c>
      <c r="G128" s="39" t="s">
        <v>8371</v>
      </c>
      <c r="H128" s="23"/>
      <c r="I128" s="23" t="b">
        <v>1</v>
      </c>
      <c r="J128" s="23" t="b">
        <v>0</v>
      </c>
      <c r="K128" s="23" t="b">
        <v>1</v>
      </c>
      <c r="L128" s="23"/>
      <c r="M128" s="23"/>
      <c r="N128" s="23" t="str">
        <f>_xlfn.IFNA(VLOOKUP($M128,Buff.CM!$A:$O,13,FALSE),"")</f>
        <v/>
      </c>
      <c r="O128" s="23" t="str">
        <f>_xlfn.IFNA(VLOOKUP($M128,Buff.CM!$A:$O,14,FALSE),"")</f>
        <v/>
      </c>
      <c r="P128" s="23" t="str">
        <f>_xlfn.IFNA(VLOOKUP($M128,Buff.CM!$A:$O,15,FALSE),"")</f>
        <v/>
      </c>
      <c r="Q128" s="23" t="b">
        <v>0</v>
      </c>
      <c r="R128" s="23" t="b">
        <v>0</v>
      </c>
    </row>
    <row r="129" spans="1:18" s="150" customFormat="1">
      <c r="A129" s="24" t="s">
        <v>8372</v>
      </c>
      <c r="B129" s="24"/>
      <c r="C129" s="24"/>
      <c r="D129" s="24">
        <v>0</v>
      </c>
      <c r="E129" s="24">
        <v>0</v>
      </c>
      <c r="F129" s="24">
        <v>0</v>
      </c>
      <c r="G129" s="38" t="s">
        <v>8373</v>
      </c>
      <c r="H129" s="24"/>
      <c r="I129" s="24" t="b">
        <v>0</v>
      </c>
      <c r="J129" s="24" t="b">
        <v>0</v>
      </c>
      <c r="K129" s="24" t="b">
        <v>1</v>
      </c>
      <c r="L129" s="24"/>
      <c r="M129" s="24"/>
      <c r="N129" s="24" t="str">
        <f>_xlfn.IFNA(VLOOKUP($M129,Buff.CM!$A:$O,13,FALSE),"")</f>
        <v/>
      </c>
      <c r="O129" s="24" t="str">
        <f>_xlfn.IFNA(VLOOKUP($M129,Buff.CM!$A:$O,14,FALSE),"")</f>
        <v/>
      </c>
      <c r="P129" s="24" t="str">
        <f>_xlfn.IFNA(VLOOKUP($M129,Buff.CM!$A:$O,15,FALSE),"")</f>
        <v/>
      </c>
      <c r="Q129" s="24" t="b">
        <v>0</v>
      </c>
      <c r="R129" s="24" t="b">
        <v>0</v>
      </c>
    </row>
    <row r="130" spans="1:18" s="150" customFormat="1">
      <c r="A130" s="24" t="s">
        <v>7683</v>
      </c>
      <c r="B130" s="24"/>
      <c r="C130" s="24"/>
      <c r="D130" s="24">
        <v>0</v>
      </c>
      <c r="E130" s="24">
        <v>0</v>
      </c>
      <c r="F130" s="24">
        <v>0</v>
      </c>
      <c r="G130" s="38" t="s">
        <v>7689</v>
      </c>
      <c r="H130" s="24"/>
      <c r="I130" s="24" t="b">
        <v>0</v>
      </c>
      <c r="J130" s="24" t="b">
        <v>0</v>
      </c>
      <c r="K130" s="24" t="b">
        <v>1</v>
      </c>
      <c r="L130" s="24"/>
      <c r="M130" s="24"/>
      <c r="N130" s="24" t="str">
        <f>_xlfn.IFNA(VLOOKUP($M130,Buff.CM!$A:$O,13,FALSE),"")</f>
        <v/>
      </c>
      <c r="O130" s="24" t="str">
        <f>_xlfn.IFNA(VLOOKUP($M130,Buff.CM!$A:$O,14,FALSE),"")</f>
        <v/>
      </c>
      <c r="P130" s="24" t="str">
        <f>_xlfn.IFNA(VLOOKUP($M130,Buff.CM!$A:$O,15,FALSE),"")</f>
        <v/>
      </c>
      <c r="Q130" s="24" t="b">
        <v>0</v>
      </c>
      <c r="R130" s="24" t="b">
        <v>0</v>
      </c>
    </row>
    <row r="131" spans="1:18" s="150" customFormat="1">
      <c r="A131" s="24" t="s">
        <v>7684</v>
      </c>
      <c r="B131" s="24"/>
      <c r="C131" s="24"/>
      <c r="D131" s="24">
        <v>0</v>
      </c>
      <c r="E131" s="24">
        <v>0</v>
      </c>
      <c r="F131" s="24">
        <v>0</v>
      </c>
      <c r="G131" s="38" t="s">
        <v>7690</v>
      </c>
      <c r="H131" s="24"/>
      <c r="I131" s="24" t="b">
        <v>0</v>
      </c>
      <c r="J131" s="24" t="b">
        <v>0</v>
      </c>
      <c r="K131" s="24" t="b">
        <v>1</v>
      </c>
      <c r="L131" s="24"/>
      <c r="M131" s="24"/>
      <c r="N131" s="24" t="str">
        <f>_xlfn.IFNA(VLOOKUP($M131,Buff.CM!$A:$O,13,FALSE),"")</f>
        <v/>
      </c>
      <c r="O131" s="24" t="str">
        <f>_xlfn.IFNA(VLOOKUP($M131,Buff.CM!$A:$O,14,FALSE),"")</f>
        <v/>
      </c>
      <c r="P131" s="24" t="str">
        <f>_xlfn.IFNA(VLOOKUP($M131,Buff.CM!$A:$O,15,FALSE),"")</f>
        <v/>
      </c>
      <c r="Q131" s="24" t="b">
        <v>0</v>
      </c>
      <c r="R131" s="24" t="b">
        <v>0</v>
      </c>
    </row>
    <row r="132" spans="1:18" s="150" customFormat="1">
      <c r="A132" s="24" t="s">
        <v>7685</v>
      </c>
      <c r="B132" s="24"/>
      <c r="C132" s="24"/>
      <c r="D132" s="24">
        <v>0</v>
      </c>
      <c r="E132" s="24">
        <v>0</v>
      </c>
      <c r="F132" s="24">
        <v>0</v>
      </c>
      <c r="G132" s="38" t="s">
        <v>7691</v>
      </c>
      <c r="H132" s="24"/>
      <c r="I132" s="24" t="b">
        <v>0</v>
      </c>
      <c r="J132" s="24" t="b">
        <v>0</v>
      </c>
      <c r="K132" s="24" t="b">
        <v>1</v>
      </c>
      <c r="L132" s="24"/>
      <c r="M132" s="24"/>
      <c r="N132" s="24" t="str">
        <f>_xlfn.IFNA(VLOOKUP($M132,Buff.CM!$A:$O,13,FALSE),"")</f>
        <v/>
      </c>
      <c r="O132" s="24" t="str">
        <f>_xlfn.IFNA(VLOOKUP($M132,Buff.CM!$A:$O,14,FALSE),"")</f>
        <v/>
      </c>
      <c r="P132" s="24" t="str">
        <f>_xlfn.IFNA(VLOOKUP($M132,Buff.CM!$A:$O,15,FALSE),"")</f>
        <v/>
      </c>
      <c r="Q132" s="24" t="b">
        <v>0</v>
      </c>
      <c r="R132" s="24" t="b">
        <v>0</v>
      </c>
    </row>
    <row r="133" spans="1:18" s="150" customFormat="1">
      <c r="A133" s="24" t="s">
        <v>7686</v>
      </c>
      <c r="B133" s="24"/>
      <c r="C133" s="24"/>
      <c r="D133" s="24">
        <v>0</v>
      </c>
      <c r="E133" s="24">
        <v>0</v>
      </c>
      <c r="F133" s="24">
        <v>0</v>
      </c>
      <c r="G133" s="38" t="s">
        <v>7692</v>
      </c>
      <c r="H133" s="24"/>
      <c r="I133" s="24" t="b">
        <v>0</v>
      </c>
      <c r="J133" s="24" t="b">
        <v>0</v>
      </c>
      <c r="K133" s="24" t="b">
        <v>1</v>
      </c>
      <c r="L133" s="24"/>
      <c r="M133" s="24"/>
      <c r="N133" s="24" t="str">
        <f>_xlfn.IFNA(VLOOKUP($M133,Buff.CM!$A:$O,13,FALSE),"")</f>
        <v/>
      </c>
      <c r="O133" s="24" t="str">
        <f>_xlfn.IFNA(VLOOKUP($M133,Buff.CM!$A:$O,14,FALSE),"")</f>
        <v/>
      </c>
      <c r="P133" s="24" t="str">
        <f>_xlfn.IFNA(VLOOKUP($M133,Buff.CM!$A:$O,15,FALSE),"")</f>
        <v/>
      </c>
      <c r="Q133" s="24" t="b">
        <v>0</v>
      </c>
      <c r="R133" s="24" t="b">
        <v>0</v>
      </c>
    </row>
    <row r="134" spans="1:18" s="150" customFormat="1">
      <c r="A134" s="24" t="s">
        <v>7687</v>
      </c>
      <c r="B134" s="24"/>
      <c r="C134" s="24"/>
      <c r="D134" s="24">
        <v>0</v>
      </c>
      <c r="E134" s="24">
        <v>0</v>
      </c>
      <c r="F134" s="24">
        <v>0</v>
      </c>
      <c r="G134" s="38" t="s">
        <v>7693</v>
      </c>
      <c r="H134" s="24"/>
      <c r="I134" s="24" t="b">
        <v>0</v>
      </c>
      <c r="J134" s="24" t="b">
        <v>0</v>
      </c>
      <c r="K134" s="24" t="b">
        <v>1</v>
      </c>
      <c r="L134" s="24"/>
      <c r="M134" s="24"/>
      <c r="N134" s="24" t="str">
        <f>_xlfn.IFNA(VLOOKUP($M134,Buff.CM!$A:$O,13,FALSE),"")</f>
        <v/>
      </c>
      <c r="O134" s="24" t="str">
        <f>_xlfn.IFNA(VLOOKUP($M134,Buff.CM!$A:$O,14,FALSE),"")</f>
        <v/>
      </c>
      <c r="P134" s="24" t="str">
        <f>_xlfn.IFNA(VLOOKUP($M134,Buff.CM!$A:$O,15,FALSE),"")</f>
        <v/>
      </c>
      <c r="Q134" s="24" t="b">
        <v>0</v>
      </c>
      <c r="R134" s="24" t="b">
        <v>0</v>
      </c>
    </row>
    <row r="135" spans="1:18" s="142" customFormat="1" ht="82.5">
      <c r="A135" s="23" t="s">
        <v>8374</v>
      </c>
      <c r="B135" s="23"/>
      <c r="C135" s="23"/>
      <c r="D135" s="23">
        <v>0</v>
      </c>
      <c r="E135" s="23">
        <v>0</v>
      </c>
      <c r="F135" s="23">
        <v>0</v>
      </c>
      <c r="G135" s="39" t="s">
        <v>8375</v>
      </c>
      <c r="H135" s="23"/>
      <c r="I135" s="23" t="b">
        <v>0</v>
      </c>
      <c r="J135" s="23" t="b">
        <v>0</v>
      </c>
      <c r="K135" s="23" t="b">
        <v>1</v>
      </c>
      <c r="L135" s="23"/>
      <c r="M135" s="23"/>
      <c r="N135" s="23" t="str">
        <f>_xlfn.IFNA(VLOOKUP($M135,Buff.CM!$A:$O,13,FALSE),"")</f>
        <v/>
      </c>
      <c r="O135" s="23" t="str">
        <f>_xlfn.IFNA(VLOOKUP($M135,Buff.CM!$A:$O,14,FALSE),"")</f>
        <v/>
      </c>
      <c r="P135" s="23" t="str">
        <f>_xlfn.IFNA(VLOOKUP($M135,Buff.CM!$A:$O,15,FALSE),"")</f>
        <v/>
      </c>
      <c r="Q135" s="23" t="b">
        <v>0</v>
      </c>
      <c r="R135" s="23" t="b">
        <v>0</v>
      </c>
    </row>
    <row r="136" spans="1:18" s="142" customFormat="1" ht="82.5">
      <c r="A136" s="23" t="s">
        <v>7505</v>
      </c>
      <c r="B136" s="23"/>
      <c r="C136" s="23"/>
      <c r="D136" s="23">
        <v>0</v>
      </c>
      <c r="E136" s="23">
        <v>0</v>
      </c>
      <c r="F136" s="23">
        <v>0</v>
      </c>
      <c r="G136" s="39" t="s">
        <v>8376</v>
      </c>
      <c r="H136" s="23"/>
      <c r="I136" s="23" t="b">
        <v>0</v>
      </c>
      <c r="J136" s="23" t="b">
        <v>0</v>
      </c>
      <c r="K136" s="23" t="b">
        <v>1</v>
      </c>
      <c r="L136" s="23"/>
      <c r="M136" s="23"/>
      <c r="N136" s="23" t="str">
        <f>_xlfn.IFNA(VLOOKUP($M136,Buff.CM!$A:$O,13,FALSE),"")</f>
        <v/>
      </c>
      <c r="O136" s="23" t="str">
        <f>_xlfn.IFNA(VLOOKUP($M136,Buff.CM!$A:$O,14,FALSE),"")</f>
        <v/>
      </c>
      <c r="P136" s="23" t="str">
        <f>_xlfn.IFNA(VLOOKUP($M136,Buff.CM!$A:$O,15,FALSE),"")</f>
        <v/>
      </c>
      <c r="Q136" s="23" t="b">
        <v>0</v>
      </c>
      <c r="R136" s="23" t="b">
        <v>0</v>
      </c>
    </row>
    <row r="137" spans="1:18" s="142" customFormat="1" ht="82.5">
      <c r="A137" s="23" t="s">
        <v>7506</v>
      </c>
      <c r="B137" s="23"/>
      <c r="C137" s="23"/>
      <c r="D137" s="23">
        <v>0</v>
      </c>
      <c r="E137" s="23">
        <v>0</v>
      </c>
      <c r="F137" s="23">
        <v>0</v>
      </c>
      <c r="G137" s="39" t="s">
        <v>8377</v>
      </c>
      <c r="H137" s="23"/>
      <c r="I137" s="23" t="b">
        <v>0</v>
      </c>
      <c r="J137" s="23" t="b">
        <v>0</v>
      </c>
      <c r="K137" s="23" t="b">
        <v>1</v>
      </c>
      <c r="L137" s="23"/>
      <c r="M137" s="23"/>
      <c r="N137" s="23" t="str">
        <f>_xlfn.IFNA(VLOOKUP($M137,Buff.CM!$A:$O,13,FALSE),"")</f>
        <v/>
      </c>
      <c r="O137" s="23" t="str">
        <f>_xlfn.IFNA(VLOOKUP($M137,Buff.CM!$A:$O,14,FALSE),"")</f>
        <v/>
      </c>
      <c r="P137" s="23" t="str">
        <f>_xlfn.IFNA(VLOOKUP($M137,Buff.CM!$A:$O,15,FALSE),"")</f>
        <v/>
      </c>
      <c r="Q137" s="23" t="b">
        <v>0</v>
      </c>
      <c r="R137" s="23" t="b">
        <v>0</v>
      </c>
    </row>
    <row r="138" spans="1:18" s="142" customFormat="1" ht="82.5">
      <c r="A138" s="23" t="s">
        <v>7507</v>
      </c>
      <c r="B138" s="23"/>
      <c r="C138" s="23"/>
      <c r="D138" s="23">
        <v>0</v>
      </c>
      <c r="E138" s="23">
        <v>0</v>
      </c>
      <c r="F138" s="23">
        <v>0</v>
      </c>
      <c r="G138" s="39" t="s">
        <v>8378</v>
      </c>
      <c r="H138" s="23"/>
      <c r="I138" s="23" t="b">
        <v>0</v>
      </c>
      <c r="J138" s="23" t="b">
        <v>0</v>
      </c>
      <c r="K138" s="23" t="b">
        <v>1</v>
      </c>
      <c r="L138" s="23"/>
      <c r="M138" s="23"/>
      <c r="N138" s="23" t="str">
        <f>_xlfn.IFNA(VLOOKUP($M138,Buff.CM!$A:$O,13,FALSE),"")</f>
        <v/>
      </c>
      <c r="O138" s="23" t="str">
        <f>_xlfn.IFNA(VLOOKUP($M138,Buff.CM!$A:$O,14,FALSE),"")</f>
        <v/>
      </c>
      <c r="P138" s="23" t="str">
        <f>_xlfn.IFNA(VLOOKUP($M138,Buff.CM!$A:$O,15,FALSE),"")</f>
        <v/>
      </c>
      <c r="Q138" s="23" t="b">
        <v>0</v>
      </c>
      <c r="R138" s="23" t="b">
        <v>0</v>
      </c>
    </row>
    <row r="139" spans="1:18" s="142" customFormat="1" ht="82.5">
      <c r="A139" s="23" t="s">
        <v>7508</v>
      </c>
      <c r="B139" s="23"/>
      <c r="C139" s="23"/>
      <c r="D139" s="23">
        <v>0</v>
      </c>
      <c r="E139" s="23">
        <v>0</v>
      </c>
      <c r="F139" s="23">
        <v>0</v>
      </c>
      <c r="G139" s="39" t="s">
        <v>8379</v>
      </c>
      <c r="H139" s="23"/>
      <c r="I139" s="23" t="b">
        <v>0</v>
      </c>
      <c r="J139" s="23" t="b">
        <v>0</v>
      </c>
      <c r="K139" s="23" t="b">
        <v>1</v>
      </c>
      <c r="L139" s="23"/>
      <c r="M139" s="23"/>
      <c r="N139" s="23" t="str">
        <f>_xlfn.IFNA(VLOOKUP($M139,Buff.CM!$A:$O,13,FALSE),"")</f>
        <v/>
      </c>
      <c r="O139" s="23" t="str">
        <f>_xlfn.IFNA(VLOOKUP($M139,Buff.CM!$A:$O,14,FALSE),"")</f>
        <v/>
      </c>
      <c r="P139" s="23" t="str">
        <f>_xlfn.IFNA(VLOOKUP($M139,Buff.CM!$A:$O,15,FALSE),"")</f>
        <v/>
      </c>
      <c r="Q139" s="23" t="b">
        <v>0</v>
      </c>
      <c r="R139" s="23" t="b">
        <v>0</v>
      </c>
    </row>
    <row r="140" spans="1:18" s="142" customFormat="1" ht="82.5">
      <c r="A140" s="23" t="s">
        <v>7509</v>
      </c>
      <c r="B140" s="23"/>
      <c r="C140" s="23"/>
      <c r="D140" s="23">
        <v>0</v>
      </c>
      <c r="E140" s="23">
        <v>0</v>
      </c>
      <c r="F140" s="23">
        <v>0</v>
      </c>
      <c r="G140" s="39" t="s">
        <v>8380</v>
      </c>
      <c r="H140" s="23"/>
      <c r="I140" s="23" t="b">
        <v>0</v>
      </c>
      <c r="J140" s="23" t="b">
        <v>0</v>
      </c>
      <c r="K140" s="23" t="b">
        <v>1</v>
      </c>
      <c r="L140" s="23"/>
      <c r="M140" s="23"/>
      <c r="N140" s="23" t="str">
        <f>_xlfn.IFNA(VLOOKUP($M140,Buff.CM!$A:$O,13,FALSE),"")</f>
        <v/>
      </c>
      <c r="O140" s="23" t="str">
        <f>_xlfn.IFNA(VLOOKUP($M140,Buff.CM!$A:$O,14,FALSE),"")</f>
        <v/>
      </c>
      <c r="P140" s="23" t="str">
        <f>_xlfn.IFNA(VLOOKUP($M140,Buff.CM!$A:$O,15,FALSE),"")</f>
        <v/>
      </c>
      <c r="Q140" s="23" t="b">
        <v>0</v>
      </c>
      <c r="R140" s="23" t="b">
        <v>0</v>
      </c>
    </row>
    <row r="141" spans="1:18" s="150" customFormat="1">
      <c r="A141" s="24" t="s">
        <v>7548</v>
      </c>
      <c r="B141" s="24"/>
      <c r="C141" s="24"/>
      <c r="D141" s="24">
        <v>4000</v>
      </c>
      <c r="E141" s="24">
        <v>0</v>
      </c>
      <c r="F141" s="24">
        <v>0</v>
      </c>
      <c r="G141" s="38" t="s">
        <v>8341</v>
      </c>
      <c r="H141" s="24" t="s">
        <v>7667</v>
      </c>
      <c r="I141" s="24" t="b">
        <v>0</v>
      </c>
      <c r="J141" s="24" t="b">
        <v>0</v>
      </c>
      <c r="K141" s="24" t="b">
        <v>0</v>
      </c>
      <c r="L141" s="24" t="s">
        <v>8343</v>
      </c>
      <c r="M141" s="23" t="s">
        <v>8344</v>
      </c>
      <c r="N141" s="24" t="str">
        <f>_xlfn.IFNA(VLOOKUP($M141,Buff.CM!$A:$O,13,FALSE),"")</f>
        <v>icon_battle_exile</v>
      </c>
      <c r="O141" s="24" t="str">
        <f>_xlfn.IFNA(VLOOKUP($M141,Buff.CM!$A:$O,14,FALSE),"")</f>
        <v>Buff.Name.exile</v>
      </c>
      <c r="P141" s="24" t="str">
        <f>_xlfn.IFNA(VLOOKUP($M141,Buff.CM!$A:$O,15,FALSE),"")</f>
        <v>Buff.Desc.exile</v>
      </c>
      <c r="Q141" s="24" t="b">
        <v>0</v>
      </c>
      <c r="R141" s="24" t="b">
        <v>0</v>
      </c>
    </row>
    <row r="142" spans="1:18" s="150" customFormat="1">
      <c r="A142" s="24" t="s">
        <v>7543</v>
      </c>
      <c r="B142" s="24"/>
      <c r="C142" s="24"/>
      <c r="D142" s="24">
        <v>5000</v>
      </c>
      <c r="E142" s="24">
        <v>0</v>
      </c>
      <c r="F142" s="24">
        <v>0</v>
      </c>
      <c r="G142" s="38" t="s">
        <v>8341</v>
      </c>
      <c r="H142" s="24" t="s">
        <v>7667</v>
      </c>
      <c r="I142" s="24" t="b">
        <v>0</v>
      </c>
      <c r="J142" s="24" t="b">
        <v>0</v>
      </c>
      <c r="K142" s="24" t="b">
        <v>0</v>
      </c>
      <c r="L142" s="24" t="s">
        <v>8343</v>
      </c>
      <c r="M142" s="23" t="s">
        <v>7668</v>
      </c>
      <c r="N142" s="24" t="str">
        <f>_xlfn.IFNA(VLOOKUP($M142,Buff.CM!$A:$O,13,FALSE),"")</f>
        <v>icon_battle_exile</v>
      </c>
      <c r="O142" s="24" t="str">
        <f>_xlfn.IFNA(VLOOKUP($M142,Buff.CM!$A:$O,14,FALSE),"")</f>
        <v>Buff.Name.exile</v>
      </c>
      <c r="P142" s="24" t="str">
        <f>_xlfn.IFNA(VLOOKUP($M142,Buff.CM!$A:$O,15,FALSE),"")</f>
        <v>Buff.Desc.exile</v>
      </c>
      <c r="Q142" s="24" t="b">
        <v>0</v>
      </c>
      <c r="R142" s="24" t="b">
        <v>0</v>
      </c>
    </row>
    <row r="143" spans="1:18" s="150" customFormat="1">
      <c r="A143" s="24" t="s">
        <v>7544</v>
      </c>
      <c r="B143" s="24"/>
      <c r="C143" s="24"/>
      <c r="D143" s="24">
        <v>6000</v>
      </c>
      <c r="E143" s="24">
        <v>0</v>
      </c>
      <c r="F143" s="24">
        <v>0</v>
      </c>
      <c r="G143" s="38" t="s">
        <v>8341</v>
      </c>
      <c r="H143" s="24" t="s">
        <v>7667</v>
      </c>
      <c r="I143" s="24" t="b">
        <v>0</v>
      </c>
      <c r="J143" s="24" t="b">
        <v>0</v>
      </c>
      <c r="K143" s="24" t="b">
        <v>0</v>
      </c>
      <c r="L143" s="24" t="s">
        <v>8343</v>
      </c>
      <c r="M143" s="23" t="s">
        <v>7668</v>
      </c>
      <c r="N143" s="24" t="str">
        <f>_xlfn.IFNA(VLOOKUP($M143,Buff.CM!$A:$O,13,FALSE),"")</f>
        <v>icon_battle_exile</v>
      </c>
      <c r="O143" s="24" t="str">
        <f>_xlfn.IFNA(VLOOKUP($M143,Buff.CM!$A:$O,14,FALSE),"")</f>
        <v>Buff.Name.exile</v>
      </c>
      <c r="P143" s="24" t="str">
        <f>_xlfn.IFNA(VLOOKUP($M143,Buff.CM!$A:$O,15,FALSE),"")</f>
        <v>Buff.Desc.exile</v>
      </c>
      <c r="Q143" s="24" t="b">
        <v>0</v>
      </c>
      <c r="R143" s="24" t="b">
        <v>0</v>
      </c>
    </row>
    <row r="144" spans="1:18" s="150" customFormat="1">
      <c r="A144" s="24" t="s">
        <v>7545</v>
      </c>
      <c r="B144" s="24"/>
      <c r="C144" s="24"/>
      <c r="D144" s="24">
        <v>7000</v>
      </c>
      <c r="E144" s="24">
        <v>0</v>
      </c>
      <c r="F144" s="24">
        <v>0</v>
      </c>
      <c r="G144" s="38" t="s">
        <v>8341</v>
      </c>
      <c r="H144" s="24" t="s">
        <v>7667</v>
      </c>
      <c r="I144" s="24" t="b">
        <v>0</v>
      </c>
      <c r="J144" s="24" t="b">
        <v>0</v>
      </c>
      <c r="K144" s="24" t="b">
        <v>0</v>
      </c>
      <c r="L144" s="24" t="s">
        <v>8343</v>
      </c>
      <c r="M144" s="23" t="s">
        <v>7668</v>
      </c>
      <c r="N144" s="24" t="str">
        <f>_xlfn.IFNA(VLOOKUP($M144,Buff.CM!$A:$O,13,FALSE),"")</f>
        <v>icon_battle_exile</v>
      </c>
      <c r="O144" s="24" t="str">
        <f>_xlfn.IFNA(VLOOKUP($M144,Buff.CM!$A:$O,14,FALSE),"")</f>
        <v>Buff.Name.exile</v>
      </c>
      <c r="P144" s="24" t="str">
        <f>_xlfn.IFNA(VLOOKUP($M144,Buff.CM!$A:$O,15,FALSE),"")</f>
        <v>Buff.Desc.exile</v>
      </c>
      <c r="Q144" s="24" t="b">
        <v>0</v>
      </c>
      <c r="R144" s="24" t="b">
        <v>0</v>
      </c>
    </row>
    <row r="145" spans="1:18" s="150" customFormat="1">
      <c r="A145" s="24" t="s">
        <v>7546</v>
      </c>
      <c r="B145" s="24"/>
      <c r="C145" s="24"/>
      <c r="D145" s="24">
        <v>7000</v>
      </c>
      <c r="E145" s="24">
        <v>0</v>
      </c>
      <c r="F145" s="24">
        <v>0</v>
      </c>
      <c r="G145" s="38" t="s">
        <v>8341</v>
      </c>
      <c r="H145" s="24" t="s">
        <v>7667</v>
      </c>
      <c r="I145" s="24" t="b">
        <v>0</v>
      </c>
      <c r="J145" s="24" t="b">
        <v>0</v>
      </c>
      <c r="K145" s="24" t="b">
        <v>0</v>
      </c>
      <c r="L145" s="24" t="s">
        <v>8343</v>
      </c>
      <c r="M145" s="23" t="s">
        <v>7668</v>
      </c>
      <c r="N145" s="24" t="str">
        <f>_xlfn.IFNA(VLOOKUP($M145,Buff.CM!$A:$O,13,FALSE),"")</f>
        <v>icon_battle_exile</v>
      </c>
      <c r="O145" s="24" t="str">
        <f>_xlfn.IFNA(VLOOKUP($M145,Buff.CM!$A:$O,14,FALSE),"")</f>
        <v>Buff.Name.exile</v>
      </c>
      <c r="P145" s="24" t="str">
        <f>_xlfn.IFNA(VLOOKUP($M145,Buff.CM!$A:$O,15,FALSE),"")</f>
        <v>Buff.Desc.exile</v>
      </c>
      <c r="Q145" s="24" t="b">
        <v>0</v>
      </c>
      <c r="R145" s="24" t="b">
        <v>0</v>
      </c>
    </row>
    <row r="146" spans="1:18" s="150" customFormat="1">
      <c r="A146" s="24" t="s">
        <v>7547</v>
      </c>
      <c r="B146" s="24"/>
      <c r="C146" s="24"/>
      <c r="D146" s="24">
        <v>7000</v>
      </c>
      <c r="E146" s="24">
        <v>0</v>
      </c>
      <c r="F146" s="24">
        <v>0</v>
      </c>
      <c r="G146" s="38" t="s">
        <v>8341</v>
      </c>
      <c r="H146" s="24" t="s">
        <v>7667</v>
      </c>
      <c r="I146" s="24" t="b">
        <v>0</v>
      </c>
      <c r="J146" s="24" t="b">
        <v>0</v>
      </c>
      <c r="K146" s="24" t="b">
        <v>0</v>
      </c>
      <c r="L146" s="24" t="s">
        <v>8343</v>
      </c>
      <c r="M146" s="23" t="s">
        <v>7668</v>
      </c>
      <c r="N146" s="24" t="str">
        <f>_xlfn.IFNA(VLOOKUP($M146,Buff.CM!$A:$O,13,FALSE),"")</f>
        <v>icon_battle_exile</v>
      </c>
      <c r="O146" s="24" t="str">
        <f>_xlfn.IFNA(VLOOKUP($M146,Buff.CM!$A:$O,14,FALSE),"")</f>
        <v>Buff.Name.exile</v>
      </c>
      <c r="P146" s="24" t="str">
        <f>_xlfn.IFNA(VLOOKUP($M146,Buff.CM!$A:$O,15,FALSE),"")</f>
        <v>Buff.Desc.exile</v>
      </c>
      <c r="Q146" s="24" t="b">
        <v>0</v>
      </c>
      <c r="R146" s="24" t="b">
        <v>0</v>
      </c>
    </row>
    <row r="147" spans="1:18" s="150" customFormat="1">
      <c r="A147" s="24" t="s">
        <v>7899</v>
      </c>
      <c r="B147" s="24"/>
      <c r="C147" s="24"/>
      <c r="D147" s="24">
        <v>0</v>
      </c>
      <c r="E147" s="24">
        <v>0</v>
      </c>
      <c r="F147" s="24">
        <v>0</v>
      </c>
      <c r="G147" s="38" t="s">
        <v>8304</v>
      </c>
      <c r="H147" s="24"/>
      <c r="I147" s="23" t="b">
        <v>1</v>
      </c>
      <c r="J147" s="24" t="b">
        <v>0</v>
      </c>
      <c r="K147" s="23" t="b">
        <v>1</v>
      </c>
      <c r="L147" s="24"/>
      <c r="M147" s="23"/>
      <c r="N147" s="24" t="str">
        <f>_xlfn.IFNA(VLOOKUP($M147,Buff.CM!$A:$O,13,FALSE),"")</f>
        <v/>
      </c>
      <c r="O147" s="24" t="str">
        <f>_xlfn.IFNA(VLOOKUP($M147,Buff.CM!$A:$O,14,FALSE),"")</f>
        <v/>
      </c>
      <c r="P147" s="24" t="str">
        <f>_xlfn.IFNA(VLOOKUP($M147,Buff.CM!$A:$O,15,FALSE),"")</f>
        <v/>
      </c>
      <c r="Q147" s="24" t="b">
        <v>0</v>
      </c>
      <c r="R147" s="24" t="b">
        <v>0</v>
      </c>
    </row>
    <row r="148" spans="1:18" s="160" customFormat="1" ht="66">
      <c r="A148" s="65" t="s">
        <v>8381</v>
      </c>
      <c r="B148" s="65" t="s">
        <v>8366</v>
      </c>
      <c r="C148" s="65" t="s">
        <v>7571</v>
      </c>
      <c r="D148" s="65">
        <v>0</v>
      </c>
      <c r="E148" s="65">
        <v>0</v>
      </c>
      <c r="F148" s="65">
        <v>0</v>
      </c>
      <c r="G148" s="67" t="s">
        <v>8382</v>
      </c>
      <c r="H148" s="65"/>
      <c r="I148" s="65" t="b">
        <v>1</v>
      </c>
      <c r="J148" s="65" t="b">
        <v>1</v>
      </c>
      <c r="K148" s="65" t="b">
        <v>1</v>
      </c>
      <c r="L148" s="65"/>
      <c r="M148" s="65"/>
      <c r="N148" s="65" t="str">
        <f>_xlfn.IFNA(VLOOKUP($M148,Buff.CM!$A:$O,13,FALSE),"")</f>
        <v/>
      </c>
      <c r="O148" s="65" t="str">
        <f>_xlfn.IFNA(VLOOKUP($M148,Buff.CM!$A:$O,14,FALSE),"")</f>
        <v/>
      </c>
      <c r="P148" s="65" t="str">
        <f>_xlfn.IFNA(VLOOKUP($M148,Buff.CM!$A:$O,15,FALSE),"")</f>
        <v/>
      </c>
      <c r="Q148" s="65" t="b">
        <v>0</v>
      </c>
      <c r="R148" s="65" t="b">
        <v>0</v>
      </c>
    </row>
    <row r="149" spans="1:18" s="160" customFormat="1" ht="66">
      <c r="A149" s="65" t="s">
        <v>7608</v>
      </c>
      <c r="B149" s="65" t="s">
        <v>8366</v>
      </c>
      <c r="C149" s="65" t="s">
        <v>7571</v>
      </c>
      <c r="D149" s="65">
        <v>0</v>
      </c>
      <c r="E149" s="65">
        <v>0</v>
      </c>
      <c r="F149" s="65">
        <v>0</v>
      </c>
      <c r="G149" s="67" t="s">
        <v>8232</v>
      </c>
      <c r="H149" s="65"/>
      <c r="I149" s="65" t="b">
        <v>1</v>
      </c>
      <c r="J149" s="65" t="b">
        <v>1</v>
      </c>
      <c r="K149" s="65" t="b">
        <v>1</v>
      </c>
      <c r="L149" s="65"/>
      <c r="M149" s="65"/>
      <c r="N149" s="65" t="str">
        <f>_xlfn.IFNA(VLOOKUP($M149,Buff.CM!$A:$O,13,FALSE),"")</f>
        <v/>
      </c>
      <c r="O149" s="65" t="str">
        <f>_xlfn.IFNA(VLOOKUP($M149,Buff.CM!$A:$O,14,FALSE),"")</f>
        <v/>
      </c>
      <c r="P149" s="65" t="str">
        <f>_xlfn.IFNA(VLOOKUP($M149,Buff.CM!$A:$O,15,FALSE),"")</f>
        <v/>
      </c>
      <c r="Q149" s="65" t="b">
        <v>0</v>
      </c>
      <c r="R149" s="65" t="b">
        <v>0</v>
      </c>
    </row>
    <row r="150" spans="1:18" s="160" customFormat="1" ht="66">
      <c r="A150" s="65" t="s">
        <v>7609</v>
      </c>
      <c r="B150" s="65" t="s">
        <v>8366</v>
      </c>
      <c r="C150" s="65" t="s">
        <v>7571</v>
      </c>
      <c r="D150" s="65">
        <v>0</v>
      </c>
      <c r="E150" s="65">
        <v>0</v>
      </c>
      <c r="F150" s="65">
        <v>0</v>
      </c>
      <c r="G150" s="67" t="s">
        <v>8383</v>
      </c>
      <c r="H150" s="65"/>
      <c r="I150" s="65" t="b">
        <v>1</v>
      </c>
      <c r="J150" s="65" t="b">
        <v>1</v>
      </c>
      <c r="K150" s="65" t="b">
        <v>1</v>
      </c>
      <c r="L150" s="65"/>
      <c r="M150" s="65"/>
      <c r="N150" s="65" t="str">
        <f>_xlfn.IFNA(VLOOKUP($M150,Buff.CM!$A:$O,13,FALSE),"")</f>
        <v/>
      </c>
      <c r="O150" s="65" t="str">
        <f>_xlfn.IFNA(VLOOKUP($M150,Buff.CM!$A:$O,14,FALSE),"")</f>
        <v/>
      </c>
      <c r="P150" s="65" t="str">
        <f>_xlfn.IFNA(VLOOKUP($M150,Buff.CM!$A:$O,15,FALSE),"")</f>
        <v/>
      </c>
      <c r="Q150" s="65" t="b">
        <v>0</v>
      </c>
      <c r="R150" s="65" t="b">
        <v>0</v>
      </c>
    </row>
    <row r="151" spans="1:18" s="160" customFormat="1" ht="66">
      <c r="A151" s="65" t="s">
        <v>7610</v>
      </c>
      <c r="B151" s="65" t="s">
        <v>8366</v>
      </c>
      <c r="C151" s="65" t="s">
        <v>7571</v>
      </c>
      <c r="D151" s="65">
        <v>0</v>
      </c>
      <c r="E151" s="65">
        <v>0</v>
      </c>
      <c r="F151" s="65">
        <v>0</v>
      </c>
      <c r="G151" s="67" t="s">
        <v>8384</v>
      </c>
      <c r="H151" s="65"/>
      <c r="I151" s="65" t="b">
        <v>1</v>
      </c>
      <c r="J151" s="65" t="b">
        <v>1</v>
      </c>
      <c r="K151" s="65" t="b">
        <v>1</v>
      </c>
      <c r="L151" s="65"/>
      <c r="M151" s="65"/>
      <c r="N151" s="65" t="str">
        <f>_xlfn.IFNA(VLOOKUP($M151,Buff.CM!$A:$O,13,FALSE),"")</f>
        <v/>
      </c>
      <c r="O151" s="65" t="str">
        <f>_xlfn.IFNA(VLOOKUP($M151,Buff.CM!$A:$O,14,FALSE),"")</f>
        <v/>
      </c>
      <c r="P151" s="65" t="str">
        <f>_xlfn.IFNA(VLOOKUP($M151,Buff.CM!$A:$O,15,FALSE),"")</f>
        <v/>
      </c>
      <c r="Q151" s="65" t="b">
        <v>0</v>
      </c>
      <c r="R151" s="65" t="b">
        <v>0</v>
      </c>
    </row>
    <row r="152" spans="1:18" s="160" customFormat="1" ht="66">
      <c r="A152" s="65" t="s">
        <v>7611</v>
      </c>
      <c r="B152" s="65" t="s">
        <v>8406</v>
      </c>
      <c r="C152" s="65" t="s">
        <v>7571</v>
      </c>
      <c r="D152" s="65">
        <v>0</v>
      </c>
      <c r="E152" s="65">
        <v>0</v>
      </c>
      <c r="F152" s="65">
        <v>0</v>
      </c>
      <c r="G152" s="67" t="s">
        <v>8385</v>
      </c>
      <c r="H152" s="65"/>
      <c r="I152" s="65" t="b">
        <v>1</v>
      </c>
      <c r="J152" s="65" t="b">
        <v>1</v>
      </c>
      <c r="K152" s="65" t="b">
        <v>1</v>
      </c>
      <c r="L152" s="65"/>
      <c r="M152" s="65"/>
      <c r="N152" s="65" t="str">
        <f>_xlfn.IFNA(VLOOKUP($M152,Buff.CM!$A:$O,13,FALSE),"")</f>
        <v/>
      </c>
      <c r="O152" s="65" t="str">
        <f>_xlfn.IFNA(VLOOKUP($M152,Buff.CM!$A:$O,14,FALSE),"")</f>
        <v/>
      </c>
      <c r="P152" s="65" t="str">
        <f>_xlfn.IFNA(VLOOKUP($M152,Buff.CM!$A:$O,15,FALSE),"")</f>
        <v/>
      </c>
      <c r="Q152" s="65" t="b">
        <v>0</v>
      </c>
      <c r="R152" s="65" t="b">
        <v>0</v>
      </c>
    </row>
    <row r="153" spans="1:18" s="160" customFormat="1" ht="66">
      <c r="A153" s="65" t="s">
        <v>7612</v>
      </c>
      <c r="B153" s="65" t="s">
        <v>8366</v>
      </c>
      <c r="C153" s="65" t="s">
        <v>7571</v>
      </c>
      <c r="D153" s="65">
        <v>0</v>
      </c>
      <c r="E153" s="65">
        <v>0</v>
      </c>
      <c r="F153" s="65">
        <v>0</v>
      </c>
      <c r="G153" s="67" t="s">
        <v>8386</v>
      </c>
      <c r="H153" s="65"/>
      <c r="I153" s="65" t="b">
        <v>1</v>
      </c>
      <c r="J153" s="65" t="b">
        <v>1</v>
      </c>
      <c r="K153" s="65" t="b">
        <v>1</v>
      </c>
      <c r="L153" s="65"/>
      <c r="M153" s="65"/>
      <c r="N153" s="65" t="str">
        <f>_xlfn.IFNA(VLOOKUP($M153,Buff.CM!$A:$O,13,FALSE),"")</f>
        <v/>
      </c>
      <c r="O153" s="65" t="str">
        <f>_xlfn.IFNA(VLOOKUP($M153,Buff.CM!$A:$O,14,FALSE),"")</f>
        <v/>
      </c>
      <c r="P153" s="65" t="str">
        <f>_xlfn.IFNA(VLOOKUP($M153,Buff.CM!$A:$O,15,FALSE),"")</f>
        <v/>
      </c>
      <c r="Q153" s="65" t="b">
        <v>0</v>
      </c>
      <c r="R153" s="65" t="b">
        <v>0</v>
      </c>
    </row>
    <row r="154" spans="1:18" s="142" customFormat="1" ht="33">
      <c r="A154" s="23" t="s">
        <v>1005</v>
      </c>
      <c r="B154" s="23"/>
      <c r="C154" s="23"/>
      <c r="D154" s="23">
        <v>0</v>
      </c>
      <c r="E154" s="23">
        <v>0</v>
      </c>
      <c r="F154" s="23">
        <v>0</v>
      </c>
      <c r="G154" s="39" t="s">
        <v>6931</v>
      </c>
      <c r="H154" s="23"/>
      <c r="I154" s="23" t="b">
        <v>0</v>
      </c>
      <c r="J154" s="23" t="b">
        <v>0</v>
      </c>
      <c r="K154" s="23" t="b">
        <v>1</v>
      </c>
      <c r="L154" s="23"/>
      <c r="M154" s="23"/>
      <c r="N154" s="23" t="str">
        <f>_xlfn.IFNA(VLOOKUP($M154,Buff.CM!$A:$O,13,FALSE),"")</f>
        <v/>
      </c>
      <c r="O154" s="23" t="str">
        <f>_xlfn.IFNA(VLOOKUP($M154,Buff.CM!$A:$O,14,FALSE),"")</f>
        <v/>
      </c>
      <c r="P154" s="23" t="str">
        <f>_xlfn.IFNA(VLOOKUP($M154,Buff.CM!$A:$O,15,FALSE),"")</f>
        <v/>
      </c>
      <c r="Q154" s="23" t="b">
        <v>0</v>
      </c>
      <c r="R154" s="23" t="b">
        <v>0</v>
      </c>
    </row>
    <row r="155" spans="1:18" s="13" customFormat="1">
      <c r="A155" s="24" t="s">
        <v>597</v>
      </c>
      <c r="B155" s="24"/>
      <c r="C155" s="24"/>
      <c r="D155" s="24">
        <v>4000</v>
      </c>
      <c r="E155" s="24">
        <v>0</v>
      </c>
      <c r="F155" s="24">
        <v>0</v>
      </c>
      <c r="G155" s="24" t="s">
        <v>598</v>
      </c>
      <c r="H155" s="24"/>
      <c r="I155" s="24" t="b">
        <v>0</v>
      </c>
      <c r="J155" s="24" t="b">
        <v>0</v>
      </c>
      <c r="K155" s="23" t="b">
        <v>0</v>
      </c>
      <c r="L155" s="24" t="s">
        <v>599</v>
      </c>
      <c r="M155" s="24"/>
      <c r="N155" s="24" t="str">
        <f>_xlfn.IFNA(VLOOKUP($M155,Buff.CM!$A:$O,13,FALSE),"")</f>
        <v/>
      </c>
      <c r="O155" s="24" t="str">
        <f>_xlfn.IFNA(VLOOKUP($M155,Buff.CM!$A:$O,14,FALSE),"")</f>
        <v/>
      </c>
      <c r="P155" s="24" t="str">
        <f>_xlfn.IFNA(VLOOKUP($M155,Buff.CM!$A:$O,15,FALSE),"")</f>
        <v/>
      </c>
      <c r="Q155" s="24" t="b">
        <v>0</v>
      </c>
      <c r="R155" s="24" t="b">
        <v>0</v>
      </c>
    </row>
    <row r="156" spans="1:18" s="13" customFormat="1">
      <c r="A156" s="24" t="s">
        <v>601</v>
      </c>
      <c r="B156" s="24"/>
      <c r="C156" s="24"/>
      <c r="D156" s="24">
        <v>6000</v>
      </c>
      <c r="E156" s="24">
        <v>0</v>
      </c>
      <c r="F156" s="24">
        <v>0</v>
      </c>
      <c r="G156" s="24" t="s">
        <v>598</v>
      </c>
      <c r="H156" s="24"/>
      <c r="I156" s="24" t="b">
        <v>0</v>
      </c>
      <c r="J156" s="24" t="b">
        <v>0</v>
      </c>
      <c r="K156" s="23" t="b">
        <v>0</v>
      </c>
      <c r="L156" s="24" t="s">
        <v>599</v>
      </c>
      <c r="M156" s="24"/>
      <c r="N156" s="24" t="str">
        <f>_xlfn.IFNA(VLOOKUP($M156,Buff.CM!$A:$O,13,FALSE),"")</f>
        <v/>
      </c>
      <c r="O156" s="24" t="str">
        <f>_xlfn.IFNA(VLOOKUP($M156,Buff.CM!$A:$O,14,FALSE),"")</f>
        <v/>
      </c>
      <c r="P156" s="24" t="str">
        <f>_xlfn.IFNA(VLOOKUP($M156,Buff.CM!$A:$O,15,FALSE),"")</f>
        <v/>
      </c>
      <c r="Q156" s="24" t="b">
        <v>0</v>
      </c>
      <c r="R156" s="24" t="b">
        <v>0</v>
      </c>
    </row>
    <row r="157" spans="1:18" s="13" customFormat="1">
      <c r="A157" s="24" t="s">
        <v>602</v>
      </c>
      <c r="B157" s="24"/>
      <c r="C157" s="24"/>
      <c r="D157" s="24">
        <v>6000</v>
      </c>
      <c r="E157" s="24">
        <v>0</v>
      </c>
      <c r="F157" s="24">
        <v>0</v>
      </c>
      <c r="G157" s="24" t="s">
        <v>598</v>
      </c>
      <c r="H157" s="24"/>
      <c r="I157" s="24" t="b">
        <v>0</v>
      </c>
      <c r="J157" s="24" t="b">
        <v>0</v>
      </c>
      <c r="K157" s="23" t="b">
        <v>0</v>
      </c>
      <c r="L157" s="24" t="s">
        <v>599</v>
      </c>
      <c r="M157" s="24"/>
      <c r="N157" s="24" t="str">
        <f>_xlfn.IFNA(VLOOKUP($M157,Buff.CM!$A:$O,13,FALSE),"")</f>
        <v/>
      </c>
      <c r="O157" s="24" t="str">
        <f>_xlfn.IFNA(VLOOKUP($M157,Buff.CM!$A:$O,14,FALSE),"")</f>
        <v/>
      </c>
      <c r="P157" s="24" t="str">
        <f>_xlfn.IFNA(VLOOKUP($M157,Buff.CM!$A:$O,15,FALSE),"")</f>
        <v/>
      </c>
      <c r="Q157" s="24" t="b">
        <v>0</v>
      </c>
      <c r="R157" s="24" t="b">
        <v>0</v>
      </c>
    </row>
    <row r="158" spans="1:18" s="13" customFormat="1" ht="33">
      <c r="A158" s="23" t="s">
        <v>6932</v>
      </c>
      <c r="B158" s="23"/>
      <c r="C158" s="23"/>
      <c r="D158" s="23">
        <v>3000</v>
      </c>
      <c r="E158" s="23">
        <v>0</v>
      </c>
      <c r="F158" s="23">
        <v>0</v>
      </c>
      <c r="G158" s="39" t="s">
        <v>1333</v>
      </c>
      <c r="H158" s="23"/>
      <c r="I158" s="23" t="b">
        <v>0</v>
      </c>
      <c r="J158" s="23" t="b">
        <v>0</v>
      </c>
      <c r="K158" s="23" t="b">
        <v>0</v>
      </c>
      <c r="L158" s="23" t="s">
        <v>314</v>
      </c>
      <c r="M158" s="23"/>
      <c r="N158" s="23" t="str">
        <f>_xlfn.IFNA(VLOOKUP($M158,Buff.CM!$A:$O,13,FALSE),"")</f>
        <v/>
      </c>
      <c r="O158" s="23" t="str">
        <f>_xlfn.IFNA(VLOOKUP($M158,Buff.CM!$A:$O,14,FALSE),"")</f>
        <v/>
      </c>
      <c r="P158" s="23" t="str">
        <f>_xlfn.IFNA(VLOOKUP($M158,Buff.CM!$A:$O,15,FALSE),"")</f>
        <v/>
      </c>
      <c r="Q158" s="23" t="b">
        <v>0</v>
      </c>
      <c r="R158" s="23" t="b">
        <v>0</v>
      </c>
    </row>
    <row r="159" spans="1:18" s="13" customFormat="1" ht="33">
      <c r="A159" s="23" t="s">
        <v>603</v>
      </c>
      <c r="B159" s="23"/>
      <c r="C159" s="23"/>
      <c r="D159" s="23">
        <v>4000</v>
      </c>
      <c r="E159" s="23">
        <v>0</v>
      </c>
      <c r="F159" s="23">
        <v>0</v>
      </c>
      <c r="G159" s="39" t="s">
        <v>1333</v>
      </c>
      <c r="H159" s="23"/>
      <c r="I159" s="23" t="b">
        <v>0</v>
      </c>
      <c r="J159" s="23" t="b">
        <v>0</v>
      </c>
      <c r="K159" s="23" t="b">
        <v>0</v>
      </c>
      <c r="L159" s="23" t="s">
        <v>314</v>
      </c>
      <c r="M159" s="23"/>
      <c r="N159" s="23" t="str">
        <f>_xlfn.IFNA(VLOOKUP($M159,Buff.CM!$A:$O,13,FALSE),"")</f>
        <v/>
      </c>
      <c r="O159" s="23" t="str">
        <f>_xlfn.IFNA(VLOOKUP($M159,Buff.CM!$A:$O,14,FALSE),"")</f>
        <v/>
      </c>
      <c r="P159" s="23" t="str">
        <f>_xlfn.IFNA(VLOOKUP($M159,Buff.CM!$A:$O,15,FALSE),"")</f>
        <v/>
      </c>
      <c r="Q159" s="23" t="b">
        <v>0</v>
      </c>
      <c r="R159" s="23" t="b">
        <v>0</v>
      </c>
    </row>
    <row r="160" spans="1:18" s="13" customFormat="1" ht="33">
      <c r="A160" s="23" t="s">
        <v>604</v>
      </c>
      <c r="B160" s="23"/>
      <c r="C160" s="23"/>
      <c r="D160" s="23">
        <v>4000</v>
      </c>
      <c r="E160" s="23">
        <v>0</v>
      </c>
      <c r="F160" s="23">
        <v>0</v>
      </c>
      <c r="G160" s="39" t="s">
        <v>1333</v>
      </c>
      <c r="H160" s="23"/>
      <c r="I160" s="23" t="b">
        <v>0</v>
      </c>
      <c r="J160" s="23" t="b">
        <v>0</v>
      </c>
      <c r="K160" s="23" t="b">
        <v>0</v>
      </c>
      <c r="L160" s="23" t="s">
        <v>314</v>
      </c>
      <c r="M160" s="23"/>
      <c r="N160" s="23" t="str">
        <f>_xlfn.IFNA(VLOOKUP($M160,Buff.CM!$A:$O,13,FALSE),"")</f>
        <v/>
      </c>
      <c r="O160" s="23" t="str">
        <f>_xlfn.IFNA(VLOOKUP($M160,Buff.CM!$A:$O,14,FALSE),"")</f>
        <v/>
      </c>
      <c r="P160" s="23" t="str">
        <f>_xlfn.IFNA(VLOOKUP($M160,Buff.CM!$A:$O,15,FALSE),"")</f>
        <v/>
      </c>
      <c r="Q160" s="23" t="b">
        <v>0</v>
      </c>
      <c r="R160" s="23" t="b">
        <v>0</v>
      </c>
    </row>
    <row r="161" spans="1:18" s="13" customFormat="1" ht="33">
      <c r="A161" s="23" t="s">
        <v>6933</v>
      </c>
      <c r="B161" s="23"/>
      <c r="C161" s="23"/>
      <c r="D161" s="23">
        <v>4000</v>
      </c>
      <c r="E161" s="23">
        <v>0</v>
      </c>
      <c r="F161" s="23">
        <v>0</v>
      </c>
      <c r="G161" s="39" t="s">
        <v>1333</v>
      </c>
      <c r="H161" s="23"/>
      <c r="I161" s="23" t="b">
        <v>0</v>
      </c>
      <c r="J161" s="23" t="b">
        <v>0</v>
      </c>
      <c r="K161" s="23" t="b">
        <v>0</v>
      </c>
      <c r="L161" s="23" t="s">
        <v>314</v>
      </c>
      <c r="M161" s="23"/>
      <c r="N161" s="23" t="str">
        <f>_xlfn.IFNA(VLOOKUP($M161,Buff.CM!$A:$O,13,FALSE),"")</f>
        <v/>
      </c>
      <c r="O161" s="23" t="str">
        <f>_xlfn.IFNA(VLOOKUP($M161,Buff.CM!$A:$O,14,FALSE),"")</f>
        <v/>
      </c>
      <c r="P161" s="23" t="str">
        <f>_xlfn.IFNA(VLOOKUP($M161,Buff.CM!$A:$O,15,FALSE),"")</f>
        <v/>
      </c>
      <c r="Q161" s="23" t="b">
        <v>0</v>
      </c>
      <c r="R161" s="23" t="b">
        <v>0</v>
      </c>
    </row>
    <row r="162" spans="1:18">
      <c r="A162" s="24" t="s">
        <v>605</v>
      </c>
      <c r="B162" s="24"/>
      <c r="C162" s="24"/>
      <c r="D162" s="24">
        <v>0</v>
      </c>
      <c r="E162" s="24">
        <v>0</v>
      </c>
      <c r="F162" s="24">
        <v>0</v>
      </c>
      <c r="G162" s="24" t="s">
        <v>606</v>
      </c>
      <c r="H162" s="24"/>
      <c r="I162" s="24" t="b">
        <v>0</v>
      </c>
      <c r="J162" s="24" t="b">
        <v>0</v>
      </c>
      <c r="K162" s="24" t="b">
        <v>1</v>
      </c>
      <c r="L162" s="24"/>
      <c r="M162" s="24"/>
      <c r="N162" s="24" t="str">
        <f>_xlfn.IFNA(VLOOKUP($M162,Buff.CM!$A:$O,13,FALSE),"")</f>
        <v/>
      </c>
      <c r="O162" s="24" t="str">
        <f>_xlfn.IFNA(VLOOKUP($M162,Buff.CM!$A:$O,14,FALSE),"")</f>
        <v/>
      </c>
      <c r="P162" s="24" t="str">
        <f>_xlfn.IFNA(VLOOKUP($M162,Buff.CM!$A:$O,15,FALSE),"")</f>
        <v/>
      </c>
      <c r="Q162" s="24" t="b">
        <v>0</v>
      </c>
      <c r="R162" s="24" t="b">
        <v>0</v>
      </c>
    </row>
    <row r="163" spans="1:18">
      <c r="A163" s="24" t="s">
        <v>607</v>
      </c>
      <c r="B163" s="24"/>
      <c r="C163" s="24"/>
      <c r="D163" s="24">
        <v>0</v>
      </c>
      <c r="E163" s="24">
        <v>0</v>
      </c>
      <c r="F163" s="24">
        <v>0</v>
      </c>
      <c r="G163" s="24" t="s">
        <v>608</v>
      </c>
      <c r="H163" s="24"/>
      <c r="I163" s="24" t="b">
        <v>0</v>
      </c>
      <c r="J163" s="24" t="b">
        <v>0</v>
      </c>
      <c r="K163" s="24" t="b">
        <v>1</v>
      </c>
      <c r="L163" s="24"/>
      <c r="M163" s="24"/>
      <c r="N163" s="24" t="str">
        <f>_xlfn.IFNA(VLOOKUP($M163,Buff.CM!$A:$O,13,FALSE),"")</f>
        <v/>
      </c>
      <c r="O163" s="24" t="str">
        <f>_xlfn.IFNA(VLOOKUP($M163,Buff.CM!$A:$O,14,FALSE),"")</f>
        <v/>
      </c>
      <c r="P163" s="24" t="str">
        <f>_xlfn.IFNA(VLOOKUP($M163,Buff.CM!$A:$O,15,FALSE),"")</f>
        <v/>
      </c>
      <c r="Q163" s="24" t="b">
        <v>0</v>
      </c>
      <c r="R163" s="24" t="b">
        <v>0</v>
      </c>
    </row>
    <row r="164" spans="1:18">
      <c r="A164" s="24" t="s">
        <v>609</v>
      </c>
      <c r="B164" s="24"/>
      <c r="C164" s="24"/>
      <c r="D164" s="24">
        <v>0</v>
      </c>
      <c r="E164" s="24">
        <v>0</v>
      </c>
      <c r="F164" s="24">
        <v>0</v>
      </c>
      <c r="G164" s="24" t="s">
        <v>610</v>
      </c>
      <c r="H164" s="24"/>
      <c r="I164" s="24" t="b">
        <v>0</v>
      </c>
      <c r="J164" s="24" t="b">
        <v>0</v>
      </c>
      <c r="K164" s="24" t="b">
        <v>1</v>
      </c>
      <c r="L164" s="24"/>
      <c r="M164" s="24"/>
      <c r="N164" s="24" t="str">
        <f>_xlfn.IFNA(VLOOKUP($M164,Buff.CM!$A:$O,13,FALSE),"")</f>
        <v/>
      </c>
      <c r="O164" s="24" t="str">
        <f>_xlfn.IFNA(VLOOKUP($M164,Buff.CM!$A:$O,14,FALSE),"")</f>
        <v/>
      </c>
      <c r="P164" s="24" t="str">
        <f>_xlfn.IFNA(VLOOKUP($M164,Buff.CM!$A:$O,15,FALSE),"")</f>
        <v/>
      </c>
      <c r="Q164" s="24" t="b">
        <v>0</v>
      </c>
      <c r="R164" s="24" t="b">
        <v>0</v>
      </c>
    </row>
    <row r="165" spans="1:18">
      <c r="A165" s="34" t="s">
        <v>611</v>
      </c>
      <c r="B165" s="34"/>
      <c r="C165" s="34"/>
      <c r="D165" s="34">
        <v>0</v>
      </c>
      <c r="E165" s="34">
        <v>0</v>
      </c>
      <c r="F165" s="34">
        <v>0</v>
      </c>
      <c r="G165" s="34" t="s">
        <v>612</v>
      </c>
      <c r="H165" s="34"/>
      <c r="I165" s="34" t="b">
        <v>0</v>
      </c>
      <c r="J165" s="34" t="b">
        <v>0</v>
      </c>
      <c r="K165" s="34" t="b">
        <v>1</v>
      </c>
      <c r="L165" s="34"/>
      <c r="M165" s="34"/>
      <c r="N165" s="34" t="str">
        <f>_xlfn.IFNA(VLOOKUP($M165,Buff.CM!$A:$O,13,FALSE),"")</f>
        <v/>
      </c>
      <c r="O165" s="34" t="str">
        <f>_xlfn.IFNA(VLOOKUP($M165,Buff.CM!$A:$O,14,FALSE),"")</f>
        <v/>
      </c>
      <c r="P165" s="34" t="str">
        <f>_xlfn.IFNA(VLOOKUP($M165,Buff.CM!$A:$O,15,FALSE),"")</f>
        <v/>
      </c>
      <c r="Q165" s="34" t="b">
        <v>0</v>
      </c>
      <c r="R165" s="34" t="b">
        <v>0</v>
      </c>
    </row>
    <row r="166" spans="1:18">
      <c r="A166" s="34" t="s">
        <v>613</v>
      </c>
      <c r="B166" s="34"/>
      <c r="C166" s="34"/>
      <c r="D166" s="34">
        <v>0</v>
      </c>
      <c r="E166" s="34">
        <v>0</v>
      </c>
      <c r="F166" s="34">
        <v>0</v>
      </c>
      <c r="G166" s="34" t="s">
        <v>614</v>
      </c>
      <c r="H166" s="34"/>
      <c r="I166" s="34" t="b">
        <v>0</v>
      </c>
      <c r="J166" s="34" t="b">
        <v>0</v>
      </c>
      <c r="K166" s="34" t="b">
        <v>1</v>
      </c>
      <c r="L166" s="34"/>
      <c r="M166" s="34"/>
      <c r="N166" s="34" t="str">
        <f>_xlfn.IFNA(VLOOKUP($M166,Buff.CM!$A:$O,13,FALSE),"")</f>
        <v/>
      </c>
      <c r="O166" s="34" t="str">
        <f>_xlfn.IFNA(VLOOKUP($M166,Buff.CM!$A:$O,14,FALSE),"")</f>
        <v/>
      </c>
      <c r="P166" s="34" t="str">
        <f>_xlfn.IFNA(VLOOKUP($M166,Buff.CM!$A:$O,15,FALSE),"")</f>
        <v/>
      </c>
      <c r="Q166" s="34" t="b">
        <v>0</v>
      </c>
      <c r="R166" s="34" t="b">
        <v>0</v>
      </c>
    </row>
    <row r="167" spans="1:18">
      <c r="A167" s="34" t="s">
        <v>615</v>
      </c>
      <c r="B167" s="34"/>
      <c r="C167" s="34"/>
      <c r="D167" s="34">
        <v>0</v>
      </c>
      <c r="E167" s="34">
        <v>0</v>
      </c>
      <c r="F167" s="34">
        <v>0</v>
      </c>
      <c r="G167" s="34" t="s">
        <v>616</v>
      </c>
      <c r="H167" s="34"/>
      <c r="I167" s="34" t="b">
        <v>0</v>
      </c>
      <c r="J167" s="34" t="b">
        <v>0</v>
      </c>
      <c r="K167" s="34" t="b">
        <v>1</v>
      </c>
      <c r="L167" s="34"/>
      <c r="M167" s="34"/>
      <c r="N167" s="34" t="str">
        <f>_xlfn.IFNA(VLOOKUP($M167,Buff.CM!$A:$O,13,FALSE),"")</f>
        <v/>
      </c>
      <c r="O167" s="34" t="str">
        <f>_xlfn.IFNA(VLOOKUP($M167,Buff.CM!$A:$O,14,FALSE),"")</f>
        <v/>
      </c>
      <c r="P167" s="34" t="str">
        <f>_xlfn.IFNA(VLOOKUP($M167,Buff.CM!$A:$O,15,FALSE),"")</f>
        <v/>
      </c>
      <c r="Q167" s="34" t="b">
        <v>0</v>
      </c>
      <c r="R167" s="34" t="b">
        <v>0</v>
      </c>
    </row>
    <row r="168" spans="1:18">
      <c r="A168" s="24" t="s">
        <v>617</v>
      </c>
      <c r="B168" s="24"/>
      <c r="C168" s="24"/>
      <c r="D168" s="24">
        <v>0</v>
      </c>
      <c r="E168" s="24">
        <v>0</v>
      </c>
      <c r="F168" s="24">
        <v>0</v>
      </c>
      <c r="G168" s="24" t="s">
        <v>618</v>
      </c>
      <c r="H168" s="24"/>
      <c r="I168" s="24" t="b">
        <v>0</v>
      </c>
      <c r="J168" s="24" t="b">
        <v>0</v>
      </c>
      <c r="K168" s="24" t="b">
        <v>1</v>
      </c>
      <c r="L168" s="24" t="s">
        <v>66</v>
      </c>
      <c r="M168" s="24"/>
      <c r="N168" s="24" t="str">
        <f>_xlfn.IFNA(VLOOKUP($M168,Buff.CM!$A:$O,13,FALSE),"")</f>
        <v/>
      </c>
      <c r="O168" s="24" t="str">
        <f>_xlfn.IFNA(VLOOKUP($M168,Buff.CM!$A:$O,14,FALSE),"")</f>
        <v/>
      </c>
      <c r="P168" s="24" t="str">
        <f>_xlfn.IFNA(VLOOKUP($M168,Buff.CM!$A:$O,15,FALSE),"")</f>
        <v/>
      </c>
      <c r="Q168" s="24" t="b">
        <v>0</v>
      </c>
      <c r="R168" s="24" t="b">
        <v>0</v>
      </c>
    </row>
    <row r="169" spans="1:18">
      <c r="A169" s="24" t="s">
        <v>619</v>
      </c>
      <c r="B169" s="24"/>
      <c r="C169" s="24"/>
      <c r="D169" s="24">
        <v>0</v>
      </c>
      <c r="E169" s="24">
        <v>0</v>
      </c>
      <c r="F169" s="24">
        <v>0</v>
      </c>
      <c r="G169" s="24" t="s">
        <v>620</v>
      </c>
      <c r="H169" s="24"/>
      <c r="I169" s="24" t="b">
        <v>0</v>
      </c>
      <c r="J169" s="24" t="b">
        <v>0</v>
      </c>
      <c r="K169" s="24" t="b">
        <v>1</v>
      </c>
      <c r="L169" s="24" t="s">
        <v>66</v>
      </c>
      <c r="M169" s="24"/>
      <c r="N169" s="24" t="str">
        <f>_xlfn.IFNA(VLOOKUP($M169,Buff.CM!$A:$O,13,FALSE),"")</f>
        <v/>
      </c>
      <c r="O169" s="24" t="str">
        <f>_xlfn.IFNA(VLOOKUP($M169,Buff.CM!$A:$O,14,FALSE),"")</f>
        <v/>
      </c>
      <c r="P169" s="24" t="str">
        <f>_xlfn.IFNA(VLOOKUP($M169,Buff.CM!$A:$O,15,FALSE),"")</f>
        <v/>
      </c>
      <c r="Q169" s="24" t="b">
        <v>0</v>
      </c>
      <c r="R169" s="24" t="b">
        <v>0</v>
      </c>
    </row>
    <row r="170" spans="1:18">
      <c r="A170" s="24" t="s">
        <v>621</v>
      </c>
      <c r="B170" s="24"/>
      <c r="C170" s="24"/>
      <c r="D170" s="24">
        <v>0</v>
      </c>
      <c r="E170" s="24">
        <v>0</v>
      </c>
      <c r="F170" s="24">
        <v>0</v>
      </c>
      <c r="G170" s="24" t="s">
        <v>622</v>
      </c>
      <c r="H170" s="24"/>
      <c r="I170" s="24" t="b">
        <v>0</v>
      </c>
      <c r="J170" s="24" t="b">
        <v>0</v>
      </c>
      <c r="K170" s="24" t="b">
        <v>1</v>
      </c>
      <c r="L170" s="24" t="s">
        <v>66</v>
      </c>
      <c r="M170" s="24"/>
      <c r="N170" s="24" t="str">
        <f>_xlfn.IFNA(VLOOKUP($M170,Buff.CM!$A:$O,13,FALSE),"")</f>
        <v/>
      </c>
      <c r="O170" s="24" t="str">
        <f>_xlfn.IFNA(VLOOKUP($M170,Buff.CM!$A:$O,14,FALSE),"")</f>
        <v/>
      </c>
      <c r="P170" s="24" t="str">
        <f>_xlfn.IFNA(VLOOKUP($M170,Buff.CM!$A:$O,15,FALSE),"")</f>
        <v/>
      </c>
      <c r="Q170" s="24" t="b">
        <v>0</v>
      </c>
      <c r="R170" s="24" t="b">
        <v>0</v>
      </c>
    </row>
    <row r="171" spans="1:18" s="143" customFormat="1">
      <c r="A171" s="25" t="s">
        <v>8387</v>
      </c>
      <c r="B171" s="25"/>
      <c r="C171" s="25"/>
      <c r="D171" s="25">
        <v>0</v>
      </c>
      <c r="E171" s="25">
        <v>0</v>
      </c>
      <c r="F171" s="25">
        <v>0</v>
      </c>
      <c r="G171" s="25" t="s">
        <v>8388</v>
      </c>
      <c r="H171" s="25"/>
      <c r="I171" s="25" t="b">
        <v>0</v>
      </c>
      <c r="J171" s="25" t="b">
        <v>1</v>
      </c>
      <c r="K171" s="25" t="b">
        <v>1</v>
      </c>
      <c r="L171" s="25"/>
      <c r="M171" s="25"/>
      <c r="N171" s="25" t="str">
        <f>_xlfn.IFNA(VLOOKUP($M171,Buff.CM!$A:$O,13,FALSE),"")</f>
        <v/>
      </c>
      <c r="O171" s="25" t="str">
        <f>_xlfn.IFNA(VLOOKUP($M171,Buff.CM!$A:$O,14,FALSE),"")</f>
        <v/>
      </c>
      <c r="P171" s="25" t="str">
        <f>_xlfn.IFNA(VLOOKUP($M171,Buff.CM!$A:$O,15,FALSE),"")</f>
        <v/>
      </c>
      <c r="Q171" s="25" t="b">
        <v>0</v>
      </c>
      <c r="R171" s="25" t="b">
        <v>0</v>
      </c>
    </row>
    <row r="172" spans="1:18" s="143" customFormat="1">
      <c r="A172" s="25" t="s">
        <v>8233</v>
      </c>
      <c r="B172" s="25"/>
      <c r="C172" s="25"/>
      <c r="D172" s="25">
        <v>0</v>
      </c>
      <c r="E172" s="25">
        <v>0</v>
      </c>
      <c r="F172" s="25">
        <v>0</v>
      </c>
      <c r="G172" s="25" t="s">
        <v>8234</v>
      </c>
      <c r="H172" s="25"/>
      <c r="I172" s="25" t="b">
        <v>0</v>
      </c>
      <c r="J172" s="25" t="b">
        <v>1</v>
      </c>
      <c r="K172" s="25" t="b">
        <v>1</v>
      </c>
      <c r="L172" s="25"/>
      <c r="M172" s="25"/>
      <c r="N172" s="25" t="str">
        <f>_xlfn.IFNA(VLOOKUP($M172,Buff.CM!$A:$O,13,FALSE),"")</f>
        <v/>
      </c>
      <c r="O172" s="25" t="str">
        <f>_xlfn.IFNA(VLOOKUP($M172,Buff.CM!$A:$O,14,FALSE),"")</f>
        <v/>
      </c>
      <c r="P172" s="25" t="str">
        <f>_xlfn.IFNA(VLOOKUP($M172,Buff.CM!$A:$O,15,FALSE),"")</f>
        <v/>
      </c>
      <c r="Q172" s="25" t="b">
        <v>0</v>
      </c>
      <c r="R172" s="25" t="b">
        <v>0</v>
      </c>
    </row>
    <row r="173" spans="1:18" s="143" customFormat="1">
      <c r="A173" s="25" t="s">
        <v>8235</v>
      </c>
      <c r="B173" s="25"/>
      <c r="C173" s="25"/>
      <c r="D173" s="25">
        <v>0</v>
      </c>
      <c r="E173" s="25">
        <v>0</v>
      </c>
      <c r="F173" s="25">
        <v>0</v>
      </c>
      <c r="G173" s="25" t="s">
        <v>8236</v>
      </c>
      <c r="H173" s="25"/>
      <c r="I173" s="25" t="b">
        <v>0</v>
      </c>
      <c r="J173" s="25" t="b">
        <v>1</v>
      </c>
      <c r="K173" s="25" t="b">
        <v>1</v>
      </c>
      <c r="L173" s="25"/>
      <c r="M173" s="25"/>
      <c r="N173" s="25" t="str">
        <f>_xlfn.IFNA(VLOOKUP($M173,Buff.CM!$A:$O,13,FALSE),"")</f>
        <v/>
      </c>
      <c r="O173" s="25" t="str">
        <f>_xlfn.IFNA(VLOOKUP($M173,Buff.CM!$A:$O,14,FALSE),"")</f>
        <v/>
      </c>
      <c r="P173" s="25" t="str">
        <f>_xlfn.IFNA(VLOOKUP($M173,Buff.CM!$A:$O,15,FALSE),"")</f>
        <v/>
      </c>
      <c r="Q173" s="25" t="b">
        <v>0</v>
      </c>
      <c r="R173" s="25" t="b">
        <v>0</v>
      </c>
    </row>
    <row r="174" spans="1:18" s="143" customFormat="1">
      <c r="A174" s="25" t="s">
        <v>8237</v>
      </c>
      <c r="B174" s="25"/>
      <c r="C174" s="25"/>
      <c r="D174" s="25">
        <v>0</v>
      </c>
      <c r="E174" s="25">
        <v>0</v>
      </c>
      <c r="F174" s="25">
        <v>0</v>
      </c>
      <c r="G174" s="25" t="s">
        <v>8238</v>
      </c>
      <c r="H174" s="25"/>
      <c r="I174" s="25" t="b">
        <v>0</v>
      </c>
      <c r="J174" s="25" t="b">
        <v>1</v>
      </c>
      <c r="K174" s="25" t="b">
        <v>1</v>
      </c>
      <c r="L174" s="25"/>
      <c r="M174" s="25"/>
      <c r="N174" s="25" t="str">
        <f>_xlfn.IFNA(VLOOKUP($M174,Buff.CM!$A:$O,13,FALSE),"")</f>
        <v/>
      </c>
      <c r="O174" s="25" t="str">
        <f>_xlfn.IFNA(VLOOKUP($M174,Buff.CM!$A:$O,14,FALSE),"")</f>
        <v/>
      </c>
      <c r="P174" s="25" t="str">
        <f>_xlfn.IFNA(VLOOKUP($M174,Buff.CM!$A:$O,15,FALSE),"")</f>
        <v/>
      </c>
      <c r="Q174" s="25" t="b">
        <v>0</v>
      </c>
      <c r="R174" s="25" t="b">
        <v>0</v>
      </c>
    </row>
    <row r="175" spans="1:18" s="143" customFormat="1">
      <c r="A175" s="25" t="s">
        <v>8239</v>
      </c>
      <c r="B175" s="25"/>
      <c r="C175" s="25"/>
      <c r="D175" s="25">
        <v>0</v>
      </c>
      <c r="E175" s="25">
        <v>0</v>
      </c>
      <c r="F175" s="25">
        <v>0</v>
      </c>
      <c r="G175" s="25" t="s">
        <v>8240</v>
      </c>
      <c r="H175" s="25"/>
      <c r="I175" s="25" t="b">
        <v>0</v>
      </c>
      <c r="J175" s="25" t="b">
        <v>1</v>
      </c>
      <c r="K175" s="25" t="b">
        <v>1</v>
      </c>
      <c r="L175" s="25"/>
      <c r="M175" s="25"/>
      <c r="N175" s="25" t="str">
        <f>_xlfn.IFNA(VLOOKUP($M175,Buff.CM!$A:$O,13,FALSE),"")</f>
        <v/>
      </c>
      <c r="O175" s="25" t="str">
        <f>_xlfn.IFNA(VLOOKUP($M175,Buff.CM!$A:$O,14,FALSE),"")</f>
        <v/>
      </c>
      <c r="P175" s="25" t="str">
        <f>_xlfn.IFNA(VLOOKUP($M175,Buff.CM!$A:$O,15,FALSE),"")</f>
        <v/>
      </c>
      <c r="Q175" s="25" t="b">
        <v>0</v>
      </c>
      <c r="R175" s="25" t="b">
        <v>0</v>
      </c>
    </row>
    <row r="176" spans="1:18" s="143" customFormat="1">
      <c r="A176" s="25" t="s">
        <v>8241</v>
      </c>
      <c r="B176" s="25"/>
      <c r="C176" s="25"/>
      <c r="D176" s="25">
        <v>0</v>
      </c>
      <c r="E176" s="25">
        <v>0</v>
      </c>
      <c r="F176" s="25">
        <v>0</v>
      </c>
      <c r="G176" s="25" t="s">
        <v>8242</v>
      </c>
      <c r="H176" s="25"/>
      <c r="I176" s="25" t="b">
        <v>0</v>
      </c>
      <c r="J176" s="25" t="b">
        <v>1</v>
      </c>
      <c r="K176" s="25" t="b">
        <v>1</v>
      </c>
      <c r="L176" s="25"/>
      <c r="M176" s="25"/>
      <c r="N176" s="25" t="str">
        <f>_xlfn.IFNA(VLOOKUP($M176,Buff.CM!$A:$O,13,FALSE),"")</f>
        <v/>
      </c>
      <c r="O176" s="25" t="str">
        <f>_xlfn.IFNA(VLOOKUP($M176,Buff.CM!$A:$O,14,FALSE),"")</f>
        <v/>
      </c>
      <c r="P176" s="25" t="str">
        <f>_xlfn.IFNA(VLOOKUP($M176,Buff.CM!$A:$O,15,FALSE),"")</f>
        <v/>
      </c>
      <c r="Q176" s="25" t="b">
        <v>0</v>
      </c>
      <c r="R176" s="25" t="b">
        <v>0</v>
      </c>
    </row>
    <row r="177" spans="1:18" s="143" customFormat="1">
      <c r="A177" s="25" t="s">
        <v>8389</v>
      </c>
      <c r="B177" s="25"/>
      <c r="C177" s="25"/>
      <c r="D177" s="25">
        <v>0</v>
      </c>
      <c r="E177" s="25">
        <v>0</v>
      </c>
      <c r="F177" s="25">
        <v>0</v>
      </c>
      <c r="G177" s="25" t="s">
        <v>8390</v>
      </c>
      <c r="H177" s="25"/>
      <c r="I177" s="25" t="b">
        <v>0</v>
      </c>
      <c r="J177" s="25" t="b">
        <v>1</v>
      </c>
      <c r="K177" s="25" t="b">
        <v>1</v>
      </c>
      <c r="L177" s="25"/>
      <c r="M177" s="25"/>
      <c r="N177" s="25" t="str">
        <f>_xlfn.IFNA(VLOOKUP($M177,Buff.CM!$A:$O,13,FALSE),"")</f>
        <v/>
      </c>
      <c r="O177" s="25" t="str">
        <f>_xlfn.IFNA(VLOOKUP($M177,Buff.CM!$A:$O,14,FALSE),"")</f>
        <v/>
      </c>
      <c r="P177" s="25" t="str">
        <f>_xlfn.IFNA(VLOOKUP($M177,Buff.CM!$A:$O,15,FALSE),"")</f>
        <v/>
      </c>
      <c r="Q177" s="25" t="b">
        <v>0</v>
      </c>
      <c r="R177" s="25" t="b">
        <v>0</v>
      </c>
    </row>
    <row r="178" spans="1:18" s="143" customFormat="1">
      <c r="A178" s="25" t="s">
        <v>8243</v>
      </c>
      <c r="B178" s="25"/>
      <c r="C178" s="25"/>
      <c r="D178" s="25">
        <v>0</v>
      </c>
      <c r="E178" s="25">
        <v>0</v>
      </c>
      <c r="F178" s="25">
        <v>0</v>
      </c>
      <c r="G178" s="25" t="s">
        <v>8244</v>
      </c>
      <c r="H178" s="25"/>
      <c r="I178" s="25" t="b">
        <v>0</v>
      </c>
      <c r="J178" s="25" t="b">
        <v>1</v>
      </c>
      <c r="K178" s="25" t="b">
        <v>1</v>
      </c>
      <c r="L178" s="25"/>
      <c r="M178" s="25"/>
      <c r="N178" s="25" t="str">
        <f>_xlfn.IFNA(VLOOKUP($M178,Buff.CM!$A:$O,13,FALSE),"")</f>
        <v/>
      </c>
      <c r="O178" s="25" t="str">
        <f>_xlfn.IFNA(VLOOKUP($M178,Buff.CM!$A:$O,14,FALSE),"")</f>
        <v/>
      </c>
      <c r="P178" s="25" t="str">
        <f>_xlfn.IFNA(VLOOKUP($M178,Buff.CM!$A:$O,15,FALSE),"")</f>
        <v/>
      </c>
      <c r="Q178" s="25" t="b">
        <v>0</v>
      </c>
      <c r="R178" s="25" t="b">
        <v>0</v>
      </c>
    </row>
    <row r="179" spans="1:18" s="143" customFormat="1">
      <c r="A179" s="25" t="s">
        <v>8245</v>
      </c>
      <c r="B179" s="25"/>
      <c r="C179" s="25"/>
      <c r="D179" s="25">
        <v>0</v>
      </c>
      <c r="E179" s="25">
        <v>0</v>
      </c>
      <c r="F179" s="25">
        <v>0</v>
      </c>
      <c r="G179" s="25" t="s">
        <v>8246</v>
      </c>
      <c r="H179" s="25"/>
      <c r="I179" s="25" t="b">
        <v>0</v>
      </c>
      <c r="J179" s="25" t="b">
        <v>1</v>
      </c>
      <c r="K179" s="25" t="b">
        <v>1</v>
      </c>
      <c r="L179" s="25"/>
      <c r="M179" s="25"/>
      <c r="N179" s="25" t="str">
        <f>_xlfn.IFNA(VLOOKUP($M179,Buff.CM!$A:$O,13,FALSE),"")</f>
        <v/>
      </c>
      <c r="O179" s="25" t="str">
        <f>_xlfn.IFNA(VLOOKUP($M179,Buff.CM!$A:$O,14,FALSE),"")</f>
        <v/>
      </c>
      <c r="P179" s="25" t="str">
        <f>_xlfn.IFNA(VLOOKUP($M179,Buff.CM!$A:$O,15,FALSE),"")</f>
        <v/>
      </c>
      <c r="Q179" s="25" t="b">
        <v>0</v>
      </c>
      <c r="R179" s="25" t="b">
        <v>0</v>
      </c>
    </row>
    <row r="180" spans="1:18" s="143" customFormat="1">
      <c r="A180" s="25" t="s">
        <v>8247</v>
      </c>
      <c r="B180" s="25"/>
      <c r="C180" s="25"/>
      <c r="D180" s="25">
        <v>0</v>
      </c>
      <c r="E180" s="25">
        <v>0</v>
      </c>
      <c r="F180" s="25">
        <v>0</v>
      </c>
      <c r="G180" s="25" t="s">
        <v>8248</v>
      </c>
      <c r="H180" s="25"/>
      <c r="I180" s="25" t="b">
        <v>0</v>
      </c>
      <c r="J180" s="25" t="b">
        <v>1</v>
      </c>
      <c r="K180" s="25" t="b">
        <v>1</v>
      </c>
      <c r="L180" s="25"/>
      <c r="M180" s="25"/>
      <c r="N180" s="25" t="str">
        <f>_xlfn.IFNA(VLOOKUP($M180,Buff.CM!$A:$O,13,FALSE),"")</f>
        <v/>
      </c>
      <c r="O180" s="25" t="str">
        <f>_xlfn.IFNA(VLOOKUP($M180,Buff.CM!$A:$O,14,FALSE),"")</f>
        <v/>
      </c>
      <c r="P180" s="25" t="str">
        <f>_xlfn.IFNA(VLOOKUP($M180,Buff.CM!$A:$O,15,FALSE),"")</f>
        <v/>
      </c>
      <c r="Q180" s="25" t="b">
        <v>0</v>
      </c>
      <c r="R180" s="25" t="b">
        <v>0</v>
      </c>
    </row>
    <row r="181" spans="1:18" s="143" customFormat="1">
      <c r="A181" s="25" t="s">
        <v>8249</v>
      </c>
      <c r="B181" s="25"/>
      <c r="C181" s="25"/>
      <c r="D181" s="25">
        <v>0</v>
      </c>
      <c r="E181" s="25">
        <v>0</v>
      </c>
      <c r="F181" s="25">
        <v>0</v>
      </c>
      <c r="G181" s="25" t="s">
        <v>8250</v>
      </c>
      <c r="H181" s="25"/>
      <c r="I181" s="25" t="b">
        <v>0</v>
      </c>
      <c r="J181" s="25" t="b">
        <v>1</v>
      </c>
      <c r="K181" s="25" t="b">
        <v>1</v>
      </c>
      <c r="L181" s="25"/>
      <c r="M181" s="25"/>
      <c r="N181" s="25" t="str">
        <f>_xlfn.IFNA(VLOOKUP($M181,Buff.CM!$A:$O,13,FALSE),"")</f>
        <v/>
      </c>
      <c r="O181" s="25" t="str">
        <f>_xlfn.IFNA(VLOOKUP($M181,Buff.CM!$A:$O,14,FALSE),"")</f>
        <v/>
      </c>
      <c r="P181" s="25" t="str">
        <f>_xlfn.IFNA(VLOOKUP($M181,Buff.CM!$A:$O,15,FALSE),"")</f>
        <v/>
      </c>
      <c r="Q181" s="25" t="b">
        <v>0</v>
      </c>
      <c r="R181" s="25" t="b">
        <v>0</v>
      </c>
    </row>
    <row r="182" spans="1:18" s="143" customFormat="1">
      <c r="A182" s="25" t="s">
        <v>8251</v>
      </c>
      <c r="B182" s="25"/>
      <c r="C182" s="25"/>
      <c r="D182" s="25">
        <v>0</v>
      </c>
      <c r="E182" s="25">
        <v>0</v>
      </c>
      <c r="F182" s="25">
        <v>0</v>
      </c>
      <c r="G182" s="25" t="s">
        <v>8252</v>
      </c>
      <c r="H182" s="25"/>
      <c r="I182" s="25" t="b">
        <v>0</v>
      </c>
      <c r="J182" s="25" t="b">
        <v>1</v>
      </c>
      <c r="K182" s="25" t="b">
        <v>1</v>
      </c>
      <c r="L182" s="25"/>
      <c r="M182" s="25"/>
      <c r="N182" s="25" t="str">
        <f>_xlfn.IFNA(VLOOKUP($M182,Buff.CM!$A:$O,13,FALSE),"")</f>
        <v/>
      </c>
      <c r="O182" s="25" t="str">
        <f>_xlfn.IFNA(VLOOKUP($M182,Buff.CM!$A:$O,14,FALSE),"")</f>
        <v/>
      </c>
      <c r="P182" s="25" t="str">
        <f>_xlfn.IFNA(VLOOKUP($M182,Buff.CM!$A:$O,15,FALSE),"")</f>
        <v/>
      </c>
      <c r="Q182" s="25" t="b">
        <v>0</v>
      </c>
      <c r="R182" s="25" t="b">
        <v>0</v>
      </c>
    </row>
    <row r="183" spans="1:18" s="153" customFormat="1">
      <c r="A183" s="26" t="s">
        <v>8253</v>
      </c>
      <c r="B183" s="26"/>
      <c r="C183" s="26"/>
      <c r="D183" s="26">
        <v>0</v>
      </c>
      <c r="E183" s="26">
        <v>0</v>
      </c>
      <c r="F183" s="26">
        <v>0</v>
      </c>
      <c r="G183" s="26" t="s">
        <v>8391</v>
      </c>
      <c r="H183" s="26"/>
      <c r="I183" s="26" t="b">
        <v>0</v>
      </c>
      <c r="J183" s="26" t="b">
        <v>1</v>
      </c>
      <c r="K183" s="26" t="b">
        <v>1</v>
      </c>
      <c r="L183" s="26"/>
      <c r="M183" s="26"/>
      <c r="N183" s="26" t="str">
        <f>_xlfn.IFNA(VLOOKUP($M183,Buff.CM!$A:$O,13,FALSE),"")</f>
        <v/>
      </c>
      <c r="O183" s="26" t="str">
        <f>_xlfn.IFNA(VLOOKUP($M183,Buff.CM!$A:$O,14,FALSE),"")</f>
        <v/>
      </c>
      <c r="P183" s="26" t="str">
        <f>_xlfn.IFNA(VLOOKUP($M183,Buff.CM!$A:$O,15,FALSE),"")</f>
        <v/>
      </c>
      <c r="Q183" s="26" t="b">
        <v>0</v>
      </c>
      <c r="R183" s="26" t="b">
        <v>0</v>
      </c>
    </row>
    <row r="184" spans="1:18" s="153" customFormat="1">
      <c r="A184" s="26" t="s">
        <v>8254</v>
      </c>
      <c r="B184" s="26"/>
      <c r="C184" s="26"/>
      <c r="D184" s="26">
        <v>0</v>
      </c>
      <c r="E184" s="26">
        <v>0</v>
      </c>
      <c r="F184" s="26">
        <v>0</v>
      </c>
      <c r="G184" s="26" t="s">
        <v>8255</v>
      </c>
      <c r="H184" s="26"/>
      <c r="I184" s="26" t="b">
        <v>0</v>
      </c>
      <c r="J184" s="26" t="b">
        <v>1</v>
      </c>
      <c r="K184" s="26" t="b">
        <v>1</v>
      </c>
      <c r="L184" s="26"/>
      <c r="M184" s="26"/>
      <c r="N184" s="26" t="str">
        <f>_xlfn.IFNA(VLOOKUP($M184,Buff.CM!$A:$O,13,FALSE),"")</f>
        <v/>
      </c>
      <c r="O184" s="26" t="str">
        <f>_xlfn.IFNA(VLOOKUP($M184,Buff.CM!$A:$O,14,FALSE),"")</f>
        <v/>
      </c>
      <c r="P184" s="26" t="str">
        <f>_xlfn.IFNA(VLOOKUP($M184,Buff.CM!$A:$O,15,FALSE),"")</f>
        <v/>
      </c>
      <c r="Q184" s="26" t="b">
        <v>0</v>
      </c>
      <c r="R184" s="26" t="b">
        <v>0</v>
      </c>
    </row>
    <row r="185" spans="1:18" s="153" customFormat="1">
      <c r="A185" s="26" t="s">
        <v>8256</v>
      </c>
      <c r="B185" s="26"/>
      <c r="C185" s="26"/>
      <c r="D185" s="26">
        <v>0</v>
      </c>
      <c r="E185" s="26">
        <v>0</v>
      </c>
      <c r="F185" s="26">
        <v>0</v>
      </c>
      <c r="G185" s="26" t="s">
        <v>8257</v>
      </c>
      <c r="H185" s="26"/>
      <c r="I185" s="26" t="b">
        <v>0</v>
      </c>
      <c r="J185" s="26" t="b">
        <v>1</v>
      </c>
      <c r="K185" s="26" t="b">
        <v>1</v>
      </c>
      <c r="L185" s="26"/>
      <c r="M185" s="26"/>
      <c r="N185" s="26" t="str">
        <f>_xlfn.IFNA(VLOOKUP($M185,Buff.CM!$A:$O,13,FALSE),"")</f>
        <v/>
      </c>
      <c r="O185" s="26" t="str">
        <f>_xlfn.IFNA(VLOOKUP($M185,Buff.CM!$A:$O,14,FALSE),"")</f>
        <v/>
      </c>
      <c r="P185" s="26" t="str">
        <f>_xlfn.IFNA(VLOOKUP($M185,Buff.CM!$A:$O,15,FALSE),"")</f>
        <v/>
      </c>
      <c r="Q185" s="26" t="b">
        <v>0</v>
      </c>
      <c r="R185" s="26" t="b">
        <v>0</v>
      </c>
    </row>
    <row r="186" spans="1:18" s="153" customFormat="1">
      <c r="A186" s="26" t="s">
        <v>8258</v>
      </c>
      <c r="B186" s="26"/>
      <c r="C186" s="26"/>
      <c r="D186" s="26">
        <v>0</v>
      </c>
      <c r="E186" s="26">
        <v>0</v>
      </c>
      <c r="F186" s="26">
        <v>0</v>
      </c>
      <c r="G186" s="26" t="s">
        <v>8259</v>
      </c>
      <c r="H186" s="26"/>
      <c r="I186" s="26" t="b">
        <v>0</v>
      </c>
      <c r="J186" s="26" t="b">
        <v>1</v>
      </c>
      <c r="K186" s="26" t="b">
        <v>1</v>
      </c>
      <c r="L186" s="26"/>
      <c r="M186" s="26"/>
      <c r="N186" s="26" t="str">
        <f>_xlfn.IFNA(VLOOKUP($M186,Buff.CM!$A:$O,13,FALSE),"")</f>
        <v/>
      </c>
      <c r="O186" s="26" t="str">
        <f>_xlfn.IFNA(VLOOKUP($M186,Buff.CM!$A:$O,14,FALSE),"")</f>
        <v/>
      </c>
      <c r="P186" s="26" t="str">
        <f>_xlfn.IFNA(VLOOKUP($M186,Buff.CM!$A:$O,15,FALSE),"")</f>
        <v/>
      </c>
      <c r="Q186" s="26" t="b">
        <v>0</v>
      </c>
      <c r="R186" s="26" t="b">
        <v>0</v>
      </c>
    </row>
    <row r="187" spans="1:18" s="153" customFormat="1">
      <c r="A187" s="26" t="s">
        <v>8260</v>
      </c>
      <c r="B187" s="26"/>
      <c r="C187" s="26"/>
      <c r="D187" s="26">
        <v>0</v>
      </c>
      <c r="E187" s="26">
        <v>0</v>
      </c>
      <c r="F187" s="26">
        <v>0</v>
      </c>
      <c r="G187" s="26" t="s">
        <v>8261</v>
      </c>
      <c r="H187" s="26"/>
      <c r="I187" s="26" t="b">
        <v>0</v>
      </c>
      <c r="J187" s="26" t="b">
        <v>1</v>
      </c>
      <c r="K187" s="26" t="b">
        <v>1</v>
      </c>
      <c r="L187" s="26"/>
      <c r="M187" s="26"/>
      <c r="N187" s="26" t="str">
        <f>_xlfn.IFNA(VLOOKUP($M187,Buff.CM!$A:$O,13,FALSE),"")</f>
        <v/>
      </c>
      <c r="O187" s="26" t="str">
        <f>_xlfn.IFNA(VLOOKUP($M187,Buff.CM!$A:$O,14,FALSE),"")</f>
        <v/>
      </c>
      <c r="P187" s="26" t="str">
        <f>_xlfn.IFNA(VLOOKUP($M187,Buff.CM!$A:$O,15,FALSE),"")</f>
        <v/>
      </c>
      <c r="Q187" s="26" t="b">
        <v>0</v>
      </c>
      <c r="R187" s="26" t="b">
        <v>0</v>
      </c>
    </row>
    <row r="188" spans="1:18" s="153" customFormat="1">
      <c r="A188" s="26" t="s">
        <v>8262</v>
      </c>
      <c r="B188" s="26"/>
      <c r="C188" s="26"/>
      <c r="D188" s="26">
        <v>0</v>
      </c>
      <c r="E188" s="26">
        <v>0</v>
      </c>
      <c r="F188" s="26">
        <v>0</v>
      </c>
      <c r="G188" s="26" t="s">
        <v>8263</v>
      </c>
      <c r="H188" s="26"/>
      <c r="I188" s="26" t="b">
        <v>0</v>
      </c>
      <c r="J188" s="26" t="b">
        <v>1</v>
      </c>
      <c r="K188" s="26" t="b">
        <v>1</v>
      </c>
      <c r="L188" s="26"/>
      <c r="M188" s="26"/>
      <c r="N188" s="26" t="str">
        <f>_xlfn.IFNA(VLOOKUP($M188,Buff.CM!$A:$O,13,FALSE),"")</f>
        <v/>
      </c>
      <c r="O188" s="26" t="str">
        <f>_xlfn.IFNA(VLOOKUP($M188,Buff.CM!$A:$O,14,FALSE),"")</f>
        <v/>
      </c>
      <c r="P188" s="26" t="str">
        <f>_xlfn.IFNA(VLOOKUP($M188,Buff.CM!$A:$O,15,FALSE),"")</f>
        <v/>
      </c>
      <c r="Q188" s="26" t="b">
        <v>0</v>
      </c>
      <c r="R188" s="26" t="b">
        <v>0</v>
      </c>
    </row>
    <row r="189" spans="1:18" s="154" customFormat="1">
      <c r="A189" s="71" t="s">
        <v>8392</v>
      </c>
      <c r="B189" s="51"/>
      <c r="C189" s="51"/>
      <c r="D189" s="51">
        <v>5000</v>
      </c>
      <c r="E189" s="51">
        <v>0</v>
      </c>
      <c r="F189" s="51">
        <v>0</v>
      </c>
      <c r="G189" s="52" t="s">
        <v>8304</v>
      </c>
      <c r="H189" s="51"/>
      <c r="I189" s="51" t="b">
        <v>0</v>
      </c>
      <c r="J189" s="51" t="b">
        <v>0</v>
      </c>
      <c r="K189" s="51" t="b">
        <v>0</v>
      </c>
      <c r="L189" s="51"/>
      <c r="M189" s="51" t="s">
        <v>8619</v>
      </c>
      <c r="N189" s="51" t="str">
        <f>_xlfn.IFNA(VLOOKUP($M189,Buff.CM!$A:$O,13,FALSE),"")</f>
        <v>icon_battle_id_debuff3</v>
      </c>
      <c r="O189" s="51" t="str">
        <f>_xlfn.IFNA(VLOOKUP($M189,Buff.CM!$A:$O,14,FALSE),"")</f>
        <v>info.id.debuff.active2</v>
      </c>
      <c r="P189" s="51" t="str">
        <f>_xlfn.IFNA(VLOOKUP($M189,Buff.CM!$A:$O,15,FALSE),"")</f>
        <v>Desc.info.id.debuff.active2</v>
      </c>
      <c r="Q189" s="51" t="b">
        <v>0</v>
      </c>
      <c r="R189" s="51" t="b">
        <v>0</v>
      </c>
    </row>
    <row r="190" spans="1:18" s="143" customFormat="1" ht="82.5">
      <c r="A190" s="25" t="s">
        <v>624</v>
      </c>
      <c r="B190" s="25"/>
      <c r="C190" s="25"/>
      <c r="D190" s="25">
        <v>0</v>
      </c>
      <c r="E190" s="25">
        <v>0</v>
      </c>
      <c r="F190" s="25">
        <v>0</v>
      </c>
      <c r="G190" s="43" t="s">
        <v>8569</v>
      </c>
      <c r="H190" s="25"/>
      <c r="I190" s="25" t="b">
        <v>0</v>
      </c>
      <c r="J190" s="25" t="b">
        <v>1</v>
      </c>
      <c r="K190" s="25" t="b">
        <v>1</v>
      </c>
      <c r="L190" s="25"/>
      <c r="M190" s="25"/>
      <c r="N190" s="25" t="str">
        <f>_xlfn.IFNA(VLOOKUP($M190,Buff.CM!$A:$O,13,FALSE),"")</f>
        <v/>
      </c>
      <c r="O190" s="25" t="str">
        <f>_xlfn.IFNA(VLOOKUP($M190,Buff.CM!$A:$O,14,FALSE),"")</f>
        <v/>
      </c>
      <c r="P190" s="25" t="str">
        <f>_xlfn.IFNA(VLOOKUP($M190,Buff.CM!$A:$O,15,FALSE),"")</f>
        <v/>
      </c>
      <c r="Q190" s="25" t="b">
        <v>0</v>
      </c>
      <c r="R190" s="25" t="b">
        <v>0</v>
      </c>
    </row>
    <row r="191" spans="1:18" s="143" customFormat="1" ht="82.5">
      <c r="A191" s="25" t="s">
        <v>625</v>
      </c>
      <c r="B191" s="25"/>
      <c r="C191" s="25"/>
      <c r="D191" s="25">
        <v>0</v>
      </c>
      <c r="E191" s="25">
        <v>0</v>
      </c>
      <c r="F191" s="25">
        <v>0</v>
      </c>
      <c r="G191" s="43" t="s">
        <v>8570</v>
      </c>
      <c r="H191" s="25"/>
      <c r="I191" s="25" t="b">
        <v>0</v>
      </c>
      <c r="J191" s="25" t="b">
        <v>1</v>
      </c>
      <c r="K191" s="25" t="b">
        <v>1</v>
      </c>
      <c r="L191" s="25"/>
      <c r="M191" s="25"/>
      <c r="N191" s="25" t="str">
        <f>_xlfn.IFNA(VLOOKUP($M191,Buff.CM!$A:$O,13,FALSE),"")</f>
        <v/>
      </c>
      <c r="O191" s="25" t="str">
        <f>_xlfn.IFNA(VLOOKUP($M191,Buff.CM!$A:$O,14,FALSE),"")</f>
        <v/>
      </c>
      <c r="P191" s="25" t="str">
        <f>_xlfn.IFNA(VLOOKUP($M191,Buff.CM!$A:$O,15,FALSE),"")</f>
        <v/>
      </c>
      <c r="Q191" s="25" t="b">
        <v>0</v>
      </c>
      <c r="R191" s="25" t="b">
        <v>0</v>
      </c>
    </row>
    <row r="192" spans="1:18" s="143" customFormat="1" ht="82.5">
      <c r="A192" s="25" t="s">
        <v>626</v>
      </c>
      <c r="B192" s="25"/>
      <c r="C192" s="25"/>
      <c r="D192" s="25">
        <v>0</v>
      </c>
      <c r="E192" s="25">
        <v>0</v>
      </c>
      <c r="F192" s="25">
        <v>0</v>
      </c>
      <c r="G192" s="43" t="s">
        <v>8571</v>
      </c>
      <c r="H192" s="25"/>
      <c r="I192" s="25" t="b">
        <v>0</v>
      </c>
      <c r="J192" s="25" t="b">
        <v>1</v>
      </c>
      <c r="K192" s="25" t="b">
        <v>1</v>
      </c>
      <c r="L192" s="25"/>
      <c r="M192" s="25"/>
      <c r="N192" s="25" t="str">
        <f>_xlfn.IFNA(VLOOKUP($M192,Buff.CM!$A:$O,13,FALSE),"")</f>
        <v/>
      </c>
      <c r="O192" s="25" t="str">
        <f>_xlfn.IFNA(VLOOKUP($M192,Buff.CM!$A:$O,14,FALSE),"")</f>
        <v/>
      </c>
      <c r="P192" s="25" t="str">
        <f>_xlfn.IFNA(VLOOKUP($M192,Buff.CM!$A:$O,15,FALSE),"")</f>
        <v/>
      </c>
      <c r="Q192" s="25" t="b">
        <v>0</v>
      </c>
      <c r="R192" s="25" t="b">
        <v>0</v>
      </c>
    </row>
    <row r="193" spans="1:18" s="143" customFormat="1" ht="82.5">
      <c r="A193" s="25" t="s">
        <v>627</v>
      </c>
      <c r="B193" s="25"/>
      <c r="C193" s="25"/>
      <c r="D193" s="25">
        <v>0</v>
      </c>
      <c r="E193" s="25">
        <v>0</v>
      </c>
      <c r="F193" s="25">
        <v>0</v>
      </c>
      <c r="G193" s="43" t="s">
        <v>8572</v>
      </c>
      <c r="H193" s="25"/>
      <c r="I193" s="25" t="b">
        <v>0</v>
      </c>
      <c r="J193" s="25" t="b">
        <v>1</v>
      </c>
      <c r="K193" s="25" t="b">
        <v>1</v>
      </c>
      <c r="L193" s="25"/>
      <c r="M193" s="25"/>
      <c r="N193" s="25" t="str">
        <f>_xlfn.IFNA(VLOOKUP($M193,Buff.CM!$A:$O,13,FALSE),"")</f>
        <v/>
      </c>
      <c r="O193" s="25" t="str">
        <f>_xlfn.IFNA(VLOOKUP($M193,Buff.CM!$A:$O,14,FALSE),"")</f>
        <v/>
      </c>
      <c r="P193" s="25" t="str">
        <f>_xlfn.IFNA(VLOOKUP($M193,Buff.CM!$A:$O,15,FALSE),"")</f>
        <v/>
      </c>
      <c r="Q193" s="25" t="b">
        <v>0</v>
      </c>
      <c r="R193" s="25" t="b">
        <v>0</v>
      </c>
    </row>
    <row r="194" spans="1:18" s="143" customFormat="1" ht="82.5">
      <c r="A194" s="25" t="s">
        <v>628</v>
      </c>
      <c r="B194" s="25"/>
      <c r="C194" s="25"/>
      <c r="D194" s="25">
        <v>0</v>
      </c>
      <c r="E194" s="25">
        <v>0</v>
      </c>
      <c r="F194" s="25">
        <v>0</v>
      </c>
      <c r="G194" s="43" t="s">
        <v>8573</v>
      </c>
      <c r="H194" s="25"/>
      <c r="I194" s="25" t="b">
        <v>0</v>
      </c>
      <c r="J194" s="25" t="b">
        <v>1</v>
      </c>
      <c r="K194" s="25" t="b">
        <v>1</v>
      </c>
      <c r="L194" s="25"/>
      <c r="M194" s="25"/>
      <c r="N194" s="25" t="str">
        <f>_xlfn.IFNA(VLOOKUP($M194,Buff.CM!$A:$O,13,FALSE),"")</f>
        <v/>
      </c>
      <c r="O194" s="25" t="str">
        <f>_xlfn.IFNA(VLOOKUP($M194,Buff.CM!$A:$O,14,FALSE),"")</f>
        <v/>
      </c>
      <c r="P194" s="25" t="str">
        <f>_xlfn.IFNA(VLOOKUP($M194,Buff.CM!$A:$O,15,FALSE),"")</f>
        <v/>
      </c>
      <c r="Q194" s="25" t="b">
        <v>0</v>
      </c>
      <c r="R194" s="25" t="b">
        <v>0</v>
      </c>
    </row>
    <row r="195" spans="1:18" s="143" customFormat="1" ht="82.5">
      <c r="A195" s="25" t="s">
        <v>629</v>
      </c>
      <c r="B195" s="25"/>
      <c r="C195" s="25"/>
      <c r="D195" s="25">
        <v>0</v>
      </c>
      <c r="E195" s="25">
        <v>0</v>
      </c>
      <c r="F195" s="25">
        <v>0</v>
      </c>
      <c r="G195" s="43" t="s">
        <v>8574</v>
      </c>
      <c r="H195" s="25"/>
      <c r="I195" s="25" t="b">
        <v>0</v>
      </c>
      <c r="J195" s="25" t="b">
        <v>1</v>
      </c>
      <c r="K195" s="25" t="b">
        <v>1</v>
      </c>
      <c r="L195" s="25"/>
      <c r="M195" s="25"/>
      <c r="N195" s="25" t="str">
        <f>_xlfn.IFNA(VLOOKUP($M195,Buff.CM!$A:$O,13,FALSE),"")</f>
        <v/>
      </c>
      <c r="O195" s="25" t="str">
        <f>_xlfn.IFNA(VLOOKUP($M195,Buff.CM!$A:$O,14,FALSE),"")</f>
        <v/>
      </c>
      <c r="P195" s="25" t="str">
        <f>_xlfn.IFNA(VLOOKUP($M195,Buff.CM!$A:$O,15,FALSE),"")</f>
        <v/>
      </c>
      <c r="Q195" s="25" t="b">
        <v>0</v>
      </c>
      <c r="R195" s="25" t="b">
        <v>0</v>
      </c>
    </row>
    <row r="196" spans="1:18" s="154" customFormat="1">
      <c r="A196" s="71" t="s">
        <v>8562</v>
      </c>
      <c r="B196" s="51"/>
      <c r="C196" s="51"/>
      <c r="D196" s="51">
        <v>1000</v>
      </c>
      <c r="E196" s="51">
        <v>0</v>
      </c>
      <c r="F196" s="51">
        <v>0</v>
      </c>
      <c r="G196" s="52" t="s">
        <v>5928</v>
      </c>
      <c r="H196" s="51"/>
      <c r="I196" s="51" t="b">
        <v>0</v>
      </c>
      <c r="J196" s="51" t="b">
        <v>0</v>
      </c>
      <c r="K196" s="51" t="b">
        <v>0</v>
      </c>
      <c r="L196" s="51" t="s">
        <v>8565</v>
      </c>
      <c r="M196" s="51"/>
      <c r="N196" s="51" t="str">
        <f>_xlfn.IFNA(VLOOKUP($M196,Buff.CM!$A:$O,13,FALSE),"")</f>
        <v/>
      </c>
      <c r="O196" s="51" t="str">
        <f>_xlfn.IFNA(VLOOKUP($M196,Buff.CM!$A:$O,14,FALSE),"")</f>
        <v/>
      </c>
      <c r="P196" s="51" t="str">
        <f>_xlfn.IFNA(VLOOKUP($M196,Buff.CM!$A:$O,15,FALSE),"")</f>
        <v/>
      </c>
      <c r="Q196" s="51" t="b">
        <v>0</v>
      </c>
      <c r="R196" s="51" t="b">
        <v>0</v>
      </c>
    </row>
    <row r="197" spans="1:18" s="154" customFormat="1">
      <c r="A197" s="71" t="s">
        <v>8563</v>
      </c>
      <c r="B197" s="51"/>
      <c r="C197" s="51"/>
      <c r="D197" s="51">
        <v>1000</v>
      </c>
      <c r="E197" s="51">
        <v>0</v>
      </c>
      <c r="F197" s="51">
        <v>0</v>
      </c>
      <c r="G197" s="52" t="s">
        <v>5928</v>
      </c>
      <c r="H197" s="51"/>
      <c r="I197" s="51" t="b">
        <v>0</v>
      </c>
      <c r="J197" s="51" t="b">
        <v>0</v>
      </c>
      <c r="K197" s="51" t="b">
        <v>0</v>
      </c>
      <c r="L197" s="51" t="s">
        <v>8566</v>
      </c>
      <c r="M197" s="51"/>
      <c r="N197" s="51" t="str">
        <f>_xlfn.IFNA(VLOOKUP($M197,Buff.CM!$A:$O,13,FALSE),"")</f>
        <v/>
      </c>
      <c r="O197" s="51" t="str">
        <f>_xlfn.IFNA(VLOOKUP($M197,Buff.CM!$A:$O,14,FALSE),"")</f>
        <v/>
      </c>
      <c r="P197" s="51" t="str">
        <f>_xlfn.IFNA(VLOOKUP($M197,Buff.CM!$A:$O,15,FALSE),"")</f>
        <v/>
      </c>
      <c r="Q197" s="51" t="b">
        <v>0</v>
      </c>
      <c r="R197" s="51" t="b">
        <v>0</v>
      </c>
    </row>
    <row r="198" spans="1:18" s="154" customFormat="1">
      <c r="A198" s="71" t="s">
        <v>8564</v>
      </c>
      <c r="B198" s="51"/>
      <c r="C198" s="51"/>
      <c r="D198" s="51">
        <v>1000</v>
      </c>
      <c r="E198" s="51">
        <v>0</v>
      </c>
      <c r="F198" s="51">
        <v>0</v>
      </c>
      <c r="G198" s="52" t="s">
        <v>5928</v>
      </c>
      <c r="H198" s="51"/>
      <c r="I198" s="51" t="b">
        <v>0</v>
      </c>
      <c r="J198" s="51" t="b">
        <v>0</v>
      </c>
      <c r="K198" s="51" t="b">
        <v>0</v>
      </c>
      <c r="L198" s="51" t="s">
        <v>8567</v>
      </c>
      <c r="M198" s="51"/>
      <c r="N198" s="51" t="str">
        <f>_xlfn.IFNA(VLOOKUP($M198,Buff.CM!$A:$O,13,FALSE),"")</f>
        <v/>
      </c>
      <c r="O198" s="51" t="str">
        <f>_xlfn.IFNA(VLOOKUP($M198,Buff.CM!$A:$O,14,FALSE),"")</f>
        <v/>
      </c>
      <c r="P198" s="51" t="str">
        <f>_xlfn.IFNA(VLOOKUP($M198,Buff.CM!$A:$O,15,FALSE),"")</f>
        <v/>
      </c>
      <c r="Q198" s="51" t="b">
        <v>0</v>
      </c>
      <c r="R198" s="51" t="b">
        <v>0</v>
      </c>
    </row>
    <row r="199" spans="1:18" s="153" customFormat="1">
      <c r="A199" s="26" t="s">
        <v>8561</v>
      </c>
      <c r="B199" s="26"/>
      <c r="C199" s="26"/>
      <c r="D199" s="26">
        <v>10000</v>
      </c>
      <c r="E199" s="26">
        <v>3</v>
      </c>
      <c r="F199" s="26">
        <v>1</v>
      </c>
      <c r="G199" s="26" t="s">
        <v>8393</v>
      </c>
      <c r="H199" s="26"/>
      <c r="I199" s="26" t="b">
        <v>0</v>
      </c>
      <c r="J199" s="26" t="b">
        <v>0</v>
      </c>
      <c r="K199" s="26" t="b">
        <v>0</v>
      </c>
      <c r="L199" s="26"/>
      <c r="M199" s="26" t="s">
        <v>8611</v>
      </c>
      <c r="N199" s="26" t="str">
        <f>_xlfn.IFNA(VLOOKUP($M199,Buff.CM!$A:$O,13,FALSE),"")</f>
        <v>icon_battle_id_debuff1</v>
      </c>
      <c r="O199" s="26" t="str">
        <f>_xlfn.IFNA(VLOOKUP($M199,Buff.CM!$A:$O,14,FALSE),"")</f>
        <v>info.id.debuff.passive.01</v>
      </c>
      <c r="P199" s="26" t="str">
        <f>_xlfn.IFNA(VLOOKUP($M199,Buff.CM!$A:$O,15,FALSE),"")</f>
        <v>Desc.info.id.debuff.passive.01</v>
      </c>
      <c r="Q199" s="26" t="b">
        <v>0</v>
      </c>
      <c r="R199" s="26" t="b">
        <v>0</v>
      </c>
    </row>
    <row r="200" spans="1:18" s="153" customFormat="1">
      <c r="A200" s="26" t="s">
        <v>8264</v>
      </c>
      <c r="B200" s="26"/>
      <c r="C200" s="26"/>
      <c r="D200" s="26">
        <v>10000</v>
      </c>
      <c r="E200" s="26">
        <v>3</v>
      </c>
      <c r="F200" s="26">
        <v>1</v>
      </c>
      <c r="G200" s="26" t="s">
        <v>8265</v>
      </c>
      <c r="H200" s="26"/>
      <c r="I200" s="26" t="b">
        <v>0</v>
      </c>
      <c r="J200" s="26" t="b">
        <v>0</v>
      </c>
      <c r="K200" s="26" t="b">
        <v>0</v>
      </c>
      <c r="L200" s="26"/>
      <c r="M200" s="26" t="s">
        <v>8611</v>
      </c>
      <c r="N200" s="26" t="str">
        <f>_xlfn.IFNA(VLOOKUP($M200,Buff.CM!$A:$O,13,FALSE),"")</f>
        <v>icon_battle_id_debuff1</v>
      </c>
      <c r="O200" s="26" t="str">
        <f>_xlfn.IFNA(VLOOKUP($M200,Buff.CM!$A:$O,14,FALSE),"")</f>
        <v>info.id.debuff.passive.01</v>
      </c>
      <c r="P200" s="26" t="str">
        <f>_xlfn.IFNA(VLOOKUP($M200,Buff.CM!$A:$O,15,FALSE),"")</f>
        <v>Desc.info.id.debuff.passive.01</v>
      </c>
      <c r="Q200" s="26" t="b">
        <v>0</v>
      </c>
      <c r="R200" s="26" t="b">
        <v>0</v>
      </c>
    </row>
    <row r="201" spans="1:18" s="153" customFormat="1">
      <c r="A201" s="26" t="s">
        <v>8266</v>
      </c>
      <c r="B201" s="26"/>
      <c r="C201" s="26"/>
      <c r="D201" s="26">
        <v>10000</v>
      </c>
      <c r="E201" s="26">
        <v>3</v>
      </c>
      <c r="F201" s="26">
        <v>1</v>
      </c>
      <c r="G201" s="26" t="s">
        <v>8267</v>
      </c>
      <c r="H201" s="26"/>
      <c r="I201" s="26" t="b">
        <v>0</v>
      </c>
      <c r="J201" s="26" t="b">
        <v>0</v>
      </c>
      <c r="K201" s="26" t="b">
        <v>0</v>
      </c>
      <c r="L201" s="26"/>
      <c r="M201" s="26" t="s">
        <v>8611</v>
      </c>
      <c r="N201" s="26" t="str">
        <f>_xlfn.IFNA(VLOOKUP($M201,Buff.CM!$A:$O,13,FALSE),"")</f>
        <v>icon_battle_id_debuff1</v>
      </c>
      <c r="O201" s="26" t="str">
        <f>_xlfn.IFNA(VLOOKUP($M201,Buff.CM!$A:$O,14,FALSE),"")</f>
        <v>info.id.debuff.passive.01</v>
      </c>
      <c r="P201" s="26" t="str">
        <f>_xlfn.IFNA(VLOOKUP($M201,Buff.CM!$A:$O,15,FALSE),"")</f>
        <v>Desc.info.id.debuff.passive.01</v>
      </c>
      <c r="Q201" s="26" t="b">
        <v>0</v>
      </c>
      <c r="R201" s="26" t="b">
        <v>0</v>
      </c>
    </row>
    <row r="202" spans="1:18" s="153" customFormat="1">
      <c r="A202" s="26" t="s">
        <v>8268</v>
      </c>
      <c r="B202" s="26"/>
      <c r="C202" s="26"/>
      <c r="D202" s="26">
        <v>10000</v>
      </c>
      <c r="E202" s="26">
        <v>3</v>
      </c>
      <c r="F202" s="26">
        <v>1</v>
      </c>
      <c r="G202" s="26" t="s">
        <v>8269</v>
      </c>
      <c r="H202" s="26"/>
      <c r="I202" s="26" t="b">
        <v>0</v>
      </c>
      <c r="J202" s="26" t="b">
        <v>0</v>
      </c>
      <c r="K202" s="26" t="b">
        <v>0</v>
      </c>
      <c r="L202" s="26"/>
      <c r="M202" s="26" t="s">
        <v>8611</v>
      </c>
      <c r="N202" s="26" t="str">
        <f>_xlfn.IFNA(VLOOKUP($M202,Buff.CM!$A:$O,13,FALSE),"")</f>
        <v>icon_battle_id_debuff1</v>
      </c>
      <c r="O202" s="26" t="str">
        <f>_xlfn.IFNA(VLOOKUP($M202,Buff.CM!$A:$O,14,FALSE),"")</f>
        <v>info.id.debuff.passive.01</v>
      </c>
      <c r="P202" s="26" t="str">
        <f>_xlfn.IFNA(VLOOKUP($M202,Buff.CM!$A:$O,15,FALSE),"")</f>
        <v>Desc.info.id.debuff.passive.01</v>
      </c>
      <c r="Q202" s="26" t="b">
        <v>0</v>
      </c>
      <c r="R202" s="26" t="b">
        <v>0</v>
      </c>
    </row>
    <row r="203" spans="1:18" s="153" customFormat="1">
      <c r="A203" s="26" t="s">
        <v>8270</v>
      </c>
      <c r="B203" s="26"/>
      <c r="C203" s="26"/>
      <c r="D203" s="26">
        <v>10000</v>
      </c>
      <c r="E203" s="26">
        <v>3</v>
      </c>
      <c r="F203" s="26">
        <v>1</v>
      </c>
      <c r="G203" s="26" t="s">
        <v>8271</v>
      </c>
      <c r="H203" s="26"/>
      <c r="I203" s="26" t="b">
        <v>0</v>
      </c>
      <c r="J203" s="26" t="b">
        <v>0</v>
      </c>
      <c r="K203" s="26" t="b">
        <v>0</v>
      </c>
      <c r="L203" s="26"/>
      <c r="M203" s="26" t="s">
        <v>8611</v>
      </c>
      <c r="N203" s="26" t="str">
        <f>_xlfn.IFNA(VLOOKUP($M203,Buff.CM!$A:$O,13,FALSE),"")</f>
        <v>icon_battle_id_debuff1</v>
      </c>
      <c r="O203" s="26" t="str">
        <f>_xlfn.IFNA(VLOOKUP($M203,Buff.CM!$A:$O,14,FALSE),"")</f>
        <v>info.id.debuff.passive.01</v>
      </c>
      <c r="P203" s="26" t="str">
        <f>_xlfn.IFNA(VLOOKUP($M203,Buff.CM!$A:$O,15,FALSE),"")</f>
        <v>Desc.info.id.debuff.passive.01</v>
      </c>
      <c r="Q203" s="26" t="b">
        <v>0</v>
      </c>
      <c r="R203" s="26" t="b">
        <v>0</v>
      </c>
    </row>
    <row r="204" spans="1:18" s="153" customFormat="1">
      <c r="A204" s="26" t="s">
        <v>8272</v>
      </c>
      <c r="B204" s="26"/>
      <c r="C204" s="26"/>
      <c r="D204" s="26">
        <v>10000</v>
      </c>
      <c r="E204" s="26">
        <v>3</v>
      </c>
      <c r="F204" s="26">
        <v>1</v>
      </c>
      <c r="G204" s="26" t="s">
        <v>8273</v>
      </c>
      <c r="H204" s="26"/>
      <c r="I204" s="26" t="b">
        <v>0</v>
      </c>
      <c r="J204" s="26" t="b">
        <v>0</v>
      </c>
      <c r="K204" s="26" t="b">
        <v>0</v>
      </c>
      <c r="L204" s="26"/>
      <c r="M204" s="26" t="s">
        <v>8611</v>
      </c>
      <c r="N204" s="26" t="str">
        <f>_xlfn.IFNA(VLOOKUP($M204,Buff.CM!$A:$O,13,FALSE),"")</f>
        <v>icon_battle_id_debuff1</v>
      </c>
      <c r="O204" s="26" t="str">
        <f>_xlfn.IFNA(VLOOKUP($M204,Buff.CM!$A:$O,14,FALSE),"")</f>
        <v>info.id.debuff.passive.01</v>
      </c>
      <c r="P204" s="26" t="str">
        <f>_xlfn.IFNA(VLOOKUP($M204,Buff.CM!$A:$O,15,FALSE),"")</f>
        <v>Desc.info.id.debuff.passive.01</v>
      </c>
      <c r="Q204" s="26" t="b">
        <v>0</v>
      </c>
      <c r="R204" s="26" t="b">
        <v>0</v>
      </c>
    </row>
    <row r="205" spans="1:18" s="143" customFormat="1">
      <c r="A205" s="25" t="s">
        <v>8394</v>
      </c>
      <c r="B205" s="25"/>
      <c r="C205" s="25"/>
      <c r="D205" s="25">
        <v>10000</v>
      </c>
      <c r="E205" s="25">
        <v>0</v>
      </c>
      <c r="F205" s="25">
        <v>0</v>
      </c>
      <c r="G205" s="25" t="s">
        <v>8623</v>
      </c>
      <c r="H205" s="25"/>
      <c r="I205" s="25" t="b">
        <v>0</v>
      </c>
      <c r="J205" s="25" t="b">
        <v>0</v>
      </c>
      <c r="K205" s="25" t="b">
        <v>0</v>
      </c>
      <c r="L205" s="25"/>
      <c r="M205" s="25" t="s">
        <v>1634</v>
      </c>
      <c r="N205" s="25" t="str">
        <f>_xlfn.IFNA(VLOOKUP($M205,Buff.CM!$A:$O,13,FALSE),"")</f>
        <v>icon_battle_poison</v>
      </c>
      <c r="O205" s="25" t="str">
        <f>_xlfn.IFNA(VLOOKUP($M205,Buff.CM!$A:$O,14,FALSE),"")</f>
        <v>Buff.Name.Poison.03</v>
      </c>
      <c r="P205" s="25" t="str">
        <f>_xlfn.IFNA(VLOOKUP($M205,Buff.CM!$A:$O,15,FALSE),"")</f>
        <v>Buff.Desc.Poison.03</v>
      </c>
      <c r="Q205" s="25" t="b">
        <v>0</v>
      </c>
      <c r="R205" s="25" t="b">
        <v>0</v>
      </c>
    </row>
    <row r="206" spans="1:18" s="143" customFormat="1">
      <c r="A206" s="25" t="s">
        <v>8274</v>
      </c>
      <c r="B206" s="25"/>
      <c r="C206" s="25"/>
      <c r="D206" s="25">
        <v>10000</v>
      </c>
      <c r="E206" s="25">
        <v>0</v>
      </c>
      <c r="F206" s="25">
        <v>0</v>
      </c>
      <c r="G206" s="25" t="s">
        <v>8624</v>
      </c>
      <c r="H206" s="25"/>
      <c r="I206" s="25" t="b">
        <v>0</v>
      </c>
      <c r="J206" s="25" t="b">
        <v>0</v>
      </c>
      <c r="K206" s="25" t="b">
        <v>0</v>
      </c>
      <c r="L206" s="25"/>
      <c r="M206" s="25" t="s">
        <v>1634</v>
      </c>
      <c r="N206" s="25" t="str">
        <f>_xlfn.IFNA(VLOOKUP($M206,Buff.CM!$A:$O,13,FALSE),"")</f>
        <v>icon_battle_poison</v>
      </c>
      <c r="O206" s="25" t="str">
        <f>_xlfn.IFNA(VLOOKUP($M206,Buff.CM!$A:$O,14,FALSE),"")</f>
        <v>Buff.Name.Poison.03</v>
      </c>
      <c r="P206" s="25" t="str">
        <f>_xlfn.IFNA(VLOOKUP($M206,Buff.CM!$A:$O,15,FALSE),"")</f>
        <v>Buff.Desc.Poison.03</v>
      </c>
      <c r="Q206" s="25" t="b">
        <v>0</v>
      </c>
      <c r="R206" s="25" t="b">
        <v>0</v>
      </c>
    </row>
    <row r="207" spans="1:18" s="143" customFormat="1">
      <c r="A207" s="25" t="s">
        <v>8275</v>
      </c>
      <c r="B207" s="25"/>
      <c r="C207" s="25"/>
      <c r="D207" s="25">
        <v>10000</v>
      </c>
      <c r="E207" s="25">
        <v>0</v>
      </c>
      <c r="F207" s="25">
        <v>0</v>
      </c>
      <c r="G207" s="25" t="s">
        <v>8625</v>
      </c>
      <c r="H207" s="25"/>
      <c r="I207" s="25" t="b">
        <v>0</v>
      </c>
      <c r="J207" s="25" t="b">
        <v>0</v>
      </c>
      <c r="K207" s="25" t="b">
        <v>0</v>
      </c>
      <c r="L207" s="25"/>
      <c r="M207" s="25" t="s">
        <v>1635</v>
      </c>
      <c r="N207" s="25" t="str">
        <f>_xlfn.IFNA(VLOOKUP($M207,Buff.CM!$A:$O,13,FALSE),"")</f>
        <v>icon_battle_poison</v>
      </c>
      <c r="O207" s="25" t="str">
        <f>_xlfn.IFNA(VLOOKUP($M207,Buff.CM!$A:$O,14,FALSE),"")</f>
        <v>Buff.Name.Poison.04</v>
      </c>
      <c r="P207" s="25" t="str">
        <f>_xlfn.IFNA(VLOOKUP($M207,Buff.CM!$A:$O,15,FALSE),"")</f>
        <v>Buff.Desc.Poison.04</v>
      </c>
      <c r="Q207" s="25" t="b">
        <v>0</v>
      </c>
      <c r="R207" s="25" t="b">
        <v>0</v>
      </c>
    </row>
    <row r="208" spans="1:18" s="143" customFormat="1">
      <c r="A208" s="25" t="s">
        <v>8276</v>
      </c>
      <c r="B208" s="25"/>
      <c r="C208" s="25"/>
      <c r="D208" s="25">
        <v>10000</v>
      </c>
      <c r="E208" s="25">
        <v>0</v>
      </c>
      <c r="F208" s="25">
        <v>0</v>
      </c>
      <c r="G208" s="25" t="s">
        <v>8626</v>
      </c>
      <c r="H208" s="25"/>
      <c r="I208" s="25" t="b">
        <v>0</v>
      </c>
      <c r="J208" s="25" t="b">
        <v>0</v>
      </c>
      <c r="K208" s="25" t="b">
        <v>0</v>
      </c>
      <c r="L208" s="25"/>
      <c r="M208" s="25" t="s">
        <v>1635</v>
      </c>
      <c r="N208" s="25" t="str">
        <f>_xlfn.IFNA(VLOOKUP($M208,Buff.CM!$A:$O,13,FALSE),"")</f>
        <v>icon_battle_poison</v>
      </c>
      <c r="O208" s="25" t="str">
        <f>_xlfn.IFNA(VLOOKUP($M208,Buff.CM!$A:$O,14,FALSE),"")</f>
        <v>Buff.Name.Poison.04</v>
      </c>
      <c r="P208" s="25" t="str">
        <f>_xlfn.IFNA(VLOOKUP($M208,Buff.CM!$A:$O,15,FALSE),"")</f>
        <v>Buff.Desc.Poison.04</v>
      </c>
      <c r="Q208" s="25" t="b">
        <v>0</v>
      </c>
      <c r="R208" s="25" t="b">
        <v>0</v>
      </c>
    </row>
    <row r="209" spans="1:18" s="143" customFormat="1">
      <c r="A209" s="25" t="s">
        <v>8277</v>
      </c>
      <c r="B209" s="25"/>
      <c r="C209" s="25"/>
      <c r="D209" s="25">
        <v>10000</v>
      </c>
      <c r="E209" s="25">
        <v>0</v>
      </c>
      <c r="F209" s="25">
        <v>0</v>
      </c>
      <c r="G209" s="25" t="s">
        <v>8627</v>
      </c>
      <c r="H209" s="25"/>
      <c r="I209" s="25" t="b">
        <v>0</v>
      </c>
      <c r="J209" s="25" t="b">
        <v>0</v>
      </c>
      <c r="K209" s="25" t="b">
        <v>0</v>
      </c>
      <c r="L209" s="25"/>
      <c r="M209" s="25" t="s">
        <v>1636</v>
      </c>
      <c r="N209" s="25" t="str">
        <f>_xlfn.IFNA(VLOOKUP($M209,Buff.CM!$A:$O,13,FALSE),"")</f>
        <v>icon_battle_poison</v>
      </c>
      <c r="O209" s="25" t="str">
        <f>_xlfn.IFNA(VLOOKUP($M209,Buff.CM!$A:$O,14,FALSE),"")</f>
        <v>Buff.Name.Poison.05</v>
      </c>
      <c r="P209" s="25" t="str">
        <f>_xlfn.IFNA(VLOOKUP($M209,Buff.CM!$A:$O,15,FALSE),"")</f>
        <v>Buff.Desc.Poison.05</v>
      </c>
      <c r="Q209" s="25" t="b">
        <v>0</v>
      </c>
      <c r="R209" s="25" t="b">
        <v>0</v>
      </c>
    </row>
    <row r="210" spans="1:18" s="143" customFormat="1">
      <c r="A210" s="25" t="s">
        <v>8278</v>
      </c>
      <c r="B210" s="25"/>
      <c r="C210" s="25"/>
      <c r="D210" s="25">
        <v>10000</v>
      </c>
      <c r="E210" s="25">
        <v>0</v>
      </c>
      <c r="F210" s="25">
        <v>0</v>
      </c>
      <c r="G210" s="25" t="s">
        <v>8628</v>
      </c>
      <c r="H210" s="25"/>
      <c r="I210" s="25" t="b">
        <v>0</v>
      </c>
      <c r="J210" s="25" t="b">
        <v>0</v>
      </c>
      <c r="K210" s="25" t="b">
        <v>0</v>
      </c>
      <c r="L210" s="25"/>
      <c r="M210" s="25" t="s">
        <v>1636</v>
      </c>
      <c r="N210" s="25" t="str">
        <f>_xlfn.IFNA(VLOOKUP($M210,Buff.CM!$A:$O,13,FALSE),"")</f>
        <v>icon_battle_poison</v>
      </c>
      <c r="O210" s="25" t="str">
        <f>_xlfn.IFNA(VLOOKUP($M210,Buff.CM!$A:$O,14,FALSE),"")</f>
        <v>Buff.Name.Poison.05</v>
      </c>
      <c r="P210" s="25" t="str">
        <f>_xlfn.IFNA(VLOOKUP($M210,Buff.CM!$A:$O,15,FALSE),"")</f>
        <v>Buff.Desc.Poison.05</v>
      </c>
      <c r="Q210" s="25" t="b">
        <v>0</v>
      </c>
      <c r="R210" s="25" t="b">
        <v>0</v>
      </c>
    </row>
    <row r="211" spans="1:18" s="153" customFormat="1" ht="33">
      <c r="A211" s="26" t="s">
        <v>8395</v>
      </c>
      <c r="B211" s="26"/>
      <c r="C211" s="26"/>
      <c r="D211" s="26">
        <v>2500</v>
      </c>
      <c r="E211" s="26">
        <v>0</v>
      </c>
      <c r="F211" s="26">
        <v>0</v>
      </c>
      <c r="G211" s="45" t="s">
        <v>8629</v>
      </c>
      <c r="H211" s="26"/>
      <c r="I211" s="26" t="b">
        <v>0</v>
      </c>
      <c r="J211" s="26" t="b">
        <v>0</v>
      </c>
      <c r="K211" s="26" t="b">
        <v>0</v>
      </c>
      <c r="L211" s="26" t="s">
        <v>8568</v>
      </c>
      <c r="M211" s="26" t="s">
        <v>8613</v>
      </c>
      <c r="N211" s="26" t="str">
        <f>_xlfn.IFNA(VLOOKUP($M211,Buff.CM!$A:$O,13,FALSE),"")</f>
        <v>icon_battle_id_debuff2</v>
      </c>
      <c r="O211" s="26" t="str">
        <f>_xlfn.IFNA(VLOOKUP($M211,Buff.CM!$A:$O,14,FALSE),"")</f>
        <v>info.id.debuff.passive.02</v>
      </c>
      <c r="P211" s="26" t="str">
        <f>_xlfn.IFNA(VLOOKUP($M211,Buff.CM!$A:$O,15,FALSE),"")</f>
        <v>Desc.info.id.debuff.passive.02</v>
      </c>
      <c r="Q211" s="26" t="b">
        <v>0</v>
      </c>
      <c r="R211" s="26" t="b">
        <v>0</v>
      </c>
    </row>
    <row r="212" spans="1:18" s="153" customFormat="1" ht="33">
      <c r="A212" s="26" t="s">
        <v>8279</v>
      </c>
      <c r="B212" s="26"/>
      <c r="C212" s="26"/>
      <c r="D212" s="26">
        <v>2500</v>
      </c>
      <c r="E212" s="26">
        <v>0</v>
      </c>
      <c r="F212" s="26">
        <v>0</v>
      </c>
      <c r="G212" s="45" t="s">
        <v>8630</v>
      </c>
      <c r="H212" s="26"/>
      <c r="I212" s="26" t="b">
        <v>0</v>
      </c>
      <c r="J212" s="26" t="b">
        <v>0</v>
      </c>
      <c r="K212" s="26" t="b">
        <v>0</v>
      </c>
      <c r="L212" s="26" t="s">
        <v>8568</v>
      </c>
      <c r="M212" s="26" t="s">
        <v>8613</v>
      </c>
      <c r="N212" s="26" t="str">
        <f>_xlfn.IFNA(VLOOKUP($M212,Buff.CM!$A:$O,13,FALSE),"")</f>
        <v>icon_battle_id_debuff2</v>
      </c>
      <c r="O212" s="26" t="str">
        <f>_xlfn.IFNA(VLOOKUP($M212,Buff.CM!$A:$O,14,FALSE),"")</f>
        <v>info.id.debuff.passive.02</v>
      </c>
      <c r="P212" s="26" t="str">
        <f>_xlfn.IFNA(VLOOKUP($M212,Buff.CM!$A:$O,15,FALSE),"")</f>
        <v>Desc.info.id.debuff.passive.02</v>
      </c>
      <c r="Q212" s="26" t="b">
        <v>0</v>
      </c>
      <c r="R212" s="26" t="b">
        <v>0</v>
      </c>
    </row>
    <row r="213" spans="1:18" s="153" customFormat="1" ht="33">
      <c r="A213" s="26" t="s">
        <v>8280</v>
      </c>
      <c r="B213" s="26"/>
      <c r="C213" s="26"/>
      <c r="D213" s="26">
        <v>2500</v>
      </c>
      <c r="E213" s="26">
        <v>0</v>
      </c>
      <c r="F213" s="26">
        <v>0</v>
      </c>
      <c r="G213" s="45" t="s">
        <v>8631</v>
      </c>
      <c r="H213" s="26"/>
      <c r="I213" s="26" t="b">
        <v>0</v>
      </c>
      <c r="J213" s="26" t="b">
        <v>0</v>
      </c>
      <c r="K213" s="26" t="b">
        <v>0</v>
      </c>
      <c r="L213" s="26" t="s">
        <v>8568</v>
      </c>
      <c r="M213" s="26" t="s">
        <v>8613</v>
      </c>
      <c r="N213" s="26" t="str">
        <f>_xlfn.IFNA(VLOOKUP($M213,Buff.CM!$A:$O,13,FALSE),"")</f>
        <v>icon_battle_id_debuff2</v>
      </c>
      <c r="O213" s="26" t="str">
        <f>_xlfn.IFNA(VLOOKUP($M213,Buff.CM!$A:$O,14,FALSE),"")</f>
        <v>info.id.debuff.passive.02</v>
      </c>
      <c r="P213" s="26" t="str">
        <f>_xlfn.IFNA(VLOOKUP($M213,Buff.CM!$A:$O,15,FALSE),"")</f>
        <v>Desc.info.id.debuff.passive.02</v>
      </c>
      <c r="Q213" s="26" t="b">
        <v>0</v>
      </c>
      <c r="R213" s="26" t="b">
        <v>0</v>
      </c>
    </row>
    <row r="214" spans="1:18" s="153" customFormat="1" ht="33">
      <c r="A214" s="26" t="s">
        <v>8281</v>
      </c>
      <c r="B214" s="26"/>
      <c r="C214" s="26"/>
      <c r="D214" s="26">
        <v>2500</v>
      </c>
      <c r="E214" s="26">
        <v>0</v>
      </c>
      <c r="F214" s="26">
        <v>0</v>
      </c>
      <c r="G214" s="45" t="s">
        <v>8632</v>
      </c>
      <c r="H214" s="26"/>
      <c r="I214" s="26" t="b">
        <v>0</v>
      </c>
      <c r="J214" s="26" t="b">
        <v>0</v>
      </c>
      <c r="K214" s="26" t="b">
        <v>0</v>
      </c>
      <c r="L214" s="26" t="s">
        <v>8568</v>
      </c>
      <c r="M214" s="26" t="s">
        <v>8613</v>
      </c>
      <c r="N214" s="26" t="str">
        <f>_xlfn.IFNA(VLOOKUP($M214,Buff.CM!$A:$O,13,FALSE),"")</f>
        <v>icon_battle_id_debuff2</v>
      </c>
      <c r="O214" s="26" t="str">
        <f>_xlfn.IFNA(VLOOKUP($M214,Buff.CM!$A:$O,14,FALSE),"")</f>
        <v>info.id.debuff.passive.02</v>
      </c>
      <c r="P214" s="26" t="str">
        <f>_xlfn.IFNA(VLOOKUP($M214,Buff.CM!$A:$O,15,FALSE),"")</f>
        <v>Desc.info.id.debuff.passive.02</v>
      </c>
      <c r="Q214" s="26" t="b">
        <v>0</v>
      </c>
      <c r="R214" s="26" t="b">
        <v>0</v>
      </c>
    </row>
    <row r="215" spans="1:18" s="153" customFormat="1" ht="33">
      <c r="A215" s="26" t="s">
        <v>8282</v>
      </c>
      <c r="B215" s="26"/>
      <c r="C215" s="26"/>
      <c r="D215" s="26">
        <v>2500</v>
      </c>
      <c r="E215" s="26">
        <v>0</v>
      </c>
      <c r="F215" s="26">
        <v>0</v>
      </c>
      <c r="G215" s="45" t="s">
        <v>8632</v>
      </c>
      <c r="H215" s="26"/>
      <c r="I215" s="26" t="b">
        <v>0</v>
      </c>
      <c r="J215" s="26" t="b">
        <v>0</v>
      </c>
      <c r="K215" s="26" t="b">
        <v>0</v>
      </c>
      <c r="L215" s="26" t="s">
        <v>8568</v>
      </c>
      <c r="M215" s="26" t="s">
        <v>8613</v>
      </c>
      <c r="N215" s="26" t="str">
        <f>_xlfn.IFNA(VLOOKUP($M215,Buff.CM!$A:$O,13,FALSE),"")</f>
        <v>icon_battle_id_debuff2</v>
      </c>
      <c r="O215" s="26" t="str">
        <f>_xlfn.IFNA(VLOOKUP($M215,Buff.CM!$A:$O,14,FALSE),"")</f>
        <v>info.id.debuff.passive.02</v>
      </c>
      <c r="P215" s="26" t="str">
        <f>_xlfn.IFNA(VLOOKUP($M215,Buff.CM!$A:$O,15,FALSE),"")</f>
        <v>Desc.info.id.debuff.passive.02</v>
      </c>
      <c r="Q215" s="26" t="b">
        <v>0</v>
      </c>
      <c r="R215" s="26" t="b">
        <v>0</v>
      </c>
    </row>
    <row r="216" spans="1:18" s="153" customFormat="1" ht="33">
      <c r="A216" s="26" t="s">
        <v>8283</v>
      </c>
      <c r="B216" s="26"/>
      <c r="C216" s="26"/>
      <c r="D216" s="26">
        <v>2500</v>
      </c>
      <c r="E216" s="26">
        <v>0</v>
      </c>
      <c r="F216" s="26">
        <v>0</v>
      </c>
      <c r="G216" s="45" t="s">
        <v>8632</v>
      </c>
      <c r="H216" s="26"/>
      <c r="I216" s="26" t="b">
        <v>0</v>
      </c>
      <c r="J216" s="26" t="b">
        <v>0</v>
      </c>
      <c r="K216" s="26" t="b">
        <v>0</v>
      </c>
      <c r="L216" s="26" t="s">
        <v>8568</v>
      </c>
      <c r="M216" s="26" t="s">
        <v>8613</v>
      </c>
      <c r="N216" s="26" t="str">
        <f>_xlfn.IFNA(VLOOKUP($M216,Buff.CM!$A:$O,13,FALSE),"")</f>
        <v>icon_battle_id_debuff2</v>
      </c>
      <c r="O216" s="26" t="str">
        <f>_xlfn.IFNA(VLOOKUP($M216,Buff.CM!$A:$O,14,FALSE),"")</f>
        <v>info.id.debuff.passive.02</v>
      </c>
      <c r="P216" s="26" t="str">
        <f>_xlfn.IFNA(VLOOKUP($M216,Buff.CM!$A:$O,15,FALSE),"")</f>
        <v>Desc.info.id.debuff.passive.02</v>
      </c>
      <c r="Q216" s="26" t="b">
        <v>0</v>
      </c>
      <c r="R216" s="26" t="b">
        <v>0</v>
      </c>
    </row>
    <row r="217" spans="1:18" s="154" customFormat="1">
      <c r="A217" s="51" t="s">
        <v>8396</v>
      </c>
      <c r="B217" s="51"/>
      <c r="C217" s="51"/>
      <c r="D217" s="51">
        <v>0</v>
      </c>
      <c r="E217" s="51">
        <v>0</v>
      </c>
      <c r="F217" s="51">
        <v>0</v>
      </c>
      <c r="G217" s="51" t="s">
        <v>8304</v>
      </c>
      <c r="H217" s="51"/>
      <c r="I217" s="51" t="b">
        <v>0</v>
      </c>
      <c r="J217" s="51" t="b">
        <v>0</v>
      </c>
      <c r="K217" s="26" t="b">
        <v>0</v>
      </c>
      <c r="L217" s="51"/>
      <c r="M217" s="51"/>
      <c r="N217" s="51" t="str">
        <f>_xlfn.IFNA(VLOOKUP($M217,Buff.CM!$A:$O,13,FALSE),"")</f>
        <v/>
      </c>
      <c r="O217" s="51" t="str">
        <f>_xlfn.IFNA(VLOOKUP($M217,Buff.CM!$A:$O,14,FALSE),"")</f>
        <v/>
      </c>
      <c r="P217" s="51" t="str">
        <f>_xlfn.IFNA(VLOOKUP($M217,Buff.CM!$A:$O,15,FALSE),"")</f>
        <v/>
      </c>
      <c r="Q217" s="51" t="b">
        <v>0</v>
      </c>
      <c r="R217" s="51" t="b">
        <v>0</v>
      </c>
    </row>
    <row r="218" spans="1:18" s="153" customFormat="1">
      <c r="A218" s="29" t="s">
        <v>8397</v>
      </c>
      <c r="B218" s="26"/>
      <c r="C218" s="26"/>
      <c r="D218" s="26">
        <v>10000</v>
      </c>
      <c r="E218" s="26">
        <v>10</v>
      </c>
      <c r="F218" s="26">
        <v>1</v>
      </c>
      <c r="G218" s="45" t="s">
        <v>122</v>
      </c>
      <c r="H218" s="26"/>
      <c r="I218" s="26" t="b">
        <v>0</v>
      </c>
      <c r="J218" s="26" t="b">
        <v>0</v>
      </c>
      <c r="K218" s="51" t="b">
        <v>1</v>
      </c>
      <c r="L218" s="26"/>
      <c r="M218" s="26"/>
      <c r="N218" s="26" t="str">
        <f>_xlfn.IFNA(VLOOKUP($M218,Buff.CM!$A:$O,13,FALSE),"")</f>
        <v/>
      </c>
      <c r="O218" s="26" t="str">
        <f>_xlfn.IFNA(VLOOKUP($M218,Buff.CM!$A:$O,14,FALSE),"")</f>
        <v/>
      </c>
      <c r="P218" s="26" t="str">
        <f>_xlfn.IFNA(VLOOKUP($M218,Buff.CM!$A:$O,15,FALSE),"")</f>
        <v/>
      </c>
      <c r="Q218" s="26" t="b">
        <v>0</v>
      </c>
      <c r="R218" s="26" t="b">
        <v>0</v>
      </c>
    </row>
    <row r="219" spans="1:18" s="143" customFormat="1">
      <c r="A219" s="25" t="s">
        <v>8398</v>
      </c>
      <c r="B219" s="25"/>
      <c r="C219" s="25"/>
      <c r="D219" s="25">
        <v>0</v>
      </c>
      <c r="E219" s="25">
        <v>0</v>
      </c>
      <c r="F219" s="25">
        <v>0</v>
      </c>
      <c r="G219" s="25" t="s">
        <v>8399</v>
      </c>
      <c r="H219" s="25"/>
      <c r="I219" s="25" t="b">
        <v>0</v>
      </c>
      <c r="J219" s="25" t="b">
        <v>0</v>
      </c>
      <c r="K219" s="25" t="b">
        <v>1</v>
      </c>
      <c r="L219" s="25"/>
      <c r="M219" s="25"/>
      <c r="N219" s="25" t="str">
        <f>_xlfn.IFNA(VLOOKUP($M219,Buff.CM!$A:$O,13,FALSE),"")</f>
        <v/>
      </c>
      <c r="O219" s="25" t="str">
        <f>_xlfn.IFNA(VLOOKUP($M219,Buff.CM!$A:$O,14,FALSE),"")</f>
        <v/>
      </c>
      <c r="P219" s="25" t="str">
        <f>_xlfn.IFNA(VLOOKUP($M219,Buff.CM!$A:$O,15,FALSE),"")</f>
        <v/>
      </c>
      <c r="Q219" s="25" t="b">
        <v>0</v>
      </c>
      <c r="R219" s="25" t="b">
        <v>0</v>
      </c>
    </row>
    <row r="220" spans="1:18" s="143" customFormat="1">
      <c r="A220" s="25" t="s">
        <v>8284</v>
      </c>
      <c r="B220" s="25"/>
      <c r="C220" s="25"/>
      <c r="D220" s="25">
        <v>0</v>
      </c>
      <c r="E220" s="25">
        <v>0</v>
      </c>
      <c r="F220" s="25">
        <v>0</v>
      </c>
      <c r="G220" s="25" t="s">
        <v>8285</v>
      </c>
      <c r="H220" s="25"/>
      <c r="I220" s="25" t="b">
        <v>0</v>
      </c>
      <c r="J220" s="25" t="b">
        <v>0</v>
      </c>
      <c r="K220" s="25" t="b">
        <v>1</v>
      </c>
      <c r="L220" s="25"/>
      <c r="M220" s="25"/>
      <c r="N220" s="25" t="str">
        <f>_xlfn.IFNA(VLOOKUP($M220,Buff.CM!$A:$O,13,FALSE),"")</f>
        <v/>
      </c>
      <c r="O220" s="25" t="str">
        <f>_xlfn.IFNA(VLOOKUP($M220,Buff.CM!$A:$O,14,FALSE),"")</f>
        <v/>
      </c>
      <c r="P220" s="25" t="str">
        <f>_xlfn.IFNA(VLOOKUP($M220,Buff.CM!$A:$O,15,FALSE),"")</f>
        <v/>
      </c>
      <c r="Q220" s="25" t="b">
        <v>0</v>
      </c>
      <c r="R220" s="25" t="b">
        <v>0</v>
      </c>
    </row>
    <row r="221" spans="1:18" s="143" customFormat="1">
      <c r="A221" s="25" t="s">
        <v>8286</v>
      </c>
      <c r="B221" s="25"/>
      <c r="C221" s="25"/>
      <c r="D221" s="25">
        <v>0</v>
      </c>
      <c r="E221" s="25">
        <v>0</v>
      </c>
      <c r="F221" s="25">
        <v>0</v>
      </c>
      <c r="G221" s="25" t="s">
        <v>8287</v>
      </c>
      <c r="H221" s="25"/>
      <c r="I221" s="25" t="b">
        <v>0</v>
      </c>
      <c r="J221" s="25" t="b">
        <v>0</v>
      </c>
      <c r="K221" s="25" t="b">
        <v>1</v>
      </c>
      <c r="L221" s="25"/>
      <c r="M221" s="25"/>
      <c r="N221" s="25" t="str">
        <f>_xlfn.IFNA(VLOOKUP($M221,Buff.CM!$A:$O,13,FALSE),"")</f>
        <v/>
      </c>
      <c r="O221" s="25" t="str">
        <f>_xlfn.IFNA(VLOOKUP($M221,Buff.CM!$A:$O,14,FALSE),"")</f>
        <v/>
      </c>
      <c r="P221" s="25" t="str">
        <f>_xlfn.IFNA(VLOOKUP($M221,Buff.CM!$A:$O,15,FALSE),"")</f>
        <v/>
      </c>
      <c r="Q221" s="25" t="b">
        <v>0</v>
      </c>
      <c r="R221" s="25" t="b">
        <v>0</v>
      </c>
    </row>
    <row r="222" spans="1:18" s="143" customFormat="1">
      <c r="A222" s="25" t="s">
        <v>8288</v>
      </c>
      <c r="B222" s="25"/>
      <c r="C222" s="25"/>
      <c r="D222" s="25">
        <v>0</v>
      </c>
      <c r="E222" s="25">
        <v>0</v>
      </c>
      <c r="F222" s="25">
        <v>0</v>
      </c>
      <c r="G222" s="25" t="s">
        <v>8289</v>
      </c>
      <c r="H222" s="25"/>
      <c r="I222" s="25" t="b">
        <v>0</v>
      </c>
      <c r="J222" s="25" t="b">
        <v>0</v>
      </c>
      <c r="K222" s="25" t="b">
        <v>1</v>
      </c>
      <c r="L222" s="25"/>
      <c r="M222" s="25"/>
      <c r="N222" s="25" t="str">
        <f>_xlfn.IFNA(VLOOKUP($M222,Buff.CM!$A:$O,13,FALSE),"")</f>
        <v/>
      </c>
      <c r="O222" s="25" t="str">
        <f>_xlfn.IFNA(VLOOKUP($M222,Buff.CM!$A:$O,14,FALSE),"")</f>
        <v/>
      </c>
      <c r="P222" s="25" t="str">
        <f>_xlfn.IFNA(VLOOKUP($M222,Buff.CM!$A:$O,15,FALSE),"")</f>
        <v/>
      </c>
      <c r="Q222" s="25" t="b">
        <v>0</v>
      </c>
      <c r="R222" s="25" t="b">
        <v>0</v>
      </c>
    </row>
    <row r="223" spans="1:18" s="143" customFormat="1">
      <c r="A223" s="25" t="s">
        <v>8290</v>
      </c>
      <c r="B223" s="25"/>
      <c r="C223" s="25"/>
      <c r="D223" s="25">
        <v>0</v>
      </c>
      <c r="E223" s="25">
        <v>0</v>
      </c>
      <c r="F223" s="25">
        <v>0</v>
      </c>
      <c r="G223" s="25" t="s">
        <v>8291</v>
      </c>
      <c r="H223" s="25"/>
      <c r="I223" s="25" t="b">
        <v>0</v>
      </c>
      <c r="J223" s="25" t="b">
        <v>0</v>
      </c>
      <c r="K223" s="25" t="b">
        <v>1</v>
      </c>
      <c r="L223" s="25"/>
      <c r="M223" s="25"/>
      <c r="N223" s="25" t="str">
        <f>_xlfn.IFNA(VLOOKUP($M223,Buff.CM!$A:$O,13,FALSE),"")</f>
        <v/>
      </c>
      <c r="O223" s="25" t="str">
        <f>_xlfn.IFNA(VLOOKUP($M223,Buff.CM!$A:$O,14,FALSE),"")</f>
        <v/>
      </c>
      <c r="P223" s="25" t="str">
        <f>_xlfn.IFNA(VLOOKUP($M223,Buff.CM!$A:$O,15,FALSE),"")</f>
        <v/>
      </c>
      <c r="Q223" s="25" t="b">
        <v>0</v>
      </c>
      <c r="R223" s="25" t="b">
        <v>0</v>
      </c>
    </row>
    <row r="224" spans="1:18" s="143" customFormat="1">
      <c r="A224" s="25" t="s">
        <v>8292</v>
      </c>
      <c r="B224" s="25"/>
      <c r="C224" s="25"/>
      <c r="D224" s="25">
        <v>0</v>
      </c>
      <c r="E224" s="25">
        <v>0</v>
      </c>
      <c r="F224" s="25">
        <v>0</v>
      </c>
      <c r="G224" s="25" t="s">
        <v>8293</v>
      </c>
      <c r="H224" s="25"/>
      <c r="I224" s="25" t="b">
        <v>0</v>
      </c>
      <c r="J224" s="25" t="b">
        <v>0</v>
      </c>
      <c r="K224" s="25" t="b">
        <v>1</v>
      </c>
      <c r="L224" s="25"/>
      <c r="M224" s="25"/>
      <c r="N224" s="25" t="str">
        <f>_xlfn.IFNA(VLOOKUP($M224,Buff.CM!$A:$O,13,FALSE),"")</f>
        <v/>
      </c>
      <c r="O224" s="25" t="str">
        <f>_xlfn.IFNA(VLOOKUP($M224,Buff.CM!$A:$O,14,FALSE),"")</f>
        <v/>
      </c>
      <c r="P224" s="25" t="str">
        <f>_xlfn.IFNA(VLOOKUP($M224,Buff.CM!$A:$O,15,FALSE),"")</f>
        <v/>
      </c>
      <c r="Q224" s="25" t="b">
        <v>0</v>
      </c>
      <c r="R224" s="25" t="b">
        <v>0</v>
      </c>
    </row>
    <row r="225" spans="1:18" s="154" customFormat="1">
      <c r="A225" s="51" t="s">
        <v>8554</v>
      </c>
      <c r="B225" s="51"/>
      <c r="C225" s="51"/>
      <c r="D225" s="51">
        <v>1000</v>
      </c>
      <c r="E225" s="51">
        <v>0</v>
      </c>
      <c r="F225" s="51">
        <v>0</v>
      </c>
      <c r="G225" s="51" t="s">
        <v>5928</v>
      </c>
      <c r="H225" s="51"/>
      <c r="I225" s="51" t="b">
        <v>0</v>
      </c>
      <c r="J225" s="51" t="b">
        <v>0</v>
      </c>
      <c r="K225" s="26" t="b">
        <v>0</v>
      </c>
      <c r="L225" s="52" t="s">
        <v>8560</v>
      </c>
      <c r="M225" s="51"/>
      <c r="N225" s="51" t="str">
        <f>_xlfn.IFNA(VLOOKUP($M225,Buff.CM!$A:$O,13,FALSE),"")</f>
        <v/>
      </c>
      <c r="O225" s="51" t="str">
        <f>_xlfn.IFNA(VLOOKUP($M225,Buff.CM!$A:$O,14,FALSE),"")</f>
        <v/>
      </c>
      <c r="P225" s="51" t="str">
        <f>_xlfn.IFNA(VLOOKUP($M225,Buff.CM!$A:$O,15,FALSE),"")</f>
        <v/>
      </c>
      <c r="Q225" s="51" t="b">
        <v>0</v>
      </c>
      <c r="R225" s="51" t="b">
        <v>0</v>
      </c>
    </row>
    <row r="226" spans="1:18">
      <c r="A226" s="65" t="s">
        <v>6934</v>
      </c>
      <c r="B226" s="65"/>
      <c r="C226" s="65"/>
      <c r="D226" s="65">
        <v>0</v>
      </c>
      <c r="E226" s="65">
        <v>0</v>
      </c>
      <c r="F226" s="65">
        <v>0</v>
      </c>
      <c r="G226" s="67" t="s">
        <v>6935</v>
      </c>
      <c r="H226" s="65"/>
      <c r="I226" s="65" t="b">
        <v>0</v>
      </c>
      <c r="J226" s="65" t="b">
        <v>0</v>
      </c>
      <c r="K226" s="65" t="b">
        <v>1</v>
      </c>
      <c r="L226" s="65"/>
      <c r="M226" s="65"/>
      <c r="N226" s="65" t="str">
        <f>_xlfn.IFNA(VLOOKUP($M226,Buff.CM!$A:$O,13,FALSE),"")</f>
        <v/>
      </c>
      <c r="O226" s="65" t="str">
        <f>_xlfn.IFNA(VLOOKUP($M226,Buff.CM!$A:$O,14,FALSE),"")</f>
        <v/>
      </c>
      <c r="P226" s="65" t="str">
        <f>_xlfn.IFNA(VLOOKUP($M226,Buff.CM!$A:$O,15,FALSE),"")</f>
        <v/>
      </c>
      <c r="Q226" s="65" t="b">
        <v>0</v>
      </c>
      <c r="R226" s="65" t="b">
        <v>0</v>
      </c>
    </row>
    <row r="227" spans="1:18">
      <c r="A227" s="65" t="s">
        <v>4298</v>
      </c>
      <c r="B227" s="65"/>
      <c r="C227" s="65"/>
      <c r="D227" s="65">
        <v>0</v>
      </c>
      <c r="E227" s="65">
        <v>0</v>
      </c>
      <c r="F227" s="65">
        <v>0</v>
      </c>
      <c r="G227" s="67" t="s">
        <v>4304</v>
      </c>
      <c r="H227" s="65"/>
      <c r="I227" s="65" t="b">
        <v>0</v>
      </c>
      <c r="J227" s="65" t="b">
        <v>0</v>
      </c>
      <c r="K227" s="65" t="b">
        <v>1</v>
      </c>
      <c r="L227" s="65"/>
      <c r="M227" s="65"/>
      <c r="N227" s="65" t="str">
        <f>_xlfn.IFNA(VLOOKUP($M227,Buff.CM!$A:$O,13,FALSE),"")</f>
        <v/>
      </c>
      <c r="O227" s="65" t="str">
        <f>_xlfn.IFNA(VLOOKUP($M227,Buff.CM!$A:$O,14,FALSE),"")</f>
        <v/>
      </c>
      <c r="P227" s="65" t="str">
        <f>_xlfn.IFNA(VLOOKUP($M227,Buff.CM!$A:$O,15,FALSE),"")</f>
        <v/>
      </c>
      <c r="Q227" s="65" t="b">
        <v>0</v>
      </c>
      <c r="R227" s="65" t="b">
        <v>0</v>
      </c>
    </row>
    <row r="228" spans="1:18">
      <c r="A228" s="65" t="s">
        <v>4299</v>
      </c>
      <c r="B228" s="65"/>
      <c r="C228" s="65"/>
      <c r="D228" s="65">
        <v>0</v>
      </c>
      <c r="E228" s="65">
        <v>0</v>
      </c>
      <c r="F228" s="65">
        <v>0</v>
      </c>
      <c r="G228" s="67" t="s">
        <v>4305</v>
      </c>
      <c r="H228" s="65"/>
      <c r="I228" s="65" t="b">
        <v>0</v>
      </c>
      <c r="J228" s="65" t="b">
        <v>0</v>
      </c>
      <c r="K228" s="65" t="b">
        <v>1</v>
      </c>
      <c r="L228" s="65"/>
      <c r="M228" s="65"/>
      <c r="N228" s="65" t="str">
        <f>_xlfn.IFNA(VLOOKUP($M228,Buff.CM!$A:$O,13,FALSE),"")</f>
        <v/>
      </c>
      <c r="O228" s="65" t="str">
        <f>_xlfn.IFNA(VLOOKUP($M228,Buff.CM!$A:$O,14,FALSE),"")</f>
        <v/>
      </c>
      <c r="P228" s="65" t="str">
        <f>_xlfn.IFNA(VLOOKUP($M228,Buff.CM!$A:$O,15,FALSE),"")</f>
        <v/>
      </c>
      <c r="Q228" s="65" t="b">
        <v>0</v>
      </c>
      <c r="R228" s="65" t="b">
        <v>0</v>
      </c>
    </row>
    <row r="229" spans="1:18">
      <c r="A229" s="65" t="s">
        <v>4300</v>
      </c>
      <c r="B229" s="65"/>
      <c r="C229" s="65"/>
      <c r="D229" s="65">
        <v>0</v>
      </c>
      <c r="E229" s="65">
        <v>0</v>
      </c>
      <c r="F229" s="65">
        <v>0</v>
      </c>
      <c r="G229" s="67" t="s">
        <v>4306</v>
      </c>
      <c r="H229" s="65"/>
      <c r="I229" s="65" t="b">
        <v>0</v>
      </c>
      <c r="J229" s="65" t="b">
        <v>0</v>
      </c>
      <c r="K229" s="65" t="b">
        <v>1</v>
      </c>
      <c r="L229" s="65"/>
      <c r="M229" s="65"/>
      <c r="N229" s="65" t="str">
        <f>_xlfn.IFNA(VLOOKUP($M229,Buff.CM!$A:$O,13,FALSE),"")</f>
        <v/>
      </c>
      <c r="O229" s="65" t="str">
        <f>_xlfn.IFNA(VLOOKUP($M229,Buff.CM!$A:$O,14,FALSE),"")</f>
        <v/>
      </c>
      <c r="P229" s="65" t="str">
        <f>_xlfn.IFNA(VLOOKUP($M229,Buff.CM!$A:$O,15,FALSE),"")</f>
        <v/>
      </c>
      <c r="Q229" s="65" t="b">
        <v>0</v>
      </c>
      <c r="R229" s="65" t="b">
        <v>0</v>
      </c>
    </row>
    <row r="230" spans="1:18">
      <c r="A230" s="65" t="s">
        <v>4301</v>
      </c>
      <c r="B230" s="65"/>
      <c r="C230" s="65"/>
      <c r="D230" s="65">
        <v>0</v>
      </c>
      <c r="E230" s="65">
        <v>0</v>
      </c>
      <c r="F230" s="65">
        <v>0</v>
      </c>
      <c r="G230" s="67" t="s">
        <v>4307</v>
      </c>
      <c r="H230" s="65"/>
      <c r="I230" s="65" t="b">
        <v>0</v>
      </c>
      <c r="J230" s="65" t="b">
        <v>0</v>
      </c>
      <c r="K230" s="65" t="b">
        <v>1</v>
      </c>
      <c r="L230" s="65"/>
      <c r="M230" s="65"/>
      <c r="N230" s="65" t="str">
        <f>_xlfn.IFNA(VLOOKUP($M230,Buff.CM!$A:$O,13,FALSE),"")</f>
        <v/>
      </c>
      <c r="O230" s="65" t="str">
        <f>_xlfn.IFNA(VLOOKUP($M230,Buff.CM!$A:$O,14,FALSE),"")</f>
        <v/>
      </c>
      <c r="P230" s="65" t="str">
        <f>_xlfn.IFNA(VLOOKUP($M230,Buff.CM!$A:$O,15,FALSE),"")</f>
        <v/>
      </c>
      <c r="Q230" s="65" t="b">
        <v>0</v>
      </c>
      <c r="R230" s="65" t="b">
        <v>0</v>
      </c>
    </row>
    <row r="231" spans="1:18">
      <c r="A231" s="65" t="s">
        <v>4302</v>
      </c>
      <c r="B231" s="65"/>
      <c r="C231" s="65"/>
      <c r="D231" s="65">
        <v>0</v>
      </c>
      <c r="E231" s="65">
        <v>0</v>
      </c>
      <c r="F231" s="65">
        <v>0</v>
      </c>
      <c r="G231" s="67" t="s">
        <v>4308</v>
      </c>
      <c r="H231" s="65"/>
      <c r="I231" s="65" t="b">
        <v>0</v>
      </c>
      <c r="J231" s="65" t="b">
        <v>0</v>
      </c>
      <c r="K231" s="65" t="b">
        <v>1</v>
      </c>
      <c r="L231" s="65"/>
      <c r="M231" s="65"/>
      <c r="N231" s="65" t="str">
        <f>_xlfn.IFNA(VLOOKUP($M231,Buff.CM!$A:$O,13,FALSE),"")</f>
        <v/>
      </c>
      <c r="O231" s="65" t="str">
        <f>_xlfn.IFNA(VLOOKUP($M231,Buff.CM!$A:$O,14,FALSE),"")</f>
        <v/>
      </c>
      <c r="P231" s="65" t="str">
        <f>_xlfn.IFNA(VLOOKUP($M231,Buff.CM!$A:$O,15,FALSE),"")</f>
        <v/>
      </c>
      <c r="Q231" s="65" t="b">
        <v>0</v>
      </c>
      <c r="R231" s="65" t="b">
        <v>0</v>
      </c>
    </row>
    <row r="232" spans="1:18">
      <c r="A232" s="65" t="s">
        <v>4303</v>
      </c>
      <c r="B232" s="65"/>
      <c r="C232" s="65"/>
      <c r="D232" s="65">
        <v>0</v>
      </c>
      <c r="E232" s="65">
        <v>0</v>
      </c>
      <c r="F232" s="65">
        <v>0</v>
      </c>
      <c r="G232" s="67" t="s">
        <v>4309</v>
      </c>
      <c r="H232" s="65"/>
      <c r="I232" s="65" t="b">
        <v>0</v>
      </c>
      <c r="J232" s="65" t="b">
        <v>0</v>
      </c>
      <c r="K232" s="65" t="b">
        <v>1</v>
      </c>
      <c r="L232" s="65"/>
      <c r="M232" s="65"/>
      <c r="N232" s="65" t="str">
        <f>_xlfn.IFNA(VLOOKUP($M232,Buff.CM!$A:$O,13,FALSE),"")</f>
        <v/>
      </c>
      <c r="O232" s="65" t="str">
        <f>_xlfn.IFNA(VLOOKUP($M232,Buff.CM!$A:$O,14,FALSE),"")</f>
        <v/>
      </c>
      <c r="P232" s="65" t="str">
        <f>_xlfn.IFNA(VLOOKUP($M232,Buff.CM!$A:$O,15,FALSE),"")</f>
        <v/>
      </c>
      <c r="Q232" s="65" t="b">
        <v>0</v>
      </c>
      <c r="R232" s="65" t="b">
        <v>0</v>
      </c>
    </row>
    <row r="233" spans="1:18">
      <c r="A233" s="65" t="s">
        <v>6936</v>
      </c>
      <c r="B233" s="65"/>
      <c r="C233" s="65"/>
      <c r="D233" s="65">
        <v>0</v>
      </c>
      <c r="E233" s="65">
        <v>0</v>
      </c>
      <c r="F233" s="65">
        <v>0</v>
      </c>
      <c r="G233" s="67" t="s">
        <v>122</v>
      </c>
      <c r="H233" s="65"/>
      <c r="I233" s="65" t="b">
        <v>0</v>
      </c>
      <c r="J233" s="65" t="b">
        <v>0</v>
      </c>
      <c r="K233" s="65" t="b">
        <v>1</v>
      </c>
      <c r="L233" s="65"/>
      <c r="M233" s="65"/>
      <c r="N233" s="65" t="str">
        <f>_xlfn.IFNA(VLOOKUP($M233,Buff.CM!$A:$O,13,FALSE),"")</f>
        <v/>
      </c>
      <c r="O233" s="65" t="str">
        <f>_xlfn.IFNA(VLOOKUP($M233,Buff.CM!$A:$O,14,FALSE),"")</f>
        <v/>
      </c>
      <c r="P233" s="65" t="str">
        <f>_xlfn.IFNA(VLOOKUP($M233,Buff.CM!$A:$O,15,FALSE),"")</f>
        <v/>
      </c>
      <c r="Q233" s="65" t="b">
        <v>0</v>
      </c>
      <c r="R233" s="65" t="b">
        <v>0</v>
      </c>
    </row>
    <row r="234" spans="1:18">
      <c r="A234" s="34" t="s">
        <v>4092</v>
      </c>
      <c r="B234" s="34"/>
      <c r="C234" s="34"/>
      <c r="D234" s="34">
        <v>0</v>
      </c>
      <c r="E234" s="34">
        <v>0</v>
      </c>
      <c r="F234" s="34">
        <v>0</v>
      </c>
      <c r="G234" s="34" t="s">
        <v>122</v>
      </c>
      <c r="H234" s="34"/>
      <c r="I234" s="34" t="b">
        <v>0</v>
      </c>
      <c r="J234" s="34" t="b">
        <v>0</v>
      </c>
      <c r="K234" s="34" t="b">
        <v>1</v>
      </c>
      <c r="L234" s="34"/>
      <c r="M234" s="34"/>
      <c r="N234" s="25" t="str">
        <f>_xlfn.IFNA(VLOOKUP($M234,Buff.CM!$A:$O,13,FALSE),"")</f>
        <v/>
      </c>
      <c r="O234" s="25" t="str">
        <f>_xlfn.IFNA(VLOOKUP($M234,Buff.CM!$A:$O,14,FALSE),"")</f>
        <v/>
      </c>
      <c r="P234" s="25" t="str">
        <f>_xlfn.IFNA(VLOOKUP($M234,Buff.CM!$A:$O,15,FALSE),"")</f>
        <v/>
      </c>
      <c r="Q234" s="23" t="b">
        <v>0</v>
      </c>
      <c r="R234" s="34" t="b">
        <v>0</v>
      </c>
    </row>
    <row r="235" spans="1:18" s="155" customFormat="1" ht="49.5">
      <c r="A235" s="156" t="s">
        <v>6937</v>
      </c>
      <c r="B235" s="6"/>
      <c r="C235" s="6"/>
      <c r="D235" s="6">
        <v>10000</v>
      </c>
      <c r="E235" s="6">
        <v>0</v>
      </c>
      <c r="F235" s="6">
        <v>0</v>
      </c>
      <c r="G235" s="158" t="s">
        <v>6938</v>
      </c>
      <c r="H235" s="6"/>
      <c r="I235" s="6" t="b">
        <v>0</v>
      </c>
      <c r="J235" s="6" t="b">
        <v>0</v>
      </c>
      <c r="K235" s="34" t="b">
        <v>1</v>
      </c>
      <c r="L235" s="6"/>
      <c r="M235" s="6" t="s">
        <v>5615</v>
      </c>
      <c r="N235" s="6" t="str">
        <f>_xlfn.IFNA(VLOOKUP($M235,Buff.CM!$A:$O,13,FALSE),"")</f>
        <v>icon_battle_archphase_phase</v>
      </c>
      <c r="O235" s="6" t="str">
        <f>_xlfn.IFNA(VLOOKUP($M235,Buff.CM!$A:$O,14,FALSE),"")</f>
        <v>info.archphase.buff.phase</v>
      </c>
      <c r="P235" s="6" t="str">
        <f>_xlfn.IFNA(VLOOKUP($M235,Buff.CM!$A:$O,15,FALSE),"")</f>
        <v>Desc.info.archphase.buff.phase</v>
      </c>
      <c r="Q235" s="6" t="b">
        <v>0</v>
      </c>
      <c r="R235" s="6" t="b">
        <v>0</v>
      </c>
    </row>
    <row r="236" spans="1:18" s="155" customFormat="1" ht="49.5">
      <c r="A236" s="156" t="s">
        <v>2852</v>
      </c>
      <c r="B236" s="6"/>
      <c r="C236" s="6"/>
      <c r="D236" s="6">
        <v>10000</v>
      </c>
      <c r="E236" s="6">
        <v>0</v>
      </c>
      <c r="F236" s="6">
        <v>0</v>
      </c>
      <c r="G236" s="158" t="s">
        <v>6938</v>
      </c>
      <c r="H236" s="6"/>
      <c r="I236" s="6" t="b">
        <v>0</v>
      </c>
      <c r="J236" s="6" t="b">
        <v>0</v>
      </c>
      <c r="K236" s="34" t="b">
        <v>1</v>
      </c>
      <c r="L236" s="6"/>
      <c r="M236" s="6" t="s">
        <v>5615</v>
      </c>
      <c r="N236" s="6" t="str">
        <f>_xlfn.IFNA(VLOOKUP($M236,Buff.CM!$A:$O,13,FALSE),"")</f>
        <v>icon_battle_archphase_phase</v>
      </c>
      <c r="O236" s="6" t="str">
        <f>_xlfn.IFNA(VLOOKUP($M236,Buff.CM!$A:$O,14,FALSE),"")</f>
        <v>info.archphase.buff.phase</v>
      </c>
      <c r="P236" s="6" t="str">
        <f>_xlfn.IFNA(VLOOKUP($M236,Buff.CM!$A:$O,15,FALSE),"")</f>
        <v>Desc.info.archphase.buff.phase</v>
      </c>
      <c r="Q236" s="6" t="b">
        <v>0</v>
      </c>
      <c r="R236" s="6" t="b">
        <v>0</v>
      </c>
    </row>
    <row r="237" spans="1:18" s="155" customFormat="1" ht="49.5">
      <c r="A237" s="156" t="s">
        <v>2853</v>
      </c>
      <c r="B237" s="6"/>
      <c r="C237" s="6"/>
      <c r="D237" s="6">
        <v>10000</v>
      </c>
      <c r="E237" s="6">
        <v>0</v>
      </c>
      <c r="F237" s="6">
        <v>0</v>
      </c>
      <c r="G237" s="158" t="s">
        <v>6938</v>
      </c>
      <c r="H237" s="6"/>
      <c r="I237" s="6" t="b">
        <v>0</v>
      </c>
      <c r="J237" s="6" t="b">
        <v>0</v>
      </c>
      <c r="K237" s="34" t="b">
        <v>1</v>
      </c>
      <c r="L237" s="6"/>
      <c r="M237" s="6" t="s">
        <v>5615</v>
      </c>
      <c r="N237" s="6" t="str">
        <f>_xlfn.IFNA(VLOOKUP($M237,Buff.CM!$A:$O,13,FALSE),"")</f>
        <v>icon_battle_archphase_phase</v>
      </c>
      <c r="O237" s="6" t="str">
        <f>_xlfn.IFNA(VLOOKUP($M237,Buff.CM!$A:$O,14,FALSE),"")</f>
        <v>info.archphase.buff.phase</v>
      </c>
      <c r="P237" s="6" t="str">
        <f>_xlfn.IFNA(VLOOKUP($M237,Buff.CM!$A:$O,15,FALSE),"")</f>
        <v>Desc.info.archphase.buff.phase</v>
      </c>
      <c r="Q237" s="6" t="b">
        <v>0</v>
      </c>
      <c r="R237" s="6" t="b">
        <v>0</v>
      </c>
    </row>
    <row r="238" spans="1:18" s="155" customFormat="1" ht="49.5">
      <c r="A238" s="156" t="s">
        <v>2854</v>
      </c>
      <c r="B238" s="6"/>
      <c r="C238" s="6"/>
      <c r="D238" s="6">
        <v>10000</v>
      </c>
      <c r="E238" s="6">
        <v>0</v>
      </c>
      <c r="F238" s="6">
        <v>0</v>
      </c>
      <c r="G238" s="158" t="s">
        <v>6938</v>
      </c>
      <c r="H238" s="6"/>
      <c r="I238" s="6" t="b">
        <v>0</v>
      </c>
      <c r="J238" s="6" t="b">
        <v>0</v>
      </c>
      <c r="K238" s="34" t="b">
        <v>1</v>
      </c>
      <c r="L238" s="6"/>
      <c r="M238" s="6" t="s">
        <v>5615</v>
      </c>
      <c r="N238" s="6" t="str">
        <f>_xlfn.IFNA(VLOOKUP($M238,Buff.CM!$A:$O,13,FALSE),"")</f>
        <v>icon_battle_archphase_phase</v>
      </c>
      <c r="O238" s="6" t="str">
        <f>_xlfn.IFNA(VLOOKUP($M238,Buff.CM!$A:$O,14,FALSE),"")</f>
        <v>info.archphase.buff.phase</v>
      </c>
      <c r="P238" s="6" t="str">
        <f>_xlfn.IFNA(VLOOKUP($M238,Buff.CM!$A:$O,15,FALSE),"")</f>
        <v>Desc.info.archphase.buff.phase</v>
      </c>
      <c r="Q238" s="6" t="b">
        <v>0</v>
      </c>
      <c r="R238" s="6" t="b">
        <v>0</v>
      </c>
    </row>
    <row r="239" spans="1:18" s="155" customFormat="1" ht="49.5">
      <c r="A239" s="156" t="s">
        <v>2855</v>
      </c>
      <c r="B239" s="6"/>
      <c r="C239" s="6"/>
      <c r="D239" s="6">
        <v>10000</v>
      </c>
      <c r="E239" s="6">
        <v>0</v>
      </c>
      <c r="F239" s="6">
        <v>0</v>
      </c>
      <c r="G239" s="158" t="s">
        <v>6938</v>
      </c>
      <c r="H239" s="6"/>
      <c r="I239" s="6" t="b">
        <v>0</v>
      </c>
      <c r="J239" s="6" t="b">
        <v>0</v>
      </c>
      <c r="K239" s="34" t="b">
        <v>1</v>
      </c>
      <c r="L239" s="6"/>
      <c r="M239" s="6" t="s">
        <v>5615</v>
      </c>
      <c r="N239" s="6" t="str">
        <f>_xlfn.IFNA(VLOOKUP($M239,Buff.CM!$A:$O,13,FALSE),"")</f>
        <v>icon_battle_archphase_phase</v>
      </c>
      <c r="O239" s="6" t="str">
        <f>_xlfn.IFNA(VLOOKUP($M239,Buff.CM!$A:$O,14,FALSE),"")</f>
        <v>info.archphase.buff.phase</v>
      </c>
      <c r="P239" s="6" t="str">
        <f>_xlfn.IFNA(VLOOKUP($M239,Buff.CM!$A:$O,15,FALSE),"")</f>
        <v>Desc.info.archphase.buff.phase</v>
      </c>
      <c r="Q239" s="6" t="b">
        <v>0</v>
      </c>
      <c r="R239" s="6" t="b">
        <v>0</v>
      </c>
    </row>
    <row r="240" spans="1:18" s="154" customFormat="1" ht="49.5">
      <c r="A240" s="51" t="s">
        <v>6939</v>
      </c>
      <c r="B240" s="51"/>
      <c r="C240" s="51"/>
      <c r="D240" s="51">
        <v>14000</v>
      </c>
      <c r="E240" s="51">
        <v>0</v>
      </c>
      <c r="F240" s="51">
        <v>0</v>
      </c>
      <c r="G240" s="158" t="s">
        <v>6938</v>
      </c>
      <c r="H240" s="51"/>
      <c r="I240" s="51" t="b">
        <v>0</v>
      </c>
      <c r="J240" s="51" t="b">
        <v>0</v>
      </c>
      <c r="K240" s="34" t="b">
        <v>1</v>
      </c>
      <c r="L240" s="51"/>
      <c r="M240" s="51" t="s">
        <v>5615</v>
      </c>
      <c r="N240" s="51" t="str">
        <f>_xlfn.IFNA(VLOOKUP($M240,Buff.CM!$A:$O,13,FALSE),"")</f>
        <v>icon_battle_archphase_phase</v>
      </c>
      <c r="O240" s="51" t="str">
        <f>_xlfn.IFNA(VLOOKUP($M240,Buff.CM!$A:$O,14,FALSE),"")</f>
        <v>info.archphase.buff.phase</v>
      </c>
      <c r="P240" s="51" t="str">
        <f>_xlfn.IFNA(VLOOKUP($M240,Buff.CM!$A:$O,15,FALSE),"")</f>
        <v>Desc.info.archphase.buff.phase</v>
      </c>
      <c r="Q240" s="51" t="b">
        <v>0</v>
      </c>
      <c r="R240" s="51" t="b">
        <v>0</v>
      </c>
    </row>
    <row r="241" spans="1:18" s="154" customFormat="1" ht="49.5">
      <c r="A241" s="157" t="s">
        <v>2856</v>
      </c>
      <c r="B241" s="51"/>
      <c r="C241" s="51"/>
      <c r="D241" s="51">
        <v>14000</v>
      </c>
      <c r="E241" s="51">
        <v>0</v>
      </c>
      <c r="F241" s="51">
        <v>0</v>
      </c>
      <c r="G241" s="158" t="s">
        <v>6938</v>
      </c>
      <c r="H241" s="51"/>
      <c r="I241" s="51" t="b">
        <v>0</v>
      </c>
      <c r="J241" s="51" t="b">
        <v>0</v>
      </c>
      <c r="K241" s="34" t="b">
        <v>1</v>
      </c>
      <c r="L241" s="51"/>
      <c r="M241" s="51" t="s">
        <v>5615</v>
      </c>
      <c r="N241" s="51" t="str">
        <f>_xlfn.IFNA(VLOOKUP($M241,Buff.CM!$A:$O,13,FALSE),"")</f>
        <v>icon_battle_archphase_phase</v>
      </c>
      <c r="O241" s="51" t="str">
        <f>_xlfn.IFNA(VLOOKUP($M241,Buff.CM!$A:$O,14,FALSE),"")</f>
        <v>info.archphase.buff.phase</v>
      </c>
      <c r="P241" s="51" t="str">
        <f>_xlfn.IFNA(VLOOKUP($M241,Buff.CM!$A:$O,15,FALSE),"")</f>
        <v>Desc.info.archphase.buff.phase</v>
      </c>
      <c r="Q241" s="51" t="b">
        <v>0</v>
      </c>
      <c r="R241" s="51" t="b">
        <v>0</v>
      </c>
    </row>
    <row r="242" spans="1:18">
      <c r="A242" s="23" t="s">
        <v>4093</v>
      </c>
      <c r="B242" s="23"/>
      <c r="C242" s="23"/>
      <c r="D242" s="23">
        <v>0</v>
      </c>
      <c r="E242" s="23">
        <v>0</v>
      </c>
      <c r="F242" s="23">
        <v>0</v>
      </c>
      <c r="G242" s="39" t="s">
        <v>122</v>
      </c>
      <c r="H242" s="23"/>
      <c r="I242" s="23" t="b">
        <v>0</v>
      </c>
      <c r="J242" s="23" t="b">
        <v>1</v>
      </c>
      <c r="K242" s="24" t="b">
        <v>1</v>
      </c>
      <c r="L242" s="23"/>
      <c r="M242" s="23"/>
      <c r="N242" s="23" t="str">
        <f>_xlfn.IFNA(VLOOKUP($M242,Buff.CM!$A:$O,13,FALSE),"")</f>
        <v/>
      </c>
      <c r="O242" s="23" t="str">
        <f>_xlfn.IFNA(VLOOKUP($M242,Buff.CM!$A:$O,14,FALSE),"")</f>
        <v/>
      </c>
      <c r="P242" s="23" t="str">
        <f>_xlfn.IFNA(VLOOKUP($M242,Buff.CM!$A:$O,15,FALSE),"")</f>
        <v/>
      </c>
      <c r="Q242" s="23" t="b">
        <v>0</v>
      </c>
      <c r="R242" s="23" t="b">
        <v>0</v>
      </c>
    </row>
    <row r="243" spans="1:18">
      <c r="A243" s="23" t="s">
        <v>630</v>
      </c>
      <c r="B243" s="23"/>
      <c r="C243" s="23"/>
      <c r="D243" s="23">
        <v>0</v>
      </c>
      <c r="E243" s="23">
        <v>0</v>
      </c>
      <c r="F243" s="23">
        <v>0</v>
      </c>
      <c r="G243" s="39" t="s">
        <v>122</v>
      </c>
      <c r="H243" s="23"/>
      <c r="I243" s="23" t="b">
        <v>0</v>
      </c>
      <c r="J243" s="23" t="b">
        <v>1</v>
      </c>
      <c r="K243" s="24" t="b">
        <v>1</v>
      </c>
      <c r="L243" s="23"/>
      <c r="M243" s="23"/>
      <c r="N243" s="23" t="str">
        <f>_xlfn.IFNA(VLOOKUP($M243,Buff.CM!$A:$O,13,FALSE),"")</f>
        <v/>
      </c>
      <c r="O243" s="23" t="str">
        <f>_xlfn.IFNA(VLOOKUP($M243,Buff.CM!$A:$O,14,FALSE),"")</f>
        <v/>
      </c>
      <c r="P243" s="23" t="str">
        <f>_xlfn.IFNA(VLOOKUP($M243,Buff.CM!$A:$O,15,FALSE),"")</f>
        <v/>
      </c>
      <c r="Q243" s="23" t="b">
        <v>0</v>
      </c>
      <c r="R243" s="23" t="b">
        <v>0</v>
      </c>
    </row>
    <row r="244" spans="1:18">
      <c r="A244" s="23" t="s">
        <v>631</v>
      </c>
      <c r="B244" s="23"/>
      <c r="C244" s="23"/>
      <c r="D244" s="23">
        <v>0</v>
      </c>
      <c r="E244" s="23">
        <v>0</v>
      </c>
      <c r="F244" s="23">
        <v>0</v>
      </c>
      <c r="G244" s="39" t="s">
        <v>122</v>
      </c>
      <c r="H244" s="23"/>
      <c r="I244" s="23" t="b">
        <v>0</v>
      </c>
      <c r="J244" s="23" t="b">
        <v>1</v>
      </c>
      <c r="K244" s="24" t="b">
        <v>1</v>
      </c>
      <c r="L244" s="23"/>
      <c r="M244" s="23"/>
      <c r="N244" s="23" t="str">
        <f>_xlfn.IFNA(VLOOKUP($M244,Buff.CM!$A:$O,13,FALSE),"")</f>
        <v/>
      </c>
      <c r="O244" s="23" t="str">
        <f>_xlfn.IFNA(VLOOKUP($M244,Buff.CM!$A:$O,14,FALSE),"")</f>
        <v/>
      </c>
      <c r="P244" s="23" t="str">
        <f>_xlfn.IFNA(VLOOKUP($M244,Buff.CM!$A:$O,15,FALSE),"")</f>
        <v/>
      </c>
      <c r="Q244" s="23" t="b">
        <v>0</v>
      </c>
      <c r="R244" s="23" t="b">
        <v>0</v>
      </c>
    </row>
    <row r="245" spans="1:18">
      <c r="A245" s="34" t="s">
        <v>632</v>
      </c>
      <c r="B245" s="34"/>
      <c r="C245" s="34"/>
      <c r="D245" s="34">
        <v>0</v>
      </c>
      <c r="E245" s="34">
        <v>0</v>
      </c>
      <c r="F245" s="34">
        <v>0</v>
      </c>
      <c r="G245" s="40" t="s">
        <v>122</v>
      </c>
      <c r="H245" s="34"/>
      <c r="I245" s="34" t="b">
        <v>0</v>
      </c>
      <c r="J245" s="23" t="b">
        <v>1</v>
      </c>
      <c r="K245" s="24" t="b">
        <v>1</v>
      </c>
      <c r="L245" s="34"/>
      <c r="M245" s="34"/>
      <c r="N245" s="34" t="str">
        <f>_xlfn.IFNA(VLOOKUP($M245,Buff.CM!$A:$O,13,FALSE),"")</f>
        <v/>
      </c>
      <c r="O245" s="34" t="str">
        <f>_xlfn.IFNA(VLOOKUP($M245,Buff.CM!$A:$O,14,FALSE),"")</f>
        <v/>
      </c>
      <c r="P245" s="34" t="str">
        <f>_xlfn.IFNA(VLOOKUP($M245,Buff.CM!$A:$O,15,FALSE),"")</f>
        <v/>
      </c>
      <c r="Q245" s="34" t="b">
        <v>0</v>
      </c>
      <c r="R245" s="34" t="b">
        <v>0</v>
      </c>
    </row>
    <row r="246" spans="1:18">
      <c r="A246" s="34" t="s">
        <v>633</v>
      </c>
      <c r="B246" s="34"/>
      <c r="C246" s="34"/>
      <c r="D246" s="34">
        <v>0</v>
      </c>
      <c r="E246" s="34">
        <v>0</v>
      </c>
      <c r="F246" s="34">
        <v>0</v>
      </c>
      <c r="G246" s="40" t="s">
        <v>122</v>
      </c>
      <c r="H246" s="34"/>
      <c r="I246" s="34" t="b">
        <v>0</v>
      </c>
      <c r="J246" s="23" t="b">
        <v>1</v>
      </c>
      <c r="K246" s="24" t="b">
        <v>1</v>
      </c>
      <c r="L246" s="34"/>
      <c r="M246" s="34"/>
      <c r="N246" s="34" t="str">
        <f>_xlfn.IFNA(VLOOKUP($M246,Buff.CM!$A:$O,13,FALSE),"")</f>
        <v/>
      </c>
      <c r="O246" s="34" t="str">
        <f>_xlfn.IFNA(VLOOKUP($M246,Buff.CM!$A:$O,14,FALSE),"")</f>
        <v/>
      </c>
      <c r="P246" s="34" t="str">
        <f>_xlfn.IFNA(VLOOKUP($M246,Buff.CM!$A:$O,15,FALSE),"")</f>
        <v/>
      </c>
      <c r="Q246" s="34" t="b">
        <v>0</v>
      </c>
      <c r="R246" s="34" t="b">
        <v>0</v>
      </c>
    </row>
    <row r="247" spans="1:18">
      <c r="A247" s="34" t="s">
        <v>634</v>
      </c>
      <c r="B247" s="34"/>
      <c r="C247" s="34"/>
      <c r="D247" s="34">
        <v>0</v>
      </c>
      <c r="E247" s="34">
        <v>0</v>
      </c>
      <c r="F247" s="34">
        <v>0</v>
      </c>
      <c r="G247" s="40" t="s">
        <v>122</v>
      </c>
      <c r="H247" s="34"/>
      <c r="I247" s="34" t="b">
        <v>0</v>
      </c>
      <c r="J247" s="23" t="b">
        <v>1</v>
      </c>
      <c r="K247" s="24" t="b">
        <v>1</v>
      </c>
      <c r="L247" s="34"/>
      <c r="M247" s="34"/>
      <c r="N247" s="34" t="str">
        <f>_xlfn.IFNA(VLOOKUP($M247,Buff.CM!$A:$O,13,FALSE),"")</f>
        <v/>
      </c>
      <c r="O247" s="34" t="str">
        <f>_xlfn.IFNA(VLOOKUP($M247,Buff.CM!$A:$O,14,FALSE),"")</f>
        <v/>
      </c>
      <c r="P247" s="34" t="str">
        <f>_xlfn.IFNA(VLOOKUP($M247,Buff.CM!$A:$O,15,FALSE),"")</f>
        <v/>
      </c>
      <c r="Q247" s="34" t="b">
        <v>0</v>
      </c>
      <c r="R247" s="34" t="b">
        <v>0</v>
      </c>
    </row>
    <row r="248" spans="1:18">
      <c r="A248" s="23" t="s">
        <v>2847</v>
      </c>
      <c r="B248" s="23"/>
      <c r="C248" s="23"/>
      <c r="D248" s="23">
        <v>0</v>
      </c>
      <c r="E248" s="23">
        <v>0</v>
      </c>
      <c r="F248" s="23">
        <v>0</v>
      </c>
      <c r="G248" s="39" t="s">
        <v>8400</v>
      </c>
      <c r="H248" s="23"/>
      <c r="I248" s="23" t="b">
        <v>0</v>
      </c>
      <c r="J248" s="23" t="b">
        <v>1</v>
      </c>
      <c r="K248" s="24" t="b">
        <v>1</v>
      </c>
      <c r="L248" s="23"/>
      <c r="M248" s="23"/>
      <c r="N248" s="23" t="str">
        <f>_xlfn.IFNA(VLOOKUP($M248,Buff.CM!$A:$O,13,FALSE),"")</f>
        <v/>
      </c>
      <c r="O248" s="23" t="str">
        <f>_xlfn.IFNA(VLOOKUP($M248,Buff.CM!$A:$O,14,FALSE),"")</f>
        <v/>
      </c>
      <c r="P248" s="23" t="str">
        <f>_xlfn.IFNA(VLOOKUP($M248,Buff.CM!$A:$O,15,FALSE),"")</f>
        <v/>
      </c>
      <c r="Q248" s="23" t="b">
        <v>0</v>
      </c>
      <c r="R248" s="23" t="b">
        <v>0</v>
      </c>
    </row>
    <row r="249" spans="1:18">
      <c r="A249" s="23" t="s">
        <v>2848</v>
      </c>
      <c r="B249" s="23"/>
      <c r="C249" s="23"/>
      <c r="D249" s="23">
        <v>0</v>
      </c>
      <c r="E249" s="23">
        <v>0</v>
      </c>
      <c r="F249" s="23">
        <v>0</v>
      </c>
      <c r="G249" s="39" t="s">
        <v>6355</v>
      </c>
      <c r="H249" s="23"/>
      <c r="I249" s="23" t="b">
        <v>0</v>
      </c>
      <c r="J249" s="23" t="b">
        <v>1</v>
      </c>
      <c r="K249" s="24" t="b">
        <v>1</v>
      </c>
      <c r="L249" s="23"/>
      <c r="M249" s="23"/>
      <c r="N249" s="23" t="str">
        <f>_xlfn.IFNA(VLOOKUP($M249,Buff.CM!$A:$O,13,FALSE),"")</f>
        <v/>
      </c>
      <c r="O249" s="23" t="str">
        <f>_xlfn.IFNA(VLOOKUP($M249,Buff.CM!$A:$O,14,FALSE),"")</f>
        <v/>
      </c>
      <c r="P249" s="23" t="str">
        <f>_xlfn.IFNA(VLOOKUP($M249,Buff.CM!$A:$O,15,FALSE),"")</f>
        <v/>
      </c>
      <c r="Q249" s="23" t="b">
        <v>0</v>
      </c>
      <c r="R249" s="23" t="b">
        <v>0</v>
      </c>
    </row>
    <row r="250" spans="1:18">
      <c r="A250" s="23" t="s">
        <v>2849</v>
      </c>
      <c r="B250" s="23"/>
      <c r="C250" s="23"/>
      <c r="D250" s="23">
        <v>0</v>
      </c>
      <c r="E250" s="23">
        <v>0</v>
      </c>
      <c r="F250" s="23">
        <v>0</v>
      </c>
      <c r="G250" s="39" t="s">
        <v>6355</v>
      </c>
      <c r="H250" s="23"/>
      <c r="I250" s="23" t="b">
        <v>0</v>
      </c>
      <c r="J250" s="23" t="b">
        <v>1</v>
      </c>
      <c r="K250" s="24" t="b">
        <v>1</v>
      </c>
      <c r="L250" s="23"/>
      <c r="M250" s="23"/>
      <c r="N250" s="23" t="str">
        <f>_xlfn.IFNA(VLOOKUP($M250,Buff.CM!$A:$O,13,FALSE),"")</f>
        <v/>
      </c>
      <c r="O250" s="23" t="str">
        <f>_xlfn.IFNA(VLOOKUP($M250,Buff.CM!$A:$O,14,FALSE),"")</f>
        <v/>
      </c>
      <c r="P250" s="23" t="str">
        <f>_xlfn.IFNA(VLOOKUP($M250,Buff.CM!$A:$O,15,FALSE),"")</f>
        <v/>
      </c>
      <c r="Q250" s="23" t="b">
        <v>0</v>
      </c>
      <c r="R250" s="23" t="b">
        <v>0</v>
      </c>
    </row>
    <row r="251" spans="1:18">
      <c r="A251" s="34" t="s">
        <v>2850</v>
      </c>
      <c r="B251" s="34"/>
      <c r="C251" s="34"/>
      <c r="D251" s="34">
        <v>0</v>
      </c>
      <c r="E251" s="34">
        <v>0</v>
      </c>
      <c r="F251" s="34">
        <v>0</v>
      </c>
      <c r="G251" s="40" t="s">
        <v>6355</v>
      </c>
      <c r="H251" s="34"/>
      <c r="I251" s="34" t="b">
        <v>0</v>
      </c>
      <c r="J251" s="23" t="b">
        <v>1</v>
      </c>
      <c r="K251" s="24" t="b">
        <v>1</v>
      </c>
      <c r="L251" s="34"/>
      <c r="M251" s="34"/>
      <c r="N251" s="34" t="str">
        <f>_xlfn.IFNA(VLOOKUP($M251,Buff.CM!$A:$O,13,FALSE),"")</f>
        <v/>
      </c>
      <c r="O251" s="34" t="str">
        <f>_xlfn.IFNA(VLOOKUP($M251,Buff.CM!$A:$O,14,FALSE),"")</f>
        <v/>
      </c>
      <c r="P251" s="34" t="str">
        <f>_xlfn.IFNA(VLOOKUP($M251,Buff.CM!$A:$O,15,FALSE),"")</f>
        <v/>
      </c>
      <c r="Q251" s="34" t="b">
        <v>0</v>
      </c>
      <c r="R251" s="34" t="b">
        <v>0</v>
      </c>
    </row>
    <row r="252" spans="1:18">
      <c r="A252" s="34" t="s">
        <v>2851</v>
      </c>
      <c r="B252" s="34"/>
      <c r="C252" s="34"/>
      <c r="D252" s="34">
        <v>0</v>
      </c>
      <c r="E252" s="34">
        <v>0</v>
      </c>
      <c r="F252" s="34">
        <v>0</v>
      </c>
      <c r="G252" s="40" t="s">
        <v>6355</v>
      </c>
      <c r="H252" s="34"/>
      <c r="I252" s="34" t="b">
        <v>0</v>
      </c>
      <c r="J252" s="23" t="b">
        <v>1</v>
      </c>
      <c r="K252" s="24" t="b">
        <v>1</v>
      </c>
      <c r="L252" s="34"/>
      <c r="M252" s="34"/>
      <c r="N252" s="34" t="str">
        <f>_xlfn.IFNA(VLOOKUP($M252,Buff.CM!$A:$O,13,FALSE),"")</f>
        <v/>
      </c>
      <c r="O252" s="34" t="str">
        <f>_xlfn.IFNA(VLOOKUP($M252,Buff.CM!$A:$O,14,FALSE),"")</f>
        <v/>
      </c>
      <c r="P252" s="34" t="str">
        <f>_xlfn.IFNA(VLOOKUP($M252,Buff.CM!$A:$O,15,FALSE),"")</f>
        <v/>
      </c>
      <c r="Q252" s="34" t="b">
        <v>0</v>
      </c>
      <c r="R252" s="34" t="b">
        <v>0</v>
      </c>
    </row>
    <row r="253" spans="1:18">
      <c r="A253" s="34" t="s">
        <v>6940</v>
      </c>
      <c r="B253" s="34"/>
      <c r="C253" s="34"/>
      <c r="D253" s="34">
        <v>0</v>
      </c>
      <c r="E253" s="34">
        <v>0</v>
      </c>
      <c r="F253" s="34">
        <v>0</v>
      </c>
      <c r="G253" s="40" t="s">
        <v>6355</v>
      </c>
      <c r="H253" s="34"/>
      <c r="I253" s="34" t="b">
        <v>0</v>
      </c>
      <c r="J253" s="23" t="b">
        <v>1</v>
      </c>
      <c r="K253" s="24" t="b">
        <v>1</v>
      </c>
      <c r="L253" s="34"/>
      <c r="M253" s="34"/>
      <c r="N253" s="34" t="str">
        <f>_xlfn.IFNA(VLOOKUP($M253,Buff.CM!$A:$O,13,FALSE),"")</f>
        <v/>
      </c>
      <c r="O253" s="34" t="str">
        <f>_xlfn.IFNA(VLOOKUP($M253,Buff.CM!$A:$O,14,FALSE),"")</f>
        <v/>
      </c>
      <c r="P253" s="34" t="str">
        <f>_xlfn.IFNA(VLOOKUP($M253,Buff.CM!$A:$O,15,FALSE),"")</f>
        <v/>
      </c>
      <c r="Q253" s="34" t="b">
        <v>0</v>
      </c>
      <c r="R253" s="34" t="b">
        <v>0</v>
      </c>
    </row>
    <row r="254" spans="1:18" ht="231">
      <c r="A254" s="65" t="s">
        <v>6941</v>
      </c>
      <c r="B254" s="65"/>
      <c r="C254" s="65"/>
      <c r="D254" s="65">
        <v>0</v>
      </c>
      <c r="E254" s="65">
        <v>10</v>
      </c>
      <c r="F254" s="65">
        <v>1</v>
      </c>
      <c r="G254" s="67" t="s">
        <v>8401</v>
      </c>
      <c r="H254" s="65"/>
      <c r="I254" s="65" t="b">
        <v>0</v>
      </c>
      <c r="J254" s="23" t="b">
        <v>1</v>
      </c>
      <c r="K254" s="25" t="b">
        <v>1</v>
      </c>
      <c r="L254" s="65"/>
      <c r="M254" s="65" t="s">
        <v>5612</v>
      </c>
      <c r="N254" s="65" t="str">
        <f>_xlfn.IFNA(VLOOKUP($M254,Buff.CM!$A:$O,13,FALSE),"")</f>
        <v>icon_battle_archphase_starcore</v>
      </c>
      <c r="O254" s="65" t="str">
        <f>_xlfn.IFNA(VLOOKUP($M254,Buff.CM!$A:$O,14,FALSE),"")</f>
        <v>info.archphase.buff.starcore</v>
      </c>
      <c r="P254" s="65" t="str">
        <f>_xlfn.IFNA(VLOOKUP($M254,Buff.CM!$A:$O,15,FALSE),"")</f>
        <v>Desc.info.archphase.buff.starcore</v>
      </c>
      <c r="Q254" s="65" t="b">
        <v>0</v>
      </c>
      <c r="R254" s="65" t="b">
        <v>0</v>
      </c>
    </row>
    <row r="255" spans="1:18" s="142" customFormat="1">
      <c r="A255" s="23" t="s">
        <v>6942</v>
      </c>
      <c r="B255" s="23"/>
      <c r="C255" s="23"/>
      <c r="D255" s="23">
        <v>700</v>
      </c>
      <c r="E255" s="23">
        <v>0</v>
      </c>
      <c r="F255" s="23">
        <v>0</v>
      </c>
      <c r="G255" s="23" t="s">
        <v>122</v>
      </c>
      <c r="H255" s="23"/>
      <c r="I255" s="23" t="b">
        <v>1</v>
      </c>
      <c r="J255" s="23" t="b">
        <v>1</v>
      </c>
      <c r="K255" s="23" t="b">
        <v>0</v>
      </c>
      <c r="L255" s="23" t="s">
        <v>6943</v>
      </c>
      <c r="M255" s="23"/>
      <c r="N255" s="23" t="str">
        <f>_xlfn.IFNA(VLOOKUP($M255,Buff.CM!$A:$O,13,FALSE),"")</f>
        <v/>
      </c>
      <c r="O255" s="23" t="str">
        <f>_xlfn.IFNA(VLOOKUP($M255,Buff.CM!$A:$O,14,FALSE),"")</f>
        <v/>
      </c>
      <c r="P255" s="23" t="str">
        <f>_xlfn.IFNA(VLOOKUP($M255,Buff.CM!$A:$O,15,FALSE),"")</f>
        <v/>
      </c>
      <c r="Q255" s="23" t="b">
        <v>0</v>
      </c>
      <c r="R255" s="23" t="b">
        <v>0</v>
      </c>
    </row>
    <row r="256" spans="1:18" s="142" customFormat="1">
      <c r="A256" s="23" t="s">
        <v>6944</v>
      </c>
      <c r="B256" s="23"/>
      <c r="C256" s="23"/>
      <c r="D256" s="23">
        <v>700</v>
      </c>
      <c r="E256" s="23">
        <v>0</v>
      </c>
      <c r="F256" s="23">
        <v>0</v>
      </c>
      <c r="G256" s="23" t="s">
        <v>122</v>
      </c>
      <c r="H256" s="23"/>
      <c r="I256" s="23" t="b">
        <v>1</v>
      </c>
      <c r="J256" s="23" t="b">
        <v>1</v>
      </c>
      <c r="K256" s="23" t="b">
        <v>0</v>
      </c>
      <c r="L256" s="23" t="s">
        <v>6945</v>
      </c>
      <c r="M256" s="23"/>
      <c r="N256" s="23" t="str">
        <f>_xlfn.IFNA(VLOOKUP($M256,Buff.CM!$A:$O,13,FALSE),"")</f>
        <v/>
      </c>
      <c r="O256" s="23" t="str">
        <f>_xlfn.IFNA(VLOOKUP($M256,Buff.CM!$A:$O,14,FALSE),"")</f>
        <v/>
      </c>
      <c r="P256" s="23" t="str">
        <f>_xlfn.IFNA(VLOOKUP($M256,Buff.CM!$A:$O,15,FALSE),"")</f>
        <v/>
      </c>
      <c r="Q256" s="23" t="b">
        <v>0</v>
      </c>
      <c r="R256" s="23" t="b">
        <v>0</v>
      </c>
    </row>
    <row r="257" spans="1:18">
      <c r="A257" s="25" t="s">
        <v>2006</v>
      </c>
      <c r="B257" s="25"/>
      <c r="C257" s="25"/>
      <c r="D257" s="25">
        <v>0</v>
      </c>
      <c r="E257" s="25">
        <v>0</v>
      </c>
      <c r="F257" s="25">
        <v>0</v>
      </c>
      <c r="G257" s="25" t="s">
        <v>122</v>
      </c>
      <c r="H257" s="25"/>
      <c r="I257" s="25" t="b">
        <v>0</v>
      </c>
      <c r="J257" s="25" t="b">
        <v>0</v>
      </c>
      <c r="K257" s="25" t="b">
        <v>1</v>
      </c>
      <c r="L257" s="25"/>
      <c r="M257" s="25"/>
      <c r="N257" s="25" t="str">
        <f>_xlfn.IFNA(VLOOKUP($M257,Buff.CM!$A:$O,13,FALSE),"")</f>
        <v/>
      </c>
      <c r="O257" s="25" t="str">
        <f>_xlfn.IFNA(VLOOKUP($M257,Buff.CM!$A:$O,14,FALSE),"")</f>
        <v/>
      </c>
      <c r="P257" s="25" t="str">
        <f>_xlfn.IFNA(VLOOKUP($M257,Buff.CM!$A:$O,15,FALSE),"")</f>
        <v/>
      </c>
      <c r="Q257" s="25" t="b">
        <v>0</v>
      </c>
      <c r="R257" s="25" t="b">
        <v>0</v>
      </c>
    </row>
    <row r="258" spans="1:18">
      <c r="A258" s="29" t="s">
        <v>635</v>
      </c>
      <c r="B258" s="26"/>
      <c r="C258" s="26"/>
      <c r="D258" s="26">
        <v>0</v>
      </c>
      <c r="E258" s="26">
        <v>0</v>
      </c>
      <c r="F258" s="26">
        <v>0</v>
      </c>
      <c r="G258" s="29" t="s">
        <v>636</v>
      </c>
      <c r="H258" s="26"/>
      <c r="I258" s="26" t="b">
        <v>0</v>
      </c>
      <c r="J258" s="23" t="b">
        <v>1</v>
      </c>
      <c r="K258" s="26" t="b">
        <v>1</v>
      </c>
      <c r="L258" s="26"/>
      <c r="M258" s="26"/>
      <c r="N258" s="26" t="str">
        <f>_xlfn.IFNA(VLOOKUP($M258,Buff.CM!$A:$O,13,FALSE),"")</f>
        <v/>
      </c>
      <c r="O258" s="26" t="str">
        <f>_xlfn.IFNA(VLOOKUP($M258,Buff.CM!$A:$O,14,FALSE),"")</f>
        <v/>
      </c>
      <c r="P258" s="26" t="str">
        <f>_xlfn.IFNA(VLOOKUP($M258,Buff.CM!$A:$O,15,FALSE),"")</f>
        <v/>
      </c>
      <c r="Q258" s="26" t="b">
        <v>0</v>
      </c>
      <c r="R258" s="26" t="b">
        <v>0</v>
      </c>
    </row>
    <row r="259" spans="1:18">
      <c r="A259" s="29" t="s">
        <v>637</v>
      </c>
      <c r="B259" s="26"/>
      <c r="C259" s="26"/>
      <c r="D259" s="26">
        <v>0</v>
      </c>
      <c r="E259" s="26">
        <v>0</v>
      </c>
      <c r="F259" s="26">
        <v>0</v>
      </c>
      <c r="G259" s="29" t="s">
        <v>638</v>
      </c>
      <c r="H259" s="26"/>
      <c r="I259" s="26" t="b">
        <v>0</v>
      </c>
      <c r="J259" s="23" t="b">
        <v>1</v>
      </c>
      <c r="K259" s="26" t="b">
        <v>1</v>
      </c>
      <c r="L259" s="26"/>
      <c r="M259" s="26"/>
      <c r="N259" s="26" t="str">
        <f>_xlfn.IFNA(VLOOKUP($M259,Buff.CM!$A:$O,13,FALSE),"")</f>
        <v/>
      </c>
      <c r="O259" s="26" t="str">
        <f>_xlfn.IFNA(VLOOKUP($M259,Buff.CM!$A:$O,14,FALSE),"")</f>
        <v/>
      </c>
      <c r="P259" s="26" t="str">
        <f>_xlfn.IFNA(VLOOKUP($M259,Buff.CM!$A:$O,15,FALSE),"")</f>
        <v/>
      </c>
      <c r="Q259" s="26" t="b">
        <v>0</v>
      </c>
      <c r="R259" s="26" t="b">
        <v>0</v>
      </c>
    </row>
    <row r="260" spans="1:18">
      <c r="A260" s="29" t="s">
        <v>639</v>
      </c>
      <c r="B260" s="26"/>
      <c r="C260" s="26"/>
      <c r="D260" s="26">
        <v>0</v>
      </c>
      <c r="E260" s="26">
        <v>0</v>
      </c>
      <c r="F260" s="26">
        <v>0</v>
      </c>
      <c r="G260" s="29" t="s">
        <v>640</v>
      </c>
      <c r="H260" s="26"/>
      <c r="I260" s="26" t="b">
        <v>0</v>
      </c>
      <c r="J260" s="23" t="b">
        <v>1</v>
      </c>
      <c r="K260" s="26" t="b">
        <v>1</v>
      </c>
      <c r="L260" s="26"/>
      <c r="M260" s="26"/>
      <c r="N260" s="26" t="str">
        <f>_xlfn.IFNA(VLOOKUP($M260,Buff.CM!$A:$O,13,FALSE),"")</f>
        <v/>
      </c>
      <c r="O260" s="26" t="str">
        <f>_xlfn.IFNA(VLOOKUP($M260,Buff.CM!$A:$O,14,FALSE),"")</f>
        <v/>
      </c>
      <c r="P260" s="26" t="str">
        <f>_xlfn.IFNA(VLOOKUP($M260,Buff.CM!$A:$O,15,FALSE),"")</f>
        <v/>
      </c>
      <c r="Q260" s="26" t="b">
        <v>0</v>
      </c>
      <c r="R260" s="26" t="b">
        <v>0</v>
      </c>
    </row>
    <row r="261" spans="1:18">
      <c r="A261" s="37" t="s">
        <v>641</v>
      </c>
      <c r="B261" s="34"/>
      <c r="C261" s="34"/>
      <c r="D261" s="34">
        <v>0</v>
      </c>
      <c r="E261" s="34">
        <v>0</v>
      </c>
      <c r="F261" s="34">
        <v>0</v>
      </c>
      <c r="G261" s="37" t="s">
        <v>642</v>
      </c>
      <c r="H261" s="34"/>
      <c r="I261" s="34" t="b">
        <v>0</v>
      </c>
      <c r="J261" s="23" t="b">
        <v>1</v>
      </c>
      <c r="K261" s="34" t="b">
        <v>1</v>
      </c>
      <c r="L261" s="34"/>
      <c r="M261" s="34"/>
      <c r="N261" s="34" t="str">
        <f>_xlfn.IFNA(VLOOKUP($M261,Buff.CM!$A:$O,13,FALSE),"")</f>
        <v/>
      </c>
      <c r="O261" s="34" t="str">
        <f>_xlfn.IFNA(VLOOKUP($M261,Buff.CM!$A:$O,14,FALSE),"")</f>
        <v/>
      </c>
      <c r="P261" s="34" t="str">
        <f>_xlfn.IFNA(VLOOKUP($M261,Buff.CM!$A:$O,15,FALSE),"")</f>
        <v/>
      </c>
      <c r="Q261" s="34" t="b">
        <v>0</v>
      </c>
      <c r="R261" s="34" t="b">
        <v>0</v>
      </c>
    </row>
    <row r="262" spans="1:18">
      <c r="A262" s="37" t="s">
        <v>643</v>
      </c>
      <c r="B262" s="34"/>
      <c r="C262" s="34"/>
      <c r="D262" s="34">
        <v>0</v>
      </c>
      <c r="E262" s="34">
        <v>0</v>
      </c>
      <c r="F262" s="34">
        <v>0</v>
      </c>
      <c r="G262" s="37" t="s">
        <v>644</v>
      </c>
      <c r="H262" s="34"/>
      <c r="I262" s="34" t="b">
        <v>0</v>
      </c>
      <c r="J262" s="23" t="b">
        <v>1</v>
      </c>
      <c r="K262" s="34" t="b">
        <v>1</v>
      </c>
      <c r="L262" s="34"/>
      <c r="M262" s="34"/>
      <c r="N262" s="34" t="str">
        <f>_xlfn.IFNA(VLOOKUP($M262,Buff.CM!$A:$O,13,FALSE),"")</f>
        <v/>
      </c>
      <c r="O262" s="34" t="str">
        <f>_xlfn.IFNA(VLOOKUP($M262,Buff.CM!$A:$O,14,FALSE),"")</f>
        <v/>
      </c>
      <c r="P262" s="34" t="str">
        <f>_xlfn.IFNA(VLOOKUP($M262,Buff.CM!$A:$O,15,FALSE),"")</f>
        <v/>
      </c>
      <c r="Q262" s="34" t="b">
        <v>0</v>
      </c>
      <c r="R262" s="34" t="b">
        <v>0</v>
      </c>
    </row>
    <row r="263" spans="1:18">
      <c r="A263" s="37" t="s">
        <v>645</v>
      </c>
      <c r="B263" s="34"/>
      <c r="C263" s="34"/>
      <c r="D263" s="34">
        <v>0</v>
      </c>
      <c r="E263" s="34">
        <v>0</v>
      </c>
      <c r="F263" s="34">
        <v>0</v>
      </c>
      <c r="G263" s="37" t="s">
        <v>646</v>
      </c>
      <c r="H263" s="34"/>
      <c r="I263" s="34" t="b">
        <v>0</v>
      </c>
      <c r="J263" s="23" t="b">
        <v>1</v>
      </c>
      <c r="K263" s="34" t="b">
        <v>1</v>
      </c>
      <c r="L263" s="34"/>
      <c r="M263" s="34"/>
      <c r="N263" s="34" t="str">
        <f>_xlfn.IFNA(VLOOKUP($M263,Buff.CM!$A:$O,13,FALSE),"")</f>
        <v/>
      </c>
      <c r="O263" s="34" t="str">
        <f>_xlfn.IFNA(VLOOKUP($M263,Buff.CM!$A:$O,14,FALSE),"")</f>
        <v/>
      </c>
      <c r="P263" s="34" t="str">
        <f>_xlfn.IFNA(VLOOKUP($M263,Buff.CM!$A:$O,15,FALSE),"")</f>
        <v/>
      </c>
      <c r="Q263" s="34" t="b">
        <v>0</v>
      </c>
      <c r="R263" s="34" t="b">
        <v>0</v>
      </c>
    </row>
    <row r="264" spans="1:18" ht="33">
      <c r="A264" s="107" t="s">
        <v>6946</v>
      </c>
      <c r="B264" s="25"/>
      <c r="C264" s="25"/>
      <c r="D264" s="25">
        <v>0</v>
      </c>
      <c r="E264" s="25">
        <v>15</v>
      </c>
      <c r="F264" s="25">
        <v>1</v>
      </c>
      <c r="G264" s="69" t="s">
        <v>6947</v>
      </c>
      <c r="H264" s="25"/>
      <c r="I264" s="25" t="b">
        <v>0</v>
      </c>
      <c r="J264" s="23" t="b">
        <v>1</v>
      </c>
      <c r="K264" s="25" t="b">
        <v>1</v>
      </c>
      <c r="L264" s="25"/>
      <c r="M264" s="25" t="s">
        <v>5688</v>
      </c>
      <c r="N264" s="25" t="str">
        <f>_xlfn.IFNA(VLOOKUP($M264,Buff.CM!$A:$O,13,FALSE),"")</f>
        <v>icon_battle_shery_battery</v>
      </c>
      <c r="O264" s="25" t="str">
        <f>_xlfn.IFNA(VLOOKUP($M264,Buff.CM!$A:$O,14,FALSE),"")</f>
        <v>info.shery.buff.battery</v>
      </c>
      <c r="P264" s="25" t="str">
        <f>_xlfn.IFNA(VLOOKUP($M264,Buff.CM!$A:$O,15,FALSE),"")</f>
        <v>Desc.info.shery.buff.battery</v>
      </c>
      <c r="Q264" s="25" t="b">
        <v>0</v>
      </c>
      <c r="R264" s="25" t="b">
        <v>0</v>
      </c>
    </row>
    <row r="265" spans="1:18" ht="33">
      <c r="A265" s="107" t="s">
        <v>1996</v>
      </c>
      <c r="B265" s="25"/>
      <c r="C265" s="25"/>
      <c r="D265" s="25">
        <v>0</v>
      </c>
      <c r="E265" s="25">
        <v>15</v>
      </c>
      <c r="F265" s="25">
        <v>1</v>
      </c>
      <c r="G265" s="69" t="s">
        <v>6948</v>
      </c>
      <c r="H265" s="25"/>
      <c r="I265" s="25" t="b">
        <v>0</v>
      </c>
      <c r="J265" s="23" t="b">
        <v>1</v>
      </c>
      <c r="K265" s="25" t="b">
        <v>1</v>
      </c>
      <c r="L265" s="25"/>
      <c r="M265" s="25" t="s">
        <v>5688</v>
      </c>
      <c r="N265" s="25" t="str">
        <f>_xlfn.IFNA(VLOOKUP($M265,Buff.CM!$A:$O,13,FALSE),"")</f>
        <v>icon_battle_shery_battery</v>
      </c>
      <c r="O265" s="25" t="str">
        <f>_xlfn.IFNA(VLOOKUP($M265,Buff.CM!$A:$O,14,FALSE),"")</f>
        <v>info.shery.buff.battery</v>
      </c>
      <c r="P265" s="25" t="str">
        <f>_xlfn.IFNA(VLOOKUP($M265,Buff.CM!$A:$O,15,FALSE),"")</f>
        <v>Desc.info.shery.buff.battery</v>
      </c>
      <c r="Q265" s="25" t="b">
        <v>0</v>
      </c>
      <c r="R265" s="25" t="b">
        <v>0</v>
      </c>
    </row>
    <row r="266" spans="1:18" ht="33">
      <c r="A266" s="107" t="s">
        <v>1997</v>
      </c>
      <c r="B266" s="25"/>
      <c r="C266" s="25"/>
      <c r="D266" s="25">
        <v>0</v>
      </c>
      <c r="E266" s="25">
        <v>15</v>
      </c>
      <c r="F266" s="25">
        <v>1</v>
      </c>
      <c r="G266" s="69" t="s">
        <v>6949</v>
      </c>
      <c r="H266" s="25"/>
      <c r="I266" s="25" t="b">
        <v>0</v>
      </c>
      <c r="J266" s="23" t="b">
        <v>1</v>
      </c>
      <c r="K266" s="25" t="b">
        <v>1</v>
      </c>
      <c r="L266" s="25"/>
      <c r="M266" s="25" t="s">
        <v>5688</v>
      </c>
      <c r="N266" s="25" t="str">
        <f>_xlfn.IFNA(VLOOKUP($M266,Buff.CM!$A:$O,13,FALSE),"")</f>
        <v>icon_battle_shery_battery</v>
      </c>
      <c r="O266" s="25" t="str">
        <f>_xlfn.IFNA(VLOOKUP($M266,Buff.CM!$A:$O,14,FALSE),"")</f>
        <v>info.shery.buff.battery</v>
      </c>
      <c r="P266" s="25" t="str">
        <f>_xlfn.IFNA(VLOOKUP($M266,Buff.CM!$A:$O,15,FALSE),"")</f>
        <v>Desc.info.shery.buff.battery</v>
      </c>
      <c r="Q266" s="25" t="b">
        <v>0</v>
      </c>
      <c r="R266" s="25" t="b">
        <v>0</v>
      </c>
    </row>
    <row r="267" spans="1:18" ht="33">
      <c r="A267" s="37" t="s">
        <v>6950</v>
      </c>
      <c r="B267" s="34"/>
      <c r="C267" s="34"/>
      <c r="D267" s="34">
        <v>0</v>
      </c>
      <c r="E267" s="34">
        <v>15</v>
      </c>
      <c r="F267" s="34">
        <v>1</v>
      </c>
      <c r="G267" s="57" t="s">
        <v>6951</v>
      </c>
      <c r="H267" s="34"/>
      <c r="I267" s="34" t="b">
        <v>0</v>
      </c>
      <c r="J267" s="23" t="b">
        <v>1</v>
      </c>
      <c r="K267" s="34" t="b">
        <v>1</v>
      </c>
      <c r="L267" s="34"/>
      <c r="M267" s="34" t="s">
        <v>5688</v>
      </c>
      <c r="N267" s="34" t="str">
        <f>_xlfn.IFNA(VLOOKUP($M267,Buff.CM!$A:$O,13,FALSE),"")</f>
        <v>icon_battle_shery_battery</v>
      </c>
      <c r="O267" s="34" t="str">
        <f>_xlfn.IFNA(VLOOKUP($M267,Buff.CM!$A:$O,14,FALSE),"")</f>
        <v>info.shery.buff.battery</v>
      </c>
      <c r="P267" s="34" t="str">
        <f>_xlfn.IFNA(VLOOKUP($M267,Buff.CM!$A:$O,15,FALSE),"")</f>
        <v>Desc.info.shery.buff.battery</v>
      </c>
      <c r="Q267" s="34" t="b">
        <v>0</v>
      </c>
      <c r="R267" s="34" t="b">
        <v>0</v>
      </c>
    </row>
    <row r="268" spans="1:18" ht="33">
      <c r="A268" s="37" t="s">
        <v>1998</v>
      </c>
      <c r="B268" s="34"/>
      <c r="C268" s="34"/>
      <c r="D268" s="34">
        <v>0</v>
      </c>
      <c r="E268" s="34">
        <v>15</v>
      </c>
      <c r="F268" s="34">
        <v>1</v>
      </c>
      <c r="G268" s="57" t="s">
        <v>6952</v>
      </c>
      <c r="H268" s="34"/>
      <c r="I268" s="34" t="b">
        <v>0</v>
      </c>
      <c r="J268" s="23" t="b">
        <v>1</v>
      </c>
      <c r="K268" s="34" t="b">
        <v>1</v>
      </c>
      <c r="L268" s="34"/>
      <c r="M268" s="34" t="s">
        <v>5688</v>
      </c>
      <c r="N268" s="34" t="str">
        <f>_xlfn.IFNA(VLOOKUP($M268,Buff.CM!$A:$O,13,FALSE),"")</f>
        <v>icon_battle_shery_battery</v>
      </c>
      <c r="O268" s="34" t="str">
        <f>_xlfn.IFNA(VLOOKUP($M268,Buff.CM!$A:$O,14,FALSE),"")</f>
        <v>info.shery.buff.battery</v>
      </c>
      <c r="P268" s="34" t="str">
        <f>_xlfn.IFNA(VLOOKUP($M268,Buff.CM!$A:$O,15,FALSE),"")</f>
        <v>Desc.info.shery.buff.battery</v>
      </c>
      <c r="Q268" s="34" t="b">
        <v>0</v>
      </c>
      <c r="R268" s="34" t="b">
        <v>0</v>
      </c>
    </row>
    <row r="269" spans="1:18" ht="33">
      <c r="A269" s="37" t="s">
        <v>1999</v>
      </c>
      <c r="B269" s="34"/>
      <c r="C269" s="34"/>
      <c r="D269" s="34">
        <v>0</v>
      </c>
      <c r="E269" s="34">
        <v>15</v>
      </c>
      <c r="F269" s="34">
        <v>1</v>
      </c>
      <c r="G269" s="57" t="s">
        <v>6953</v>
      </c>
      <c r="H269" s="34"/>
      <c r="I269" s="34" t="b">
        <v>0</v>
      </c>
      <c r="J269" s="23" t="b">
        <v>1</v>
      </c>
      <c r="K269" s="34" t="b">
        <v>1</v>
      </c>
      <c r="L269" s="34"/>
      <c r="M269" s="34" t="s">
        <v>5688</v>
      </c>
      <c r="N269" s="34" t="str">
        <f>_xlfn.IFNA(VLOOKUP($M269,Buff.CM!$A:$O,13,FALSE),"")</f>
        <v>icon_battle_shery_battery</v>
      </c>
      <c r="O269" s="34" t="str">
        <f>_xlfn.IFNA(VLOOKUP($M269,Buff.CM!$A:$O,14,FALSE),"")</f>
        <v>info.shery.buff.battery</v>
      </c>
      <c r="P269" s="34" t="str">
        <f>_xlfn.IFNA(VLOOKUP($M269,Buff.CM!$A:$O,15,FALSE),"")</f>
        <v>Desc.info.shery.buff.battery</v>
      </c>
      <c r="Q269" s="34" t="b">
        <v>0</v>
      </c>
      <c r="R269" s="34" t="b">
        <v>0</v>
      </c>
    </row>
    <row r="270" spans="1:18">
      <c r="A270" s="23" t="s">
        <v>2007</v>
      </c>
      <c r="B270" s="23"/>
      <c r="C270" s="23"/>
      <c r="D270" s="23">
        <v>3000</v>
      </c>
      <c r="E270" s="23">
        <v>0</v>
      </c>
      <c r="F270" s="23">
        <v>0</v>
      </c>
      <c r="G270" s="39" t="s">
        <v>246</v>
      </c>
      <c r="H270" s="23"/>
      <c r="I270" s="23" t="b">
        <v>0</v>
      </c>
      <c r="J270" s="23" t="b">
        <v>0</v>
      </c>
      <c r="K270" s="23" t="b">
        <v>0</v>
      </c>
      <c r="L270" s="23" t="s">
        <v>348</v>
      </c>
      <c r="M270" s="23" t="s">
        <v>5466</v>
      </c>
      <c r="N270" s="23" t="str">
        <f>_xlfn.IFNA(VLOOKUP($M270,Buff.CM!$A:$O,13,FALSE),"")</f>
        <v>icon_battle_freezing</v>
      </c>
      <c r="O270" s="23" t="str">
        <f>_xlfn.IFNA(VLOOKUP($M270,Buff.CM!$A:$O,14,FALSE),"")</f>
        <v>Buff.Name.Freeze</v>
      </c>
      <c r="P270" s="23" t="str">
        <f>_xlfn.IFNA(VLOOKUP($M270,Buff.CM!$A:$O,15,FALSE),"")</f>
        <v>Buff.Desc.Freeze</v>
      </c>
      <c r="Q270" s="23" t="b">
        <v>0</v>
      </c>
      <c r="R270" s="23" t="b">
        <v>0</v>
      </c>
    </row>
    <row r="271" spans="1:18">
      <c r="A271" s="23" t="s">
        <v>2008</v>
      </c>
      <c r="B271" s="23"/>
      <c r="C271" s="23"/>
      <c r="D271" s="23">
        <v>3000</v>
      </c>
      <c r="E271" s="23">
        <v>0</v>
      </c>
      <c r="F271" s="23">
        <v>0</v>
      </c>
      <c r="G271" s="39" t="s">
        <v>246</v>
      </c>
      <c r="H271" s="23"/>
      <c r="I271" s="23" t="b">
        <v>0</v>
      </c>
      <c r="J271" s="23" t="b">
        <v>0</v>
      </c>
      <c r="K271" s="23" t="b">
        <v>0</v>
      </c>
      <c r="L271" s="23" t="s">
        <v>348</v>
      </c>
      <c r="M271" s="23" t="s">
        <v>5466</v>
      </c>
      <c r="N271" s="23" t="str">
        <f>_xlfn.IFNA(VLOOKUP($M271,Buff.CM!$A:$O,13,FALSE),"")</f>
        <v>icon_battle_freezing</v>
      </c>
      <c r="O271" s="23" t="str">
        <f>_xlfn.IFNA(VLOOKUP($M271,Buff.CM!$A:$O,14,FALSE),"")</f>
        <v>Buff.Name.Freeze</v>
      </c>
      <c r="P271" s="23" t="str">
        <f>_xlfn.IFNA(VLOOKUP($M271,Buff.CM!$A:$O,15,FALSE),"")</f>
        <v>Buff.Desc.Freeze</v>
      </c>
      <c r="Q271" s="23" t="b">
        <v>0</v>
      </c>
      <c r="R271" s="23" t="b">
        <v>0</v>
      </c>
    </row>
    <row r="272" spans="1:18">
      <c r="A272" s="23" t="s">
        <v>2009</v>
      </c>
      <c r="B272" s="23"/>
      <c r="C272" s="23"/>
      <c r="D272" s="23">
        <v>3000</v>
      </c>
      <c r="E272" s="23">
        <v>0</v>
      </c>
      <c r="F272" s="23">
        <v>0</v>
      </c>
      <c r="G272" s="39" t="s">
        <v>246</v>
      </c>
      <c r="H272" s="23"/>
      <c r="I272" s="23" t="b">
        <v>0</v>
      </c>
      <c r="J272" s="23" t="b">
        <v>0</v>
      </c>
      <c r="K272" s="23" t="b">
        <v>0</v>
      </c>
      <c r="L272" s="23" t="s">
        <v>348</v>
      </c>
      <c r="M272" s="23" t="s">
        <v>5466</v>
      </c>
      <c r="N272" s="23" t="str">
        <f>_xlfn.IFNA(VLOOKUP($M272,Buff.CM!$A:$O,13,FALSE),"")</f>
        <v>icon_battle_freezing</v>
      </c>
      <c r="O272" s="23" t="str">
        <f>_xlfn.IFNA(VLOOKUP($M272,Buff.CM!$A:$O,14,FALSE),"")</f>
        <v>Buff.Name.Freeze</v>
      </c>
      <c r="P272" s="23" t="str">
        <f>_xlfn.IFNA(VLOOKUP($M272,Buff.CM!$A:$O,15,FALSE),"")</f>
        <v>Buff.Desc.Freeze</v>
      </c>
      <c r="Q272" s="23" t="b">
        <v>0</v>
      </c>
      <c r="R272" s="23" t="b">
        <v>0</v>
      </c>
    </row>
    <row r="273" spans="1:18">
      <c r="A273" s="23" t="s">
        <v>2010</v>
      </c>
      <c r="B273" s="23"/>
      <c r="C273" s="23"/>
      <c r="D273" s="23">
        <v>3000</v>
      </c>
      <c r="E273" s="23">
        <v>0</v>
      </c>
      <c r="F273" s="23">
        <v>0</v>
      </c>
      <c r="G273" s="39" t="s">
        <v>246</v>
      </c>
      <c r="H273" s="23"/>
      <c r="I273" s="23" t="b">
        <v>0</v>
      </c>
      <c r="J273" s="23" t="b">
        <v>0</v>
      </c>
      <c r="K273" s="23" t="b">
        <v>0</v>
      </c>
      <c r="L273" s="23" t="s">
        <v>348</v>
      </c>
      <c r="M273" s="23" t="s">
        <v>5466</v>
      </c>
      <c r="N273" s="23" t="str">
        <f>_xlfn.IFNA(VLOOKUP($M273,Buff.CM!$A:$O,13,FALSE),"")</f>
        <v>icon_battle_freezing</v>
      </c>
      <c r="O273" s="23" t="str">
        <f>_xlfn.IFNA(VLOOKUP($M273,Buff.CM!$A:$O,14,FALSE),"")</f>
        <v>Buff.Name.Freeze</v>
      </c>
      <c r="P273" s="23" t="str">
        <f>_xlfn.IFNA(VLOOKUP($M273,Buff.CM!$A:$O,15,FALSE),"")</f>
        <v>Buff.Desc.Freeze</v>
      </c>
      <c r="Q273" s="23" t="b">
        <v>0</v>
      </c>
      <c r="R273" s="23" t="b">
        <v>0</v>
      </c>
    </row>
    <row r="274" spans="1:18">
      <c r="A274" s="23" t="s">
        <v>4340</v>
      </c>
      <c r="B274" s="23"/>
      <c r="C274" s="23"/>
      <c r="D274" s="23">
        <v>3000</v>
      </c>
      <c r="E274" s="23">
        <v>0</v>
      </c>
      <c r="F274" s="23">
        <v>0</v>
      </c>
      <c r="G274" s="39" t="s">
        <v>246</v>
      </c>
      <c r="H274" s="23"/>
      <c r="I274" s="23" t="b">
        <v>0</v>
      </c>
      <c r="J274" s="23" t="b">
        <v>0</v>
      </c>
      <c r="K274" s="23" t="b">
        <v>0</v>
      </c>
      <c r="L274" s="23" t="s">
        <v>348</v>
      </c>
      <c r="M274" s="23" t="s">
        <v>5466</v>
      </c>
      <c r="N274" s="23" t="str">
        <f>_xlfn.IFNA(VLOOKUP($M274,Buff.CM!$A:$O,13,FALSE),"")</f>
        <v>icon_battle_freezing</v>
      </c>
      <c r="O274" s="23" t="str">
        <f>_xlfn.IFNA(VLOOKUP($M274,Buff.CM!$A:$O,14,FALSE),"")</f>
        <v>Buff.Name.Freeze</v>
      </c>
      <c r="P274" s="23" t="str">
        <f>_xlfn.IFNA(VLOOKUP($M274,Buff.CM!$A:$O,15,FALSE),"")</f>
        <v>Buff.Desc.Freeze</v>
      </c>
      <c r="Q274" s="23" t="b">
        <v>0</v>
      </c>
      <c r="R274" s="23" t="b">
        <v>0</v>
      </c>
    </row>
    <row r="275" spans="1:18" s="150" customFormat="1" ht="82.5">
      <c r="A275" s="163" t="s">
        <v>6954</v>
      </c>
      <c r="B275" s="24"/>
      <c r="C275" s="24"/>
      <c r="D275" s="24">
        <v>0</v>
      </c>
      <c r="E275" s="24">
        <v>0</v>
      </c>
      <c r="F275" s="24">
        <v>0</v>
      </c>
      <c r="G275" s="38" t="s">
        <v>6955</v>
      </c>
      <c r="H275" s="24"/>
      <c r="I275" s="24" t="b">
        <v>0</v>
      </c>
      <c r="J275" s="24" t="b">
        <v>0</v>
      </c>
      <c r="K275" s="24" t="b">
        <v>1</v>
      </c>
      <c r="L275" s="24"/>
      <c r="M275" s="24"/>
      <c r="N275" s="24" t="str">
        <f>_xlfn.IFNA(VLOOKUP($M275,Buff.CM!$A:$O,13,FALSE),"")</f>
        <v/>
      </c>
      <c r="O275" s="24" t="str">
        <f>_xlfn.IFNA(VLOOKUP($M275,Buff.CM!$A:$O,14,FALSE),"")</f>
        <v/>
      </c>
      <c r="P275" s="24" t="str">
        <f>_xlfn.IFNA(VLOOKUP($M275,Buff.CM!$A:$O,15,FALSE),"")</f>
        <v/>
      </c>
      <c r="Q275" s="24" t="b">
        <v>0</v>
      </c>
      <c r="R275" s="24" t="b">
        <v>0</v>
      </c>
    </row>
    <row r="276" spans="1:18">
      <c r="A276" s="23" t="s">
        <v>6956</v>
      </c>
      <c r="B276" s="23"/>
      <c r="C276" s="23"/>
      <c r="D276" s="23">
        <v>0</v>
      </c>
      <c r="E276" s="23">
        <v>3</v>
      </c>
      <c r="F276" s="23">
        <v>1</v>
      </c>
      <c r="G276" s="39" t="s">
        <v>122</v>
      </c>
      <c r="H276" s="23"/>
      <c r="I276" s="23" t="b">
        <v>0</v>
      </c>
      <c r="J276" s="23" t="b">
        <v>0</v>
      </c>
      <c r="K276" s="23" t="b">
        <v>0</v>
      </c>
      <c r="L276" s="23"/>
      <c r="M276" s="23"/>
      <c r="N276" s="23" t="str">
        <f>_xlfn.IFNA(VLOOKUP($M276,Buff.CM!$A:$O,13,FALSE),"")</f>
        <v/>
      </c>
      <c r="O276" s="23" t="str">
        <f>_xlfn.IFNA(VLOOKUP($M276,Buff.CM!$A:$O,14,FALSE),"")</f>
        <v/>
      </c>
      <c r="P276" s="23" t="str">
        <f>_xlfn.IFNA(VLOOKUP($M276,Buff.CM!$A:$O,15,FALSE),"")</f>
        <v/>
      </c>
      <c r="Q276" s="23" t="b">
        <v>0</v>
      </c>
      <c r="R276" s="23" t="b">
        <v>0</v>
      </c>
    </row>
    <row r="277" spans="1:18" s="160" customFormat="1" ht="33">
      <c r="A277" s="159" t="s">
        <v>6957</v>
      </c>
      <c r="B277" s="65"/>
      <c r="C277" s="65"/>
      <c r="D277" s="65">
        <v>1000</v>
      </c>
      <c r="E277" s="65">
        <v>0</v>
      </c>
      <c r="F277" s="65">
        <v>0</v>
      </c>
      <c r="G277" s="159" t="s">
        <v>6958</v>
      </c>
      <c r="H277" s="65"/>
      <c r="I277" s="65" t="b">
        <v>0</v>
      </c>
      <c r="J277" s="65" t="b">
        <v>0</v>
      </c>
      <c r="K277" s="65" t="b">
        <v>0</v>
      </c>
      <c r="L277" s="24" t="s">
        <v>175</v>
      </c>
      <c r="M277" s="24" t="s">
        <v>5666</v>
      </c>
      <c r="N277" s="65" t="str">
        <f>_xlfn.IFNA(VLOOKUP($M277,Buff.CM!$A:$O,13,FALSE),"")</f>
        <v>icon_battle_freezing</v>
      </c>
      <c r="O277" s="65" t="str">
        <f>_xlfn.IFNA(VLOOKUP($M277,Buff.CM!$A:$O,14,FALSE),"")</f>
        <v>info.patricia.buff.blizzard</v>
      </c>
      <c r="P277" s="65" t="str">
        <f>_xlfn.IFNA(VLOOKUP($M277,Buff.CM!$A:$O,15,FALSE),"")</f>
        <v>Desc.info.patricia.buff.blizzard</v>
      </c>
      <c r="Q277" s="65" t="b">
        <v>0</v>
      </c>
      <c r="R277" s="65" t="b">
        <v>0</v>
      </c>
    </row>
    <row r="278" spans="1:18" s="160" customFormat="1" ht="33">
      <c r="A278" s="159" t="s">
        <v>2898</v>
      </c>
      <c r="B278" s="65"/>
      <c r="C278" s="65"/>
      <c r="D278" s="65">
        <v>1000</v>
      </c>
      <c r="E278" s="65">
        <v>0</v>
      </c>
      <c r="F278" s="65">
        <v>0</v>
      </c>
      <c r="G278" s="159" t="s">
        <v>6959</v>
      </c>
      <c r="H278" s="65"/>
      <c r="I278" s="65" t="b">
        <v>0</v>
      </c>
      <c r="J278" s="65" t="b">
        <v>0</v>
      </c>
      <c r="K278" s="65" t="b">
        <v>0</v>
      </c>
      <c r="L278" s="24" t="s">
        <v>175</v>
      </c>
      <c r="M278" s="24" t="s">
        <v>5666</v>
      </c>
      <c r="N278" s="65" t="str">
        <f>_xlfn.IFNA(VLOOKUP($M278,Buff.CM!$A:$O,13,FALSE),"")</f>
        <v>icon_battle_freezing</v>
      </c>
      <c r="O278" s="65" t="str">
        <f>_xlfn.IFNA(VLOOKUP($M278,Buff.CM!$A:$O,14,FALSE),"")</f>
        <v>info.patricia.buff.blizzard</v>
      </c>
      <c r="P278" s="65" t="str">
        <f>_xlfn.IFNA(VLOOKUP($M278,Buff.CM!$A:$O,15,FALSE),"")</f>
        <v>Desc.info.patricia.buff.blizzard</v>
      </c>
      <c r="Q278" s="65" t="b">
        <v>0</v>
      </c>
      <c r="R278" s="65" t="b">
        <v>0</v>
      </c>
    </row>
    <row r="279" spans="1:18" s="160" customFormat="1" ht="33">
      <c r="A279" s="159" t="s">
        <v>2899</v>
      </c>
      <c r="B279" s="65"/>
      <c r="C279" s="65"/>
      <c r="D279" s="65">
        <v>1000</v>
      </c>
      <c r="E279" s="65">
        <v>0</v>
      </c>
      <c r="F279" s="65">
        <v>0</v>
      </c>
      <c r="G279" s="159" t="s">
        <v>6960</v>
      </c>
      <c r="H279" s="65"/>
      <c r="I279" s="65" t="b">
        <v>0</v>
      </c>
      <c r="J279" s="65" t="b">
        <v>0</v>
      </c>
      <c r="K279" s="65" t="b">
        <v>0</v>
      </c>
      <c r="L279" s="24" t="s">
        <v>175</v>
      </c>
      <c r="M279" s="24" t="s">
        <v>5666</v>
      </c>
      <c r="N279" s="65" t="str">
        <f>_xlfn.IFNA(VLOOKUP($M279,Buff.CM!$A:$O,13,FALSE),"")</f>
        <v>icon_battle_freezing</v>
      </c>
      <c r="O279" s="65" t="str">
        <f>_xlfn.IFNA(VLOOKUP($M279,Buff.CM!$A:$O,14,FALSE),"")</f>
        <v>info.patricia.buff.blizzard</v>
      </c>
      <c r="P279" s="65" t="str">
        <f>_xlfn.IFNA(VLOOKUP($M279,Buff.CM!$A:$O,15,FALSE),"")</f>
        <v>Desc.info.patricia.buff.blizzard</v>
      </c>
      <c r="Q279" s="65" t="b">
        <v>0</v>
      </c>
      <c r="R279" s="65" t="b">
        <v>0</v>
      </c>
    </row>
    <row r="280" spans="1:18" s="160" customFormat="1" ht="33">
      <c r="A280" s="159" t="s">
        <v>2900</v>
      </c>
      <c r="B280" s="65"/>
      <c r="C280" s="65"/>
      <c r="D280" s="65">
        <v>1000</v>
      </c>
      <c r="E280" s="65">
        <v>0</v>
      </c>
      <c r="F280" s="65">
        <v>0</v>
      </c>
      <c r="G280" s="159" t="s">
        <v>6961</v>
      </c>
      <c r="H280" s="65"/>
      <c r="I280" s="65" t="b">
        <v>0</v>
      </c>
      <c r="J280" s="65" t="b">
        <v>0</v>
      </c>
      <c r="K280" s="65" t="b">
        <v>0</v>
      </c>
      <c r="L280" s="24" t="s">
        <v>175</v>
      </c>
      <c r="M280" s="24" t="s">
        <v>5666</v>
      </c>
      <c r="N280" s="65" t="str">
        <f>_xlfn.IFNA(VLOOKUP($M280,Buff.CM!$A:$O,13,FALSE),"")</f>
        <v>icon_battle_freezing</v>
      </c>
      <c r="O280" s="65" t="str">
        <f>_xlfn.IFNA(VLOOKUP($M280,Buff.CM!$A:$O,14,FALSE),"")</f>
        <v>info.patricia.buff.blizzard</v>
      </c>
      <c r="P280" s="65" t="str">
        <f>_xlfn.IFNA(VLOOKUP($M280,Buff.CM!$A:$O,15,FALSE),"")</f>
        <v>Desc.info.patricia.buff.blizzard</v>
      </c>
      <c r="Q280" s="65" t="b">
        <v>0</v>
      </c>
      <c r="R280" s="65" t="b">
        <v>0</v>
      </c>
    </row>
    <row r="281" spans="1:18" s="160" customFormat="1" ht="33">
      <c r="A281" s="159" t="s">
        <v>3297</v>
      </c>
      <c r="B281" s="65"/>
      <c r="C281" s="65"/>
      <c r="D281" s="65">
        <v>1000</v>
      </c>
      <c r="E281" s="65">
        <v>0</v>
      </c>
      <c r="F281" s="65">
        <v>0</v>
      </c>
      <c r="G281" s="159" t="s">
        <v>6962</v>
      </c>
      <c r="H281" s="65"/>
      <c r="I281" s="65" t="b">
        <v>0</v>
      </c>
      <c r="J281" s="65" t="b">
        <v>0</v>
      </c>
      <c r="K281" s="65" t="b">
        <v>0</v>
      </c>
      <c r="L281" s="24" t="s">
        <v>175</v>
      </c>
      <c r="M281" s="24" t="s">
        <v>5666</v>
      </c>
      <c r="N281" s="65" t="str">
        <f>_xlfn.IFNA(VLOOKUP($M281,Buff.CM!$A:$O,13,FALSE),"")</f>
        <v>icon_battle_freezing</v>
      </c>
      <c r="O281" s="65" t="str">
        <f>_xlfn.IFNA(VLOOKUP($M281,Buff.CM!$A:$O,14,FALSE),"")</f>
        <v>info.patricia.buff.blizzard</v>
      </c>
      <c r="P281" s="65" t="str">
        <f>_xlfn.IFNA(VLOOKUP($M281,Buff.CM!$A:$O,15,FALSE),"")</f>
        <v>Desc.info.patricia.buff.blizzard</v>
      </c>
      <c r="Q281" s="65" t="b">
        <v>0</v>
      </c>
      <c r="R281" s="65" t="b">
        <v>0</v>
      </c>
    </row>
    <row r="282" spans="1:18" s="160" customFormat="1" ht="33">
      <c r="A282" s="159" t="s">
        <v>3298</v>
      </c>
      <c r="B282" s="65"/>
      <c r="C282" s="65"/>
      <c r="D282" s="65">
        <v>1000</v>
      </c>
      <c r="E282" s="65">
        <v>0</v>
      </c>
      <c r="F282" s="65">
        <v>0</v>
      </c>
      <c r="G282" s="159" t="s">
        <v>6963</v>
      </c>
      <c r="H282" s="65"/>
      <c r="I282" s="65" t="b">
        <v>0</v>
      </c>
      <c r="J282" s="65" t="b">
        <v>0</v>
      </c>
      <c r="K282" s="65" t="b">
        <v>0</v>
      </c>
      <c r="L282" s="24" t="s">
        <v>175</v>
      </c>
      <c r="M282" s="24" t="s">
        <v>5666</v>
      </c>
      <c r="N282" s="65" t="str">
        <f>_xlfn.IFNA(VLOOKUP($M282,Buff.CM!$A:$O,13,FALSE),"")</f>
        <v>icon_battle_freezing</v>
      </c>
      <c r="O282" s="65" t="str">
        <f>_xlfn.IFNA(VLOOKUP($M282,Buff.CM!$A:$O,14,FALSE),"")</f>
        <v>info.patricia.buff.blizzard</v>
      </c>
      <c r="P282" s="65" t="str">
        <f>_xlfn.IFNA(VLOOKUP($M282,Buff.CM!$A:$O,15,FALSE),"")</f>
        <v>Desc.info.patricia.buff.blizzard</v>
      </c>
      <c r="Q282" s="65" t="b">
        <v>0</v>
      </c>
      <c r="R282" s="65" t="b">
        <v>0</v>
      </c>
    </row>
    <row r="283" spans="1:18" s="160" customFormat="1" ht="33">
      <c r="A283" s="159" t="s">
        <v>3299</v>
      </c>
      <c r="B283" s="65"/>
      <c r="C283" s="65"/>
      <c r="D283" s="65">
        <v>1000</v>
      </c>
      <c r="E283" s="65">
        <v>0</v>
      </c>
      <c r="F283" s="65">
        <v>0</v>
      </c>
      <c r="G283" s="159" t="s">
        <v>6964</v>
      </c>
      <c r="H283" s="65"/>
      <c r="I283" s="65" t="b">
        <v>0</v>
      </c>
      <c r="J283" s="65" t="b">
        <v>0</v>
      </c>
      <c r="K283" s="65" t="b">
        <v>0</v>
      </c>
      <c r="L283" s="24" t="s">
        <v>175</v>
      </c>
      <c r="M283" s="24" t="s">
        <v>5666</v>
      </c>
      <c r="N283" s="65" t="str">
        <f>_xlfn.IFNA(VLOOKUP($M283,Buff.CM!$A:$O,13,FALSE),"")</f>
        <v>icon_battle_freezing</v>
      </c>
      <c r="O283" s="65" t="str">
        <f>_xlfn.IFNA(VLOOKUP($M283,Buff.CM!$A:$O,14,FALSE),"")</f>
        <v>info.patricia.buff.blizzard</v>
      </c>
      <c r="P283" s="65" t="str">
        <f>_xlfn.IFNA(VLOOKUP($M283,Buff.CM!$A:$O,15,FALSE),"")</f>
        <v>Desc.info.patricia.buff.blizzard</v>
      </c>
      <c r="Q283" s="65" t="b">
        <v>0</v>
      </c>
      <c r="R283" s="65" t="b">
        <v>0</v>
      </c>
    </row>
    <row r="284" spans="1:18" s="160" customFormat="1">
      <c r="A284" s="159" t="s">
        <v>6965</v>
      </c>
      <c r="B284" s="65"/>
      <c r="C284" s="65"/>
      <c r="D284" s="65">
        <v>1000</v>
      </c>
      <c r="E284" s="65">
        <v>0</v>
      </c>
      <c r="F284" s="65">
        <v>0</v>
      </c>
      <c r="G284" s="159" t="s">
        <v>1588</v>
      </c>
      <c r="H284" s="65"/>
      <c r="I284" s="65" t="b">
        <v>0</v>
      </c>
      <c r="J284" s="65" t="b">
        <v>0</v>
      </c>
      <c r="K284" s="65" t="b">
        <v>0</v>
      </c>
      <c r="L284" s="24" t="s">
        <v>175</v>
      </c>
      <c r="M284" s="159" t="s">
        <v>1588</v>
      </c>
      <c r="N284" s="65" t="str">
        <f>_xlfn.IFNA(VLOOKUP($M284,Buff.CM!$A:$O,13,FALSE),"")</f>
        <v>icon_battle_damageimmune</v>
      </c>
      <c r="O284" s="65" t="str">
        <f>_xlfn.IFNA(VLOOKUP($M284,Buff.CM!$A:$O,14,FALSE),"")</f>
        <v>Buff.Name.Reduce.DotDamage.Down.03</v>
      </c>
      <c r="P284" s="65" t="str">
        <f>_xlfn.IFNA(VLOOKUP($M284,Buff.CM!$A:$O,15,FALSE),"")</f>
        <v>Buff.Desc.Reduce.DotDamage.Down.03</v>
      </c>
      <c r="Q284" s="65" t="b">
        <v>0</v>
      </c>
      <c r="R284" s="65" t="b">
        <v>0</v>
      </c>
    </row>
    <row r="285" spans="1:18" s="160" customFormat="1">
      <c r="A285" s="159" t="s">
        <v>4151</v>
      </c>
      <c r="B285" s="65"/>
      <c r="C285" s="65"/>
      <c r="D285" s="65">
        <v>1000</v>
      </c>
      <c r="E285" s="65">
        <v>0</v>
      </c>
      <c r="F285" s="65">
        <v>0</v>
      </c>
      <c r="G285" s="159" t="s">
        <v>1588</v>
      </c>
      <c r="H285" s="65"/>
      <c r="I285" s="65" t="b">
        <v>0</v>
      </c>
      <c r="J285" s="65" t="b">
        <v>0</v>
      </c>
      <c r="K285" s="65" t="b">
        <v>0</v>
      </c>
      <c r="L285" s="24" t="s">
        <v>175</v>
      </c>
      <c r="M285" s="159" t="s">
        <v>1588</v>
      </c>
      <c r="N285" s="65" t="str">
        <f>_xlfn.IFNA(VLOOKUP($M285,Buff.CM!$A:$O,13,FALSE),"")</f>
        <v>icon_battle_damageimmune</v>
      </c>
      <c r="O285" s="65" t="str">
        <f>_xlfn.IFNA(VLOOKUP($M285,Buff.CM!$A:$O,14,FALSE),"")</f>
        <v>Buff.Name.Reduce.DotDamage.Down.03</v>
      </c>
      <c r="P285" s="65" t="str">
        <f>_xlfn.IFNA(VLOOKUP($M285,Buff.CM!$A:$O,15,FALSE),"")</f>
        <v>Buff.Desc.Reduce.DotDamage.Down.03</v>
      </c>
      <c r="Q285" s="65" t="b">
        <v>0</v>
      </c>
      <c r="R285" s="65" t="b">
        <v>0</v>
      </c>
    </row>
    <row r="286" spans="1:18" s="160" customFormat="1">
      <c r="A286" s="159" t="s">
        <v>4152</v>
      </c>
      <c r="B286" s="65"/>
      <c r="C286" s="65"/>
      <c r="D286" s="65">
        <v>1000</v>
      </c>
      <c r="E286" s="65">
        <v>0</v>
      </c>
      <c r="F286" s="65">
        <v>0</v>
      </c>
      <c r="G286" s="159" t="s">
        <v>1589</v>
      </c>
      <c r="H286" s="65"/>
      <c r="I286" s="65" t="b">
        <v>0</v>
      </c>
      <c r="J286" s="65" t="b">
        <v>0</v>
      </c>
      <c r="K286" s="65" t="b">
        <v>0</v>
      </c>
      <c r="L286" s="24" t="s">
        <v>175</v>
      </c>
      <c r="M286" s="159" t="s">
        <v>1589</v>
      </c>
      <c r="N286" s="65" t="str">
        <f>_xlfn.IFNA(VLOOKUP($M286,Buff.CM!$A:$O,13,FALSE),"")</f>
        <v>icon_battle_damageimmune</v>
      </c>
      <c r="O286" s="65" t="str">
        <f>_xlfn.IFNA(VLOOKUP($M286,Buff.CM!$A:$O,14,FALSE),"")</f>
        <v>Buff.Name.Reduce.DotDamage.Down.04</v>
      </c>
      <c r="P286" s="65" t="str">
        <f>_xlfn.IFNA(VLOOKUP($M286,Buff.CM!$A:$O,15,FALSE),"")</f>
        <v>Buff.Desc.Reduce.DotDamage.Down.04</v>
      </c>
      <c r="Q286" s="65" t="b">
        <v>0</v>
      </c>
      <c r="R286" s="65" t="b">
        <v>0</v>
      </c>
    </row>
    <row r="287" spans="1:18" s="160" customFormat="1">
      <c r="A287" s="159" t="s">
        <v>4153</v>
      </c>
      <c r="B287" s="65"/>
      <c r="C287" s="65"/>
      <c r="D287" s="65">
        <v>1000</v>
      </c>
      <c r="E287" s="65">
        <v>0</v>
      </c>
      <c r="F287" s="65">
        <v>0</v>
      </c>
      <c r="G287" s="159" t="s">
        <v>1589</v>
      </c>
      <c r="H287" s="65"/>
      <c r="I287" s="65" t="b">
        <v>0</v>
      </c>
      <c r="J287" s="65" t="b">
        <v>0</v>
      </c>
      <c r="K287" s="65" t="b">
        <v>0</v>
      </c>
      <c r="L287" s="24" t="s">
        <v>175</v>
      </c>
      <c r="M287" s="159" t="s">
        <v>1589</v>
      </c>
      <c r="N287" s="65" t="str">
        <f>_xlfn.IFNA(VLOOKUP($M287,Buff.CM!$A:$O,13,FALSE),"")</f>
        <v>icon_battle_damageimmune</v>
      </c>
      <c r="O287" s="65" t="str">
        <f>_xlfn.IFNA(VLOOKUP($M287,Buff.CM!$A:$O,14,FALSE),"")</f>
        <v>Buff.Name.Reduce.DotDamage.Down.04</v>
      </c>
      <c r="P287" s="65" t="str">
        <f>_xlfn.IFNA(VLOOKUP($M287,Buff.CM!$A:$O,15,FALSE),"")</f>
        <v>Buff.Desc.Reduce.DotDamage.Down.04</v>
      </c>
      <c r="Q287" s="65" t="b">
        <v>0</v>
      </c>
      <c r="R287" s="65" t="b">
        <v>0</v>
      </c>
    </row>
    <row r="288" spans="1:18" s="160" customFormat="1">
      <c r="A288" s="159" t="s">
        <v>4154</v>
      </c>
      <c r="B288" s="65"/>
      <c r="C288" s="65"/>
      <c r="D288" s="65">
        <v>1000</v>
      </c>
      <c r="E288" s="65">
        <v>0</v>
      </c>
      <c r="F288" s="65">
        <v>0</v>
      </c>
      <c r="G288" s="159" t="s">
        <v>1590</v>
      </c>
      <c r="H288" s="65"/>
      <c r="I288" s="65" t="b">
        <v>0</v>
      </c>
      <c r="J288" s="65" t="b">
        <v>0</v>
      </c>
      <c r="K288" s="65" t="b">
        <v>0</v>
      </c>
      <c r="L288" s="24" t="s">
        <v>175</v>
      </c>
      <c r="M288" s="159" t="s">
        <v>1590</v>
      </c>
      <c r="N288" s="65" t="str">
        <f>_xlfn.IFNA(VLOOKUP($M288,Buff.CM!$A:$O,13,FALSE),"")</f>
        <v>icon_battle_damageimmune</v>
      </c>
      <c r="O288" s="65" t="str">
        <f>_xlfn.IFNA(VLOOKUP($M288,Buff.CM!$A:$O,14,FALSE),"")</f>
        <v>Buff.Name.Reduce.DotDamage.Down.05</v>
      </c>
      <c r="P288" s="65" t="str">
        <f>_xlfn.IFNA(VLOOKUP($M288,Buff.CM!$A:$O,15,FALSE),"")</f>
        <v>Buff.Desc.Reduce.DotDamage.Down.05</v>
      </c>
      <c r="Q288" s="65" t="b">
        <v>0</v>
      </c>
      <c r="R288" s="65" t="b">
        <v>0</v>
      </c>
    </row>
    <row r="289" spans="1:18" s="160" customFormat="1">
      <c r="A289" s="159" t="s">
        <v>4155</v>
      </c>
      <c r="B289" s="65"/>
      <c r="C289" s="65"/>
      <c r="D289" s="65">
        <v>1000</v>
      </c>
      <c r="E289" s="65">
        <v>0</v>
      </c>
      <c r="F289" s="65">
        <v>0</v>
      </c>
      <c r="G289" s="159" t="s">
        <v>1590</v>
      </c>
      <c r="H289" s="65"/>
      <c r="I289" s="65" t="b">
        <v>0</v>
      </c>
      <c r="J289" s="65" t="b">
        <v>0</v>
      </c>
      <c r="K289" s="65" t="b">
        <v>0</v>
      </c>
      <c r="L289" s="24" t="s">
        <v>175</v>
      </c>
      <c r="M289" s="159" t="s">
        <v>1590</v>
      </c>
      <c r="N289" s="65" t="str">
        <f>_xlfn.IFNA(VLOOKUP($M289,Buff.CM!$A:$O,13,FALSE),"")</f>
        <v>icon_battle_damageimmune</v>
      </c>
      <c r="O289" s="65" t="str">
        <f>_xlfn.IFNA(VLOOKUP($M289,Buff.CM!$A:$O,14,FALSE),"")</f>
        <v>Buff.Name.Reduce.DotDamage.Down.05</v>
      </c>
      <c r="P289" s="65" t="str">
        <f>_xlfn.IFNA(VLOOKUP($M289,Buff.CM!$A:$O,15,FALSE),"")</f>
        <v>Buff.Desc.Reduce.DotDamage.Down.05</v>
      </c>
      <c r="Q289" s="65" t="b">
        <v>0</v>
      </c>
      <c r="R289" s="65" t="b">
        <v>0</v>
      </c>
    </row>
    <row r="290" spans="1:18" s="160" customFormat="1">
      <c r="A290" s="159" t="s">
        <v>4156</v>
      </c>
      <c r="B290" s="65"/>
      <c r="C290" s="65"/>
      <c r="D290" s="65">
        <v>1000</v>
      </c>
      <c r="E290" s="65">
        <v>0</v>
      </c>
      <c r="F290" s="65">
        <v>0</v>
      </c>
      <c r="G290" s="159" t="s">
        <v>1590</v>
      </c>
      <c r="H290" s="65"/>
      <c r="I290" s="65" t="b">
        <v>0</v>
      </c>
      <c r="J290" s="65" t="b">
        <v>0</v>
      </c>
      <c r="K290" s="65" t="b">
        <v>0</v>
      </c>
      <c r="L290" s="24" t="s">
        <v>175</v>
      </c>
      <c r="M290" s="159" t="s">
        <v>1590</v>
      </c>
      <c r="N290" s="65" t="str">
        <f>_xlfn.IFNA(VLOOKUP($M290,Buff.CM!$A:$O,13,FALSE),"")</f>
        <v>icon_battle_damageimmune</v>
      </c>
      <c r="O290" s="65" t="str">
        <f>_xlfn.IFNA(VLOOKUP($M290,Buff.CM!$A:$O,14,FALSE),"")</f>
        <v>Buff.Name.Reduce.DotDamage.Down.05</v>
      </c>
      <c r="P290" s="65" t="str">
        <f>_xlfn.IFNA(VLOOKUP($M290,Buff.CM!$A:$O,15,FALSE),"")</f>
        <v>Buff.Desc.Reduce.DotDamage.Down.05</v>
      </c>
      <c r="Q290" s="65" t="b">
        <v>0</v>
      </c>
      <c r="R290" s="65" t="b">
        <v>0</v>
      </c>
    </row>
    <row r="291" spans="1:18" s="142" customFormat="1" ht="82.5">
      <c r="A291" s="112" t="s">
        <v>4157</v>
      </c>
      <c r="B291" s="23"/>
      <c r="C291" s="23"/>
      <c r="D291" s="23">
        <v>0</v>
      </c>
      <c r="E291" s="23">
        <v>0</v>
      </c>
      <c r="F291" s="23">
        <v>0</v>
      </c>
      <c r="G291" s="39" t="s">
        <v>4158</v>
      </c>
      <c r="H291" s="23"/>
      <c r="I291" s="23" t="b">
        <v>0</v>
      </c>
      <c r="J291" s="23" t="b">
        <v>0</v>
      </c>
      <c r="K291" s="23" t="b">
        <v>1</v>
      </c>
      <c r="L291" s="23"/>
      <c r="M291" s="23"/>
      <c r="N291" s="23" t="str">
        <f>_xlfn.IFNA(VLOOKUP($M291,Buff.CM!$A:$O,13,FALSE),"")</f>
        <v/>
      </c>
      <c r="O291" s="23" t="str">
        <f>_xlfn.IFNA(VLOOKUP($M291,Buff.CM!$A:$O,14,FALSE),"")</f>
        <v/>
      </c>
      <c r="P291" s="23" t="str">
        <f>_xlfn.IFNA(VLOOKUP($M291,Buff.CM!$A:$O,15,FALSE),"")</f>
        <v/>
      </c>
      <c r="Q291" s="23" t="b">
        <v>0</v>
      </c>
      <c r="R291" s="23" t="b">
        <v>0</v>
      </c>
    </row>
    <row r="292" spans="1:18">
      <c r="A292" s="23" t="s">
        <v>4169</v>
      </c>
      <c r="B292" s="23"/>
      <c r="C292" s="23"/>
      <c r="D292" s="23">
        <v>0</v>
      </c>
      <c r="E292" s="23">
        <v>3</v>
      </c>
      <c r="F292" s="23">
        <v>1</v>
      </c>
      <c r="G292" s="39" t="s">
        <v>122</v>
      </c>
      <c r="H292" s="23"/>
      <c r="I292" s="23" t="b">
        <v>0</v>
      </c>
      <c r="J292" s="23" t="b">
        <v>0</v>
      </c>
      <c r="K292" s="23" t="b">
        <v>0</v>
      </c>
      <c r="L292" s="23"/>
      <c r="M292" s="23"/>
      <c r="N292" s="23" t="str">
        <f>_xlfn.IFNA(VLOOKUP($M292,Buff.CM!$A:$O,13,FALSE),"")</f>
        <v/>
      </c>
      <c r="O292" s="23" t="str">
        <f>_xlfn.IFNA(VLOOKUP($M292,Buff.CM!$A:$O,14,FALSE),"")</f>
        <v/>
      </c>
      <c r="P292" s="23" t="str">
        <f>_xlfn.IFNA(VLOOKUP($M292,Buff.CM!$A:$O,15,FALSE),"")</f>
        <v/>
      </c>
      <c r="Q292" s="23" t="b">
        <v>0</v>
      </c>
      <c r="R292" s="23" t="b">
        <v>0</v>
      </c>
    </row>
    <row r="293" spans="1:18">
      <c r="A293" s="24" t="s">
        <v>2011</v>
      </c>
      <c r="B293" s="24"/>
      <c r="C293" s="24"/>
      <c r="D293" s="24">
        <v>5000</v>
      </c>
      <c r="E293" s="24">
        <v>0</v>
      </c>
      <c r="F293" s="24">
        <v>0</v>
      </c>
      <c r="G293" s="38" t="s">
        <v>1630</v>
      </c>
      <c r="H293" s="24"/>
      <c r="I293" s="24" t="b">
        <v>0</v>
      </c>
      <c r="J293" s="24" t="b">
        <v>0</v>
      </c>
      <c r="K293" s="24" t="b">
        <v>0</v>
      </c>
      <c r="L293" s="24"/>
      <c r="M293" s="38" t="s">
        <v>6123</v>
      </c>
      <c r="N293" s="24" t="str">
        <f>_xlfn.IFNA(VLOOKUP($M293,Buff.CM!$A:$O,13,FALSE),"")</f>
        <v>icon_battle_frostbite</v>
      </c>
      <c r="O293" s="24" t="str">
        <f>_xlfn.IFNA(VLOOKUP($M293,Buff.CM!$A:$O,14,FALSE),"")</f>
        <v>Buff.Name.frostbite</v>
      </c>
      <c r="P293" s="24" t="str">
        <f>_xlfn.IFNA(VLOOKUP($M293,Buff.CM!$A:$O,15,FALSE),"")</f>
        <v>Buff.Desc.frostbite</v>
      </c>
      <c r="Q293" s="24" t="b">
        <v>0</v>
      </c>
      <c r="R293" s="24" t="b">
        <v>0</v>
      </c>
    </row>
    <row r="294" spans="1:18">
      <c r="A294" s="24" t="s">
        <v>2012</v>
      </c>
      <c r="B294" s="24"/>
      <c r="C294" s="24"/>
      <c r="D294" s="24">
        <v>5000</v>
      </c>
      <c r="E294" s="24">
        <v>0</v>
      </c>
      <c r="F294" s="24">
        <v>0</v>
      </c>
      <c r="G294" s="38" t="s">
        <v>1630</v>
      </c>
      <c r="H294" s="24"/>
      <c r="I294" s="24" t="b">
        <v>0</v>
      </c>
      <c r="J294" s="24" t="b">
        <v>0</v>
      </c>
      <c r="K294" s="24" t="b">
        <v>0</v>
      </c>
      <c r="L294" s="24"/>
      <c r="M294" s="38" t="s">
        <v>6123</v>
      </c>
      <c r="N294" s="24" t="str">
        <f>_xlfn.IFNA(VLOOKUP($M294,Buff.CM!$A:$O,13,FALSE),"")</f>
        <v>icon_battle_frostbite</v>
      </c>
      <c r="O294" s="24" t="str">
        <f>_xlfn.IFNA(VLOOKUP($M294,Buff.CM!$A:$O,14,FALSE),"")</f>
        <v>Buff.Name.frostbite</v>
      </c>
      <c r="P294" s="24" t="str">
        <f>_xlfn.IFNA(VLOOKUP($M294,Buff.CM!$A:$O,15,FALSE),"")</f>
        <v>Buff.Desc.frostbite</v>
      </c>
      <c r="Q294" s="24" t="b">
        <v>0</v>
      </c>
      <c r="R294" s="24" t="b">
        <v>0</v>
      </c>
    </row>
    <row r="295" spans="1:18">
      <c r="A295" s="24" t="s">
        <v>2013</v>
      </c>
      <c r="B295" s="24"/>
      <c r="C295" s="24"/>
      <c r="D295" s="24">
        <v>5000</v>
      </c>
      <c r="E295" s="24">
        <v>0</v>
      </c>
      <c r="F295" s="24">
        <v>0</v>
      </c>
      <c r="G295" s="38" t="s">
        <v>1631</v>
      </c>
      <c r="H295" s="24"/>
      <c r="I295" s="24" t="b">
        <v>0</v>
      </c>
      <c r="J295" s="24" t="b">
        <v>0</v>
      </c>
      <c r="K295" s="24" t="b">
        <v>0</v>
      </c>
      <c r="L295" s="24"/>
      <c r="M295" s="38" t="s">
        <v>6123</v>
      </c>
      <c r="N295" s="24" t="str">
        <f>_xlfn.IFNA(VLOOKUP($M295,Buff.CM!$A:$O,13,FALSE),"")</f>
        <v>icon_battle_frostbite</v>
      </c>
      <c r="O295" s="24" t="str">
        <f>_xlfn.IFNA(VLOOKUP($M295,Buff.CM!$A:$O,14,FALSE),"")</f>
        <v>Buff.Name.frostbite</v>
      </c>
      <c r="P295" s="24" t="str">
        <f>_xlfn.IFNA(VLOOKUP($M295,Buff.CM!$A:$O,15,FALSE),"")</f>
        <v>Buff.Desc.frostbite</v>
      </c>
      <c r="Q295" s="24" t="b">
        <v>0</v>
      </c>
      <c r="R295" s="24" t="b">
        <v>0</v>
      </c>
    </row>
    <row r="296" spans="1:18">
      <c r="A296" s="24" t="s">
        <v>2014</v>
      </c>
      <c r="B296" s="24"/>
      <c r="C296" s="24"/>
      <c r="D296" s="24">
        <v>5000</v>
      </c>
      <c r="E296" s="24">
        <v>0</v>
      </c>
      <c r="F296" s="24">
        <v>0</v>
      </c>
      <c r="G296" s="38" t="s">
        <v>1631</v>
      </c>
      <c r="H296" s="24"/>
      <c r="I296" s="24" t="b">
        <v>0</v>
      </c>
      <c r="J296" s="24" t="b">
        <v>0</v>
      </c>
      <c r="K296" s="24" t="b">
        <v>0</v>
      </c>
      <c r="L296" s="24"/>
      <c r="M296" s="38" t="s">
        <v>6123</v>
      </c>
      <c r="N296" s="24" t="str">
        <f>_xlfn.IFNA(VLOOKUP($M296,Buff.CM!$A:$O,13,FALSE),"")</f>
        <v>icon_battle_frostbite</v>
      </c>
      <c r="O296" s="24" t="str">
        <f>_xlfn.IFNA(VLOOKUP($M296,Buff.CM!$A:$O,14,FALSE),"")</f>
        <v>Buff.Name.frostbite</v>
      </c>
      <c r="P296" s="24" t="str">
        <f>_xlfn.IFNA(VLOOKUP($M296,Buff.CM!$A:$O,15,FALSE),"")</f>
        <v>Buff.Desc.frostbite</v>
      </c>
      <c r="Q296" s="24" t="b">
        <v>0</v>
      </c>
      <c r="R296" s="24" t="b">
        <v>0</v>
      </c>
    </row>
    <row r="297" spans="1:18">
      <c r="A297" s="24" t="s">
        <v>4384</v>
      </c>
      <c r="B297" s="24"/>
      <c r="C297" s="24"/>
      <c r="D297" s="24">
        <v>5000</v>
      </c>
      <c r="E297" s="24">
        <v>0</v>
      </c>
      <c r="F297" s="24">
        <v>0</v>
      </c>
      <c r="G297" s="38" t="s">
        <v>1631</v>
      </c>
      <c r="H297" s="24"/>
      <c r="I297" s="24" t="b">
        <v>0</v>
      </c>
      <c r="J297" s="24" t="b">
        <v>0</v>
      </c>
      <c r="K297" s="24" t="b">
        <v>0</v>
      </c>
      <c r="L297" s="24"/>
      <c r="M297" s="38" t="s">
        <v>6123</v>
      </c>
      <c r="N297" s="24" t="str">
        <f>_xlfn.IFNA(VLOOKUP($M297,Buff.CM!$A:$O,13,FALSE),"")</f>
        <v>icon_battle_frostbite</v>
      </c>
      <c r="O297" s="24" t="str">
        <f>_xlfn.IFNA(VLOOKUP($M297,Buff.CM!$A:$O,14,FALSE),"")</f>
        <v>Buff.Name.frostbite</v>
      </c>
      <c r="P297" s="24" t="str">
        <f>_xlfn.IFNA(VLOOKUP($M297,Buff.CM!$A:$O,15,FALSE),"")</f>
        <v>Buff.Desc.frostbite</v>
      </c>
      <c r="Q297" s="24" t="b">
        <v>0</v>
      </c>
      <c r="R297" s="24" t="b">
        <v>0</v>
      </c>
    </row>
    <row r="298" spans="1:18">
      <c r="A298" s="24" t="s">
        <v>4385</v>
      </c>
      <c r="B298" s="24"/>
      <c r="C298" s="24"/>
      <c r="D298" s="24">
        <v>5000</v>
      </c>
      <c r="E298" s="24">
        <v>0</v>
      </c>
      <c r="F298" s="24">
        <v>0</v>
      </c>
      <c r="G298" s="38" t="s">
        <v>1631</v>
      </c>
      <c r="H298" s="24"/>
      <c r="I298" s="24" t="b">
        <v>0</v>
      </c>
      <c r="J298" s="24" t="b">
        <v>0</v>
      </c>
      <c r="K298" s="24" t="b">
        <v>0</v>
      </c>
      <c r="L298" s="24"/>
      <c r="M298" s="38" t="s">
        <v>6123</v>
      </c>
      <c r="N298" s="24" t="str">
        <f>_xlfn.IFNA(VLOOKUP($M298,Buff.CM!$A:$O,13,FALSE),"")</f>
        <v>icon_battle_frostbite</v>
      </c>
      <c r="O298" s="24" t="str">
        <f>_xlfn.IFNA(VLOOKUP($M298,Buff.CM!$A:$O,14,FALSE),"")</f>
        <v>Buff.Name.frostbite</v>
      </c>
      <c r="P298" s="24" t="str">
        <f>_xlfn.IFNA(VLOOKUP($M298,Buff.CM!$A:$O,15,FALSE),"")</f>
        <v>Buff.Desc.frostbite</v>
      </c>
      <c r="Q298" s="24" t="b">
        <v>0</v>
      </c>
      <c r="R298" s="24" t="b">
        <v>0</v>
      </c>
    </row>
    <row r="299" spans="1:18" ht="33">
      <c r="A299" s="23" t="s">
        <v>4175</v>
      </c>
      <c r="B299" s="23"/>
      <c r="C299" s="23"/>
      <c r="D299" s="23">
        <v>7000</v>
      </c>
      <c r="E299" s="23">
        <v>0</v>
      </c>
      <c r="F299" s="23">
        <v>0</v>
      </c>
      <c r="G299" s="39" t="s">
        <v>6966</v>
      </c>
      <c r="H299" s="23"/>
      <c r="I299" s="23" t="b">
        <v>0</v>
      </c>
      <c r="J299" s="23" t="b">
        <v>0</v>
      </c>
      <c r="K299" s="23" t="b">
        <v>1</v>
      </c>
      <c r="L299" s="23"/>
      <c r="M299" s="23" t="s">
        <v>5663</v>
      </c>
      <c r="N299" s="23" t="str">
        <f>_xlfn.IFNA(VLOOKUP($M299,Buff.CM!$A:$O,13,FALSE),"")</f>
        <v>icon_battle_patricia_cold</v>
      </c>
      <c r="O299" s="23" t="str">
        <f>_xlfn.IFNA(VLOOKUP($M299,Buff.CM!$A:$O,14,FALSE),"")</f>
        <v>info.patricia.buff.freezinghand</v>
      </c>
      <c r="P299" s="23" t="str">
        <f>_xlfn.IFNA(VLOOKUP($M299,Buff.CM!$A:$O,15,FALSE),"")</f>
        <v>Desc.info.patricia.buff.freezinghand</v>
      </c>
      <c r="Q299" s="23" t="b">
        <v>0</v>
      </c>
      <c r="R299" s="23" t="b">
        <v>0</v>
      </c>
    </row>
    <row r="300" spans="1:18" ht="33">
      <c r="A300" s="23" t="s">
        <v>4170</v>
      </c>
      <c r="B300" s="23"/>
      <c r="C300" s="23"/>
      <c r="D300" s="23">
        <v>8000</v>
      </c>
      <c r="E300" s="23">
        <v>0</v>
      </c>
      <c r="F300" s="23">
        <v>0</v>
      </c>
      <c r="G300" s="39" t="s">
        <v>4176</v>
      </c>
      <c r="H300" s="23"/>
      <c r="I300" s="23" t="b">
        <v>0</v>
      </c>
      <c r="J300" s="23" t="b">
        <v>0</v>
      </c>
      <c r="K300" s="23" t="b">
        <v>1</v>
      </c>
      <c r="L300" s="23"/>
      <c r="M300" s="23" t="s">
        <v>5663</v>
      </c>
      <c r="N300" s="23" t="str">
        <f>_xlfn.IFNA(VLOOKUP($M300,Buff.CM!$A:$O,13,FALSE),"")</f>
        <v>icon_battle_patricia_cold</v>
      </c>
      <c r="O300" s="23" t="str">
        <f>_xlfn.IFNA(VLOOKUP($M300,Buff.CM!$A:$O,14,FALSE),"")</f>
        <v>info.patricia.buff.freezinghand</v>
      </c>
      <c r="P300" s="23" t="str">
        <f>_xlfn.IFNA(VLOOKUP($M300,Buff.CM!$A:$O,15,FALSE),"")</f>
        <v>Desc.info.patricia.buff.freezinghand</v>
      </c>
      <c r="Q300" s="23" t="b">
        <v>0</v>
      </c>
      <c r="R300" s="23" t="b">
        <v>0</v>
      </c>
    </row>
    <row r="301" spans="1:18" ht="33">
      <c r="A301" s="23" t="s">
        <v>4171</v>
      </c>
      <c r="B301" s="23"/>
      <c r="C301" s="23"/>
      <c r="D301" s="23">
        <v>9000</v>
      </c>
      <c r="E301" s="23">
        <v>0</v>
      </c>
      <c r="F301" s="23">
        <v>0</v>
      </c>
      <c r="G301" s="39" t="s">
        <v>4177</v>
      </c>
      <c r="H301" s="23"/>
      <c r="I301" s="23" t="b">
        <v>0</v>
      </c>
      <c r="J301" s="23" t="b">
        <v>0</v>
      </c>
      <c r="K301" s="23" t="b">
        <v>1</v>
      </c>
      <c r="L301" s="23"/>
      <c r="M301" s="23" t="s">
        <v>5663</v>
      </c>
      <c r="N301" s="23" t="str">
        <f>_xlfn.IFNA(VLOOKUP($M301,Buff.CM!$A:$O,13,FALSE),"")</f>
        <v>icon_battle_patricia_cold</v>
      </c>
      <c r="O301" s="23" t="str">
        <f>_xlfn.IFNA(VLOOKUP($M301,Buff.CM!$A:$O,14,FALSE),"")</f>
        <v>info.patricia.buff.freezinghand</v>
      </c>
      <c r="P301" s="23" t="str">
        <f>_xlfn.IFNA(VLOOKUP($M301,Buff.CM!$A:$O,15,FALSE),"")</f>
        <v>Desc.info.patricia.buff.freezinghand</v>
      </c>
      <c r="Q301" s="23" t="b">
        <v>0</v>
      </c>
      <c r="R301" s="23" t="b">
        <v>0</v>
      </c>
    </row>
    <row r="302" spans="1:18" ht="33">
      <c r="A302" s="34" t="s">
        <v>4172</v>
      </c>
      <c r="B302" s="34"/>
      <c r="C302" s="34"/>
      <c r="D302" s="34">
        <v>10000</v>
      </c>
      <c r="E302" s="34">
        <v>0</v>
      </c>
      <c r="F302" s="34">
        <v>0</v>
      </c>
      <c r="G302" s="40" t="s">
        <v>4178</v>
      </c>
      <c r="H302" s="34"/>
      <c r="I302" s="34" t="b">
        <v>0</v>
      </c>
      <c r="J302" s="34" t="b">
        <v>0</v>
      </c>
      <c r="K302" s="34" t="b">
        <v>1</v>
      </c>
      <c r="L302" s="34"/>
      <c r="M302" s="34" t="s">
        <v>5663</v>
      </c>
      <c r="N302" s="34" t="str">
        <f>_xlfn.IFNA(VLOOKUP($M302,Buff.CM!$A:$O,13,FALSE),"")</f>
        <v>icon_battle_patricia_cold</v>
      </c>
      <c r="O302" s="34" t="str">
        <f>_xlfn.IFNA(VLOOKUP($M302,Buff.CM!$A:$O,14,FALSE),"")</f>
        <v>info.patricia.buff.freezinghand</v>
      </c>
      <c r="P302" s="34" t="str">
        <f>_xlfn.IFNA(VLOOKUP($M302,Buff.CM!$A:$O,15,FALSE),"")</f>
        <v>Desc.info.patricia.buff.freezinghand</v>
      </c>
      <c r="Q302" s="34" t="b">
        <v>0</v>
      </c>
      <c r="R302" s="23" t="b">
        <v>0</v>
      </c>
    </row>
    <row r="303" spans="1:18" ht="33">
      <c r="A303" s="34" t="s">
        <v>4173</v>
      </c>
      <c r="B303" s="34"/>
      <c r="C303" s="34"/>
      <c r="D303" s="34">
        <v>8000</v>
      </c>
      <c r="E303" s="34">
        <v>0</v>
      </c>
      <c r="F303" s="34">
        <v>0</v>
      </c>
      <c r="G303" s="40" t="s">
        <v>4179</v>
      </c>
      <c r="H303" s="34"/>
      <c r="I303" s="34" t="b">
        <v>0</v>
      </c>
      <c r="J303" s="34" t="b">
        <v>0</v>
      </c>
      <c r="K303" s="34" t="b">
        <v>1</v>
      </c>
      <c r="L303" s="34"/>
      <c r="M303" s="34" t="s">
        <v>5663</v>
      </c>
      <c r="N303" s="34" t="str">
        <f>_xlfn.IFNA(VLOOKUP($M303,Buff.CM!$A:$O,13,FALSE),"")</f>
        <v>icon_battle_patricia_cold</v>
      </c>
      <c r="O303" s="34" t="str">
        <f>_xlfn.IFNA(VLOOKUP($M303,Buff.CM!$A:$O,14,FALSE),"")</f>
        <v>info.patricia.buff.freezinghand</v>
      </c>
      <c r="P303" s="34" t="str">
        <f>_xlfn.IFNA(VLOOKUP($M303,Buff.CM!$A:$O,15,FALSE),"")</f>
        <v>Desc.info.patricia.buff.freezinghand</v>
      </c>
      <c r="Q303" s="34" t="b">
        <v>0</v>
      </c>
      <c r="R303" s="23" t="b">
        <v>0</v>
      </c>
    </row>
    <row r="304" spans="1:18" s="13" customFormat="1" ht="33">
      <c r="A304" s="34" t="s">
        <v>4174</v>
      </c>
      <c r="B304" s="34"/>
      <c r="C304" s="34"/>
      <c r="D304" s="34">
        <v>8000</v>
      </c>
      <c r="E304" s="34">
        <v>0</v>
      </c>
      <c r="F304" s="34">
        <v>0</v>
      </c>
      <c r="G304" s="40" t="s">
        <v>4180</v>
      </c>
      <c r="H304" s="34"/>
      <c r="I304" s="34" t="b">
        <v>0</v>
      </c>
      <c r="J304" s="34" t="b">
        <v>0</v>
      </c>
      <c r="K304" s="34" t="b">
        <v>1</v>
      </c>
      <c r="L304" s="34"/>
      <c r="M304" s="34" t="s">
        <v>5663</v>
      </c>
      <c r="N304" s="34" t="str">
        <f>_xlfn.IFNA(VLOOKUP($M304,Buff.CM!$A:$O,13,FALSE),"")</f>
        <v>icon_battle_patricia_cold</v>
      </c>
      <c r="O304" s="34" t="str">
        <f>_xlfn.IFNA(VLOOKUP($M304,Buff.CM!$A:$O,14,FALSE),"")</f>
        <v>info.patricia.buff.freezinghand</v>
      </c>
      <c r="P304" s="34" t="str">
        <f>_xlfn.IFNA(VLOOKUP($M304,Buff.CM!$A:$O,15,FALSE),"")</f>
        <v>Desc.info.patricia.buff.freezinghand</v>
      </c>
      <c r="Q304" s="34" t="b">
        <v>0</v>
      </c>
      <c r="R304" s="23" t="b">
        <v>0</v>
      </c>
    </row>
    <row r="305" spans="1:18" ht="49.5">
      <c r="A305" s="24" t="s">
        <v>647</v>
      </c>
      <c r="B305" s="24"/>
      <c r="C305" s="24"/>
      <c r="D305" s="24">
        <v>0</v>
      </c>
      <c r="E305" s="24">
        <v>0</v>
      </c>
      <c r="F305" s="24">
        <v>0</v>
      </c>
      <c r="G305" s="38" t="s">
        <v>6967</v>
      </c>
      <c r="H305" s="24"/>
      <c r="I305" s="24" t="b">
        <v>0</v>
      </c>
      <c r="J305" s="23" t="b">
        <v>1</v>
      </c>
      <c r="K305" s="24" t="b">
        <v>1</v>
      </c>
      <c r="L305" s="24"/>
      <c r="M305" s="24"/>
      <c r="N305" s="24" t="str">
        <f>_xlfn.IFNA(VLOOKUP($M305,Buff.CM!$A:$O,13,FALSE),"")</f>
        <v/>
      </c>
      <c r="O305" s="24" t="str">
        <f>_xlfn.IFNA(VLOOKUP($M305,Buff.CM!$A:$O,14,FALSE),"")</f>
        <v/>
      </c>
      <c r="P305" s="24" t="str">
        <f>_xlfn.IFNA(VLOOKUP($M305,Buff.CM!$A:$O,15,FALSE),"")</f>
        <v/>
      </c>
      <c r="Q305" s="34" t="b">
        <v>0</v>
      </c>
      <c r="R305" s="23" t="b">
        <v>0</v>
      </c>
    </row>
    <row r="306" spans="1:18" ht="49.5">
      <c r="A306" s="24" t="s">
        <v>649</v>
      </c>
      <c r="B306" s="24"/>
      <c r="C306" s="24"/>
      <c r="D306" s="24">
        <v>0</v>
      </c>
      <c r="E306" s="24">
        <v>0</v>
      </c>
      <c r="F306" s="24">
        <v>0</v>
      </c>
      <c r="G306" s="38" t="s">
        <v>6968</v>
      </c>
      <c r="H306" s="24"/>
      <c r="I306" s="24" t="b">
        <v>0</v>
      </c>
      <c r="J306" s="23" t="b">
        <v>1</v>
      </c>
      <c r="K306" s="24" t="b">
        <v>1</v>
      </c>
      <c r="L306" s="24"/>
      <c r="M306" s="24"/>
      <c r="N306" s="24" t="str">
        <f>_xlfn.IFNA(VLOOKUP($M306,Buff.CM!$A:$O,13,FALSE),"")</f>
        <v/>
      </c>
      <c r="O306" s="24" t="str">
        <f>_xlfn.IFNA(VLOOKUP($M306,Buff.CM!$A:$O,14,FALSE),"")</f>
        <v/>
      </c>
      <c r="P306" s="24" t="str">
        <f>_xlfn.IFNA(VLOOKUP($M306,Buff.CM!$A:$O,15,FALSE),"")</f>
        <v/>
      </c>
      <c r="Q306" s="34" t="b">
        <v>0</v>
      </c>
      <c r="R306" s="23" t="b">
        <v>0</v>
      </c>
    </row>
    <row r="307" spans="1:18" ht="49.5">
      <c r="A307" s="24" t="s">
        <v>651</v>
      </c>
      <c r="B307" s="24"/>
      <c r="C307" s="24"/>
      <c r="D307" s="24">
        <v>0</v>
      </c>
      <c r="E307" s="24">
        <v>0</v>
      </c>
      <c r="F307" s="24">
        <v>0</v>
      </c>
      <c r="G307" s="38" t="s">
        <v>6969</v>
      </c>
      <c r="H307" s="24"/>
      <c r="I307" s="24" t="b">
        <v>0</v>
      </c>
      <c r="J307" s="23" t="b">
        <v>1</v>
      </c>
      <c r="K307" s="24" t="b">
        <v>1</v>
      </c>
      <c r="L307" s="24"/>
      <c r="M307" s="24"/>
      <c r="N307" s="24" t="str">
        <f>_xlfn.IFNA(VLOOKUP($M307,Buff.CM!$A:$O,13,FALSE),"")</f>
        <v/>
      </c>
      <c r="O307" s="24" t="str">
        <f>_xlfn.IFNA(VLOOKUP($M307,Buff.CM!$A:$O,14,FALSE),"")</f>
        <v/>
      </c>
      <c r="P307" s="24" t="str">
        <f>_xlfn.IFNA(VLOOKUP($M307,Buff.CM!$A:$O,15,FALSE),"")</f>
        <v/>
      </c>
      <c r="Q307" s="34" t="b">
        <v>0</v>
      </c>
      <c r="R307" s="23" t="b">
        <v>0</v>
      </c>
    </row>
    <row r="308" spans="1:18" ht="49.5">
      <c r="A308" s="34" t="s">
        <v>653</v>
      </c>
      <c r="B308" s="34"/>
      <c r="C308" s="34"/>
      <c r="D308" s="34">
        <v>0</v>
      </c>
      <c r="E308" s="34">
        <v>0</v>
      </c>
      <c r="F308" s="34">
        <v>0</v>
      </c>
      <c r="G308" s="40" t="s">
        <v>6970</v>
      </c>
      <c r="H308" s="34"/>
      <c r="I308" s="34" t="b">
        <v>0</v>
      </c>
      <c r="J308" s="23" t="b">
        <v>1</v>
      </c>
      <c r="K308" s="24" t="b">
        <v>1</v>
      </c>
      <c r="L308" s="34"/>
      <c r="M308" s="34"/>
      <c r="N308" s="34" t="str">
        <f>_xlfn.IFNA(VLOOKUP($M308,Buff.CM!$A:$O,13,FALSE),"")</f>
        <v/>
      </c>
      <c r="O308" s="34" t="str">
        <f>_xlfn.IFNA(VLOOKUP($M308,Buff.CM!$A:$O,14,FALSE),"")</f>
        <v/>
      </c>
      <c r="P308" s="34" t="str">
        <f>_xlfn.IFNA(VLOOKUP($M308,Buff.CM!$A:$O,15,FALSE),"")</f>
        <v/>
      </c>
      <c r="Q308" s="34" t="b">
        <v>0</v>
      </c>
      <c r="R308" s="23" t="b">
        <v>0</v>
      </c>
    </row>
    <row r="309" spans="1:18" ht="49.5">
      <c r="A309" s="34" t="s">
        <v>655</v>
      </c>
      <c r="B309" s="34"/>
      <c r="C309" s="34"/>
      <c r="D309" s="34">
        <v>0</v>
      </c>
      <c r="E309" s="34">
        <v>0</v>
      </c>
      <c r="F309" s="34">
        <v>0</v>
      </c>
      <c r="G309" s="40" t="s">
        <v>6971</v>
      </c>
      <c r="H309" s="34"/>
      <c r="I309" s="34" t="b">
        <v>0</v>
      </c>
      <c r="J309" s="23" t="b">
        <v>1</v>
      </c>
      <c r="K309" s="24" t="b">
        <v>1</v>
      </c>
      <c r="L309" s="34"/>
      <c r="M309" s="34"/>
      <c r="N309" s="34" t="str">
        <f>_xlfn.IFNA(VLOOKUP($M309,Buff.CM!$A:$O,13,FALSE),"")</f>
        <v/>
      </c>
      <c r="O309" s="34" t="str">
        <f>_xlfn.IFNA(VLOOKUP($M309,Buff.CM!$A:$O,14,FALSE),"")</f>
        <v/>
      </c>
      <c r="P309" s="34" t="str">
        <f>_xlfn.IFNA(VLOOKUP($M309,Buff.CM!$A:$O,15,FALSE),"")</f>
        <v/>
      </c>
      <c r="Q309" s="34" t="b">
        <v>0</v>
      </c>
      <c r="R309" s="23" t="b">
        <v>0</v>
      </c>
    </row>
    <row r="310" spans="1:18" s="13" customFormat="1" ht="49.5">
      <c r="A310" s="34" t="s">
        <v>657</v>
      </c>
      <c r="B310" s="34"/>
      <c r="C310" s="34"/>
      <c r="D310" s="34">
        <v>0</v>
      </c>
      <c r="E310" s="34">
        <v>0</v>
      </c>
      <c r="F310" s="34">
        <v>0</v>
      </c>
      <c r="G310" s="40" t="s">
        <v>6972</v>
      </c>
      <c r="H310" s="34"/>
      <c r="I310" s="34" t="b">
        <v>0</v>
      </c>
      <c r="J310" s="23" t="b">
        <v>1</v>
      </c>
      <c r="K310" s="24" t="b">
        <v>1</v>
      </c>
      <c r="L310" s="34"/>
      <c r="M310" s="34"/>
      <c r="N310" s="34" t="str">
        <f>_xlfn.IFNA(VLOOKUP($M310,Buff.CM!$A:$O,13,FALSE),"")</f>
        <v/>
      </c>
      <c r="O310" s="34" t="str">
        <f>_xlfn.IFNA(VLOOKUP($M310,Buff.CM!$A:$O,14,FALSE),"")</f>
        <v/>
      </c>
      <c r="P310" s="34" t="str">
        <f>_xlfn.IFNA(VLOOKUP($M310,Buff.CM!$A:$O,15,FALSE),"")</f>
        <v/>
      </c>
      <c r="Q310" s="34" t="b">
        <v>0</v>
      </c>
      <c r="R310" s="23" t="b">
        <v>0</v>
      </c>
    </row>
    <row r="311" spans="1:18" s="13" customFormat="1">
      <c r="A311" s="23" t="s">
        <v>2015</v>
      </c>
      <c r="B311" s="23"/>
      <c r="C311" s="23"/>
      <c r="D311" s="23">
        <v>3000</v>
      </c>
      <c r="E311" s="23">
        <v>0</v>
      </c>
      <c r="F311" s="23">
        <v>0</v>
      </c>
      <c r="G311" s="39" t="s">
        <v>1629</v>
      </c>
      <c r="H311" s="23"/>
      <c r="I311" s="23" t="b">
        <v>0</v>
      </c>
      <c r="J311" s="23" t="b">
        <v>0</v>
      </c>
      <c r="K311" s="23" t="b">
        <v>0</v>
      </c>
      <c r="L311" s="23"/>
      <c r="M311" s="39" t="s">
        <v>6973</v>
      </c>
      <c r="N311" s="23" t="str">
        <f>_xlfn.IFNA(VLOOKUP($M311,Buff.CM!$A:$O,13,FALSE),"")</f>
        <v>icon_battle_frostbite</v>
      </c>
      <c r="O311" s="23" t="str">
        <f>_xlfn.IFNA(VLOOKUP($M311,Buff.CM!$A:$O,14,FALSE),"")</f>
        <v>Buff.Name.Frost.01</v>
      </c>
      <c r="P311" s="23" t="str">
        <f>_xlfn.IFNA(VLOOKUP($M311,Buff.CM!$A:$O,15,FALSE),"")</f>
        <v>Buff.Desc.Frost.01</v>
      </c>
      <c r="Q311" s="23" t="b">
        <v>0</v>
      </c>
      <c r="R311" s="23" t="b">
        <v>0</v>
      </c>
    </row>
    <row r="312" spans="1:18" s="13" customFormat="1">
      <c r="A312" s="23" t="s">
        <v>2016</v>
      </c>
      <c r="B312" s="23"/>
      <c r="C312" s="23"/>
      <c r="D312" s="23">
        <v>3000</v>
      </c>
      <c r="E312" s="23">
        <v>0</v>
      </c>
      <c r="F312" s="23">
        <v>0</v>
      </c>
      <c r="G312" s="39" t="s">
        <v>1629</v>
      </c>
      <c r="H312" s="23"/>
      <c r="I312" s="23" t="b">
        <v>0</v>
      </c>
      <c r="J312" s="23" t="b">
        <v>0</v>
      </c>
      <c r="K312" s="23" t="b">
        <v>0</v>
      </c>
      <c r="L312" s="23"/>
      <c r="M312" s="39" t="s">
        <v>1628</v>
      </c>
      <c r="N312" s="23" t="str">
        <f>_xlfn.IFNA(VLOOKUP($M312,Buff.CM!$A:$O,13,FALSE),"")</f>
        <v>icon_battle_frostbite</v>
      </c>
      <c r="O312" s="23" t="str">
        <f>_xlfn.IFNA(VLOOKUP($M312,Buff.CM!$A:$O,14,FALSE),"")</f>
        <v>Buff.Name.Frost.02</v>
      </c>
      <c r="P312" s="23" t="str">
        <f>_xlfn.IFNA(VLOOKUP($M312,Buff.CM!$A:$O,15,FALSE),"")</f>
        <v>Buff.Desc.Frost.02</v>
      </c>
      <c r="Q312" s="23" t="b">
        <v>0</v>
      </c>
      <c r="R312" s="23" t="b">
        <v>0</v>
      </c>
    </row>
    <row r="313" spans="1:18" s="13" customFormat="1">
      <c r="A313" s="23" t="s">
        <v>2017</v>
      </c>
      <c r="B313" s="23"/>
      <c r="C313" s="23"/>
      <c r="D313" s="23">
        <v>3000</v>
      </c>
      <c r="E313" s="23">
        <v>0</v>
      </c>
      <c r="F313" s="23">
        <v>0</v>
      </c>
      <c r="G313" s="39" t="s">
        <v>1630</v>
      </c>
      <c r="H313" s="23"/>
      <c r="I313" s="23" t="b">
        <v>0</v>
      </c>
      <c r="J313" s="23" t="b">
        <v>0</v>
      </c>
      <c r="K313" s="23" t="b">
        <v>0</v>
      </c>
      <c r="L313" s="23"/>
      <c r="M313" s="39" t="s">
        <v>1629</v>
      </c>
      <c r="N313" s="23" t="str">
        <f>_xlfn.IFNA(VLOOKUP($M313,Buff.CM!$A:$O,13,FALSE),"")</f>
        <v>icon_battle_frostbite</v>
      </c>
      <c r="O313" s="23" t="str">
        <f>_xlfn.IFNA(VLOOKUP($M313,Buff.CM!$A:$O,14,FALSE),"")</f>
        <v>Buff.Name.Frost.03</v>
      </c>
      <c r="P313" s="23" t="str">
        <f>_xlfn.IFNA(VLOOKUP($M313,Buff.CM!$A:$O,15,FALSE),"")</f>
        <v>Buff.Desc.Frost.03</v>
      </c>
      <c r="Q313" s="23" t="b">
        <v>0</v>
      </c>
      <c r="R313" s="23" t="b">
        <v>0</v>
      </c>
    </row>
    <row r="314" spans="1:18" s="13" customFormat="1">
      <c r="A314" s="34" t="s">
        <v>2018</v>
      </c>
      <c r="B314" s="34"/>
      <c r="C314" s="34"/>
      <c r="D314" s="34">
        <v>3000</v>
      </c>
      <c r="E314" s="34">
        <v>0</v>
      </c>
      <c r="F314" s="34">
        <v>0</v>
      </c>
      <c r="G314" s="40" t="s">
        <v>1630</v>
      </c>
      <c r="H314" s="34"/>
      <c r="I314" s="34" t="b">
        <v>0</v>
      </c>
      <c r="J314" s="34" t="b">
        <v>0</v>
      </c>
      <c r="K314" s="24" t="b">
        <v>0</v>
      </c>
      <c r="L314" s="34"/>
      <c r="M314" s="40" t="s">
        <v>1630</v>
      </c>
      <c r="N314" s="34" t="str">
        <f>_xlfn.IFNA(VLOOKUP($M314,Buff.CM!$A:$O,13,FALSE),"")</f>
        <v>icon_battle_frostbite</v>
      </c>
      <c r="O314" s="34" t="str">
        <f>_xlfn.IFNA(VLOOKUP($M314,Buff.CM!$A:$O,14,FALSE),"")</f>
        <v>Buff.Name.Frost.04</v>
      </c>
      <c r="P314" s="34" t="str">
        <f>_xlfn.IFNA(VLOOKUP($M314,Buff.CM!$A:$O,15,FALSE),"")</f>
        <v>Buff.Desc.Frost.04</v>
      </c>
      <c r="Q314" s="34" t="b">
        <v>0</v>
      </c>
      <c r="R314" s="23" t="b">
        <v>0</v>
      </c>
    </row>
    <row r="315" spans="1:18" s="13" customFormat="1">
      <c r="A315" s="34" t="s">
        <v>2019</v>
      </c>
      <c r="B315" s="34"/>
      <c r="C315" s="34"/>
      <c r="D315" s="34">
        <v>3000</v>
      </c>
      <c r="E315" s="34">
        <v>0</v>
      </c>
      <c r="F315" s="34">
        <v>0</v>
      </c>
      <c r="G315" s="40" t="s">
        <v>1631</v>
      </c>
      <c r="H315" s="34"/>
      <c r="I315" s="34" t="b">
        <v>0</v>
      </c>
      <c r="J315" s="34" t="b">
        <v>0</v>
      </c>
      <c r="K315" s="24" t="b">
        <v>0</v>
      </c>
      <c r="L315" s="34"/>
      <c r="M315" s="40" t="s">
        <v>1631</v>
      </c>
      <c r="N315" s="34" t="str">
        <f>_xlfn.IFNA(VLOOKUP($M315,Buff.CM!$A:$O,13,FALSE),"")</f>
        <v>icon_battle_frostbite</v>
      </c>
      <c r="O315" s="34" t="str">
        <f>_xlfn.IFNA(VLOOKUP($M315,Buff.CM!$A:$O,14,FALSE),"")</f>
        <v>Buff.Name.Frost.05</v>
      </c>
      <c r="P315" s="34" t="str">
        <f>_xlfn.IFNA(VLOOKUP($M315,Buff.CM!$A:$O,15,FALSE),"")</f>
        <v>Buff.Desc.Frost.05</v>
      </c>
      <c r="Q315" s="34" t="b">
        <v>0</v>
      </c>
      <c r="R315" s="23" t="b">
        <v>0</v>
      </c>
    </row>
    <row r="316" spans="1:18" s="13" customFormat="1">
      <c r="A316" s="34" t="s">
        <v>2020</v>
      </c>
      <c r="B316" s="34"/>
      <c r="C316" s="34"/>
      <c r="D316" s="34">
        <v>3000</v>
      </c>
      <c r="E316" s="34">
        <v>0</v>
      </c>
      <c r="F316" s="34">
        <v>0</v>
      </c>
      <c r="G316" s="40" t="s">
        <v>5761</v>
      </c>
      <c r="H316" s="34"/>
      <c r="I316" s="34" t="b">
        <v>0</v>
      </c>
      <c r="J316" s="34" t="b">
        <v>0</v>
      </c>
      <c r="K316" s="24" t="b">
        <v>0</v>
      </c>
      <c r="L316" s="34"/>
      <c r="M316" s="40" t="s">
        <v>1631</v>
      </c>
      <c r="N316" s="34" t="str">
        <f>_xlfn.IFNA(VLOOKUP($M316,Buff.CM!$A:$O,13,FALSE),"")</f>
        <v>icon_battle_frostbite</v>
      </c>
      <c r="O316" s="34" t="str">
        <f>_xlfn.IFNA(VLOOKUP($M316,Buff.CM!$A:$O,14,FALSE),"")</f>
        <v>Buff.Name.Frost.05</v>
      </c>
      <c r="P316" s="34" t="str">
        <f>_xlfn.IFNA(VLOOKUP($M316,Buff.CM!$A:$O,15,FALSE),"")</f>
        <v>Buff.Desc.Frost.05</v>
      </c>
      <c r="Q316" s="34" t="b">
        <v>0</v>
      </c>
      <c r="R316" s="23" t="b">
        <v>0</v>
      </c>
    </row>
    <row r="317" spans="1:18" s="13" customFormat="1">
      <c r="A317" s="23" t="s">
        <v>6974</v>
      </c>
      <c r="B317" s="23"/>
      <c r="C317" s="23"/>
      <c r="D317" s="23">
        <v>1000</v>
      </c>
      <c r="E317" s="23">
        <v>0</v>
      </c>
      <c r="F317" s="23">
        <v>0</v>
      </c>
      <c r="G317" s="39" t="s">
        <v>4610</v>
      </c>
      <c r="H317" s="23"/>
      <c r="I317" s="23" t="b">
        <v>0</v>
      </c>
      <c r="J317" s="23" t="b">
        <v>0</v>
      </c>
      <c r="K317" s="23" t="b">
        <v>0</v>
      </c>
      <c r="L317" s="23"/>
      <c r="M317" s="23"/>
      <c r="N317" s="23" t="str">
        <f>_xlfn.IFNA(VLOOKUP($M317,Buff.CM!$A:$O,13,FALSE),"")</f>
        <v/>
      </c>
      <c r="O317" s="23" t="str">
        <f>_xlfn.IFNA(VLOOKUP($M317,Buff.CM!$A:$O,14,FALSE),"")</f>
        <v/>
      </c>
      <c r="P317" s="23" t="str">
        <f>_xlfn.IFNA(VLOOKUP($M317,Buff.CM!$A:$O,15,FALSE),"")</f>
        <v/>
      </c>
      <c r="Q317" s="23" t="b">
        <v>0</v>
      </c>
      <c r="R317" s="23" t="b">
        <v>0</v>
      </c>
    </row>
    <row r="318" spans="1:18" s="13" customFormat="1">
      <c r="A318" s="23" t="s">
        <v>4605</v>
      </c>
      <c r="B318" s="23"/>
      <c r="C318" s="23"/>
      <c r="D318" s="23">
        <v>1000</v>
      </c>
      <c r="E318" s="23">
        <v>0</v>
      </c>
      <c r="F318" s="23">
        <v>0</v>
      </c>
      <c r="G318" s="39" t="s">
        <v>4611</v>
      </c>
      <c r="H318" s="23"/>
      <c r="I318" s="23" t="b">
        <v>0</v>
      </c>
      <c r="J318" s="23" t="b">
        <v>0</v>
      </c>
      <c r="K318" s="23" t="b">
        <v>0</v>
      </c>
      <c r="L318" s="23"/>
      <c r="M318" s="23"/>
      <c r="N318" s="23" t="str">
        <f>_xlfn.IFNA(VLOOKUP($M318,Buff.CM!$A:$O,13,FALSE),"")</f>
        <v/>
      </c>
      <c r="O318" s="23" t="str">
        <f>_xlfn.IFNA(VLOOKUP($M318,Buff.CM!$A:$O,14,FALSE),"")</f>
        <v/>
      </c>
      <c r="P318" s="23" t="str">
        <f>_xlfn.IFNA(VLOOKUP($M318,Buff.CM!$A:$O,15,FALSE),"")</f>
        <v/>
      </c>
      <c r="Q318" s="23" t="b">
        <v>0</v>
      </c>
      <c r="R318" s="23" t="b">
        <v>0</v>
      </c>
    </row>
    <row r="319" spans="1:18" s="13" customFormat="1">
      <c r="A319" s="23" t="s">
        <v>4606</v>
      </c>
      <c r="B319" s="23"/>
      <c r="C319" s="23"/>
      <c r="D319" s="23">
        <v>1000</v>
      </c>
      <c r="E319" s="23">
        <v>0</v>
      </c>
      <c r="F319" s="23">
        <v>0</v>
      </c>
      <c r="G319" s="39" t="s">
        <v>4612</v>
      </c>
      <c r="H319" s="23"/>
      <c r="I319" s="23" t="b">
        <v>0</v>
      </c>
      <c r="J319" s="23" t="b">
        <v>0</v>
      </c>
      <c r="K319" s="23" t="b">
        <v>0</v>
      </c>
      <c r="L319" s="23"/>
      <c r="M319" s="23"/>
      <c r="N319" s="23" t="str">
        <f>_xlfn.IFNA(VLOOKUP($M319,Buff.CM!$A:$O,13,FALSE),"")</f>
        <v/>
      </c>
      <c r="O319" s="23" t="str">
        <f>_xlfn.IFNA(VLOOKUP($M319,Buff.CM!$A:$O,14,FALSE),"")</f>
        <v/>
      </c>
      <c r="P319" s="23" t="str">
        <f>_xlfn.IFNA(VLOOKUP($M319,Buff.CM!$A:$O,15,FALSE),"")</f>
        <v/>
      </c>
      <c r="Q319" s="23" t="b">
        <v>0</v>
      </c>
      <c r="R319" s="23" t="b">
        <v>0</v>
      </c>
    </row>
    <row r="320" spans="1:18" s="13" customFormat="1">
      <c r="A320" s="34" t="s">
        <v>4607</v>
      </c>
      <c r="B320" s="34"/>
      <c r="C320" s="34"/>
      <c r="D320" s="34">
        <v>1000</v>
      </c>
      <c r="E320" s="34">
        <v>0</v>
      </c>
      <c r="F320" s="34">
        <v>0</v>
      </c>
      <c r="G320" s="40" t="s">
        <v>4613</v>
      </c>
      <c r="H320" s="34"/>
      <c r="I320" s="34" t="b">
        <v>0</v>
      </c>
      <c r="J320" s="34" t="b">
        <v>0</v>
      </c>
      <c r="K320" s="24" t="b">
        <v>0</v>
      </c>
      <c r="L320" s="34"/>
      <c r="M320" s="34"/>
      <c r="N320" s="34" t="str">
        <f>_xlfn.IFNA(VLOOKUP($M320,Buff.CM!$A:$O,13,FALSE),"")</f>
        <v/>
      </c>
      <c r="O320" s="34" t="str">
        <f>_xlfn.IFNA(VLOOKUP($M320,Buff.CM!$A:$O,14,FALSE),"")</f>
        <v/>
      </c>
      <c r="P320" s="34" t="str">
        <f>_xlfn.IFNA(VLOOKUP($M320,Buff.CM!$A:$O,15,FALSE),"")</f>
        <v/>
      </c>
      <c r="Q320" s="34" t="b">
        <v>0</v>
      </c>
      <c r="R320" s="23" t="b">
        <v>0</v>
      </c>
    </row>
    <row r="321" spans="1:18" s="13" customFormat="1">
      <c r="A321" s="34" t="s">
        <v>4608</v>
      </c>
      <c r="B321" s="34"/>
      <c r="C321" s="34"/>
      <c r="D321" s="34">
        <v>1000</v>
      </c>
      <c r="E321" s="34">
        <v>0</v>
      </c>
      <c r="F321" s="34">
        <v>0</v>
      </c>
      <c r="G321" s="40" t="s">
        <v>4614</v>
      </c>
      <c r="H321" s="34"/>
      <c r="I321" s="34" t="b">
        <v>0</v>
      </c>
      <c r="J321" s="34" t="b">
        <v>0</v>
      </c>
      <c r="K321" s="24" t="b">
        <v>0</v>
      </c>
      <c r="L321" s="34"/>
      <c r="M321" s="34"/>
      <c r="N321" s="34" t="str">
        <f>_xlfn.IFNA(VLOOKUP($M321,Buff.CM!$A:$O,13,FALSE),"")</f>
        <v/>
      </c>
      <c r="O321" s="34" t="str">
        <f>_xlfn.IFNA(VLOOKUP($M321,Buff.CM!$A:$O,14,FALSE),"")</f>
        <v/>
      </c>
      <c r="P321" s="34" t="str">
        <f>_xlfn.IFNA(VLOOKUP($M321,Buff.CM!$A:$O,15,FALSE),"")</f>
        <v/>
      </c>
      <c r="Q321" s="34" t="b">
        <v>0</v>
      </c>
      <c r="R321" s="23" t="b">
        <v>0</v>
      </c>
    </row>
    <row r="322" spans="1:18" s="13" customFormat="1">
      <c r="A322" s="34" t="s">
        <v>4609</v>
      </c>
      <c r="B322" s="34"/>
      <c r="C322" s="34"/>
      <c r="D322" s="34">
        <v>1000</v>
      </c>
      <c r="E322" s="34">
        <v>0</v>
      </c>
      <c r="F322" s="34">
        <v>0</v>
      </c>
      <c r="G322" s="40" t="s">
        <v>4615</v>
      </c>
      <c r="H322" s="34"/>
      <c r="I322" s="34" t="b">
        <v>0</v>
      </c>
      <c r="J322" s="34" t="b">
        <v>0</v>
      </c>
      <c r="K322" s="24" t="b">
        <v>0</v>
      </c>
      <c r="L322" s="34"/>
      <c r="M322" s="34"/>
      <c r="N322" s="34" t="str">
        <f>_xlfn.IFNA(VLOOKUP($M322,Buff.CM!$A:$O,13,FALSE),"")</f>
        <v/>
      </c>
      <c r="O322" s="34" t="str">
        <f>_xlfn.IFNA(VLOOKUP($M322,Buff.CM!$A:$O,14,FALSE),"")</f>
        <v/>
      </c>
      <c r="P322" s="34" t="str">
        <f>_xlfn.IFNA(VLOOKUP($M322,Buff.CM!$A:$O,15,FALSE),"")</f>
        <v/>
      </c>
      <c r="Q322" s="34" t="b">
        <v>0</v>
      </c>
      <c r="R322" s="23" t="b">
        <v>0</v>
      </c>
    </row>
    <row r="323" spans="1:18" s="13" customFormat="1">
      <c r="A323" s="23" t="s">
        <v>3052</v>
      </c>
      <c r="B323" s="23"/>
      <c r="C323" s="23"/>
      <c r="D323" s="23">
        <v>0</v>
      </c>
      <c r="E323" s="23">
        <v>0</v>
      </c>
      <c r="F323" s="23">
        <v>0</v>
      </c>
      <c r="G323" s="39" t="s">
        <v>6975</v>
      </c>
      <c r="H323" s="23"/>
      <c r="I323" s="23" t="b">
        <v>0</v>
      </c>
      <c r="J323" s="23" t="b">
        <v>1</v>
      </c>
      <c r="K323" s="24" t="b">
        <v>1</v>
      </c>
      <c r="L323" s="23"/>
      <c r="M323" s="23"/>
      <c r="N323" s="23" t="str">
        <f>_xlfn.IFNA(VLOOKUP($M323,Buff.CM!$A:$O,13,FALSE),"")</f>
        <v/>
      </c>
      <c r="O323" s="23" t="str">
        <f>_xlfn.IFNA(VLOOKUP($M323,Buff.CM!$A:$O,14,FALSE),"")</f>
        <v/>
      </c>
      <c r="P323" s="23" t="str">
        <f>_xlfn.IFNA(VLOOKUP($M323,Buff.CM!$A:$O,15,FALSE),"")</f>
        <v/>
      </c>
      <c r="Q323" s="25" t="b">
        <v>0</v>
      </c>
      <c r="R323" s="23" t="b">
        <v>0</v>
      </c>
    </row>
    <row r="324" spans="1:18" s="13" customFormat="1">
      <c r="A324" s="23" t="s">
        <v>3047</v>
      </c>
      <c r="B324" s="23"/>
      <c r="C324" s="23"/>
      <c r="D324" s="23">
        <v>0</v>
      </c>
      <c r="E324" s="23">
        <v>0</v>
      </c>
      <c r="F324" s="23">
        <v>0</v>
      </c>
      <c r="G324" s="39" t="s">
        <v>3058</v>
      </c>
      <c r="H324" s="23"/>
      <c r="I324" s="23" t="b">
        <v>0</v>
      </c>
      <c r="J324" s="23" t="b">
        <v>1</v>
      </c>
      <c r="K324" s="24" t="b">
        <v>1</v>
      </c>
      <c r="L324" s="23"/>
      <c r="M324" s="23"/>
      <c r="N324" s="23" t="str">
        <f>_xlfn.IFNA(VLOOKUP($M324,Buff.CM!$A:$O,13,FALSE),"")</f>
        <v/>
      </c>
      <c r="O324" s="23" t="str">
        <f>_xlfn.IFNA(VLOOKUP($M324,Buff.CM!$A:$O,14,FALSE),"")</f>
        <v/>
      </c>
      <c r="P324" s="23" t="str">
        <f>_xlfn.IFNA(VLOOKUP($M324,Buff.CM!$A:$O,15,FALSE),"")</f>
        <v/>
      </c>
      <c r="Q324" s="25" t="b">
        <v>0</v>
      </c>
      <c r="R324" s="23" t="b">
        <v>0</v>
      </c>
    </row>
    <row r="325" spans="1:18" s="13" customFormat="1">
      <c r="A325" s="23" t="s">
        <v>3048</v>
      </c>
      <c r="B325" s="23"/>
      <c r="C325" s="23"/>
      <c r="D325" s="23">
        <v>0</v>
      </c>
      <c r="E325" s="23">
        <v>0</v>
      </c>
      <c r="F325" s="23">
        <v>0</v>
      </c>
      <c r="G325" s="39" t="s">
        <v>3059</v>
      </c>
      <c r="H325" s="23"/>
      <c r="I325" s="23" t="b">
        <v>0</v>
      </c>
      <c r="J325" s="23" t="b">
        <v>1</v>
      </c>
      <c r="K325" s="24" t="b">
        <v>1</v>
      </c>
      <c r="L325" s="23"/>
      <c r="M325" s="23"/>
      <c r="N325" s="23" t="str">
        <f>_xlfn.IFNA(VLOOKUP($M325,Buff.CM!$A:$O,13,FALSE),"")</f>
        <v/>
      </c>
      <c r="O325" s="23" t="str">
        <f>_xlfn.IFNA(VLOOKUP($M325,Buff.CM!$A:$O,14,FALSE),"")</f>
        <v/>
      </c>
      <c r="P325" s="23" t="str">
        <f>_xlfn.IFNA(VLOOKUP($M325,Buff.CM!$A:$O,15,FALSE),"")</f>
        <v/>
      </c>
      <c r="Q325" s="25" t="b">
        <v>0</v>
      </c>
      <c r="R325" s="23" t="b">
        <v>0</v>
      </c>
    </row>
    <row r="326" spans="1:18" s="13" customFormat="1">
      <c r="A326" s="34" t="s">
        <v>3049</v>
      </c>
      <c r="B326" s="34"/>
      <c r="C326" s="34"/>
      <c r="D326" s="34">
        <v>0</v>
      </c>
      <c r="E326" s="34">
        <v>0</v>
      </c>
      <c r="F326" s="34">
        <v>0</v>
      </c>
      <c r="G326" s="40" t="s">
        <v>3060</v>
      </c>
      <c r="H326" s="34"/>
      <c r="I326" s="34" t="b">
        <v>0</v>
      </c>
      <c r="J326" s="23" t="b">
        <v>1</v>
      </c>
      <c r="K326" s="24" t="b">
        <v>1</v>
      </c>
      <c r="L326" s="34"/>
      <c r="M326" s="34"/>
      <c r="N326" s="34" t="str">
        <f>_xlfn.IFNA(VLOOKUP($M326,Buff.CM!$A:$O,13,FALSE),"")</f>
        <v/>
      </c>
      <c r="O326" s="34" t="str">
        <f>_xlfn.IFNA(VLOOKUP($M326,Buff.CM!$A:$O,14,FALSE),"")</f>
        <v/>
      </c>
      <c r="P326" s="34" t="str">
        <f>_xlfn.IFNA(VLOOKUP($M326,Buff.CM!$A:$O,15,FALSE),"")</f>
        <v/>
      </c>
      <c r="Q326" s="25" t="b">
        <v>0</v>
      </c>
      <c r="R326" s="23" t="b">
        <v>0</v>
      </c>
    </row>
    <row r="327" spans="1:18" s="13" customFormat="1">
      <c r="A327" s="34" t="s">
        <v>3050</v>
      </c>
      <c r="B327" s="34"/>
      <c r="C327" s="34"/>
      <c r="D327" s="34">
        <v>0</v>
      </c>
      <c r="E327" s="34">
        <v>0</v>
      </c>
      <c r="F327" s="34">
        <v>0</v>
      </c>
      <c r="G327" s="40" t="s">
        <v>3061</v>
      </c>
      <c r="H327" s="34"/>
      <c r="I327" s="34" t="b">
        <v>0</v>
      </c>
      <c r="J327" s="23" t="b">
        <v>1</v>
      </c>
      <c r="K327" s="24" t="b">
        <v>1</v>
      </c>
      <c r="L327" s="34"/>
      <c r="M327" s="34"/>
      <c r="N327" s="34" t="str">
        <f>_xlfn.IFNA(VLOOKUP($M327,Buff.CM!$A:$O,13,FALSE),"")</f>
        <v/>
      </c>
      <c r="O327" s="34" t="str">
        <f>_xlfn.IFNA(VLOOKUP($M327,Buff.CM!$A:$O,14,FALSE),"")</f>
        <v/>
      </c>
      <c r="P327" s="34" t="str">
        <f>_xlfn.IFNA(VLOOKUP($M327,Buff.CM!$A:$O,15,FALSE),"")</f>
        <v/>
      </c>
      <c r="Q327" s="25" t="b">
        <v>0</v>
      </c>
      <c r="R327" s="23" t="b">
        <v>0</v>
      </c>
    </row>
    <row r="328" spans="1:18" s="13" customFormat="1">
      <c r="A328" s="34" t="s">
        <v>3051</v>
      </c>
      <c r="B328" s="34"/>
      <c r="C328" s="34"/>
      <c r="D328" s="34">
        <v>0</v>
      </c>
      <c r="E328" s="34">
        <v>0</v>
      </c>
      <c r="F328" s="34">
        <v>0</v>
      </c>
      <c r="G328" s="40" t="s">
        <v>3062</v>
      </c>
      <c r="H328" s="34"/>
      <c r="I328" s="34" t="b">
        <v>0</v>
      </c>
      <c r="J328" s="23" t="b">
        <v>1</v>
      </c>
      <c r="K328" s="24" t="b">
        <v>1</v>
      </c>
      <c r="L328" s="34"/>
      <c r="M328" s="34"/>
      <c r="N328" s="34" t="str">
        <f>_xlfn.IFNA(VLOOKUP($M328,Buff.CM!$A:$O,13,FALSE),"")</f>
        <v/>
      </c>
      <c r="O328" s="34" t="str">
        <f>_xlfn.IFNA(VLOOKUP($M328,Buff.CM!$A:$O,14,FALSE),"")</f>
        <v/>
      </c>
      <c r="P328" s="34" t="str">
        <f>_xlfn.IFNA(VLOOKUP($M328,Buff.CM!$A:$O,15,FALSE),"")</f>
        <v/>
      </c>
      <c r="Q328" s="25" t="b">
        <v>0</v>
      </c>
      <c r="R328" s="23" t="b">
        <v>0</v>
      </c>
    </row>
    <row r="329" spans="1:18">
      <c r="A329" s="25" t="s">
        <v>2025</v>
      </c>
      <c r="B329" s="25"/>
      <c r="C329" s="25"/>
      <c r="D329" s="25">
        <v>4000</v>
      </c>
      <c r="E329" s="25">
        <v>0</v>
      </c>
      <c r="F329" s="25">
        <v>0</v>
      </c>
      <c r="G329" s="25" t="s">
        <v>6976</v>
      </c>
      <c r="H329" s="25"/>
      <c r="I329" s="25" t="b">
        <v>0</v>
      </c>
      <c r="J329" s="25" t="b">
        <v>0</v>
      </c>
      <c r="K329" s="25" t="b">
        <v>0</v>
      </c>
      <c r="L329" s="25" t="s">
        <v>168</v>
      </c>
      <c r="M329" s="25" t="s">
        <v>6122</v>
      </c>
      <c r="N329" s="25" t="str">
        <f>_xlfn.IFNA(VLOOKUP($M329,Buff.CM!$A:$O,13,FALSE),"")</f>
        <v>icon_battle_bleeding</v>
      </c>
      <c r="O329" s="25" t="str">
        <f>_xlfn.IFNA(VLOOKUP($M329,Buff.CM!$A:$O,14,FALSE),"")</f>
        <v>Buff.Name.Bleeding</v>
      </c>
      <c r="P329" s="25" t="str">
        <f>_xlfn.IFNA(VLOOKUP($M329,Buff.CM!$A:$O,15,FALSE),"")</f>
        <v>Buff.Desc.Bleeding</v>
      </c>
      <c r="Q329" s="25" t="b">
        <v>0</v>
      </c>
      <c r="R329" s="25" t="b">
        <v>1</v>
      </c>
    </row>
    <row r="330" spans="1:18">
      <c r="A330" s="25" t="s">
        <v>2026</v>
      </c>
      <c r="B330" s="25"/>
      <c r="C330" s="25"/>
      <c r="D330" s="25">
        <v>5000</v>
      </c>
      <c r="E330" s="25">
        <v>0</v>
      </c>
      <c r="F330" s="25">
        <v>0</v>
      </c>
      <c r="G330" s="25" t="s">
        <v>6976</v>
      </c>
      <c r="H330" s="25"/>
      <c r="I330" s="25" t="b">
        <v>0</v>
      </c>
      <c r="J330" s="25" t="b">
        <v>0</v>
      </c>
      <c r="K330" s="25" t="b">
        <v>0</v>
      </c>
      <c r="L330" s="25" t="s">
        <v>168</v>
      </c>
      <c r="M330" s="25" t="s">
        <v>6122</v>
      </c>
      <c r="N330" s="25" t="str">
        <f>_xlfn.IFNA(VLOOKUP($M330,Buff.CM!$A:$O,13,FALSE),"")</f>
        <v>icon_battle_bleeding</v>
      </c>
      <c r="O330" s="25" t="str">
        <f>_xlfn.IFNA(VLOOKUP($M330,Buff.CM!$A:$O,14,FALSE),"")</f>
        <v>Buff.Name.Bleeding</v>
      </c>
      <c r="P330" s="25" t="str">
        <f>_xlfn.IFNA(VLOOKUP($M330,Buff.CM!$A:$O,15,FALSE),"")</f>
        <v>Buff.Desc.Bleeding</v>
      </c>
      <c r="Q330" s="25" t="b">
        <v>0</v>
      </c>
      <c r="R330" s="25" t="b">
        <v>1</v>
      </c>
    </row>
    <row r="331" spans="1:18">
      <c r="A331" s="25" t="s">
        <v>2027</v>
      </c>
      <c r="B331" s="25"/>
      <c r="C331" s="25"/>
      <c r="D331" s="25">
        <v>5000</v>
      </c>
      <c r="E331" s="25">
        <v>0</v>
      </c>
      <c r="F331" s="25">
        <v>0</v>
      </c>
      <c r="G331" s="25" t="s">
        <v>1637</v>
      </c>
      <c r="H331" s="25"/>
      <c r="I331" s="25" t="b">
        <v>0</v>
      </c>
      <c r="J331" s="25" t="b">
        <v>0</v>
      </c>
      <c r="K331" s="25" t="b">
        <v>0</v>
      </c>
      <c r="L331" s="25" t="s">
        <v>168</v>
      </c>
      <c r="M331" s="25" t="s">
        <v>6122</v>
      </c>
      <c r="N331" s="25" t="str">
        <f>_xlfn.IFNA(VLOOKUP($M331,Buff.CM!$A:$O,13,FALSE),"")</f>
        <v>icon_battle_bleeding</v>
      </c>
      <c r="O331" s="25" t="str">
        <f>_xlfn.IFNA(VLOOKUP($M331,Buff.CM!$A:$O,14,FALSE),"")</f>
        <v>Buff.Name.Bleeding</v>
      </c>
      <c r="P331" s="25" t="str">
        <f>_xlfn.IFNA(VLOOKUP($M331,Buff.CM!$A:$O,15,FALSE),"")</f>
        <v>Buff.Desc.Bleeding</v>
      </c>
      <c r="Q331" s="25" t="b">
        <v>0</v>
      </c>
      <c r="R331" s="25" t="b">
        <v>1</v>
      </c>
    </row>
    <row r="332" spans="1:18">
      <c r="A332" s="25" t="s">
        <v>2028</v>
      </c>
      <c r="B332" s="25"/>
      <c r="C332" s="25"/>
      <c r="D332" s="25">
        <v>6000</v>
      </c>
      <c r="E332" s="25">
        <v>0</v>
      </c>
      <c r="F332" s="25">
        <v>0</v>
      </c>
      <c r="G332" s="25" t="s">
        <v>1637</v>
      </c>
      <c r="H332" s="25"/>
      <c r="I332" s="25" t="b">
        <v>0</v>
      </c>
      <c r="J332" s="25" t="b">
        <v>0</v>
      </c>
      <c r="K332" s="25" t="b">
        <v>0</v>
      </c>
      <c r="L332" s="25" t="s">
        <v>168</v>
      </c>
      <c r="M332" s="25" t="s">
        <v>6122</v>
      </c>
      <c r="N332" s="25" t="str">
        <f>_xlfn.IFNA(VLOOKUP($M332,Buff.CM!$A:$O,13,FALSE),"")</f>
        <v>icon_battle_bleeding</v>
      </c>
      <c r="O332" s="25" t="str">
        <f>_xlfn.IFNA(VLOOKUP($M332,Buff.CM!$A:$O,14,FALSE),"")</f>
        <v>Buff.Name.Bleeding</v>
      </c>
      <c r="P332" s="25" t="str">
        <f>_xlfn.IFNA(VLOOKUP($M332,Buff.CM!$A:$O,15,FALSE),"")</f>
        <v>Buff.Desc.Bleeding</v>
      </c>
      <c r="Q332" s="25" t="b">
        <v>0</v>
      </c>
      <c r="R332" s="25" t="b">
        <v>1</v>
      </c>
    </row>
    <row r="333" spans="1:18">
      <c r="A333" s="25" t="s">
        <v>3329</v>
      </c>
      <c r="B333" s="25"/>
      <c r="C333" s="25"/>
      <c r="D333" s="25">
        <v>6000</v>
      </c>
      <c r="E333" s="25">
        <v>0</v>
      </c>
      <c r="F333" s="25">
        <v>0</v>
      </c>
      <c r="G333" s="25" t="s">
        <v>1638</v>
      </c>
      <c r="H333" s="25"/>
      <c r="I333" s="25" t="b">
        <v>0</v>
      </c>
      <c r="J333" s="25" t="b">
        <v>0</v>
      </c>
      <c r="K333" s="25" t="b">
        <v>0</v>
      </c>
      <c r="L333" s="25" t="s">
        <v>168</v>
      </c>
      <c r="M333" s="25" t="s">
        <v>6122</v>
      </c>
      <c r="N333" s="25" t="str">
        <f>_xlfn.IFNA(VLOOKUP($M333,Buff.CM!$A:$O,13,FALSE),"")</f>
        <v>icon_battle_bleeding</v>
      </c>
      <c r="O333" s="25" t="str">
        <f>_xlfn.IFNA(VLOOKUP($M333,Buff.CM!$A:$O,14,FALSE),"")</f>
        <v>Buff.Name.Bleeding</v>
      </c>
      <c r="P333" s="25" t="str">
        <f>_xlfn.IFNA(VLOOKUP($M333,Buff.CM!$A:$O,15,FALSE),"")</f>
        <v>Buff.Desc.Bleeding</v>
      </c>
      <c r="Q333" s="25" t="b">
        <v>0</v>
      </c>
      <c r="R333" s="25" t="b">
        <v>1</v>
      </c>
    </row>
    <row r="334" spans="1:18">
      <c r="A334" s="25" t="s">
        <v>3330</v>
      </c>
      <c r="B334" s="25"/>
      <c r="C334" s="25"/>
      <c r="D334" s="25">
        <v>7000</v>
      </c>
      <c r="E334" s="25">
        <v>0</v>
      </c>
      <c r="F334" s="25">
        <v>0</v>
      </c>
      <c r="G334" s="25" t="s">
        <v>1638</v>
      </c>
      <c r="H334" s="25"/>
      <c r="I334" s="25" t="b">
        <v>0</v>
      </c>
      <c r="J334" s="25" t="b">
        <v>0</v>
      </c>
      <c r="K334" s="25" t="b">
        <v>0</v>
      </c>
      <c r="L334" s="25" t="s">
        <v>168</v>
      </c>
      <c r="M334" s="25" t="s">
        <v>6122</v>
      </c>
      <c r="N334" s="25" t="str">
        <f>_xlfn.IFNA(VLOOKUP($M334,Buff.CM!$A:$O,13,FALSE),"")</f>
        <v>icon_battle_bleeding</v>
      </c>
      <c r="O334" s="25" t="str">
        <f>_xlfn.IFNA(VLOOKUP($M334,Buff.CM!$A:$O,14,FALSE),"")</f>
        <v>Buff.Name.Bleeding</v>
      </c>
      <c r="P334" s="25" t="str">
        <f>_xlfn.IFNA(VLOOKUP($M334,Buff.CM!$A:$O,15,FALSE),"")</f>
        <v>Buff.Desc.Bleeding</v>
      </c>
      <c r="Q334" s="25" t="b">
        <v>0</v>
      </c>
      <c r="R334" s="25" t="b">
        <v>1</v>
      </c>
    </row>
    <row r="335" spans="1:18" s="150" customFormat="1" ht="82.5">
      <c r="A335" s="163" t="s">
        <v>4657</v>
      </c>
      <c r="B335" s="24"/>
      <c r="C335" s="24"/>
      <c r="D335" s="24">
        <v>0</v>
      </c>
      <c r="E335" s="24">
        <v>0</v>
      </c>
      <c r="F335" s="24">
        <v>0</v>
      </c>
      <c r="G335" s="38" t="s">
        <v>4658</v>
      </c>
      <c r="H335" s="24"/>
      <c r="I335" s="24" t="b">
        <v>0</v>
      </c>
      <c r="J335" s="24" t="b">
        <v>0</v>
      </c>
      <c r="K335" s="24" t="b">
        <v>1</v>
      </c>
      <c r="L335" s="24"/>
      <c r="M335" s="24"/>
      <c r="N335" s="24" t="str">
        <f>_xlfn.IFNA(VLOOKUP($M335,Buff.CM!$A:$O,13,FALSE),"")</f>
        <v/>
      </c>
      <c r="O335" s="24" t="str">
        <f>_xlfn.IFNA(VLOOKUP($M335,Buff.CM!$A:$O,14,FALSE),"")</f>
        <v/>
      </c>
      <c r="P335" s="24" t="str">
        <f>_xlfn.IFNA(VLOOKUP($M335,Buff.CM!$A:$O,15,FALSE),"")</f>
        <v/>
      </c>
      <c r="Q335" s="24" t="b">
        <v>0</v>
      </c>
      <c r="R335" s="24" t="b">
        <v>0</v>
      </c>
    </row>
    <row r="336" spans="1:18">
      <c r="A336" s="23" t="s">
        <v>4659</v>
      </c>
      <c r="B336" s="23"/>
      <c r="C336" s="23"/>
      <c r="D336" s="23">
        <v>0</v>
      </c>
      <c r="E336" s="23">
        <v>3</v>
      </c>
      <c r="F336" s="23">
        <v>1</v>
      </c>
      <c r="G336" s="39" t="s">
        <v>122</v>
      </c>
      <c r="H336" s="23"/>
      <c r="I336" s="23" t="b">
        <v>0</v>
      </c>
      <c r="J336" s="23" t="b">
        <v>0</v>
      </c>
      <c r="K336" s="23" t="b">
        <v>0</v>
      </c>
      <c r="L336" s="23"/>
      <c r="M336" s="23"/>
      <c r="N336" s="23" t="str">
        <f>_xlfn.IFNA(VLOOKUP($M336,Buff.CM!$A:$O,13,FALSE),"")</f>
        <v/>
      </c>
      <c r="O336" s="23" t="str">
        <f>_xlfn.IFNA(VLOOKUP($M336,Buff.CM!$A:$O,14,FALSE),"")</f>
        <v/>
      </c>
      <c r="P336" s="23" t="str">
        <f>_xlfn.IFNA(VLOOKUP($M336,Buff.CM!$A:$O,15,FALSE),"")</f>
        <v/>
      </c>
      <c r="Q336" s="23" t="b">
        <v>0</v>
      </c>
      <c r="R336" s="23" t="b">
        <v>0</v>
      </c>
    </row>
    <row r="337" spans="1:18">
      <c r="A337" s="44" t="s">
        <v>6977</v>
      </c>
      <c r="B337" s="44"/>
      <c r="C337" s="44"/>
      <c r="D337" s="44">
        <v>0</v>
      </c>
      <c r="E337" s="44">
        <v>15</v>
      </c>
      <c r="F337" s="44">
        <v>1</v>
      </c>
      <c r="G337" s="44" t="s">
        <v>6978</v>
      </c>
      <c r="H337" s="44"/>
      <c r="I337" s="44" t="b">
        <v>1</v>
      </c>
      <c r="J337" s="44" t="b">
        <v>0</v>
      </c>
      <c r="K337" s="44" t="b">
        <v>1</v>
      </c>
      <c r="L337" s="44" t="s">
        <v>6979</v>
      </c>
      <c r="M337" s="44" t="s">
        <v>5668</v>
      </c>
      <c r="N337" s="34" t="str">
        <f>_xlfn.IFNA(VLOOKUP($M337,Buff.CM!$A:$O,13,FALSE),"")</f>
        <v>icon_battle_renas_toenail</v>
      </c>
      <c r="O337" s="34" t="str">
        <f>_xlfn.IFNA(VLOOKUP($M337,Buff.CM!$A:$O,14,FALSE),"")</f>
        <v>info.renas.buff.toenail</v>
      </c>
      <c r="P337" s="34" t="str">
        <f>_xlfn.IFNA(VLOOKUP($M337,Buff.CM!$A:$O,15,FALSE),"")</f>
        <v>Desc.info.renas.buff.toenail</v>
      </c>
      <c r="Q337" s="44" t="b">
        <v>0</v>
      </c>
      <c r="R337" s="25" t="b">
        <v>1</v>
      </c>
    </row>
    <row r="338" spans="1:18" s="153" customFormat="1">
      <c r="A338" s="26" t="s">
        <v>6980</v>
      </c>
      <c r="B338" s="26" t="s">
        <v>1367</v>
      </c>
      <c r="C338" s="26" t="s">
        <v>659</v>
      </c>
      <c r="D338" s="26">
        <v>3000</v>
      </c>
      <c r="E338" s="26">
        <v>0</v>
      </c>
      <c r="F338" s="26">
        <v>0</v>
      </c>
      <c r="G338" s="26" t="s">
        <v>6976</v>
      </c>
      <c r="H338" s="26"/>
      <c r="I338" s="26" t="b">
        <v>0</v>
      </c>
      <c r="J338" s="26" t="b">
        <v>0</v>
      </c>
      <c r="K338" s="26" t="b">
        <v>0</v>
      </c>
      <c r="L338" s="26" t="s">
        <v>168</v>
      </c>
      <c r="M338" s="26"/>
      <c r="N338" s="26" t="str">
        <f>_xlfn.IFNA(VLOOKUP($M338,Buff.CM!$A:$O,13,FALSE),"")</f>
        <v/>
      </c>
      <c r="O338" s="26" t="str">
        <f>_xlfn.IFNA(VLOOKUP($M338,Buff.CM!$A:$O,14,FALSE),"")</f>
        <v/>
      </c>
      <c r="P338" s="26" t="str">
        <f>_xlfn.IFNA(VLOOKUP($M338,Buff.CM!$A:$O,15,FALSE),"")</f>
        <v/>
      </c>
      <c r="Q338" s="26" t="b">
        <v>0</v>
      </c>
      <c r="R338" s="26" t="b">
        <v>1</v>
      </c>
    </row>
    <row r="339" spans="1:18" s="153" customFormat="1">
      <c r="A339" s="26" t="s">
        <v>3398</v>
      </c>
      <c r="B339" s="26" t="s">
        <v>1367</v>
      </c>
      <c r="C339" s="26" t="s">
        <v>660</v>
      </c>
      <c r="D339" s="26">
        <v>4000</v>
      </c>
      <c r="E339" s="26">
        <v>0</v>
      </c>
      <c r="F339" s="26">
        <v>0</v>
      </c>
      <c r="G339" s="26" t="s">
        <v>6976</v>
      </c>
      <c r="H339" s="26"/>
      <c r="I339" s="26" t="b">
        <v>0</v>
      </c>
      <c r="J339" s="26" t="b">
        <v>0</v>
      </c>
      <c r="K339" s="26" t="b">
        <v>0</v>
      </c>
      <c r="L339" s="26" t="s">
        <v>168</v>
      </c>
      <c r="M339" s="26"/>
      <c r="N339" s="26" t="str">
        <f>_xlfn.IFNA(VLOOKUP($M339,Buff.CM!$A:$O,13,FALSE),"")</f>
        <v/>
      </c>
      <c r="O339" s="26" t="str">
        <f>_xlfn.IFNA(VLOOKUP($M339,Buff.CM!$A:$O,14,FALSE),"")</f>
        <v/>
      </c>
      <c r="P339" s="26" t="str">
        <f>_xlfn.IFNA(VLOOKUP($M339,Buff.CM!$A:$O,15,FALSE),"")</f>
        <v/>
      </c>
      <c r="Q339" s="26" t="b">
        <v>0</v>
      </c>
      <c r="R339" s="26" t="b">
        <v>1</v>
      </c>
    </row>
    <row r="340" spans="1:18" s="153" customFormat="1">
      <c r="A340" s="26" t="s">
        <v>3399</v>
      </c>
      <c r="B340" s="26" t="s">
        <v>1367</v>
      </c>
      <c r="C340" s="26" t="s">
        <v>661</v>
      </c>
      <c r="D340" s="26">
        <v>4000</v>
      </c>
      <c r="E340" s="26">
        <v>0</v>
      </c>
      <c r="F340" s="26">
        <v>0</v>
      </c>
      <c r="G340" s="26" t="s">
        <v>1637</v>
      </c>
      <c r="H340" s="26"/>
      <c r="I340" s="26" t="b">
        <v>0</v>
      </c>
      <c r="J340" s="26" t="b">
        <v>0</v>
      </c>
      <c r="K340" s="26" t="b">
        <v>0</v>
      </c>
      <c r="L340" s="26" t="s">
        <v>168</v>
      </c>
      <c r="M340" s="26"/>
      <c r="N340" s="26" t="str">
        <f>_xlfn.IFNA(VLOOKUP($M340,Buff.CM!$A:$O,13,FALSE),"")</f>
        <v/>
      </c>
      <c r="O340" s="26" t="str">
        <f>_xlfn.IFNA(VLOOKUP($M340,Buff.CM!$A:$O,14,FALSE),"")</f>
        <v/>
      </c>
      <c r="P340" s="26" t="str">
        <f>_xlfn.IFNA(VLOOKUP($M340,Buff.CM!$A:$O,15,FALSE),"")</f>
        <v/>
      </c>
      <c r="Q340" s="26" t="b">
        <v>0</v>
      </c>
      <c r="R340" s="26" t="b">
        <v>1</v>
      </c>
    </row>
    <row r="341" spans="1:18" s="153" customFormat="1">
      <c r="A341" s="26" t="s">
        <v>3400</v>
      </c>
      <c r="B341" s="26" t="s">
        <v>1367</v>
      </c>
      <c r="C341" s="26" t="s">
        <v>662</v>
      </c>
      <c r="D341" s="26">
        <v>5000</v>
      </c>
      <c r="E341" s="26">
        <v>0</v>
      </c>
      <c r="F341" s="26">
        <v>0</v>
      </c>
      <c r="G341" s="26" t="s">
        <v>1637</v>
      </c>
      <c r="H341" s="26"/>
      <c r="I341" s="26" t="b">
        <v>0</v>
      </c>
      <c r="J341" s="26" t="b">
        <v>0</v>
      </c>
      <c r="K341" s="26" t="b">
        <v>0</v>
      </c>
      <c r="L341" s="26" t="s">
        <v>168</v>
      </c>
      <c r="M341" s="26"/>
      <c r="N341" s="26" t="str">
        <f>_xlfn.IFNA(VLOOKUP($M341,Buff.CM!$A:$O,13,FALSE),"")</f>
        <v/>
      </c>
      <c r="O341" s="26" t="str">
        <f>_xlfn.IFNA(VLOOKUP($M341,Buff.CM!$A:$O,14,FALSE),"")</f>
        <v/>
      </c>
      <c r="P341" s="26" t="str">
        <f>_xlfn.IFNA(VLOOKUP($M341,Buff.CM!$A:$O,15,FALSE),"")</f>
        <v/>
      </c>
      <c r="Q341" s="26" t="b">
        <v>0</v>
      </c>
      <c r="R341" s="26" t="b">
        <v>1</v>
      </c>
    </row>
    <row r="342" spans="1:18" s="153" customFormat="1">
      <c r="A342" s="26" t="s">
        <v>3401</v>
      </c>
      <c r="B342" s="26" t="s">
        <v>1367</v>
      </c>
      <c r="C342" s="26" t="s">
        <v>663</v>
      </c>
      <c r="D342" s="26">
        <v>5000</v>
      </c>
      <c r="E342" s="26">
        <v>0</v>
      </c>
      <c r="F342" s="26">
        <v>0</v>
      </c>
      <c r="G342" s="26" t="s">
        <v>1638</v>
      </c>
      <c r="H342" s="26"/>
      <c r="I342" s="26" t="b">
        <v>0</v>
      </c>
      <c r="J342" s="26" t="b">
        <v>0</v>
      </c>
      <c r="K342" s="26" t="b">
        <v>0</v>
      </c>
      <c r="L342" s="26" t="s">
        <v>168</v>
      </c>
      <c r="M342" s="26"/>
      <c r="N342" s="26" t="str">
        <f>_xlfn.IFNA(VLOOKUP($M342,Buff.CM!$A:$O,13,FALSE),"")</f>
        <v/>
      </c>
      <c r="O342" s="26" t="str">
        <f>_xlfn.IFNA(VLOOKUP($M342,Buff.CM!$A:$O,14,FALSE),"")</f>
        <v/>
      </c>
      <c r="P342" s="26" t="str">
        <f>_xlfn.IFNA(VLOOKUP($M342,Buff.CM!$A:$O,15,FALSE),"")</f>
        <v/>
      </c>
      <c r="Q342" s="26" t="b">
        <v>0</v>
      </c>
      <c r="R342" s="26" t="b">
        <v>1</v>
      </c>
    </row>
    <row r="343" spans="1:18" s="153" customFormat="1">
      <c r="A343" s="26" t="s">
        <v>3402</v>
      </c>
      <c r="B343" s="26" t="s">
        <v>1367</v>
      </c>
      <c r="C343" s="26" t="s">
        <v>664</v>
      </c>
      <c r="D343" s="26">
        <v>5000</v>
      </c>
      <c r="E343" s="26">
        <v>0</v>
      </c>
      <c r="F343" s="26">
        <v>0</v>
      </c>
      <c r="G343" s="26" t="s">
        <v>1638</v>
      </c>
      <c r="H343" s="26"/>
      <c r="I343" s="26" t="b">
        <v>0</v>
      </c>
      <c r="J343" s="26" t="b">
        <v>0</v>
      </c>
      <c r="K343" s="26" t="b">
        <v>0</v>
      </c>
      <c r="L343" s="26" t="s">
        <v>168</v>
      </c>
      <c r="M343" s="26"/>
      <c r="N343" s="26" t="str">
        <f>_xlfn.IFNA(VLOOKUP($M343,Buff.CM!$A:$O,13,FALSE),"")</f>
        <v/>
      </c>
      <c r="O343" s="26" t="str">
        <f>_xlfn.IFNA(VLOOKUP($M343,Buff.CM!$A:$O,14,FALSE),"")</f>
        <v/>
      </c>
      <c r="P343" s="26" t="str">
        <f>_xlfn.IFNA(VLOOKUP($M343,Buff.CM!$A:$O,15,FALSE),"")</f>
        <v/>
      </c>
      <c r="Q343" s="26" t="b">
        <v>0</v>
      </c>
      <c r="R343" s="26" t="b">
        <v>1</v>
      </c>
    </row>
    <row r="344" spans="1:18" ht="115.5">
      <c r="A344" s="25" t="s">
        <v>6981</v>
      </c>
      <c r="B344" s="25"/>
      <c r="C344" s="25"/>
      <c r="D344" s="25">
        <v>0</v>
      </c>
      <c r="E344" s="25">
        <v>0</v>
      </c>
      <c r="F344" s="25">
        <v>0</v>
      </c>
      <c r="G344" s="43" t="s">
        <v>6982</v>
      </c>
      <c r="H344" s="25"/>
      <c r="I344" s="25" t="b">
        <v>0</v>
      </c>
      <c r="J344" s="25" t="b">
        <v>0</v>
      </c>
      <c r="K344" s="44" t="b">
        <v>1</v>
      </c>
      <c r="L344" s="25"/>
      <c r="M344" s="25"/>
      <c r="N344" s="25" t="str">
        <f>_xlfn.IFNA(VLOOKUP($M344,Buff.CM!$A:$O,13,FALSE),"")</f>
        <v/>
      </c>
      <c r="O344" s="25" t="str">
        <f>_xlfn.IFNA(VLOOKUP($M344,Buff.CM!$A:$O,14,FALSE),"")</f>
        <v/>
      </c>
      <c r="P344" s="25" t="str">
        <f>_xlfn.IFNA(VLOOKUP($M344,Buff.CM!$A:$O,15,FALSE),"")</f>
        <v/>
      </c>
      <c r="Q344" s="25" t="b">
        <v>0</v>
      </c>
      <c r="R344" s="25" t="b">
        <v>0</v>
      </c>
    </row>
    <row r="345" spans="1:18" s="162" customFormat="1" ht="99">
      <c r="A345" s="44" t="s">
        <v>3373</v>
      </c>
      <c r="B345" s="44"/>
      <c r="C345" s="44"/>
      <c r="D345" s="44">
        <v>0</v>
      </c>
      <c r="E345" s="44">
        <v>0</v>
      </c>
      <c r="F345" s="44">
        <v>0</v>
      </c>
      <c r="G345" s="66" t="s">
        <v>6983</v>
      </c>
      <c r="H345" s="44"/>
      <c r="I345" s="44" t="b">
        <v>0</v>
      </c>
      <c r="J345" s="44" t="b">
        <v>0</v>
      </c>
      <c r="K345" s="44" t="b">
        <v>1</v>
      </c>
      <c r="L345" s="44"/>
      <c r="M345" s="44"/>
      <c r="N345" s="44" t="str">
        <f>_xlfn.IFNA(VLOOKUP($M345,Buff.CM!$A:$O,13,FALSE),"")</f>
        <v/>
      </c>
      <c r="O345" s="44" t="str">
        <f>_xlfn.IFNA(VLOOKUP($M345,Buff.CM!$A:$O,14,FALSE),"")</f>
        <v/>
      </c>
      <c r="P345" s="44" t="str">
        <f>_xlfn.IFNA(VLOOKUP($M345,Buff.CM!$A:$O,15,FALSE),"")</f>
        <v/>
      </c>
      <c r="Q345" s="44" t="b">
        <v>0</v>
      </c>
      <c r="R345" s="44" t="b">
        <v>0</v>
      </c>
    </row>
    <row r="346" spans="1:18" s="153" customFormat="1">
      <c r="A346" s="26" t="s">
        <v>3380</v>
      </c>
      <c r="B346" s="26"/>
      <c r="C346" s="26"/>
      <c r="D346" s="25">
        <v>30000</v>
      </c>
      <c r="E346" s="25">
        <v>0</v>
      </c>
      <c r="F346" s="25">
        <v>0</v>
      </c>
      <c r="G346" s="26" t="s">
        <v>122</v>
      </c>
      <c r="H346" s="26"/>
      <c r="I346" s="26" t="b">
        <v>1</v>
      </c>
      <c r="J346" s="26" t="b">
        <v>0</v>
      </c>
      <c r="K346" s="44" t="b">
        <v>1</v>
      </c>
      <c r="L346" s="26"/>
      <c r="M346" s="26"/>
      <c r="N346" s="26" t="str">
        <f>_xlfn.IFNA(VLOOKUP($M346,Buff.CM!$A:$O,13,FALSE),"")</f>
        <v/>
      </c>
      <c r="O346" s="26" t="str">
        <f>_xlfn.IFNA(VLOOKUP($M346,Buff.CM!$A:$O,14,FALSE),"")</f>
        <v/>
      </c>
      <c r="P346" s="26" t="str">
        <f>_xlfn.IFNA(VLOOKUP($M346,Buff.CM!$A:$O,15,FALSE),"")</f>
        <v/>
      </c>
      <c r="Q346" s="26" t="b">
        <v>0</v>
      </c>
      <c r="R346" s="26" t="b">
        <v>0</v>
      </c>
    </row>
    <row r="347" spans="1:18" s="153" customFormat="1">
      <c r="A347" s="26" t="s">
        <v>3374</v>
      </c>
      <c r="B347" s="26"/>
      <c r="C347" s="26"/>
      <c r="D347" s="25">
        <v>30000</v>
      </c>
      <c r="E347" s="25">
        <v>0</v>
      </c>
      <c r="F347" s="25">
        <v>0</v>
      </c>
      <c r="G347" s="26" t="s">
        <v>122</v>
      </c>
      <c r="H347" s="26"/>
      <c r="I347" s="26" t="b">
        <v>1</v>
      </c>
      <c r="J347" s="26" t="b">
        <v>0</v>
      </c>
      <c r="K347" s="44" t="b">
        <v>1</v>
      </c>
      <c r="L347" s="26"/>
      <c r="M347" s="26"/>
      <c r="N347" s="26" t="str">
        <f>_xlfn.IFNA(VLOOKUP($M347,Buff.CM!$A:$O,13,FALSE),"")</f>
        <v/>
      </c>
      <c r="O347" s="26" t="str">
        <f>_xlfn.IFNA(VLOOKUP($M347,Buff.CM!$A:$O,14,FALSE),"")</f>
        <v/>
      </c>
      <c r="P347" s="26" t="str">
        <f>_xlfn.IFNA(VLOOKUP($M347,Buff.CM!$A:$O,15,FALSE),"")</f>
        <v/>
      </c>
      <c r="Q347" s="26" t="b">
        <v>0</v>
      </c>
      <c r="R347" s="26" t="b">
        <v>0</v>
      </c>
    </row>
    <row r="348" spans="1:18" s="153" customFormat="1">
      <c r="A348" s="26" t="s">
        <v>3375</v>
      </c>
      <c r="B348" s="26"/>
      <c r="C348" s="26"/>
      <c r="D348" s="25">
        <v>30000</v>
      </c>
      <c r="E348" s="25">
        <v>0</v>
      </c>
      <c r="F348" s="25">
        <v>0</v>
      </c>
      <c r="G348" s="26" t="s">
        <v>122</v>
      </c>
      <c r="H348" s="26"/>
      <c r="I348" s="26" t="b">
        <v>1</v>
      </c>
      <c r="J348" s="26" t="b">
        <v>0</v>
      </c>
      <c r="K348" s="44" t="b">
        <v>1</v>
      </c>
      <c r="L348" s="26"/>
      <c r="M348" s="26"/>
      <c r="N348" s="26" t="str">
        <f>_xlfn.IFNA(VLOOKUP($M348,Buff.CM!$A:$O,13,FALSE),"")</f>
        <v/>
      </c>
      <c r="O348" s="26" t="str">
        <f>_xlfn.IFNA(VLOOKUP($M348,Buff.CM!$A:$O,14,FALSE),"")</f>
        <v/>
      </c>
      <c r="P348" s="26" t="str">
        <f>_xlfn.IFNA(VLOOKUP($M348,Buff.CM!$A:$O,15,FALSE),"")</f>
        <v/>
      </c>
      <c r="Q348" s="26" t="b">
        <v>0</v>
      </c>
      <c r="R348" s="26" t="b">
        <v>0</v>
      </c>
    </row>
    <row r="349" spans="1:18" s="153" customFormat="1">
      <c r="A349" s="26" t="s">
        <v>3376</v>
      </c>
      <c r="B349" s="26"/>
      <c r="C349" s="26"/>
      <c r="D349" s="25">
        <v>30000</v>
      </c>
      <c r="E349" s="25">
        <v>0</v>
      </c>
      <c r="F349" s="25">
        <v>0</v>
      </c>
      <c r="G349" s="26" t="s">
        <v>122</v>
      </c>
      <c r="H349" s="26"/>
      <c r="I349" s="26" t="b">
        <v>1</v>
      </c>
      <c r="J349" s="26" t="b">
        <v>0</v>
      </c>
      <c r="K349" s="44" t="b">
        <v>1</v>
      </c>
      <c r="L349" s="26"/>
      <c r="M349" s="26"/>
      <c r="N349" s="26" t="str">
        <f>_xlfn.IFNA(VLOOKUP($M349,Buff.CM!$A:$O,13,FALSE),"")</f>
        <v/>
      </c>
      <c r="O349" s="26" t="str">
        <f>_xlfn.IFNA(VLOOKUP($M349,Buff.CM!$A:$O,14,FALSE),"")</f>
        <v/>
      </c>
      <c r="P349" s="26" t="str">
        <f>_xlfn.IFNA(VLOOKUP($M349,Buff.CM!$A:$O,15,FALSE),"")</f>
        <v/>
      </c>
      <c r="Q349" s="26" t="b">
        <v>0</v>
      </c>
      <c r="R349" s="26" t="b">
        <v>0</v>
      </c>
    </row>
    <row r="350" spans="1:18" s="153" customFormat="1">
      <c r="A350" s="26" t="s">
        <v>3377</v>
      </c>
      <c r="B350" s="26"/>
      <c r="C350" s="26"/>
      <c r="D350" s="25">
        <v>30000</v>
      </c>
      <c r="E350" s="25">
        <v>0</v>
      </c>
      <c r="F350" s="25">
        <v>0</v>
      </c>
      <c r="G350" s="26" t="s">
        <v>122</v>
      </c>
      <c r="H350" s="26"/>
      <c r="I350" s="26" t="b">
        <v>1</v>
      </c>
      <c r="J350" s="26" t="b">
        <v>0</v>
      </c>
      <c r="K350" s="44" t="b">
        <v>1</v>
      </c>
      <c r="L350" s="26"/>
      <c r="M350" s="26"/>
      <c r="N350" s="26" t="str">
        <f>_xlfn.IFNA(VLOOKUP($M350,Buff.CM!$A:$O,13,FALSE),"")</f>
        <v/>
      </c>
      <c r="O350" s="26" t="str">
        <f>_xlfn.IFNA(VLOOKUP($M350,Buff.CM!$A:$O,14,FALSE),"")</f>
        <v/>
      </c>
      <c r="P350" s="26" t="str">
        <f>_xlfn.IFNA(VLOOKUP($M350,Buff.CM!$A:$O,15,FALSE),"")</f>
        <v/>
      </c>
      <c r="Q350" s="26" t="b">
        <v>0</v>
      </c>
      <c r="R350" s="26" t="b">
        <v>0</v>
      </c>
    </row>
    <row r="351" spans="1:18" s="153" customFormat="1">
      <c r="A351" s="26" t="s">
        <v>3378</v>
      </c>
      <c r="B351" s="26"/>
      <c r="C351" s="26"/>
      <c r="D351" s="25">
        <v>30000</v>
      </c>
      <c r="E351" s="25">
        <v>0</v>
      </c>
      <c r="F351" s="25">
        <v>0</v>
      </c>
      <c r="G351" s="26" t="s">
        <v>122</v>
      </c>
      <c r="H351" s="26"/>
      <c r="I351" s="26" t="b">
        <v>1</v>
      </c>
      <c r="J351" s="26" t="b">
        <v>0</v>
      </c>
      <c r="K351" s="44" t="b">
        <v>1</v>
      </c>
      <c r="L351" s="26"/>
      <c r="M351" s="26"/>
      <c r="N351" s="26" t="str">
        <f>_xlfn.IFNA(VLOOKUP($M351,Buff.CM!$A:$O,13,FALSE),"")</f>
        <v/>
      </c>
      <c r="O351" s="26" t="str">
        <f>_xlfn.IFNA(VLOOKUP($M351,Buff.CM!$A:$O,14,FALSE),"")</f>
        <v/>
      </c>
      <c r="P351" s="26" t="str">
        <f>_xlfn.IFNA(VLOOKUP($M351,Buff.CM!$A:$O,15,FALSE),"")</f>
        <v/>
      </c>
      <c r="Q351" s="26" t="b">
        <v>0</v>
      </c>
      <c r="R351" s="26" t="b">
        <v>0</v>
      </c>
    </row>
    <row r="352" spans="1:18" s="153" customFormat="1">
      <c r="A352" s="26" t="s">
        <v>3379</v>
      </c>
      <c r="B352" s="26"/>
      <c r="C352" s="26"/>
      <c r="D352" s="25">
        <v>30000</v>
      </c>
      <c r="E352" s="25">
        <v>0</v>
      </c>
      <c r="F352" s="25">
        <v>0</v>
      </c>
      <c r="G352" s="26" t="s">
        <v>122</v>
      </c>
      <c r="H352" s="26"/>
      <c r="I352" s="26" t="b">
        <v>1</v>
      </c>
      <c r="J352" s="26" t="b">
        <v>0</v>
      </c>
      <c r="K352" s="44" t="b">
        <v>1</v>
      </c>
      <c r="L352" s="26"/>
      <c r="M352" s="26"/>
      <c r="N352" s="26" t="str">
        <f>_xlfn.IFNA(VLOOKUP($M352,Buff.CM!$A:$O,13,FALSE),"")</f>
        <v/>
      </c>
      <c r="O352" s="26" t="str">
        <f>_xlfn.IFNA(VLOOKUP($M352,Buff.CM!$A:$O,14,FALSE),"")</f>
        <v/>
      </c>
      <c r="P352" s="26" t="str">
        <f>_xlfn.IFNA(VLOOKUP($M352,Buff.CM!$A:$O,15,FALSE),"")</f>
        <v/>
      </c>
      <c r="Q352" s="26" t="b">
        <v>0</v>
      </c>
      <c r="R352" s="26" t="b">
        <v>0</v>
      </c>
    </row>
    <row r="353" spans="1:18" s="13" customFormat="1">
      <c r="A353" s="25" t="s">
        <v>2029</v>
      </c>
      <c r="B353" s="25"/>
      <c r="C353" s="25"/>
      <c r="D353" s="25">
        <v>4000</v>
      </c>
      <c r="E353" s="25">
        <v>0</v>
      </c>
      <c r="F353" s="25">
        <v>0</v>
      </c>
      <c r="G353" s="25" t="s">
        <v>6976</v>
      </c>
      <c r="H353" s="25"/>
      <c r="I353" s="25" t="b">
        <v>0</v>
      </c>
      <c r="J353" s="25" t="b">
        <v>0</v>
      </c>
      <c r="K353" s="25" t="b">
        <v>0</v>
      </c>
      <c r="L353" s="25" t="s">
        <v>168</v>
      </c>
      <c r="M353" s="25" t="s">
        <v>6122</v>
      </c>
      <c r="N353" s="25" t="str">
        <f>_xlfn.IFNA(VLOOKUP($M353,Buff.CM!$A:$O,13,FALSE),"")</f>
        <v>icon_battle_bleeding</v>
      </c>
      <c r="O353" s="25" t="str">
        <f>_xlfn.IFNA(VLOOKUP($M353,Buff.CM!$A:$O,14,FALSE),"")</f>
        <v>Buff.Name.Bleeding</v>
      </c>
      <c r="P353" s="25" t="str">
        <f>_xlfn.IFNA(VLOOKUP($M353,Buff.CM!$A:$O,15,FALSE),"")</f>
        <v>Buff.Desc.Bleeding</v>
      </c>
      <c r="Q353" s="25" t="b">
        <v>0</v>
      </c>
      <c r="R353" s="25" t="b">
        <v>1</v>
      </c>
    </row>
    <row r="354" spans="1:18" s="13" customFormat="1">
      <c r="A354" s="25" t="s">
        <v>2030</v>
      </c>
      <c r="B354" s="25"/>
      <c r="C354" s="25"/>
      <c r="D354" s="25">
        <v>5000</v>
      </c>
      <c r="E354" s="25">
        <v>0</v>
      </c>
      <c r="F354" s="25">
        <v>0</v>
      </c>
      <c r="G354" s="25" t="s">
        <v>6976</v>
      </c>
      <c r="H354" s="25"/>
      <c r="I354" s="25" t="b">
        <v>0</v>
      </c>
      <c r="J354" s="25" t="b">
        <v>0</v>
      </c>
      <c r="K354" s="25" t="b">
        <v>0</v>
      </c>
      <c r="L354" s="25" t="s">
        <v>168</v>
      </c>
      <c r="M354" s="25" t="s">
        <v>6122</v>
      </c>
      <c r="N354" s="25" t="str">
        <f>_xlfn.IFNA(VLOOKUP($M354,Buff.CM!$A:$O,13,FALSE),"")</f>
        <v>icon_battle_bleeding</v>
      </c>
      <c r="O354" s="25" t="str">
        <f>_xlfn.IFNA(VLOOKUP($M354,Buff.CM!$A:$O,14,FALSE),"")</f>
        <v>Buff.Name.Bleeding</v>
      </c>
      <c r="P354" s="25" t="str">
        <f>_xlfn.IFNA(VLOOKUP($M354,Buff.CM!$A:$O,15,FALSE),"")</f>
        <v>Buff.Desc.Bleeding</v>
      </c>
      <c r="Q354" s="25" t="b">
        <v>0</v>
      </c>
      <c r="R354" s="25" t="b">
        <v>1</v>
      </c>
    </row>
    <row r="355" spans="1:18" s="13" customFormat="1">
      <c r="A355" s="25" t="s">
        <v>2031</v>
      </c>
      <c r="B355" s="25"/>
      <c r="C355" s="25"/>
      <c r="D355" s="25">
        <v>5000</v>
      </c>
      <c r="E355" s="25">
        <v>0</v>
      </c>
      <c r="F355" s="25">
        <v>0</v>
      </c>
      <c r="G355" s="25" t="s">
        <v>1637</v>
      </c>
      <c r="H355" s="25"/>
      <c r="I355" s="25" t="b">
        <v>0</v>
      </c>
      <c r="J355" s="25" t="b">
        <v>0</v>
      </c>
      <c r="K355" s="25" t="b">
        <v>0</v>
      </c>
      <c r="L355" s="25" t="s">
        <v>168</v>
      </c>
      <c r="M355" s="25" t="s">
        <v>6122</v>
      </c>
      <c r="N355" s="25" t="str">
        <f>_xlfn.IFNA(VLOOKUP($M355,Buff.CM!$A:$O,13,FALSE),"")</f>
        <v>icon_battle_bleeding</v>
      </c>
      <c r="O355" s="25" t="str">
        <f>_xlfn.IFNA(VLOOKUP($M355,Buff.CM!$A:$O,14,FALSE),"")</f>
        <v>Buff.Name.Bleeding</v>
      </c>
      <c r="P355" s="25" t="str">
        <f>_xlfn.IFNA(VLOOKUP($M355,Buff.CM!$A:$O,15,FALSE),"")</f>
        <v>Buff.Desc.Bleeding</v>
      </c>
      <c r="Q355" s="25" t="b">
        <v>0</v>
      </c>
      <c r="R355" s="25" t="b">
        <v>1</v>
      </c>
    </row>
    <row r="356" spans="1:18" s="13" customFormat="1">
      <c r="A356" s="25" t="s">
        <v>2032</v>
      </c>
      <c r="B356" s="25"/>
      <c r="C356" s="25"/>
      <c r="D356" s="25">
        <v>6000</v>
      </c>
      <c r="E356" s="25">
        <v>0</v>
      </c>
      <c r="F356" s="25">
        <v>0</v>
      </c>
      <c r="G356" s="25" t="s">
        <v>1637</v>
      </c>
      <c r="H356" s="25"/>
      <c r="I356" s="25" t="b">
        <v>0</v>
      </c>
      <c r="J356" s="25" t="b">
        <v>0</v>
      </c>
      <c r="K356" s="25" t="b">
        <v>0</v>
      </c>
      <c r="L356" s="25" t="s">
        <v>168</v>
      </c>
      <c r="M356" s="25" t="s">
        <v>6122</v>
      </c>
      <c r="N356" s="25" t="str">
        <f>_xlfn.IFNA(VLOOKUP($M356,Buff.CM!$A:$O,13,FALSE),"")</f>
        <v>icon_battle_bleeding</v>
      </c>
      <c r="O356" s="25" t="str">
        <f>_xlfn.IFNA(VLOOKUP($M356,Buff.CM!$A:$O,14,FALSE),"")</f>
        <v>Buff.Name.Bleeding</v>
      </c>
      <c r="P356" s="25" t="str">
        <f>_xlfn.IFNA(VLOOKUP($M356,Buff.CM!$A:$O,15,FALSE),"")</f>
        <v>Buff.Desc.Bleeding</v>
      </c>
      <c r="Q356" s="25" t="b">
        <v>0</v>
      </c>
      <c r="R356" s="25" t="b">
        <v>1</v>
      </c>
    </row>
    <row r="357" spans="1:18" ht="33">
      <c r="A357" s="26" t="s">
        <v>659</v>
      </c>
      <c r="B357" s="26"/>
      <c r="C357" s="26"/>
      <c r="D357" s="26">
        <v>0</v>
      </c>
      <c r="E357" s="26">
        <v>0</v>
      </c>
      <c r="F357" s="26">
        <v>0</v>
      </c>
      <c r="G357" s="45" t="s">
        <v>6984</v>
      </c>
      <c r="H357" s="26"/>
      <c r="I357" s="26" t="b">
        <v>0</v>
      </c>
      <c r="J357" s="23" t="b">
        <v>1</v>
      </c>
      <c r="K357" s="26" t="b">
        <v>1</v>
      </c>
      <c r="L357" s="26"/>
      <c r="M357" s="26"/>
      <c r="N357" s="26" t="str">
        <f>_xlfn.IFNA(VLOOKUP($M357,Buff.CM!$A:$O,13,FALSE),"")</f>
        <v/>
      </c>
      <c r="O357" s="26" t="str">
        <f>_xlfn.IFNA(VLOOKUP($M357,Buff.CM!$A:$O,14,FALSE),"")</f>
        <v/>
      </c>
      <c r="P357" s="26" t="str">
        <f>_xlfn.IFNA(VLOOKUP($M357,Buff.CM!$A:$O,15,FALSE),"")</f>
        <v/>
      </c>
      <c r="Q357" s="26" t="b">
        <v>0</v>
      </c>
      <c r="R357" s="26" t="b">
        <v>0</v>
      </c>
    </row>
    <row r="358" spans="1:18" ht="33">
      <c r="A358" s="26" t="s">
        <v>660</v>
      </c>
      <c r="B358" s="26"/>
      <c r="C358" s="26"/>
      <c r="D358" s="26">
        <v>0</v>
      </c>
      <c r="E358" s="26">
        <v>0</v>
      </c>
      <c r="F358" s="26">
        <v>0</v>
      </c>
      <c r="G358" s="45" t="s">
        <v>6985</v>
      </c>
      <c r="H358" s="26"/>
      <c r="I358" s="26" t="b">
        <v>0</v>
      </c>
      <c r="J358" s="23" t="b">
        <v>1</v>
      </c>
      <c r="K358" s="26" t="b">
        <v>1</v>
      </c>
      <c r="L358" s="26"/>
      <c r="M358" s="26"/>
      <c r="N358" s="26" t="str">
        <f>_xlfn.IFNA(VLOOKUP($M358,Buff.CM!$A:$O,13,FALSE),"")</f>
        <v/>
      </c>
      <c r="O358" s="26" t="str">
        <f>_xlfn.IFNA(VLOOKUP($M358,Buff.CM!$A:$O,14,FALSE),"")</f>
        <v/>
      </c>
      <c r="P358" s="26" t="str">
        <f>_xlfn.IFNA(VLOOKUP($M358,Buff.CM!$A:$O,15,FALSE),"")</f>
        <v/>
      </c>
      <c r="Q358" s="26" t="b">
        <v>0</v>
      </c>
      <c r="R358" s="26" t="b">
        <v>0</v>
      </c>
    </row>
    <row r="359" spans="1:18" ht="33">
      <c r="A359" s="26" t="s">
        <v>661</v>
      </c>
      <c r="B359" s="26"/>
      <c r="C359" s="26"/>
      <c r="D359" s="26">
        <v>0</v>
      </c>
      <c r="E359" s="26">
        <v>0</v>
      </c>
      <c r="F359" s="26">
        <v>0</v>
      </c>
      <c r="G359" s="45" t="s">
        <v>6986</v>
      </c>
      <c r="H359" s="26"/>
      <c r="I359" s="26" t="b">
        <v>0</v>
      </c>
      <c r="J359" s="23" t="b">
        <v>1</v>
      </c>
      <c r="K359" s="26" t="b">
        <v>1</v>
      </c>
      <c r="L359" s="26"/>
      <c r="M359" s="26"/>
      <c r="N359" s="26" t="str">
        <f>_xlfn.IFNA(VLOOKUP($M359,Buff.CM!$A:$O,13,FALSE),"")</f>
        <v/>
      </c>
      <c r="O359" s="26" t="str">
        <f>_xlfn.IFNA(VLOOKUP($M359,Buff.CM!$A:$O,14,FALSE),"")</f>
        <v/>
      </c>
      <c r="P359" s="26" t="str">
        <f>_xlfn.IFNA(VLOOKUP($M359,Buff.CM!$A:$O,15,FALSE),"")</f>
        <v/>
      </c>
      <c r="Q359" s="26" t="b">
        <v>0</v>
      </c>
      <c r="R359" s="26" t="b">
        <v>0</v>
      </c>
    </row>
    <row r="360" spans="1:18" ht="33">
      <c r="A360" s="34" t="s">
        <v>662</v>
      </c>
      <c r="B360" s="34"/>
      <c r="C360" s="34"/>
      <c r="D360" s="34">
        <v>0</v>
      </c>
      <c r="E360" s="34">
        <v>0</v>
      </c>
      <c r="F360" s="34">
        <v>0</v>
      </c>
      <c r="G360" s="40" t="s">
        <v>6987</v>
      </c>
      <c r="H360" s="34"/>
      <c r="I360" s="34" t="b">
        <v>0</v>
      </c>
      <c r="J360" s="23" t="b">
        <v>1</v>
      </c>
      <c r="K360" s="34" t="b">
        <v>1</v>
      </c>
      <c r="L360" s="34"/>
      <c r="M360" s="34"/>
      <c r="N360" s="34" t="str">
        <f>_xlfn.IFNA(VLOOKUP($M360,Buff.CM!$A:$O,13,FALSE),"")</f>
        <v/>
      </c>
      <c r="O360" s="34" t="str">
        <f>_xlfn.IFNA(VLOOKUP($M360,Buff.CM!$A:$O,14,FALSE),"")</f>
        <v/>
      </c>
      <c r="P360" s="34" t="str">
        <f>_xlfn.IFNA(VLOOKUP($M360,Buff.CM!$A:$O,15,FALSE),"")</f>
        <v/>
      </c>
      <c r="Q360" s="34" t="b">
        <v>0</v>
      </c>
      <c r="R360" s="34" t="b">
        <v>0</v>
      </c>
    </row>
    <row r="361" spans="1:18" ht="33">
      <c r="A361" s="34" t="s">
        <v>663</v>
      </c>
      <c r="B361" s="34"/>
      <c r="C361" s="34"/>
      <c r="D361" s="34">
        <v>0</v>
      </c>
      <c r="E361" s="34">
        <v>0</v>
      </c>
      <c r="F361" s="34">
        <v>0</v>
      </c>
      <c r="G361" s="40" t="s">
        <v>6988</v>
      </c>
      <c r="H361" s="34"/>
      <c r="I361" s="34" t="b">
        <v>0</v>
      </c>
      <c r="J361" s="23" t="b">
        <v>1</v>
      </c>
      <c r="K361" s="34" t="b">
        <v>1</v>
      </c>
      <c r="L361" s="34"/>
      <c r="M361" s="34"/>
      <c r="N361" s="34" t="str">
        <f>_xlfn.IFNA(VLOOKUP($M361,Buff.CM!$A:$O,13,FALSE),"")</f>
        <v/>
      </c>
      <c r="O361" s="34" t="str">
        <f>_xlfn.IFNA(VLOOKUP($M361,Buff.CM!$A:$O,14,FALSE),"")</f>
        <v/>
      </c>
      <c r="P361" s="34" t="str">
        <f>_xlfn.IFNA(VLOOKUP($M361,Buff.CM!$A:$O,15,FALSE),"")</f>
        <v/>
      </c>
      <c r="Q361" s="34" t="b">
        <v>0</v>
      </c>
      <c r="R361" s="34" t="b">
        <v>0</v>
      </c>
    </row>
    <row r="362" spans="1:18" s="13" customFormat="1" ht="33">
      <c r="A362" s="34" t="s">
        <v>664</v>
      </c>
      <c r="B362" s="34"/>
      <c r="C362" s="34"/>
      <c r="D362" s="34">
        <v>0</v>
      </c>
      <c r="E362" s="34">
        <v>0</v>
      </c>
      <c r="F362" s="34">
        <v>0</v>
      </c>
      <c r="G362" s="40" t="s">
        <v>6989</v>
      </c>
      <c r="H362" s="34"/>
      <c r="I362" s="34" t="b">
        <v>0</v>
      </c>
      <c r="J362" s="23" t="b">
        <v>1</v>
      </c>
      <c r="K362" s="34" t="b">
        <v>1</v>
      </c>
      <c r="L362" s="34"/>
      <c r="M362" s="34"/>
      <c r="N362" s="34" t="str">
        <f>_xlfn.IFNA(VLOOKUP($M362,Buff.CM!$A:$O,13,FALSE),"")</f>
        <v/>
      </c>
      <c r="O362" s="34" t="str">
        <f>_xlfn.IFNA(VLOOKUP($M362,Buff.CM!$A:$O,14,FALSE),"")</f>
        <v/>
      </c>
      <c r="P362" s="34" t="str">
        <f>_xlfn.IFNA(VLOOKUP($M362,Buff.CM!$A:$O,15,FALSE),"")</f>
        <v/>
      </c>
      <c r="Q362" s="34" t="b">
        <v>0</v>
      </c>
      <c r="R362" s="34" t="b">
        <v>0</v>
      </c>
    </row>
    <row r="363" spans="1:18" s="13" customFormat="1">
      <c r="A363" s="25" t="s">
        <v>6990</v>
      </c>
      <c r="B363" s="25"/>
      <c r="C363" s="25"/>
      <c r="D363" s="25">
        <v>0</v>
      </c>
      <c r="E363" s="25">
        <v>3</v>
      </c>
      <c r="F363" s="25">
        <v>1</v>
      </c>
      <c r="G363" s="43" t="s">
        <v>2042</v>
      </c>
      <c r="H363" s="25"/>
      <c r="I363" s="25" t="b">
        <v>0</v>
      </c>
      <c r="J363" s="23" t="b">
        <v>1</v>
      </c>
      <c r="K363" s="25" t="b">
        <v>1</v>
      </c>
      <c r="L363" s="25"/>
      <c r="M363" s="25"/>
      <c r="N363" s="25" t="str">
        <f>_xlfn.IFNA(VLOOKUP($M363,Buff.CM!$A:$O,13,FALSE),"")</f>
        <v/>
      </c>
      <c r="O363" s="25" t="str">
        <f>_xlfn.IFNA(VLOOKUP($M363,Buff.CM!$A:$O,14,FALSE),"")</f>
        <v/>
      </c>
      <c r="P363" s="25" t="str">
        <f>_xlfn.IFNA(VLOOKUP($M363,Buff.CM!$A:$O,15,FALSE),"")</f>
        <v/>
      </c>
      <c r="Q363" s="25" t="b">
        <v>0</v>
      </c>
      <c r="R363" s="26" t="b">
        <v>0</v>
      </c>
    </row>
    <row r="364" spans="1:18" s="13" customFormat="1">
      <c r="A364" s="25" t="s">
        <v>2037</v>
      </c>
      <c r="B364" s="25"/>
      <c r="C364" s="25"/>
      <c r="D364" s="25">
        <v>0</v>
      </c>
      <c r="E364" s="25">
        <v>3</v>
      </c>
      <c r="F364" s="25">
        <v>1</v>
      </c>
      <c r="G364" s="43" t="s">
        <v>2043</v>
      </c>
      <c r="H364" s="25"/>
      <c r="I364" s="25" t="b">
        <v>0</v>
      </c>
      <c r="J364" s="23" t="b">
        <v>1</v>
      </c>
      <c r="K364" s="25" t="b">
        <v>1</v>
      </c>
      <c r="L364" s="25"/>
      <c r="M364" s="25"/>
      <c r="N364" s="25" t="str">
        <f>_xlfn.IFNA(VLOOKUP($M364,Buff.CM!$A:$O,13,FALSE),"")</f>
        <v/>
      </c>
      <c r="O364" s="25" t="str">
        <f>_xlfn.IFNA(VLOOKUP($M364,Buff.CM!$A:$O,14,FALSE),"")</f>
        <v/>
      </c>
      <c r="P364" s="25" t="str">
        <f>_xlfn.IFNA(VLOOKUP($M364,Buff.CM!$A:$O,15,FALSE),"")</f>
        <v/>
      </c>
      <c r="Q364" s="25" t="b">
        <v>0</v>
      </c>
      <c r="R364" s="25" t="b">
        <v>0</v>
      </c>
    </row>
    <row r="365" spans="1:18" s="13" customFormat="1">
      <c r="A365" s="25" t="s">
        <v>2038</v>
      </c>
      <c r="B365" s="25"/>
      <c r="C365" s="25"/>
      <c r="D365" s="25">
        <v>0</v>
      </c>
      <c r="E365" s="25">
        <v>3</v>
      </c>
      <c r="F365" s="25">
        <v>1</v>
      </c>
      <c r="G365" s="43" t="s">
        <v>2044</v>
      </c>
      <c r="H365" s="25"/>
      <c r="I365" s="25" t="b">
        <v>0</v>
      </c>
      <c r="J365" s="23" t="b">
        <v>1</v>
      </c>
      <c r="K365" s="25" t="b">
        <v>1</v>
      </c>
      <c r="L365" s="25"/>
      <c r="M365" s="25"/>
      <c r="N365" s="25" t="str">
        <f>_xlfn.IFNA(VLOOKUP($M365,Buff.CM!$A:$O,13,FALSE),"")</f>
        <v/>
      </c>
      <c r="O365" s="25" t="str">
        <f>_xlfn.IFNA(VLOOKUP($M365,Buff.CM!$A:$O,14,FALSE),"")</f>
        <v/>
      </c>
      <c r="P365" s="25" t="str">
        <f>_xlfn.IFNA(VLOOKUP($M365,Buff.CM!$A:$O,15,FALSE),"")</f>
        <v/>
      </c>
      <c r="Q365" s="25" t="b">
        <v>0</v>
      </c>
      <c r="R365" s="25" t="b">
        <v>0</v>
      </c>
    </row>
    <row r="366" spans="1:18" s="13" customFormat="1">
      <c r="A366" s="34" t="s">
        <v>2039</v>
      </c>
      <c r="B366" s="34"/>
      <c r="C366" s="34"/>
      <c r="D366" s="34">
        <v>0</v>
      </c>
      <c r="E366" s="34">
        <v>3</v>
      </c>
      <c r="F366" s="34">
        <v>1</v>
      </c>
      <c r="G366" s="40" t="s">
        <v>2045</v>
      </c>
      <c r="H366" s="34"/>
      <c r="I366" s="34" t="b">
        <v>0</v>
      </c>
      <c r="J366" s="23" t="b">
        <v>1</v>
      </c>
      <c r="K366" s="34" t="b">
        <v>1</v>
      </c>
      <c r="L366" s="34"/>
      <c r="M366" s="34"/>
      <c r="N366" s="25" t="str">
        <f>_xlfn.IFNA(VLOOKUP($M366,Buff.CM!$A:$O,13,FALSE),"")</f>
        <v/>
      </c>
      <c r="O366" s="25" t="str">
        <f>_xlfn.IFNA(VLOOKUP($M366,Buff.CM!$A:$O,14,FALSE),"")</f>
        <v/>
      </c>
      <c r="P366" s="25" t="str">
        <f>_xlfn.IFNA(VLOOKUP($M366,Buff.CM!$A:$O,15,FALSE),"")</f>
        <v/>
      </c>
      <c r="Q366" s="25" t="b">
        <v>0</v>
      </c>
      <c r="R366" s="25" t="b">
        <v>0</v>
      </c>
    </row>
    <row r="367" spans="1:18" s="13" customFormat="1">
      <c r="A367" s="34" t="s">
        <v>2040</v>
      </c>
      <c r="B367" s="34"/>
      <c r="C367" s="34"/>
      <c r="D367" s="34">
        <v>0</v>
      </c>
      <c r="E367" s="34">
        <v>3</v>
      </c>
      <c r="F367" s="34">
        <v>1</v>
      </c>
      <c r="G367" s="40" t="s">
        <v>2046</v>
      </c>
      <c r="H367" s="34"/>
      <c r="I367" s="34" t="b">
        <v>0</v>
      </c>
      <c r="J367" s="23" t="b">
        <v>1</v>
      </c>
      <c r="K367" s="34" t="b">
        <v>1</v>
      </c>
      <c r="L367" s="34"/>
      <c r="M367" s="34"/>
      <c r="N367" s="25" t="str">
        <f>_xlfn.IFNA(VLOOKUP($M367,Buff.CM!$A:$O,13,FALSE),"")</f>
        <v/>
      </c>
      <c r="O367" s="25" t="str">
        <f>_xlfn.IFNA(VLOOKUP($M367,Buff.CM!$A:$O,14,FALSE),"")</f>
        <v/>
      </c>
      <c r="P367" s="25" t="str">
        <f>_xlfn.IFNA(VLOOKUP($M367,Buff.CM!$A:$O,15,FALSE),"")</f>
        <v/>
      </c>
      <c r="Q367" s="25" t="b">
        <v>0</v>
      </c>
      <c r="R367" s="25" t="b">
        <v>0</v>
      </c>
    </row>
    <row r="368" spans="1:18" s="13" customFormat="1">
      <c r="A368" s="34" t="s">
        <v>2041</v>
      </c>
      <c r="B368" s="34"/>
      <c r="C368" s="34"/>
      <c r="D368" s="34">
        <v>0</v>
      </c>
      <c r="E368" s="34">
        <v>3</v>
      </c>
      <c r="F368" s="34">
        <v>1</v>
      </c>
      <c r="G368" s="40" t="s">
        <v>2047</v>
      </c>
      <c r="H368" s="34"/>
      <c r="I368" s="34" t="b">
        <v>0</v>
      </c>
      <c r="J368" s="23" t="b">
        <v>1</v>
      </c>
      <c r="K368" s="34" t="b">
        <v>1</v>
      </c>
      <c r="L368" s="34"/>
      <c r="M368" s="34"/>
      <c r="N368" s="25" t="str">
        <f>_xlfn.IFNA(VLOOKUP($M368,Buff.CM!$A:$O,13,FALSE),"")</f>
        <v/>
      </c>
      <c r="O368" s="25" t="str">
        <f>_xlfn.IFNA(VLOOKUP($M368,Buff.CM!$A:$O,14,FALSE),"")</f>
        <v/>
      </c>
      <c r="P368" s="25" t="str">
        <f>_xlfn.IFNA(VLOOKUP($M368,Buff.CM!$A:$O,15,FALSE),"")</f>
        <v/>
      </c>
      <c r="Q368" s="25" t="b">
        <v>0</v>
      </c>
      <c r="R368" s="25" t="b">
        <v>0</v>
      </c>
    </row>
    <row r="369" spans="1:18" s="13" customFormat="1">
      <c r="A369" s="26" t="s">
        <v>2033</v>
      </c>
      <c r="B369" s="26"/>
      <c r="C369" s="26"/>
      <c r="D369" s="26">
        <v>5000</v>
      </c>
      <c r="E369" s="26">
        <v>0</v>
      </c>
      <c r="F369" s="26">
        <v>0</v>
      </c>
      <c r="G369" s="26" t="s">
        <v>6976</v>
      </c>
      <c r="H369" s="26"/>
      <c r="I369" s="26" t="b">
        <v>0</v>
      </c>
      <c r="J369" s="26" t="b">
        <v>0</v>
      </c>
      <c r="K369" s="26" t="b">
        <v>0</v>
      </c>
      <c r="L369" s="26" t="s">
        <v>168</v>
      </c>
      <c r="M369" s="26" t="s">
        <v>6122</v>
      </c>
      <c r="N369" s="26" t="str">
        <f>_xlfn.IFNA(VLOOKUP($M369,Buff.CM!$A:$O,13,FALSE),"")</f>
        <v>icon_battle_bleeding</v>
      </c>
      <c r="O369" s="26" t="str">
        <f>_xlfn.IFNA(VLOOKUP($M369,Buff.CM!$A:$O,14,FALSE),"")</f>
        <v>Buff.Name.Bleeding</v>
      </c>
      <c r="P369" s="26" t="str">
        <f>_xlfn.IFNA(VLOOKUP($M369,Buff.CM!$A:$O,15,FALSE),"")</f>
        <v>Buff.Desc.Bleeding</v>
      </c>
      <c r="Q369" s="26" t="b">
        <v>0</v>
      </c>
      <c r="R369" s="26" t="b">
        <v>1</v>
      </c>
    </row>
    <row r="370" spans="1:18" s="13" customFormat="1">
      <c r="A370" s="26" t="s">
        <v>2034</v>
      </c>
      <c r="B370" s="26"/>
      <c r="C370" s="26"/>
      <c r="D370" s="26">
        <v>5000</v>
      </c>
      <c r="E370" s="26">
        <v>0</v>
      </c>
      <c r="F370" s="26">
        <v>0</v>
      </c>
      <c r="G370" s="26" t="s">
        <v>6976</v>
      </c>
      <c r="H370" s="26"/>
      <c r="I370" s="26" t="b">
        <v>0</v>
      </c>
      <c r="J370" s="26" t="b">
        <v>0</v>
      </c>
      <c r="K370" s="26" t="b">
        <v>0</v>
      </c>
      <c r="L370" s="26" t="s">
        <v>168</v>
      </c>
      <c r="M370" s="26" t="s">
        <v>6122</v>
      </c>
      <c r="N370" s="26" t="str">
        <f>_xlfn.IFNA(VLOOKUP($M370,Buff.CM!$A:$O,13,FALSE),"")</f>
        <v>icon_battle_bleeding</v>
      </c>
      <c r="O370" s="26" t="str">
        <f>_xlfn.IFNA(VLOOKUP($M370,Buff.CM!$A:$O,14,FALSE),"")</f>
        <v>Buff.Name.Bleeding</v>
      </c>
      <c r="P370" s="26" t="str">
        <f>_xlfn.IFNA(VLOOKUP($M370,Buff.CM!$A:$O,15,FALSE),"")</f>
        <v>Buff.Desc.Bleeding</v>
      </c>
      <c r="Q370" s="26" t="b">
        <v>0</v>
      </c>
      <c r="R370" s="26" t="b">
        <v>1</v>
      </c>
    </row>
    <row r="371" spans="1:18" s="13" customFormat="1">
      <c r="A371" s="26" t="s">
        <v>2035</v>
      </c>
      <c r="B371" s="26"/>
      <c r="C371" s="26"/>
      <c r="D371" s="26">
        <v>5000</v>
      </c>
      <c r="E371" s="26">
        <v>0</v>
      </c>
      <c r="F371" s="26">
        <v>0</v>
      </c>
      <c r="G371" s="26" t="s">
        <v>1637</v>
      </c>
      <c r="H371" s="26"/>
      <c r="I371" s="26" t="b">
        <v>0</v>
      </c>
      <c r="J371" s="26" t="b">
        <v>0</v>
      </c>
      <c r="K371" s="26" t="b">
        <v>0</v>
      </c>
      <c r="L371" s="26" t="s">
        <v>168</v>
      </c>
      <c r="M371" s="26" t="s">
        <v>6122</v>
      </c>
      <c r="N371" s="26" t="str">
        <f>_xlfn.IFNA(VLOOKUP($M371,Buff.CM!$A:$O,13,FALSE),"")</f>
        <v>icon_battle_bleeding</v>
      </c>
      <c r="O371" s="26" t="str">
        <f>_xlfn.IFNA(VLOOKUP($M371,Buff.CM!$A:$O,14,FALSE),"")</f>
        <v>Buff.Name.Bleeding</v>
      </c>
      <c r="P371" s="26" t="str">
        <f>_xlfn.IFNA(VLOOKUP($M371,Buff.CM!$A:$O,15,FALSE),"")</f>
        <v>Buff.Desc.Bleeding</v>
      </c>
      <c r="Q371" s="26" t="b">
        <v>0</v>
      </c>
      <c r="R371" s="26" t="b">
        <v>1</v>
      </c>
    </row>
    <row r="372" spans="1:18" s="13" customFormat="1">
      <c r="A372" s="26" t="s">
        <v>2036</v>
      </c>
      <c r="B372" s="26"/>
      <c r="C372" s="26"/>
      <c r="D372" s="26">
        <v>5000</v>
      </c>
      <c r="E372" s="26">
        <v>0</v>
      </c>
      <c r="F372" s="26">
        <v>0</v>
      </c>
      <c r="G372" s="26" t="s">
        <v>1637</v>
      </c>
      <c r="H372" s="26"/>
      <c r="I372" s="26" t="b">
        <v>0</v>
      </c>
      <c r="J372" s="26" t="b">
        <v>0</v>
      </c>
      <c r="K372" s="26" t="b">
        <v>0</v>
      </c>
      <c r="L372" s="26" t="s">
        <v>168</v>
      </c>
      <c r="M372" s="26" t="s">
        <v>6122</v>
      </c>
      <c r="N372" s="26" t="str">
        <f>_xlfn.IFNA(VLOOKUP($M372,Buff.CM!$A:$O,13,FALSE),"")</f>
        <v>icon_battle_bleeding</v>
      </c>
      <c r="O372" s="26" t="str">
        <f>_xlfn.IFNA(VLOOKUP($M372,Buff.CM!$A:$O,14,FALSE),"")</f>
        <v>Buff.Name.Bleeding</v>
      </c>
      <c r="P372" s="26" t="str">
        <f>_xlfn.IFNA(VLOOKUP($M372,Buff.CM!$A:$O,15,FALSE),"")</f>
        <v>Buff.Desc.Bleeding</v>
      </c>
      <c r="Q372" s="26" t="b">
        <v>0</v>
      </c>
      <c r="R372" s="26" t="b">
        <v>1</v>
      </c>
    </row>
    <row r="373" spans="1:18" s="13" customFormat="1">
      <c r="A373" s="26" t="s">
        <v>3331</v>
      </c>
      <c r="B373" s="26"/>
      <c r="C373" s="26"/>
      <c r="D373" s="26">
        <v>5000</v>
      </c>
      <c r="E373" s="26">
        <v>0</v>
      </c>
      <c r="F373" s="26">
        <v>0</v>
      </c>
      <c r="G373" s="26" t="s">
        <v>1638</v>
      </c>
      <c r="H373" s="26"/>
      <c r="I373" s="26" t="b">
        <v>0</v>
      </c>
      <c r="J373" s="26" t="b">
        <v>0</v>
      </c>
      <c r="K373" s="26" t="b">
        <v>0</v>
      </c>
      <c r="L373" s="26" t="s">
        <v>168</v>
      </c>
      <c r="M373" s="26" t="s">
        <v>6122</v>
      </c>
      <c r="N373" s="26" t="str">
        <f>_xlfn.IFNA(VLOOKUP($M373,Buff.CM!$A:$O,13,FALSE),"")</f>
        <v>icon_battle_bleeding</v>
      </c>
      <c r="O373" s="26" t="str">
        <f>_xlfn.IFNA(VLOOKUP($M373,Buff.CM!$A:$O,14,FALSE),"")</f>
        <v>Buff.Name.Bleeding</v>
      </c>
      <c r="P373" s="26" t="str">
        <f>_xlfn.IFNA(VLOOKUP($M373,Buff.CM!$A:$O,15,FALSE),"")</f>
        <v>Buff.Desc.Bleeding</v>
      </c>
      <c r="Q373" s="26" t="b">
        <v>0</v>
      </c>
      <c r="R373" s="26" t="b">
        <v>1</v>
      </c>
    </row>
    <row r="374" spans="1:18" s="143" customFormat="1" ht="99">
      <c r="A374" s="25" t="s">
        <v>6991</v>
      </c>
      <c r="B374" s="25" t="s">
        <v>1367</v>
      </c>
      <c r="C374" s="25" t="s">
        <v>6923</v>
      </c>
      <c r="D374" s="25">
        <v>0</v>
      </c>
      <c r="E374" s="25">
        <v>0</v>
      </c>
      <c r="F374" s="25">
        <v>0</v>
      </c>
      <c r="G374" s="43" t="s">
        <v>6992</v>
      </c>
      <c r="H374" s="25"/>
      <c r="I374" s="25" t="b">
        <v>0</v>
      </c>
      <c r="J374" s="23" t="b">
        <v>1</v>
      </c>
      <c r="K374" s="25" t="b">
        <v>1</v>
      </c>
      <c r="L374" s="25"/>
      <c r="M374" s="25"/>
      <c r="N374" s="25" t="str">
        <f>_xlfn.IFNA(VLOOKUP($M374,Buff.CM!$A:$O,13,FALSE),"")</f>
        <v/>
      </c>
      <c r="O374" s="25" t="str">
        <f>_xlfn.IFNA(VLOOKUP($M374,Buff.CM!$A:$O,14,FALSE),"")</f>
        <v/>
      </c>
      <c r="P374" s="25" t="str">
        <f>_xlfn.IFNA(VLOOKUP($M374,Buff.CM!$A:$O,15,FALSE),"")</f>
        <v/>
      </c>
      <c r="Q374" s="25" t="b">
        <v>0</v>
      </c>
      <c r="R374" s="25" t="b">
        <v>0</v>
      </c>
    </row>
    <row r="375" spans="1:18" s="162" customFormat="1">
      <c r="A375" s="44" t="s">
        <v>6993</v>
      </c>
      <c r="B375" s="44"/>
      <c r="C375" s="44"/>
      <c r="D375" s="44">
        <v>0</v>
      </c>
      <c r="E375" s="44">
        <v>0</v>
      </c>
      <c r="F375" s="44">
        <v>0</v>
      </c>
      <c r="G375" s="66" t="s">
        <v>6994</v>
      </c>
      <c r="H375" s="44"/>
      <c r="I375" s="44" t="b">
        <v>0</v>
      </c>
      <c r="J375" s="23" t="b">
        <v>1</v>
      </c>
      <c r="K375" s="44" t="b">
        <v>1</v>
      </c>
      <c r="L375" s="44"/>
      <c r="M375" s="44"/>
      <c r="N375" s="44" t="str">
        <f>_xlfn.IFNA(VLOOKUP($M375,Buff.CM!$A:$O,13,FALSE),"")</f>
        <v/>
      </c>
      <c r="O375" s="44" t="str">
        <f>_xlfn.IFNA(VLOOKUP($M375,Buff.CM!$A:$O,14,FALSE),"")</f>
        <v/>
      </c>
      <c r="P375" s="44" t="str">
        <f>_xlfn.IFNA(VLOOKUP($M375,Buff.CM!$A:$O,15,FALSE),"")</f>
        <v/>
      </c>
      <c r="Q375" s="44" t="b">
        <v>0</v>
      </c>
      <c r="R375" s="44" t="b">
        <v>0</v>
      </c>
    </row>
    <row r="376" spans="1:18" s="162" customFormat="1">
      <c r="A376" s="44" t="s">
        <v>3382</v>
      </c>
      <c r="B376" s="44"/>
      <c r="C376" s="44"/>
      <c r="D376" s="44">
        <v>0</v>
      </c>
      <c r="E376" s="44">
        <v>0</v>
      </c>
      <c r="F376" s="44">
        <v>0</v>
      </c>
      <c r="G376" s="66" t="s">
        <v>3564</v>
      </c>
      <c r="H376" s="44"/>
      <c r="I376" s="44" t="b">
        <v>0</v>
      </c>
      <c r="J376" s="23" t="b">
        <v>1</v>
      </c>
      <c r="K376" s="44" t="b">
        <v>1</v>
      </c>
      <c r="L376" s="44"/>
      <c r="M376" s="44"/>
      <c r="N376" s="44" t="str">
        <f>_xlfn.IFNA(VLOOKUP($M376,Buff.CM!$A:$O,13,FALSE),"")</f>
        <v/>
      </c>
      <c r="O376" s="44" t="str">
        <f>_xlfn.IFNA(VLOOKUP($M376,Buff.CM!$A:$O,14,FALSE),"")</f>
        <v/>
      </c>
      <c r="P376" s="44" t="str">
        <f>_xlfn.IFNA(VLOOKUP($M376,Buff.CM!$A:$O,15,FALSE),"")</f>
        <v/>
      </c>
      <c r="Q376" s="44" t="b">
        <v>0</v>
      </c>
      <c r="R376" s="44" t="b">
        <v>0</v>
      </c>
    </row>
    <row r="377" spans="1:18" s="162" customFormat="1">
      <c r="A377" s="44" t="s">
        <v>3383</v>
      </c>
      <c r="B377" s="44"/>
      <c r="C377" s="44"/>
      <c r="D377" s="44">
        <v>0</v>
      </c>
      <c r="E377" s="44">
        <v>0</v>
      </c>
      <c r="F377" s="44">
        <v>0</v>
      </c>
      <c r="G377" s="66" t="s">
        <v>3565</v>
      </c>
      <c r="H377" s="44"/>
      <c r="I377" s="44" t="b">
        <v>0</v>
      </c>
      <c r="J377" s="23" t="b">
        <v>1</v>
      </c>
      <c r="K377" s="44" t="b">
        <v>1</v>
      </c>
      <c r="L377" s="44"/>
      <c r="M377" s="44"/>
      <c r="N377" s="44" t="str">
        <f>_xlfn.IFNA(VLOOKUP($M377,Buff.CM!$A:$O,13,FALSE),"")</f>
        <v/>
      </c>
      <c r="O377" s="44" t="str">
        <f>_xlfn.IFNA(VLOOKUP($M377,Buff.CM!$A:$O,14,FALSE),"")</f>
        <v/>
      </c>
      <c r="P377" s="44" t="str">
        <f>_xlfn.IFNA(VLOOKUP($M377,Buff.CM!$A:$O,15,FALSE),"")</f>
        <v/>
      </c>
      <c r="Q377" s="44" t="b">
        <v>0</v>
      </c>
      <c r="R377" s="44" t="b">
        <v>0</v>
      </c>
    </row>
    <row r="378" spans="1:18" s="162" customFormat="1">
      <c r="A378" s="44" t="s">
        <v>3384</v>
      </c>
      <c r="B378" s="44"/>
      <c r="C378" s="44"/>
      <c r="D378" s="44">
        <v>0</v>
      </c>
      <c r="E378" s="44">
        <v>0</v>
      </c>
      <c r="F378" s="44">
        <v>0</v>
      </c>
      <c r="G378" s="66" t="s">
        <v>3566</v>
      </c>
      <c r="H378" s="44"/>
      <c r="I378" s="44" t="b">
        <v>0</v>
      </c>
      <c r="J378" s="23" t="b">
        <v>1</v>
      </c>
      <c r="K378" s="44" t="b">
        <v>1</v>
      </c>
      <c r="L378" s="44"/>
      <c r="M378" s="44"/>
      <c r="N378" s="44" t="str">
        <f>_xlfn.IFNA(VLOOKUP($M378,Buff.CM!$A:$O,13,FALSE),"")</f>
        <v/>
      </c>
      <c r="O378" s="44" t="str">
        <f>_xlfn.IFNA(VLOOKUP($M378,Buff.CM!$A:$O,14,FALSE),"")</f>
        <v/>
      </c>
      <c r="P378" s="44" t="str">
        <f>_xlfn.IFNA(VLOOKUP($M378,Buff.CM!$A:$O,15,FALSE),"")</f>
        <v/>
      </c>
      <c r="Q378" s="44" t="b">
        <v>0</v>
      </c>
      <c r="R378" s="44" t="b">
        <v>0</v>
      </c>
    </row>
    <row r="379" spans="1:18" s="162" customFormat="1">
      <c r="A379" s="44" t="s">
        <v>3385</v>
      </c>
      <c r="B379" s="44"/>
      <c r="C379" s="44"/>
      <c r="D379" s="44">
        <v>0</v>
      </c>
      <c r="E379" s="44">
        <v>0</v>
      </c>
      <c r="F379" s="44">
        <v>0</v>
      </c>
      <c r="G379" s="66" t="s">
        <v>3567</v>
      </c>
      <c r="H379" s="44"/>
      <c r="I379" s="44" t="b">
        <v>0</v>
      </c>
      <c r="J379" s="23" t="b">
        <v>1</v>
      </c>
      <c r="K379" s="44" t="b">
        <v>1</v>
      </c>
      <c r="L379" s="44"/>
      <c r="M379" s="44"/>
      <c r="N379" s="44" t="str">
        <f>_xlfn.IFNA(VLOOKUP($M379,Buff.CM!$A:$O,13,FALSE),"")</f>
        <v/>
      </c>
      <c r="O379" s="44" t="str">
        <f>_xlfn.IFNA(VLOOKUP($M379,Buff.CM!$A:$O,14,FALSE),"")</f>
        <v/>
      </c>
      <c r="P379" s="44" t="str">
        <f>_xlfn.IFNA(VLOOKUP($M379,Buff.CM!$A:$O,15,FALSE),"")</f>
        <v/>
      </c>
      <c r="Q379" s="44" t="b">
        <v>0</v>
      </c>
      <c r="R379" s="44" t="b">
        <v>0</v>
      </c>
    </row>
    <row r="380" spans="1:18" s="162" customFormat="1">
      <c r="A380" s="44" t="s">
        <v>3386</v>
      </c>
      <c r="B380" s="44"/>
      <c r="C380" s="44"/>
      <c r="D380" s="44">
        <v>0</v>
      </c>
      <c r="E380" s="44">
        <v>0</v>
      </c>
      <c r="F380" s="44">
        <v>0</v>
      </c>
      <c r="G380" s="66" t="s">
        <v>3568</v>
      </c>
      <c r="H380" s="44"/>
      <c r="I380" s="44" t="b">
        <v>0</v>
      </c>
      <c r="J380" s="23" t="b">
        <v>1</v>
      </c>
      <c r="K380" s="44" t="b">
        <v>1</v>
      </c>
      <c r="L380" s="44"/>
      <c r="M380" s="44"/>
      <c r="N380" s="44" t="str">
        <f>_xlfn.IFNA(VLOOKUP($M380,Buff.CM!$A:$O,13,FALSE),"")</f>
        <v/>
      </c>
      <c r="O380" s="44" t="str">
        <f>_xlfn.IFNA(VLOOKUP($M380,Buff.CM!$A:$O,14,FALSE),"")</f>
        <v/>
      </c>
      <c r="P380" s="44" t="str">
        <f>_xlfn.IFNA(VLOOKUP($M380,Buff.CM!$A:$O,15,FALSE),"")</f>
        <v/>
      </c>
      <c r="Q380" s="44" t="b">
        <v>0</v>
      </c>
      <c r="R380" s="44" t="b">
        <v>0</v>
      </c>
    </row>
    <row r="381" spans="1:18" s="147" customFormat="1">
      <c r="A381" s="59" t="s">
        <v>2695</v>
      </c>
      <c r="B381" s="59"/>
      <c r="C381" s="59"/>
      <c r="D381" s="59">
        <v>50</v>
      </c>
      <c r="E381" s="59">
        <v>0</v>
      </c>
      <c r="F381" s="59">
        <v>0</v>
      </c>
      <c r="G381" s="132" t="s">
        <v>112</v>
      </c>
      <c r="H381" s="59"/>
      <c r="I381" s="59" t="b">
        <v>0</v>
      </c>
      <c r="J381" s="59" t="b">
        <v>0</v>
      </c>
      <c r="K381" s="59" t="b">
        <v>0</v>
      </c>
      <c r="L381" s="59"/>
      <c r="M381" s="59"/>
      <c r="N381" s="59" t="str">
        <f>_xlfn.IFNA(VLOOKUP($M381,Buff.CM!$A:$O,13,FALSE),"")</f>
        <v/>
      </c>
      <c r="O381" s="59" t="str">
        <f>_xlfn.IFNA(VLOOKUP($M381,Buff.CM!$A:$O,14,FALSE),"")</f>
        <v/>
      </c>
      <c r="P381" s="59" t="str">
        <f>_xlfn.IFNA(VLOOKUP($M381,Buff.CM!$A:$O,15,FALSE),"")</f>
        <v/>
      </c>
      <c r="Q381" s="59" t="b">
        <v>0</v>
      </c>
      <c r="R381" s="59" t="b">
        <v>0</v>
      </c>
    </row>
    <row r="382" spans="1:18" s="13" customFormat="1">
      <c r="A382" s="24" t="s">
        <v>6995</v>
      </c>
      <c r="B382" s="24"/>
      <c r="C382" s="24"/>
      <c r="D382" s="24">
        <v>3000</v>
      </c>
      <c r="E382" s="24">
        <v>0</v>
      </c>
      <c r="F382" s="24">
        <v>0</v>
      </c>
      <c r="G382" s="38" t="s">
        <v>6996</v>
      </c>
      <c r="H382" s="24"/>
      <c r="I382" s="24" t="b">
        <v>0</v>
      </c>
      <c r="J382" s="24" t="b">
        <v>0</v>
      </c>
      <c r="K382" s="24" t="b">
        <v>0</v>
      </c>
      <c r="L382" s="24" t="s">
        <v>175</v>
      </c>
      <c r="M382" s="24"/>
      <c r="N382" s="24" t="str">
        <f>_xlfn.IFNA(VLOOKUP($M382,Buff.CM!$A:$O,13,FALSE),"")</f>
        <v/>
      </c>
      <c r="O382" s="24" t="str">
        <f>_xlfn.IFNA(VLOOKUP($M382,Buff.CM!$A:$O,14,FALSE),"")</f>
        <v/>
      </c>
      <c r="P382" s="24" t="str">
        <f>_xlfn.IFNA(VLOOKUP($M382,Buff.CM!$A:$O,15,FALSE),"")</f>
        <v/>
      </c>
      <c r="Q382" s="24" t="b">
        <v>0</v>
      </c>
      <c r="R382" s="24" t="b">
        <v>0</v>
      </c>
    </row>
    <row r="383" spans="1:18" s="147" customFormat="1">
      <c r="A383" s="59" t="s">
        <v>6997</v>
      </c>
      <c r="B383" s="59"/>
      <c r="C383" s="59"/>
      <c r="D383" s="59">
        <v>100</v>
      </c>
      <c r="E383" s="59">
        <v>0</v>
      </c>
      <c r="F383" s="59">
        <v>0</v>
      </c>
      <c r="G383" s="132" t="s">
        <v>112</v>
      </c>
      <c r="H383" s="59"/>
      <c r="I383" s="59" t="b">
        <v>0</v>
      </c>
      <c r="J383" s="59" t="b">
        <v>0</v>
      </c>
      <c r="K383" s="59" t="b">
        <v>0</v>
      </c>
      <c r="L383" s="59"/>
      <c r="M383" s="59"/>
      <c r="N383" s="59" t="str">
        <f>_xlfn.IFNA(VLOOKUP($M383,Buff.CM!$A:$O,13,FALSE),"")</f>
        <v/>
      </c>
      <c r="O383" s="59" t="str">
        <f>_xlfn.IFNA(VLOOKUP($M383,Buff.CM!$A:$O,14,FALSE),"")</f>
        <v/>
      </c>
      <c r="P383" s="59" t="str">
        <f>_xlfn.IFNA(VLOOKUP($M383,Buff.CM!$A:$O,15,FALSE),"")</f>
        <v/>
      </c>
      <c r="Q383" s="59" t="b">
        <v>0</v>
      </c>
      <c r="R383" s="59" t="b">
        <v>0</v>
      </c>
    </row>
    <row r="384" spans="1:18" s="13" customFormat="1">
      <c r="A384" s="24" t="s">
        <v>2696</v>
      </c>
      <c r="B384" s="24"/>
      <c r="C384" s="24"/>
      <c r="D384" s="24">
        <v>8000</v>
      </c>
      <c r="E384" s="24">
        <v>0</v>
      </c>
      <c r="F384" s="24">
        <v>0</v>
      </c>
      <c r="G384" s="24" t="s">
        <v>1519</v>
      </c>
      <c r="H384" s="24"/>
      <c r="I384" s="24" t="b">
        <v>0</v>
      </c>
      <c r="J384" s="24" t="b">
        <v>0</v>
      </c>
      <c r="K384" s="24" t="b">
        <v>0</v>
      </c>
      <c r="L384" s="53" t="s">
        <v>5476</v>
      </c>
      <c r="M384" s="24" t="s">
        <v>1519</v>
      </c>
      <c r="N384" s="24" t="str">
        <f>_xlfn.IFNA(VLOOKUP($M384,Buff.CM!$A:$O,13,FALSE),"")</f>
        <v>icon_battle_defense</v>
      </c>
      <c r="O384" s="24" t="str">
        <f>_xlfn.IFNA(VLOOKUP($M384,Buff.CM!$A:$O,14,FALSE),"")</f>
        <v>Buff.Name.Def.Down.02</v>
      </c>
      <c r="P384" s="24" t="str">
        <f>_xlfn.IFNA(VLOOKUP($M384,Buff.CM!$A:$O,15,FALSE),"")</f>
        <v>Buff.Desc.Def.Down.02</v>
      </c>
      <c r="Q384" s="24" t="b">
        <v>0</v>
      </c>
      <c r="R384" s="24" t="b">
        <v>0</v>
      </c>
    </row>
    <row r="385" spans="1:18" s="13" customFormat="1">
      <c r="A385" s="24" t="s">
        <v>2697</v>
      </c>
      <c r="B385" s="24"/>
      <c r="C385" s="24"/>
      <c r="D385" s="24">
        <v>8000</v>
      </c>
      <c r="E385" s="24">
        <v>0</v>
      </c>
      <c r="F385" s="24">
        <v>0</v>
      </c>
      <c r="G385" s="24" t="s">
        <v>1519</v>
      </c>
      <c r="H385" s="24"/>
      <c r="I385" s="24" t="b">
        <v>0</v>
      </c>
      <c r="J385" s="24" t="b">
        <v>0</v>
      </c>
      <c r="K385" s="24" t="b">
        <v>0</v>
      </c>
      <c r="L385" s="53" t="s">
        <v>5476</v>
      </c>
      <c r="M385" s="24" t="s">
        <v>1519</v>
      </c>
      <c r="N385" s="24" t="str">
        <f>_xlfn.IFNA(VLOOKUP($M385,Buff.CM!$A:$O,13,FALSE),"")</f>
        <v>icon_battle_defense</v>
      </c>
      <c r="O385" s="24" t="str">
        <f>_xlfn.IFNA(VLOOKUP($M385,Buff.CM!$A:$O,14,FALSE),"")</f>
        <v>Buff.Name.Def.Down.02</v>
      </c>
      <c r="P385" s="24" t="str">
        <f>_xlfn.IFNA(VLOOKUP($M385,Buff.CM!$A:$O,15,FALSE),"")</f>
        <v>Buff.Desc.Def.Down.02</v>
      </c>
      <c r="Q385" s="24" t="b">
        <v>0</v>
      </c>
      <c r="R385" s="24" t="b">
        <v>0</v>
      </c>
    </row>
    <row r="386" spans="1:18" s="13" customFormat="1">
      <c r="A386" s="24" t="s">
        <v>2698</v>
      </c>
      <c r="B386" s="24"/>
      <c r="C386" s="24"/>
      <c r="D386" s="24">
        <v>8000</v>
      </c>
      <c r="E386" s="24">
        <v>0</v>
      </c>
      <c r="F386" s="24">
        <v>0</v>
      </c>
      <c r="G386" s="24" t="s">
        <v>1520</v>
      </c>
      <c r="H386" s="24"/>
      <c r="I386" s="24" t="b">
        <v>0</v>
      </c>
      <c r="J386" s="24" t="b">
        <v>0</v>
      </c>
      <c r="K386" s="24" t="b">
        <v>0</v>
      </c>
      <c r="L386" s="53" t="s">
        <v>5476</v>
      </c>
      <c r="M386" s="24" t="s">
        <v>1520</v>
      </c>
      <c r="N386" s="24" t="str">
        <f>_xlfn.IFNA(VLOOKUP($M386,Buff.CM!$A:$O,13,FALSE),"")</f>
        <v>icon_battle_defense</v>
      </c>
      <c r="O386" s="24" t="str">
        <f>_xlfn.IFNA(VLOOKUP($M386,Buff.CM!$A:$O,14,FALSE),"")</f>
        <v>Buff.Name.Def.Down.03</v>
      </c>
      <c r="P386" s="24" t="str">
        <f>_xlfn.IFNA(VLOOKUP($M386,Buff.CM!$A:$O,15,FALSE),"")</f>
        <v>Buff.Desc.Def.Down.03</v>
      </c>
      <c r="Q386" s="24" t="b">
        <v>0</v>
      </c>
      <c r="R386" s="24" t="b">
        <v>0</v>
      </c>
    </row>
    <row r="387" spans="1:18" s="13" customFormat="1">
      <c r="A387" s="24" t="s">
        <v>2699</v>
      </c>
      <c r="B387" s="24"/>
      <c r="C387" s="24"/>
      <c r="D387" s="24">
        <v>8000</v>
      </c>
      <c r="E387" s="24">
        <v>0</v>
      </c>
      <c r="F387" s="24">
        <v>0</v>
      </c>
      <c r="G387" s="24" t="s">
        <v>1520</v>
      </c>
      <c r="H387" s="24"/>
      <c r="I387" s="24" t="b">
        <v>0</v>
      </c>
      <c r="J387" s="24" t="b">
        <v>0</v>
      </c>
      <c r="K387" s="24" t="b">
        <v>0</v>
      </c>
      <c r="L387" s="53" t="s">
        <v>5476</v>
      </c>
      <c r="M387" s="24" t="s">
        <v>1520</v>
      </c>
      <c r="N387" s="24" t="str">
        <f>_xlfn.IFNA(VLOOKUP($M387,Buff.CM!$A:$O,13,FALSE),"")</f>
        <v>icon_battle_defense</v>
      </c>
      <c r="O387" s="24" t="str">
        <f>_xlfn.IFNA(VLOOKUP($M387,Buff.CM!$A:$O,14,FALSE),"")</f>
        <v>Buff.Name.Def.Down.03</v>
      </c>
      <c r="P387" s="24" t="str">
        <f>_xlfn.IFNA(VLOOKUP($M387,Buff.CM!$A:$O,15,FALSE),"")</f>
        <v>Buff.Desc.Def.Down.03</v>
      </c>
      <c r="Q387" s="24" t="b">
        <v>0</v>
      </c>
      <c r="R387" s="24" t="b">
        <v>0</v>
      </c>
    </row>
    <row r="388" spans="1:18" s="13" customFormat="1">
      <c r="A388" s="24" t="s">
        <v>4339</v>
      </c>
      <c r="B388" s="24"/>
      <c r="C388" s="24"/>
      <c r="D388" s="24">
        <v>8000</v>
      </c>
      <c r="E388" s="24">
        <v>0</v>
      </c>
      <c r="F388" s="24">
        <v>0</v>
      </c>
      <c r="G388" s="24" t="s">
        <v>1521</v>
      </c>
      <c r="H388" s="24"/>
      <c r="I388" s="24" t="b">
        <v>0</v>
      </c>
      <c r="J388" s="24" t="b">
        <v>0</v>
      </c>
      <c r="K388" s="24" t="b">
        <v>0</v>
      </c>
      <c r="L388" s="53" t="s">
        <v>5476</v>
      </c>
      <c r="M388" s="24" t="s">
        <v>1521</v>
      </c>
      <c r="N388" s="24" t="str">
        <f>_xlfn.IFNA(VLOOKUP($M388,Buff.CM!$A:$O,13,FALSE),"")</f>
        <v>icon_battle_defense</v>
      </c>
      <c r="O388" s="24" t="str">
        <f>_xlfn.IFNA(VLOOKUP($M388,Buff.CM!$A:$O,14,FALSE),"")</f>
        <v>Buff.Name.Def.Down.04</v>
      </c>
      <c r="P388" s="24" t="str">
        <f>_xlfn.IFNA(VLOOKUP($M388,Buff.CM!$A:$O,15,FALSE),"")</f>
        <v>Buff.Desc.Def.Down.04</v>
      </c>
      <c r="Q388" s="24" t="b">
        <v>0</v>
      </c>
      <c r="R388" s="24" t="b">
        <v>0</v>
      </c>
    </row>
    <row r="389" spans="1:18" s="13" customFormat="1">
      <c r="A389" s="24" t="s">
        <v>2700</v>
      </c>
      <c r="B389" s="24"/>
      <c r="C389" s="24"/>
      <c r="D389" s="24">
        <v>2000</v>
      </c>
      <c r="E389" s="24">
        <v>0</v>
      </c>
      <c r="F389" s="24">
        <v>0</v>
      </c>
      <c r="G389" s="24" t="s">
        <v>3427</v>
      </c>
      <c r="H389" s="24"/>
      <c r="I389" s="24" t="b">
        <v>0</v>
      </c>
      <c r="J389" s="24" t="b">
        <v>0</v>
      </c>
      <c r="K389" s="24" t="b">
        <v>0</v>
      </c>
      <c r="L389" s="24" t="s">
        <v>5715</v>
      </c>
      <c r="M389" s="24" t="s">
        <v>6554</v>
      </c>
      <c r="N389" s="24" t="str">
        <f>_xlfn.IFNA(VLOOKUP($M389,Buff.CM!$A:$O,13,FALSE),"")</f>
        <v>icon_battle_silence</v>
      </c>
      <c r="O389" s="24" t="str">
        <f>_xlfn.IFNA(VLOOKUP($M389,Buff.CM!$A:$O,14,FALSE),"")</f>
        <v>Buff.Name.Silence</v>
      </c>
      <c r="P389" s="24" t="str">
        <f>_xlfn.IFNA(VLOOKUP($M389,Buff.CM!$A:$O,15,FALSE),"")</f>
        <v>Buff.Desc.Silence</v>
      </c>
      <c r="Q389" s="24" t="b">
        <v>0</v>
      </c>
      <c r="R389" s="24" t="b">
        <v>0</v>
      </c>
    </row>
    <row r="390" spans="1:18" s="13" customFormat="1">
      <c r="A390" s="24" t="s">
        <v>2701</v>
      </c>
      <c r="B390" s="24"/>
      <c r="C390" s="24"/>
      <c r="D390" s="24">
        <v>2000</v>
      </c>
      <c r="E390" s="24">
        <v>0</v>
      </c>
      <c r="F390" s="24">
        <v>0</v>
      </c>
      <c r="G390" s="24" t="s">
        <v>3427</v>
      </c>
      <c r="H390" s="24"/>
      <c r="I390" s="24" t="b">
        <v>0</v>
      </c>
      <c r="J390" s="24" t="b">
        <v>0</v>
      </c>
      <c r="K390" s="24" t="b">
        <v>0</v>
      </c>
      <c r="L390" s="24" t="s">
        <v>5715</v>
      </c>
      <c r="M390" s="24" t="s">
        <v>6554</v>
      </c>
      <c r="N390" s="24" t="str">
        <f>_xlfn.IFNA(VLOOKUP($M390,Buff.CM!$A:$O,13,FALSE),"")</f>
        <v>icon_battle_silence</v>
      </c>
      <c r="O390" s="24" t="str">
        <f>_xlfn.IFNA(VLOOKUP($M390,Buff.CM!$A:$O,14,FALSE),"")</f>
        <v>Buff.Name.Silence</v>
      </c>
      <c r="P390" s="24" t="str">
        <f>_xlfn.IFNA(VLOOKUP($M390,Buff.CM!$A:$O,15,FALSE),"")</f>
        <v>Buff.Desc.Silence</v>
      </c>
      <c r="Q390" s="24" t="b">
        <v>0</v>
      </c>
      <c r="R390" s="24" t="b">
        <v>0</v>
      </c>
    </row>
    <row r="391" spans="1:18" s="13" customFormat="1">
      <c r="A391" s="24" t="s">
        <v>2702</v>
      </c>
      <c r="B391" s="24"/>
      <c r="C391" s="24"/>
      <c r="D391" s="24">
        <v>2000</v>
      </c>
      <c r="E391" s="24">
        <v>0</v>
      </c>
      <c r="F391" s="24">
        <v>0</v>
      </c>
      <c r="G391" s="24" t="s">
        <v>3427</v>
      </c>
      <c r="H391" s="24"/>
      <c r="I391" s="24" t="b">
        <v>0</v>
      </c>
      <c r="J391" s="24" t="b">
        <v>0</v>
      </c>
      <c r="K391" s="24" t="b">
        <v>0</v>
      </c>
      <c r="L391" s="24" t="s">
        <v>5715</v>
      </c>
      <c r="M391" s="24" t="s">
        <v>6554</v>
      </c>
      <c r="N391" s="24" t="str">
        <f>_xlfn.IFNA(VLOOKUP($M391,Buff.CM!$A:$O,13,FALSE),"")</f>
        <v>icon_battle_silence</v>
      </c>
      <c r="O391" s="24" t="str">
        <f>_xlfn.IFNA(VLOOKUP($M391,Buff.CM!$A:$O,14,FALSE),"")</f>
        <v>Buff.Name.Silence</v>
      </c>
      <c r="P391" s="24" t="str">
        <f>_xlfn.IFNA(VLOOKUP($M391,Buff.CM!$A:$O,15,FALSE),"")</f>
        <v>Buff.Desc.Silence</v>
      </c>
      <c r="Q391" s="24" t="b">
        <v>0</v>
      </c>
      <c r="R391" s="24" t="b">
        <v>0</v>
      </c>
    </row>
    <row r="392" spans="1:18" s="160" customFormat="1">
      <c r="A392" s="65" t="s">
        <v>4047</v>
      </c>
      <c r="B392" s="65"/>
      <c r="C392" s="65"/>
      <c r="D392" s="65">
        <v>6000</v>
      </c>
      <c r="E392" s="65">
        <v>0</v>
      </c>
      <c r="F392" s="65">
        <v>0</v>
      </c>
      <c r="G392" s="65" t="s">
        <v>4672</v>
      </c>
      <c r="H392" s="65"/>
      <c r="I392" s="65" t="b">
        <v>0</v>
      </c>
      <c r="J392" s="65" t="b">
        <v>0</v>
      </c>
      <c r="K392" s="65" t="b">
        <v>0</v>
      </c>
      <c r="L392" s="65" t="s">
        <v>175</v>
      </c>
      <c r="M392" s="65" t="s">
        <v>4672</v>
      </c>
      <c r="N392" s="65" t="str">
        <f>_xlfn.IFNA(VLOOKUP($M392,Buff.CM!$A:$O,13,FALSE),"")</f>
        <v>icon_battle_attack</v>
      </c>
      <c r="O392" s="65" t="str">
        <f>_xlfn.IFNA(VLOOKUP($M392,Buff.CM!$A:$O,14,FALSE),"")</f>
        <v>Buff.Name.NormalDamageDerate.Down.03</v>
      </c>
      <c r="P392" s="65" t="str">
        <f>_xlfn.IFNA(VLOOKUP($M392,Buff.CM!$A:$O,15,FALSE),"")</f>
        <v>Buff.Desc.NormalDamageDerate.Down.03</v>
      </c>
      <c r="Q392" s="65" t="b">
        <v>0</v>
      </c>
      <c r="R392" s="65" t="b">
        <v>0</v>
      </c>
    </row>
    <row r="393" spans="1:18" s="160" customFormat="1">
      <c r="A393" s="65" t="s">
        <v>4042</v>
      </c>
      <c r="B393" s="65"/>
      <c r="C393" s="65"/>
      <c r="D393" s="65">
        <v>6000</v>
      </c>
      <c r="E393" s="65">
        <v>0</v>
      </c>
      <c r="F393" s="65">
        <v>0</v>
      </c>
      <c r="G393" s="65" t="s">
        <v>4672</v>
      </c>
      <c r="H393" s="65"/>
      <c r="I393" s="65" t="b">
        <v>0</v>
      </c>
      <c r="J393" s="65" t="b">
        <v>0</v>
      </c>
      <c r="K393" s="65" t="b">
        <v>0</v>
      </c>
      <c r="L393" s="65" t="s">
        <v>175</v>
      </c>
      <c r="M393" s="65" t="s">
        <v>4672</v>
      </c>
      <c r="N393" s="65" t="str">
        <f>_xlfn.IFNA(VLOOKUP($M393,Buff.CM!$A:$O,13,FALSE),"")</f>
        <v>icon_battle_attack</v>
      </c>
      <c r="O393" s="65" t="str">
        <f>_xlfn.IFNA(VLOOKUP($M393,Buff.CM!$A:$O,14,FALSE),"")</f>
        <v>Buff.Name.NormalDamageDerate.Down.03</v>
      </c>
      <c r="P393" s="65" t="str">
        <f>_xlfn.IFNA(VLOOKUP($M393,Buff.CM!$A:$O,15,FALSE),"")</f>
        <v>Buff.Desc.NormalDamageDerate.Down.03</v>
      </c>
      <c r="Q393" s="65" t="b">
        <v>0</v>
      </c>
      <c r="R393" s="65" t="b">
        <v>0</v>
      </c>
    </row>
    <row r="394" spans="1:18" s="160" customFormat="1">
      <c r="A394" s="65" t="s">
        <v>4043</v>
      </c>
      <c r="B394" s="65"/>
      <c r="C394" s="65"/>
      <c r="D394" s="65">
        <v>6000</v>
      </c>
      <c r="E394" s="65">
        <v>0</v>
      </c>
      <c r="F394" s="65">
        <v>0</v>
      </c>
      <c r="G394" s="65" t="s">
        <v>4673</v>
      </c>
      <c r="H394" s="65"/>
      <c r="I394" s="65" t="b">
        <v>0</v>
      </c>
      <c r="J394" s="65" t="b">
        <v>0</v>
      </c>
      <c r="K394" s="65" t="b">
        <v>0</v>
      </c>
      <c r="L394" s="65" t="s">
        <v>175</v>
      </c>
      <c r="M394" s="65" t="s">
        <v>4673</v>
      </c>
      <c r="N394" s="65" t="str">
        <f>_xlfn.IFNA(VLOOKUP($M394,Buff.CM!$A:$O,13,FALSE),"")</f>
        <v>icon_battle_attack</v>
      </c>
      <c r="O394" s="65" t="str">
        <f>_xlfn.IFNA(VLOOKUP($M394,Buff.CM!$A:$O,14,FALSE),"")</f>
        <v>Buff.Name.NormalDamageDerate.Down.04</v>
      </c>
      <c r="P394" s="65" t="str">
        <f>_xlfn.IFNA(VLOOKUP($M394,Buff.CM!$A:$O,15,FALSE),"")</f>
        <v>Buff.Desc.NormalDamageDerate.Down.04</v>
      </c>
      <c r="Q394" s="65" t="b">
        <v>0</v>
      </c>
      <c r="R394" s="65" t="b">
        <v>0</v>
      </c>
    </row>
    <row r="395" spans="1:18" s="160" customFormat="1">
      <c r="A395" s="65" t="s">
        <v>4044</v>
      </c>
      <c r="B395" s="65"/>
      <c r="C395" s="65"/>
      <c r="D395" s="65">
        <v>6000</v>
      </c>
      <c r="E395" s="65">
        <v>0</v>
      </c>
      <c r="F395" s="65">
        <v>0</v>
      </c>
      <c r="G395" s="65" t="s">
        <v>4673</v>
      </c>
      <c r="H395" s="65"/>
      <c r="I395" s="65" t="b">
        <v>0</v>
      </c>
      <c r="J395" s="65" t="b">
        <v>0</v>
      </c>
      <c r="K395" s="65" t="b">
        <v>0</v>
      </c>
      <c r="L395" s="65" t="s">
        <v>175</v>
      </c>
      <c r="M395" s="65" t="s">
        <v>4673</v>
      </c>
      <c r="N395" s="65" t="str">
        <f>_xlfn.IFNA(VLOOKUP($M395,Buff.CM!$A:$O,13,FALSE),"")</f>
        <v>icon_battle_attack</v>
      </c>
      <c r="O395" s="65" t="str">
        <f>_xlfn.IFNA(VLOOKUP($M395,Buff.CM!$A:$O,14,FALSE),"")</f>
        <v>Buff.Name.NormalDamageDerate.Down.04</v>
      </c>
      <c r="P395" s="65" t="str">
        <f>_xlfn.IFNA(VLOOKUP($M395,Buff.CM!$A:$O,15,FALSE),"")</f>
        <v>Buff.Desc.NormalDamageDerate.Down.04</v>
      </c>
      <c r="Q395" s="65" t="b">
        <v>0</v>
      </c>
      <c r="R395" s="65" t="b">
        <v>0</v>
      </c>
    </row>
    <row r="396" spans="1:18" s="160" customFormat="1">
      <c r="A396" s="65" t="s">
        <v>4045</v>
      </c>
      <c r="B396" s="65"/>
      <c r="C396" s="65"/>
      <c r="D396" s="65">
        <v>6000</v>
      </c>
      <c r="E396" s="65">
        <v>0</v>
      </c>
      <c r="F396" s="65">
        <v>0</v>
      </c>
      <c r="G396" s="65" t="s">
        <v>4673</v>
      </c>
      <c r="H396" s="65"/>
      <c r="I396" s="65" t="b">
        <v>0</v>
      </c>
      <c r="J396" s="65" t="b">
        <v>0</v>
      </c>
      <c r="K396" s="65" t="b">
        <v>0</v>
      </c>
      <c r="L396" s="65" t="s">
        <v>175</v>
      </c>
      <c r="M396" s="65" t="s">
        <v>4673</v>
      </c>
      <c r="N396" s="65" t="str">
        <f>_xlfn.IFNA(VLOOKUP($M396,Buff.CM!$A:$O,13,FALSE),"")</f>
        <v>icon_battle_attack</v>
      </c>
      <c r="O396" s="65" t="str">
        <f>_xlfn.IFNA(VLOOKUP($M396,Buff.CM!$A:$O,14,FALSE),"")</f>
        <v>Buff.Name.NormalDamageDerate.Down.04</v>
      </c>
      <c r="P396" s="65" t="str">
        <f>_xlfn.IFNA(VLOOKUP($M396,Buff.CM!$A:$O,15,FALSE),"")</f>
        <v>Buff.Desc.NormalDamageDerate.Down.04</v>
      </c>
      <c r="Q396" s="65" t="b">
        <v>0</v>
      </c>
      <c r="R396" s="65" t="b">
        <v>0</v>
      </c>
    </row>
    <row r="397" spans="1:18" s="160" customFormat="1">
      <c r="A397" s="65" t="s">
        <v>4046</v>
      </c>
      <c r="B397" s="65"/>
      <c r="C397" s="65"/>
      <c r="D397" s="65">
        <v>6000</v>
      </c>
      <c r="E397" s="65">
        <v>0</v>
      </c>
      <c r="F397" s="65">
        <v>0</v>
      </c>
      <c r="G397" s="65" t="s">
        <v>4673</v>
      </c>
      <c r="H397" s="65"/>
      <c r="I397" s="65" t="b">
        <v>0</v>
      </c>
      <c r="J397" s="65" t="b">
        <v>0</v>
      </c>
      <c r="K397" s="65" t="b">
        <v>0</v>
      </c>
      <c r="L397" s="65" t="s">
        <v>175</v>
      </c>
      <c r="M397" s="65" t="s">
        <v>4673</v>
      </c>
      <c r="N397" s="65" t="str">
        <f>_xlfn.IFNA(VLOOKUP($M397,Buff.CM!$A:$O,13,FALSE),"")</f>
        <v>icon_battle_attack</v>
      </c>
      <c r="O397" s="65" t="str">
        <f>_xlfn.IFNA(VLOOKUP($M397,Buff.CM!$A:$O,14,FALSE),"")</f>
        <v>Buff.Name.NormalDamageDerate.Down.04</v>
      </c>
      <c r="P397" s="65" t="str">
        <f>_xlfn.IFNA(VLOOKUP($M397,Buff.CM!$A:$O,15,FALSE),"")</f>
        <v>Buff.Desc.NormalDamageDerate.Down.04</v>
      </c>
      <c r="Q397" s="65" t="b">
        <v>0</v>
      </c>
      <c r="R397" s="65" t="b">
        <v>0</v>
      </c>
    </row>
    <row r="398" spans="1:18">
      <c r="A398" s="23" t="s">
        <v>665</v>
      </c>
      <c r="B398" s="23"/>
      <c r="C398" s="23"/>
      <c r="D398" s="23">
        <v>6000</v>
      </c>
      <c r="E398" s="23">
        <v>0</v>
      </c>
      <c r="F398" s="23">
        <v>0</v>
      </c>
      <c r="G398" s="39" t="s">
        <v>1695</v>
      </c>
      <c r="H398" s="23"/>
      <c r="I398" s="23" t="b">
        <v>0</v>
      </c>
      <c r="J398" s="23" t="b">
        <v>0</v>
      </c>
      <c r="K398" s="23" t="b">
        <v>1</v>
      </c>
      <c r="L398" s="23" t="s">
        <v>5717</v>
      </c>
      <c r="M398" s="23" t="s">
        <v>1695</v>
      </c>
      <c r="N398" s="23" t="str">
        <f>_xlfn.IFNA(VLOOKUP($M398,Buff.CM!$A:$O,13,FALSE),"")</f>
        <v>icon_battle_eprechargerate</v>
      </c>
      <c r="O398" s="23" t="str">
        <f>_xlfn.IFNA(VLOOKUP($M398,Buff.CM!$A:$O,14,FALSE),"")</f>
        <v>Buff.Name.RechargeRate.Up.01</v>
      </c>
      <c r="P398" s="23" t="str">
        <f>_xlfn.IFNA(VLOOKUP($M398,Buff.CM!$A:$O,15,FALSE),"")</f>
        <v>Buff.Desc.RechargeRate.Up.01</v>
      </c>
      <c r="Q398" s="23" t="b">
        <v>0</v>
      </c>
      <c r="R398" s="23" t="b">
        <v>0</v>
      </c>
    </row>
    <row r="399" spans="1:18">
      <c r="A399" s="23" t="s">
        <v>666</v>
      </c>
      <c r="B399" s="23"/>
      <c r="C399" s="23"/>
      <c r="D399" s="23">
        <v>6000</v>
      </c>
      <c r="E399" s="23">
        <v>0</v>
      </c>
      <c r="F399" s="23">
        <v>0</v>
      </c>
      <c r="G399" s="39" t="s">
        <v>1695</v>
      </c>
      <c r="H399" s="23"/>
      <c r="I399" s="23" t="b">
        <v>0</v>
      </c>
      <c r="J399" s="23" t="b">
        <v>0</v>
      </c>
      <c r="K399" s="23" t="b">
        <v>1</v>
      </c>
      <c r="L399" s="23" t="s">
        <v>5717</v>
      </c>
      <c r="M399" s="23" t="s">
        <v>1695</v>
      </c>
      <c r="N399" s="23" t="str">
        <f>_xlfn.IFNA(VLOOKUP($M399,Buff.CM!$A:$O,13,FALSE),"")</f>
        <v>icon_battle_eprechargerate</v>
      </c>
      <c r="O399" s="23" t="str">
        <f>_xlfn.IFNA(VLOOKUP($M399,Buff.CM!$A:$O,14,FALSE),"")</f>
        <v>Buff.Name.RechargeRate.Up.01</v>
      </c>
      <c r="P399" s="23" t="str">
        <f>_xlfn.IFNA(VLOOKUP($M399,Buff.CM!$A:$O,15,FALSE),"")</f>
        <v>Buff.Desc.RechargeRate.Up.01</v>
      </c>
      <c r="Q399" s="23" t="b">
        <v>0</v>
      </c>
      <c r="R399" s="23" t="b">
        <v>0</v>
      </c>
    </row>
    <row r="400" spans="1:18">
      <c r="A400" s="23" t="s">
        <v>667</v>
      </c>
      <c r="B400" s="23"/>
      <c r="C400" s="23"/>
      <c r="D400" s="23">
        <v>6000</v>
      </c>
      <c r="E400" s="23">
        <v>0</v>
      </c>
      <c r="F400" s="23">
        <v>0</v>
      </c>
      <c r="G400" s="39" t="s">
        <v>1511</v>
      </c>
      <c r="H400" s="23"/>
      <c r="I400" s="23" t="b">
        <v>0</v>
      </c>
      <c r="J400" s="23" t="b">
        <v>0</v>
      </c>
      <c r="K400" s="23" t="b">
        <v>1</v>
      </c>
      <c r="L400" s="23" t="s">
        <v>5717</v>
      </c>
      <c r="M400" s="23" t="s">
        <v>1511</v>
      </c>
      <c r="N400" s="23" t="str">
        <f>_xlfn.IFNA(VLOOKUP($M400,Buff.CM!$A:$O,13,FALSE),"")</f>
        <v>icon_battle_eprechargerate</v>
      </c>
      <c r="O400" s="23" t="str">
        <f>_xlfn.IFNA(VLOOKUP($M400,Buff.CM!$A:$O,14,FALSE),"")</f>
        <v>Buff.Name.RechargeRate.Up.02</v>
      </c>
      <c r="P400" s="23" t="str">
        <f>_xlfn.IFNA(VLOOKUP($M400,Buff.CM!$A:$O,15,FALSE),"")</f>
        <v>Buff.Desc.RechargeRate.Up.02</v>
      </c>
      <c r="Q400" s="23" t="b">
        <v>0</v>
      </c>
      <c r="R400" s="23" t="b">
        <v>0</v>
      </c>
    </row>
    <row r="401" spans="1:18">
      <c r="A401" s="34" t="s">
        <v>668</v>
      </c>
      <c r="B401" s="34"/>
      <c r="C401" s="34"/>
      <c r="D401" s="34">
        <v>6000</v>
      </c>
      <c r="E401" s="34">
        <v>0</v>
      </c>
      <c r="F401" s="34">
        <v>0</v>
      </c>
      <c r="G401" s="40" t="s">
        <v>1511</v>
      </c>
      <c r="H401" s="34"/>
      <c r="I401" s="34" t="b">
        <v>0</v>
      </c>
      <c r="J401" s="34" t="b">
        <v>0</v>
      </c>
      <c r="K401" s="34" t="b">
        <v>1</v>
      </c>
      <c r="L401" s="34" t="s">
        <v>5717</v>
      </c>
      <c r="M401" s="34" t="s">
        <v>1511</v>
      </c>
      <c r="N401" s="34" t="str">
        <f>_xlfn.IFNA(VLOOKUP($M401,Buff.CM!$A:$O,13,FALSE),"")</f>
        <v>icon_battle_eprechargerate</v>
      </c>
      <c r="O401" s="34" t="str">
        <f>_xlfn.IFNA(VLOOKUP($M401,Buff.CM!$A:$O,14,FALSE),"")</f>
        <v>Buff.Name.RechargeRate.Up.02</v>
      </c>
      <c r="P401" s="34" t="str">
        <f>_xlfn.IFNA(VLOOKUP($M401,Buff.CM!$A:$O,15,FALSE),"")</f>
        <v>Buff.Desc.RechargeRate.Up.02</v>
      </c>
      <c r="Q401" s="34" t="b">
        <v>0</v>
      </c>
      <c r="R401" s="34" t="b">
        <v>0</v>
      </c>
    </row>
    <row r="402" spans="1:18">
      <c r="A402" s="34" t="s">
        <v>669</v>
      </c>
      <c r="B402" s="34"/>
      <c r="C402" s="34"/>
      <c r="D402" s="34">
        <v>8000</v>
      </c>
      <c r="E402" s="34">
        <v>0</v>
      </c>
      <c r="F402" s="34">
        <v>0</v>
      </c>
      <c r="G402" s="40" t="s">
        <v>1511</v>
      </c>
      <c r="H402" s="34"/>
      <c r="I402" s="34" t="b">
        <v>0</v>
      </c>
      <c r="J402" s="34" t="b">
        <v>0</v>
      </c>
      <c r="K402" s="34" t="b">
        <v>1</v>
      </c>
      <c r="L402" s="34" t="s">
        <v>5717</v>
      </c>
      <c r="M402" s="34" t="s">
        <v>1511</v>
      </c>
      <c r="N402" s="34" t="str">
        <f>_xlfn.IFNA(VLOOKUP($M402,Buff.CM!$A:$O,13,FALSE),"")</f>
        <v>icon_battle_eprechargerate</v>
      </c>
      <c r="O402" s="34" t="str">
        <f>_xlfn.IFNA(VLOOKUP($M402,Buff.CM!$A:$O,14,FALSE),"")</f>
        <v>Buff.Name.RechargeRate.Up.02</v>
      </c>
      <c r="P402" s="34" t="str">
        <f>_xlfn.IFNA(VLOOKUP($M402,Buff.CM!$A:$O,15,FALSE),"")</f>
        <v>Buff.Desc.RechargeRate.Up.02</v>
      </c>
      <c r="Q402" s="34" t="b">
        <v>0</v>
      </c>
      <c r="R402" s="34" t="b">
        <v>0</v>
      </c>
    </row>
    <row r="403" spans="1:18" s="13" customFormat="1">
      <c r="A403" s="34" t="s">
        <v>670</v>
      </c>
      <c r="B403" s="34"/>
      <c r="C403" s="34"/>
      <c r="D403" s="34">
        <v>8000</v>
      </c>
      <c r="E403" s="34">
        <v>0</v>
      </c>
      <c r="F403" s="34">
        <v>0</v>
      </c>
      <c r="G403" s="40" t="s">
        <v>1511</v>
      </c>
      <c r="H403" s="34"/>
      <c r="I403" s="34" t="b">
        <v>0</v>
      </c>
      <c r="J403" s="34" t="b">
        <v>0</v>
      </c>
      <c r="K403" s="34" t="b">
        <v>1</v>
      </c>
      <c r="L403" s="34" t="s">
        <v>5717</v>
      </c>
      <c r="M403" s="34" t="s">
        <v>1511</v>
      </c>
      <c r="N403" s="34" t="str">
        <f>_xlfn.IFNA(VLOOKUP($M403,Buff.CM!$A:$O,13,FALSE),"")</f>
        <v>icon_battle_eprechargerate</v>
      </c>
      <c r="O403" s="34" t="str">
        <f>_xlfn.IFNA(VLOOKUP($M403,Buff.CM!$A:$O,14,FALSE),"")</f>
        <v>Buff.Name.RechargeRate.Up.02</v>
      </c>
      <c r="P403" s="34" t="str">
        <f>_xlfn.IFNA(VLOOKUP($M403,Buff.CM!$A:$O,15,FALSE),"")</f>
        <v>Buff.Desc.RechargeRate.Up.02</v>
      </c>
      <c r="Q403" s="34" t="b">
        <v>0</v>
      </c>
      <c r="R403" s="34" t="b">
        <v>0</v>
      </c>
    </row>
    <row r="404" spans="1:18" ht="49.5">
      <c r="A404" s="24" t="s">
        <v>671</v>
      </c>
      <c r="B404" s="24"/>
      <c r="C404" s="24"/>
      <c r="D404" s="24">
        <v>0</v>
      </c>
      <c r="E404" s="24">
        <v>0</v>
      </c>
      <c r="F404" s="24">
        <v>0</v>
      </c>
      <c r="G404" s="38" t="s">
        <v>8407</v>
      </c>
      <c r="H404" s="24"/>
      <c r="I404" s="24" t="b">
        <v>0</v>
      </c>
      <c r="J404" s="23" t="b">
        <v>1</v>
      </c>
      <c r="K404" s="24" t="b">
        <v>1</v>
      </c>
      <c r="L404" s="24"/>
      <c r="M404" s="24"/>
      <c r="N404" s="24" t="str">
        <f>_xlfn.IFNA(VLOOKUP($M404,Buff.CM!$A:$O,13,FALSE),"")</f>
        <v/>
      </c>
      <c r="O404" s="24" t="str">
        <f>_xlfn.IFNA(VLOOKUP($M404,Buff.CM!$A:$O,14,FALSE),"")</f>
        <v/>
      </c>
      <c r="P404" s="24" t="str">
        <f>_xlfn.IFNA(VLOOKUP($M404,Buff.CM!$A:$O,15,FALSE),"")</f>
        <v/>
      </c>
      <c r="Q404" s="26" t="b">
        <v>0</v>
      </c>
      <c r="R404" s="24" t="b">
        <v>0</v>
      </c>
    </row>
    <row r="405" spans="1:18" ht="49.5">
      <c r="A405" s="24" t="s">
        <v>673</v>
      </c>
      <c r="B405" s="24"/>
      <c r="C405" s="24"/>
      <c r="D405" s="24">
        <v>0</v>
      </c>
      <c r="E405" s="24">
        <v>0</v>
      </c>
      <c r="F405" s="24">
        <v>0</v>
      </c>
      <c r="G405" s="38" t="s">
        <v>6998</v>
      </c>
      <c r="H405" s="24"/>
      <c r="I405" s="24" t="b">
        <v>0</v>
      </c>
      <c r="J405" s="23" t="b">
        <v>1</v>
      </c>
      <c r="K405" s="24" t="b">
        <v>1</v>
      </c>
      <c r="L405" s="24"/>
      <c r="M405" s="24"/>
      <c r="N405" s="24" t="str">
        <f>_xlfn.IFNA(VLOOKUP($M405,Buff.CM!$A:$O,13,FALSE),"")</f>
        <v/>
      </c>
      <c r="O405" s="24" t="str">
        <f>_xlfn.IFNA(VLOOKUP($M405,Buff.CM!$A:$O,14,FALSE),"")</f>
        <v/>
      </c>
      <c r="P405" s="24" t="str">
        <f>_xlfn.IFNA(VLOOKUP($M405,Buff.CM!$A:$O,15,FALSE),"")</f>
        <v/>
      </c>
      <c r="Q405" s="26" t="b">
        <v>0</v>
      </c>
      <c r="R405" s="24" t="b">
        <v>0</v>
      </c>
    </row>
    <row r="406" spans="1:18" ht="49.5">
      <c r="A406" s="24" t="s">
        <v>675</v>
      </c>
      <c r="B406" s="24"/>
      <c r="C406" s="24"/>
      <c r="D406" s="24">
        <v>0</v>
      </c>
      <c r="E406" s="24">
        <v>0</v>
      </c>
      <c r="F406" s="24">
        <v>0</v>
      </c>
      <c r="G406" s="38" t="s">
        <v>6999</v>
      </c>
      <c r="H406" s="24"/>
      <c r="I406" s="24" t="b">
        <v>0</v>
      </c>
      <c r="J406" s="23" t="b">
        <v>1</v>
      </c>
      <c r="K406" s="24" t="b">
        <v>1</v>
      </c>
      <c r="L406" s="24"/>
      <c r="M406" s="24"/>
      <c r="N406" s="24" t="str">
        <f>_xlfn.IFNA(VLOOKUP($M406,Buff.CM!$A:$O,13,FALSE),"")</f>
        <v/>
      </c>
      <c r="O406" s="24" t="str">
        <f>_xlfn.IFNA(VLOOKUP($M406,Buff.CM!$A:$O,14,FALSE),"")</f>
        <v/>
      </c>
      <c r="P406" s="24" t="str">
        <f>_xlfn.IFNA(VLOOKUP($M406,Buff.CM!$A:$O,15,FALSE),"")</f>
        <v/>
      </c>
      <c r="Q406" s="26" t="b">
        <v>0</v>
      </c>
      <c r="R406" s="24" t="b">
        <v>0</v>
      </c>
    </row>
    <row r="407" spans="1:18" ht="49.5">
      <c r="A407" s="34" t="s">
        <v>677</v>
      </c>
      <c r="B407" s="34"/>
      <c r="C407" s="34"/>
      <c r="D407" s="34">
        <v>0</v>
      </c>
      <c r="E407" s="34">
        <v>0</v>
      </c>
      <c r="F407" s="34">
        <v>0</v>
      </c>
      <c r="G407" s="40" t="s">
        <v>8402</v>
      </c>
      <c r="H407" s="34"/>
      <c r="I407" s="34" t="b">
        <v>0</v>
      </c>
      <c r="J407" s="23" t="b">
        <v>1</v>
      </c>
      <c r="K407" s="34" t="b">
        <v>1</v>
      </c>
      <c r="L407" s="34"/>
      <c r="M407" s="34"/>
      <c r="N407" s="24" t="str">
        <f>_xlfn.IFNA(VLOOKUP($M407,Buff.CM!$A:$O,13,FALSE),"")</f>
        <v/>
      </c>
      <c r="O407" s="24" t="str">
        <f>_xlfn.IFNA(VLOOKUP($M407,Buff.CM!$A:$O,14,FALSE),"")</f>
        <v/>
      </c>
      <c r="P407" s="24" t="str">
        <f>_xlfn.IFNA(VLOOKUP($M407,Buff.CM!$A:$O,15,FALSE),"")</f>
        <v/>
      </c>
      <c r="Q407" s="26" t="b">
        <v>0</v>
      </c>
      <c r="R407" s="34" t="b">
        <v>0</v>
      </c>
    </row>
    <row r="408" spans="1:18" ht="49.5">
      <c r="A408" s="34" t="s">
        <v>679</v>
      </c>
      <c r="B408" s="34"/>
      <c r="C408" s="34"/>
      <c r="D408" s="34">
        <v>0</v>
      </c>
      <c r="E408" s="34">
        <v>0</v>
      </c>
      <c r="F408" s="34">
        <v>0</v>
      </c>
      <c r="G408" s="40" t="s">
        <v>7000</v>
      </c>
      <c r="H408" s="34"/>
      <c r="I408" s="34" t="b">
        <v>0</v>
      </c>
      <c r="J408" s="23" t="b">
        <v>1</v>
      </c>
      <c r="K408" s="34" t="b">
        <v>1</v>
      </c>
      <c r="L408" s="34"/>
      <c r="M408" s="34"/>
      <c r="N408" s="24" t="str">
        <f>_xlfn.IFNA(VLOOKUP($M408,Buff.CM!$A:$O,13,FALSE),"")</f>
        <v/>
      </c>
      <c r="O408" s="24" t="str">
        <f>_xlfn.IFNA(VLOOKUP($M408,Buff.CM!$A:$O,14,FALSE),"")</f>
        <v/>
      </c>
      <c r="P408" s="24" t="str">
        <f>_xlfn.IFNA(VLOOKUP($M408,Buff.CM!$A:$O,15,FALSE),"")</f>
        <v/>
      </c>
      <c r="Q408" s="26" t="b">
        <v>0</v>
      </c>
      <c r="R408" s="34" t="b">
        <v>0</v>
      </c>
    </row>
    <row r="409" spans="1:18" s="13" customFormat="1" ht="49.5">
      <c r="A409" s="34" t="s">
        <v>681</v>
      </c>
      <c r="B409" s="34"/>
      <c r="C409" s="34"/>
      <c r="D409" s="34">
        <v>0</v>
      </c>
      <c r="E409" s="34">
        <v>0</v>
      </c>
      <c r="F409" s="34">
        <v>0</v>
      </c>
      <c r="G409" s="40" t="s">
        <v>7001</v>
      </c>
      <c r="H409" s="34"/>
      <c r="I409" s="34" t="b">
        <v>0</v>
      </c>
      <c r="J409" s="23" t="b">
        <v>1</v>
      </c>
      <c r="K409" s="34" t="b">
        <v>1</v>
      </c>
      <c r="L409" s="34"/>
      <c r="M409" s="34"/>
      <c r="N409" s="24" t="str">
        <f>_xlfn.IFNA(VLOOKUP($M409,Buff.CM!$A:$O,13,FALSE),"")</f>
        <v/>
      </c>
      <c r="O409" s="24" t="str">
        <f>_xlfn.IFNA(VLOOKUP($M409,Buff.CM!$A:$O,14,FALSE),"")</f>
        <v/>
      </c>
      <c r="P409" s="24" t="str">
        <f>_xlfn.IFNA(VLOOKUP($M409,Buff.CM!$A:$O,15,FALSE),"")</f>
        <v/>
      </c>
      <c r="Q409" s="26" t="b">
        <v>0</v>
      </c>
      <c r="R409" s="34" t="b">
        <v>0</v>
      </c>
    </row>
    <row r="410" spans="1:18" ht="33">
      <c r="A410" s="24" t="s">
        <v>7002</v>
      </c>
      <c r="B410" s="24"/>
      <c r="C410" s="24"/>
      <c r="D410" s="24">
        <v>0</v>
      </c>
      <c r="E410" s="24">
        <v>0</v>
      </c>
      <c r="F410" s="24">
        <v>0</v>
      </c>
      <c r="G410" s="38" t="s">
        <v>7003</v>
      </c>
      <c r="H410" s="24"/>
      <c r="I410" s="24" t="b">
        <v>0</v>
      </c>
      <c r="J410" s="23" t="b">
        <v>1</v>
      </c>
      <c r="K410" s="24" t="b">
        <v>1</v>
      </c>
      <c r="L410" s="24"/>
      <c r="M410" s="24"/>
      <c r="N410" s="24" t="str">
        <f>_xlfn.IFNA(VLOOKUP($M410,Buff.CM!$A:$O,13,FALSE),"")</f>
        <v/>
      </c>
      <c r="O410" s="24" t="str">
        <f>_xlfn.IFNA(VLOOKUP($M410,Buff.CM!$A:$O,14,FALSE),"")</f>
        <v/>
      </c>
      <c r="P410" s="24" t="str">
        <f>_xlfn.IFNA(VLOOKUP($M410,Buff.CM!$A:$O,15,FALSE),"")</f>
        <v/>
      </c>
      <c r="Q410" s="26" t="b">
        <v>0</v>
      </c>
      <c r="R410" s="24" t="b">
        <v>0</v>
      </c>
    </row>
    <row r="411" spans="1:18" ht="33">
      <c r="A411" s="24" t="s">
        <v>3042</v>
      </c>
      <c r="B411" s="24"/>
      <c r="C411" s="24"/>
      <c r="D411" s="24">
        <v>0</v>
      </c>
      <c r="E411" s="24">
        <v>0</v>
      </c>
      <c r="F411" s="24">
        <v>0</v>
      </c>
      <c r="G411" s="38" t="s">
        <v>7004</v>
      </c>
      <c r="H411" s="24"/>
      <c r="I411" s="24" t="b">
        <v>0</v>
      </c>
      <c r="J411" s="23" t="b">
        <v>1</v>
      </c>
      <c r="K411" s="24" t="b">
        <v>1</v>
      </c>
      <c r="L411" s="24"/>
      <c r="M411" s="24"/>
      <c r="N411" s="24" t="str">
        <f>_xlfn.IFNA(VLOOKUP($M411,Buff.CM!$A:$O,13,FALSE),"")</f>
        <v/>
      </c>
      <c r="O411" s="24" t="str">
        <f>_xlfn.IFNA(VLOOKUP($M411,Buff.CM!$A:$O,14,FALSE),"")</f>
        <v/>
      </c>
      <c r="P411" s="24" t="str">
        <f>_xlfn.IFNA(VLOOKUP($M411,Buff.CM!$A:$O,15,FALSE),"")</f>
        <v/>
      </c>
      <c r="Q411" s="26" t="b">
        <v>0</v>
      </c>
      <c r="R411" s="24" t="b">
        <v>0</v>
      </c>
    </row>
    <row r="412" spans="1:18" ht="33">
      <c r="A412" s="24" t="s">
        <v>3043</v>
      </c>
      <c r="B412" s="24"/>
      <c r="C412" s="24"/>
      <c r="D412" s="24">
        <v>0</v>
      </c>
      <c r="E412" s="24">
        <v>0</v>
      </c>
      <c r="F412" s="24">
        <v>0</v>
      </c>
      <c r="G412" s="38" t="s">
        <v>7005</v>
      </c>
      <c r="H412" s="24"/>
      <c r="I412" s="24" t="b">
        <v>0</v>
      </c>
      <c r="J412" s="23" t="b">
        <v>1</v>
      </c>
      <c r="K412" s="24" t="b">
        <v>1</v>
      </c>
      <c r="L412" s="24"/>
      <c r="M412" s="24"/>
      <c r="N412" s="24" t="str">
        <f>_xlfn.IFNA(VLOOKUP($M412,Buff.CM!$A:$O,13,FALSE),"")</f>
        <v/>
      </c>
      <c r="O412" s="24" t="str">
        <f>_xlfn.IFNA(VLOOKUP($M412,Buff.CM!$A:$O,14,FALSE),"")</f>
        <v/>
      </c>
      <c r="P412" s="24" t="str">
        <f>_xlfn.IFNA(VLOOKUP($M412,Buff.CM!$A:$O,15,FALSE),"")</f>
        <v/>
      </c>
      <c r="Q412" s="26" t="b">
        <v>0</v>
      </c>
      <c r="R412" s="24" t="b">
        <v>0</v>
      </c>
    </row>
    <row r="413" spans="1:18" ht="33">
      <c r="A413" s="34" t="s">
        <v>3044</v>
      </c>
      <c r="B413" s="34"/>
      <c r="C413" s="34"/>
      <c r="D413" s="34">
        <v>0</v>
      </c>
      <c r="E413" s="34">
        <v>0</v>
      </c>
      <c r="F413" s="34">
        <v>0</v>
      </c>
      <c r="G413" s="40" t="s">
        <v>7006</v>
      </c>
      <c r="H413" s="34"/>
      <c r="I413" s="34" t="b">
        <v>0</v>
      </c>
      <c r="J413" s="23" t="b">
        <v>1</v>
      </c>
      <c r="K413" s="34" t="b">
        <v>1</v>
      </c>
      <c r="L413" s="34"/>
      <c r="M413" s="34"/>
      <c r="N413" s="24" t="str">
        <f>_xlfn.IFNA(VLOOKUP($M413,Buff.CM!$A:$O,13,FALSE),"")</f>
        <v/>
      </c>
      <c r="O413" s="24" t="str">
        <f>_xlfn.IFNA(VLOOKUP($M413,Buff.CM!$A:$O,14,FALSE),"")</f>
        <v/>
      </c>
      <c r="P413" s="24" t="str">
        <f>_xlfn.IFNA(VLOOKUP($M413,Buff.CM!$A:$O,15,FALSE),"")</f>
        <v/>
      </c>
      <c r="Q413" s="26" t="b">
        <v>0</v>
      </c>
      <c r="R413" s="34" t="b">
        <v>0</v>
      </c>
    </row>
    <row r="414" spans="1:18" ht="33">
      <c r="A414" s="34" t="s">
        <v>3045</v>
      </c>
      <c r="B414" s="34"/>
      <c r="C414" s="34"/>
      <c r="D414" s="34">
        <v>0</v>
      </c>
      <c r="E414" s="34">
        <v>0</v>
      </c>
      <c r="F414" s="34">
        <v>0</v>
      </c>
      <c r="G414" s="40" t="s">
        <v>7007</v>
      </c>
      <c r="H414" s="34"/>
      <c r="I414" s="34" t="b">
        <v>0</v>
      </c>
      <c r="J414" s="23" t="b">
        <v>1</v>
      </c>
      <c r="K414" s="34" t="b">
        <v>1</v>
      </c>
      <c r="L414" s="34"/>
      <c r="M414" s="34"/>
      <c r="N414" s="24" t="str">
        <f>_xlfn.IFNA(VLOOKUP($M414,Buff.CM!$A:$O,13,FALSE),"")</f>
        <v/>
      </c>
      <c r="O414" s="24" t="str">
        <f>_xlfn.IFNA(VLOOKUP($M414,Buff.CM!$A:$O,14,FALSE),"")</f>
        <v/>
      </c>
      <c r="P414" s="24" t="str">
        <f>_xlfn.IFNA(VLOOKUP($M414,Buff.CM!$A:$O,15,FALSE),"")</f>
        <v/>
      </c>
      <c r="Q414" s="26" t="b">
        <v>0</v>
      </c>
      <c r="R414" s="34" t="b">
        <v>0</v>
      </c>
    </row>
    <row r="415" spans="1:18" s="13" customFormat="1" ht="33">
      <c r="A415" s="34" t="s">
        <v>3046</v>
      </c>
      <c r="B415" s="34"/>
      <c r="C415" s="34"/>
      <c r="D415" s="34">
        <v>0</v>
      </c>
      <c r="E415" s="34">
        <v>0</v>
      </c>
      <c r="F415" s="34">
        <v>0</v>
      </c>
      <c r="G415" s="40" t="s">
        <v>7008</v>
      </c>
      <c r="H415" s="34"/>
      <c r="I415" s="34" t="b">
        <v>0</v>
      </c>
      <c r="J415" s="23" t="b">
        <v>1</v>
      </c>
      <c r="K415" s="34" t="b">
        <v>1</v>
      </c>
      <c r="L415" s="34"/>
      <c r="M415" s="34"/>
      <c r="N415" s="24" t="str">
        <f>_xlfn.IFNA(VLOOKUP($M415,Buff.CM!$A:$O,13,FALSE),"")</f>
        <v/>
      </c>
      <c r="O415" s="24" t="str">
        <f>_xlfn.IFNA(VLOOKUP($M415,Buff.CM!$A:$O,14,FALSE),"")</f>
        <v/>
      </c>
      <c r="P415" s="24" t="str">
        <f>_xlfn.IFNA(VLOOKUP($M415,Buff.CM!$A:$O,15,FALSE),"")</f>
        <v/>
      </c>
      <c r="Q415" s="26" t="b">
        <v>0</v>
      </c>
      <c r="R415" s="34" t="b">
        <v>0</v>
      </c>
    </row>
    <row r="416" spans="1:18" s="13" customFormat="1">
      <c r="A416" s="59" t="s">
        <v>1913</v>
      </c>
      <c r="B416" s="59"/>
      <c r="C416" s="59"/>
      <c r="D416" s="59">
        <v>0</v>
      </c>
      <c r="E416" s="59">
        <v>0</v>
      </c>
      <c r="F416" s="59">
        <v>0</v>
      </c>
      <c r="G416" s="132" t="s">
        <v>122</v>
      </c>
      <c r="H416" s="59"/>
      <c r="I416" s="59" t="b">
        <v>1</v>
      </c>
      <c r="J416" s="23" t="b">
        <v>1</v>
      </c>
      <c r="K416" s="59" t="b">
        <v>1</v>
      </c>
      <c r="L416" s="59"/>
      <c r="M416" s="59"/>
      <c r="N416" s="59" t="str">
        <f>_xlfn.IFNA(VLOOKUP($M416,Buff.CM!$A:$O,13,FALSE),"")</f>
        <v/>
      </c>
      <c r="O416" s="59" t="str">
        <f>_xlfn.IFNA(VLOOKUP($M416,Buff.CM!$A:$O,14,FALSE),"")</f>
        <v/>
      </c>
      <c r="P416" s="59" t="str">
        <f>_xlfn.IFNA(VLOOKUP($M416,Buff.CM!$A:$O,15,FALSE),"")</f>
        <v/>
      </c>
      <c r="Q416" s="59" t="b">
        <v>0</v>
      </c>
      <c r="R416" s="59" t="b">
        <v>0</v>
      </c>
    </row>
    <row r="417" spans="1:18" s="13" customFormat="1" ht="33">
      <c r="A417" s="26" t="s">
        <v>2137</v>
      </c>
      <c r="B417" s="26"/>
      <c r="C417" s="26"/>
      <c r="D417" s="26">
        <v>9000</v>
      </c>
      <c r="E417" s="26">
        <v>0</v>
      </c>
      <c r="F417" s="26">
        <v>0</v>
      </c>
      <c r="G417" s="45" t="s">
        <v>6697</v>
      </c>
      <c r="H417" s="26"/>
      <c r="I417" s="26" t="b">
        <v>0</v>
      </c>
      <c r="J417" s="26" t="b">
        <v>0</v>
      </c>
      <c r="K417" s="26" t="b">
        <v>0</v>
      </c>
      <c r="L417" s="26" t="s">
        <v>161</v>
      </c>
      <c r="M417" s="25" t="s">
        <v>6121</v>
      </c>
      <c r="N417" s="26" t="str">
        <f>_xlfn.IFNA(VLOOKUP($M417,Buff.CM!$A:$O,13,FALSE),"")</f>
        <v>icon_battle_burn</v>
      </c>
      <c r="O417" s="26" t="str">
        <f>_xlfn.IFNA(VLOOKUP($M417,Buff.CM!$A:$O,14,FALSE),"")</f>
        <v>Buff.Name.burn</v>
      </c>
      <c r="P417" s="26" t="str">
        <f>_xlfn.IFNA(VLOOKUP($M417,Buff.CM!$A:$O,15,FALSE),"")</f>
        <v>Buff.Desc.burn</v>
      </c>
      <c r="Q417" s="26" t="b">
        <v>0</v>
      </c>
      <c r="R417" s="26" t="b">
        <v>1</v>
      </c>
    </row>
    <row r="418" spans="1:18" s="13" customFormat="1" ht="33">
      <c r="A418" s="26" t="s">
        <v>2138</v>
      </c>
      <c r="B418" s="26"/>
      <c r="C418" s="26"/>
      <c r="D418" s="26">
        <v>9000</v>
      </c>
      <c r="E418" s="26">
        <v>0</v>
      </c>
      <c r="F418" s="26">
        <v>0</v>
      </c>
      <c r="G418" s="45" t="s">
        <v>6697</v>
      </c>
      <c r="H418" s="26"/>
      <c r="I418" s="26" t="b">
        <v>0</v>
      </c>
      <c r="J418" s="26" t="b">
        <v>0</v>
      </c>
      <c r="K418" s="26" t="b">
        <v>0</v>
      </c>
      <c r="L418" s="26" t="s">
        <v>161</v>
      </c>
      <c r="M418" s="45" t="s">
        <v>6121</v>
      </c>
      <c r="N418" s="26" t="str">
        <f>_xlfn.IFNA(VLOOKUP($M418,Buff.CM!$A:$O,13,FALSE),"")</f>
        <v>icon_battle_burn</v>
      </c>
      <c r="O418" s="26" t="str">
        <f>_xlfn.IFNA(VLOOKUP($M418,Buff.CM!$A:$O,14,FALSE),"")</f>
        <v>Buff.Name.burn</v>
      </c>
      <c r="P418" s="26" t="str">
        <f>_xlfn.IFNA(VLOOKUP($M418,Buff.CM!$A:$O,15,FALSE),"")</f>
        <v>Buff.Desc.burn</v>
      </c>
      <c r="Q418" s="26" t="b">
        <v>0</v>
      </c>
      <c r="R418" s="26" t="b">
        <v>1</v>
      </c>
    </row>
    <row r="419" spans="1:18" s="13" customFormat="1" ht="33">
      <c r="A419" s="26" t="s">
        <v>2139</v>
      </c>
      <c r="B419" s="26"/>
      <c r="C419" s="26"/>
      <c r="D419" s="26">
        <v>9000</v>
      </c>
      <c r="E419" s="26">
        <v>0</v>
      </c>
      <c r="F419" s="26">
        <v>0</v>
      </c>
      <c r="G419" s="45" t="s">
        <v>6698</v>
      </c>
      <c r="H419" s="26"/>
      <c r="I419" s="26" t="b">
        <v>0</v>
      </c>
      <c r="J419" s="26" t="b">
        <v>0</v>
      </c>
      <c r="K419" s="26" t="b">
        <v>0</v>
      </c>
      <c r="L419" s="26" t="s">
        <v>161</v>
      </c>
      <c r="M419" s="45" t="s">
        <v>6121</v>
      </c>
      <c r="N419" s="26" t="str">
        <f>_xlfn.IFNA(VLOOKUP($M419,Buff.CM!$A:$O,13,FALSE),"")</f>
        <v>icon_battle_burn</v>
      </c>
      <c r="O419" s="26" t="str">
        <f>_xlfn.IFNA(VLOOKUP($M419,Buff.CM!$A:$O,14,FALSE),"")</f>
        <v>Buff.Name.burn</v>
      </c>
      <c r="P419" s="26" t="str">
        <f>_xlfn.IFNA(VLOOKUP($M419,Buff.CM!$A:$O,15,FALSE),"")</f>
        <v>Buff.Desc.burn</v>
      </c>
      <c r="Q419" s="26" t="b">
        <v>0</v>
      </c>
      <c r="R419" s="26" t="b">
        <v>1</v>
      </c>
    </row>
    <row r="420" spans="1:18" s="13" customFormat="1" ht="33">
      <c r="A420" s="26" t="s">
        <v>2140</v>
      </c>
      <c r="B420" s="26"/>
      <c r="C420" s="26"/>
      <c r="D420" s="26">
        <v>9000</v>
      </c>
      <c r="E420" s="26">
        <v>0</v>
      </c>
      <c r="F420" s="26">
        <v>0</v>
      </c>
      <c r="G420" s="45" t="s">
        <v>6698</v>
      </c>
      <c r="H420" s="26"/>
      <c r="I420" s="26" t="b">
        <v>0</v>
      </c>
      <c r="J420" s="26" t="b">
        <v>0</v>
      </c>
      <c r="K420" s="26" t="b">
        <v>0</v>
      </c>
      <c r="L420" s="26" t="s">
        <v>161</v>
      </c>
      <c r="M420" s="45" t="s">
        <v>6121</v>
      </c>
      <c r="N420" s="26" t="str">
        <f>_xlfn.IFNA(VLOOKUP($M420,Buff.CM!$A:$O,13,FALSE),"")</f>
        <v>icon_battle_burn</v>
      </c>
      <c r="O420" s="26" t="str">
        <f>_xlfn.IFNA(VLOOKUP($M420,Buff.CM!$A:$O,14,FALSE),"")</f>
        <v>Buff.Name.burn</v>
      </c>
      <c r="P420" s="26" t="str">
        <f>_xlfn.IFNA(VLOOKUP($M420,Buff.CM!$A:$O,15,FALSE),"")</f>
        <v>Buff.Desc.burn</v>
      </c>
      <c r="Q420" s="26" t="b">
        <v>0</v>
      </c>
      <c r="R420" s="26" t="b">
        <v>1</v>
      </c>
    </row>
    <row r="421" spans="1:18" s="13" customFormat="1" ht="33">
      <c r="A421" s="26" t="s">
        <v>4341</v>
      </c>
      <c r="B421" s="26"/>
      <c r="C421" s="26"/>
      <c r="D421" s="26">
        <v>9000</v>
      </c>
      <c r="E421" s="26">
        <v>0</v>
      </c>
      <c r="F421" s="26">
        <v>0</v>
      </c>
      <c r="G421" s="45" t="s">
        <v>6699</v>
      </c>
      <c r="H421" s="26"/>
      <c r="I421" s="26" t="b">
        <v>0</v>
      </c>
      <c r="J421" s="26" t="b">
        <v>0</v>
      </c>
      <c r="K421" s="26" t="b">
        <v>0</v>
      </c>
      <c r="L421" s="26" t="s">
        <v>161</v>
      </c>
      <c r="M421" s="45" t="s">
        <v>6121</v>
      </c>
      <c r="N421" s="26" t="str">
        <f>_xlfn.IFNA(VLOOKUP($M421,Buff.CM!$A:$O,13,FALSE),"")</f>
        <v>icon_battle_burn</v>
      </c>
      <c r="O421" s="26" t="str">
        <f>_xlfn.IFNA(VLOOKUP($M421,Buff.CM!$A:$O,14,FALSE),"")</f>
        <v>Buff.Name.burn</v>
      </c>
      <c r="P421" s="26" t="str">
        <f>_xlfn.IFNA(VLOOKUP($M421,Buff.CM!$A:$O,15,FALSE),"")</f>
        <v>Buff.Desc.burn</v>
      </c>
      <c r="Q421" s="26" t="b">
        <v>0</v>
      </c>
      <c r="R421" s="26" t="b">
        <v>1</v>
      </c>
    </row>
    <row r="422" spans="1:18" s="162" customFormat="1">
      <c r="A422" s="44" t="s">
        <v>4200</v>
      </c>
      <c r="B422" s="44"/>
      <c r="C422" s="44"/>
      <c r="D422" s="44">
        <v>5000</v>
      </c>
      <c r="E422" s="44">
        <v>0</v>
      </c>
      <c r="F422" s="44">
        <v>0</v>
      </c>
      <c r="G422" s="66" t="s">
        <v>1707</v>
      </c>
      <c r="H422" s="44"/>
      <c r="I422" s="44" t="b">
        <v>0</v>
      </c>
      <c r="J422" s="44" t="b">
        <v>0</v>
      </c>
      <c r="K422" s="44" t="b">
        <v>0</v>
      </c>
      <c r="L422" s="44" t="s">
        <v>175</v>
      </c>
      <c r="M422" s="66" t="s">
        <v>1707</v>
      </c>
      <c r="N422" s="44" t="str">
        <f>_xlfn.IFNA(VLOOKUP($M422,Buff.CM!$A:$O,13,FALSE),"")</f>
        <v>icon_battle_damageimmune</v>
      </c>
      <c r="O422" s="44" t="str">
        <f>_xlfn.IFNA(VLOOKUP($M422,Buff.CM!$A:$O,14,FALSE),"")</f>
        <v>Buff.Name.Reduce.AreaDamage.Down.01</v>
      </c>
      <c r="P422" s="44" t="str">
        <f>_xlfn.IFNA(VLOOKUP($M422,Buff.CM!$A:$O,15,FALSE),"")</f>
        <v>Buff.Desc.Reduce.AreaDamage.Down.01</v>
      </c>
      <c r="Q422" s="44" t="b">
        <v>0</v>
      </c>
      <c r="R422" s="44" t="b">
        <v>1</v>
      </c>
    </row>
    <row r="423" spans="1:18" s="162" customFormat="1">
      <c r="A423" s="44" t="s">
        <v>4201</v>
      </c>
      <c r="B423" s="44"/>
      <c r="C423" s="44"/>
      <c r="D423" s="44">
        <v>5000</v>
      </c>
      <c r="E423" s="44">
        <v>0</v>
      </c>
      <c r="F423" s="44">
        <v>0</v>
      </c>
      <c r="G423" s="66" t="s">
        <v>1707</v>
      </c>
      <c r="H423" s="44"/>
      <c r="I423" s="44" t="b">
        <v>0</v>
      </c>
      <c r="J423" s="44" t="b">
        <v>0</v>
      </c>
      <c r="K423" s="44" t="b">
        <v>0</v>
      </c>
      <c r="L423" s="44" t="s">
        <v>175</v>
      </c>
      <c r="M423" s="66" t="s">
        <v>1707</v>
      </c>
      <c r="N423" s="44" t="str">
        <f>_xlfn.IFNA(VLOOKUP($M423,Buff.CM!$A:$O,13,FALSE),"")</f>
        <v>icon_battle_damageimmune</v>
      </c>
      <c r="O423" s="44" t="str">
        <f>_xlfn.IFNA(VLOOKUP($M423,Buff.CM!$A:$O,14,FALSE),"")</f>
        <v>Buff.Name.Reduce.AreaDamage.Down.01</v>
      </c>
      <c r="P423" s="44" t="str">
        <f>_xlfn.IFNA(VLOOKUP($M423,Buff.CM!$A:$O,15,FALSE),"")</f>
        <v>Buff.Desc.Reduce.AreaDamage.Down.01</v>
      </c>
      <c r="Q423" s="44" t="b">
        <v>0</v>
      </c>
      <c r="R423" s="44" t="b">
        <v>1</v>
      </c>
    </row>
    <row r="424" spans="1:18" s="162" customFormat="1">
      <c r="A424" s="44" t="s">
        <v>4202</v>
      </c>
      <c r="B424" s="44"/>
      <c r="C424" s="44"/>
      <c r="D424" s="44">
        <v>6000</v>
      </c>
      <c r="E424" s="44">
        <v>0</v>
      </c>
      <c r="F424" s="44">
        <v>0</v>
      </c>
      <c r="G424" s="66" t="s">
        <v>1707</v>
      </c>
      <c r="H424" s="44"/>
      <c r="I424" s="44" t="b">
        <v>0</v>
      </c>
      <c r="J424" s="44" t="b">
        <v>0</v>
      </c>
      <c r="K424" s="44" t="b">
        <v>0</v>
      </c>
      <c r="L424" s="44" t="s">
        <v>175</v>
      </c>
      <c r="M424" s="66" t="s">
        <v>1575</v>
      </c>
      <c r="N424" s="44" t="str">
        <f>_xlfn.IFNA(VLOOKUP($M424,Buff.CM!$A:$O,13,FALSE),"")</f>
        <v>icon_battle_damageimmune</v>
      </c>
      <c r="O424" s="44" t="str">
        <f>_xlfn.IFNA(VLOOKUP($M424,Buff.CM!$A:$O,14,FALSE),"")</f>
        <v>Buff.Name.Reduce.AreaDamage.Down.02</v>
      </c>
      <c r="P424" s="44" t="str">
        <f>_xlfn.IFNA(VLOOKUP($M424,Buff.CM!$A:$O,15,FALSE),"")</f>
        <v>Buff.Desc.Reduce.AreaDamage.Down.02</v>
      </c>
      <c r="Q424" s="44" t="b">
        <v>0</v>
      </c>
      <c r="R424" s="44" t="b">
        <v>1</v>
      </c>
    </row>
    <row r="425" spans="1:18" s="162" customFormat="1">
      <c r="A425" s="44" t="s">
        <v>4203</v>
      </c>
      <c r="B425" s="44"/>
      <c r="C425" s="44"/>
      <c r="D425" s="44">
        <v>6000</v>
      </c>
      <c r="E425" s="44">
        <v>0</v>
      </c>
      <c r="F425" s="44">
        <v>0</v>
      </c>
      <c r="G425" s="66" t="s">
        <v>1575</v>
      </c>
      <c r="H425" s="44"/>
      <c r="I425" s="44" t="b">
        <v>0</v>
      </c>
      <c r="J425" s="44" t="b">
        <v>0</v>
      </c>
      <c r="K425" s="44" t="b">
        <v>0</v>
      </c>
      <c r="L425" s="44" t="s">
        <v>175</v>
      </c>
      <c r="M425" s="66" t="s">
        <v>1575</v>
      </c>
      <c r="N425" s="44" t="str">
        <f>_xlfn.IFNA(VLOOKUP($M425,Buff.CM!$A:$O,13,FALSE),"")</f>
        <v>icon_battle_damageimmune</v>
      </c>
      <c r="O425" s="44" t="str">
        <f>_xlfn.IFNA(VLOOKUP($M425,Buff.CM!$A:$O,14,FALSE),"")</f>
        <v>Buff.Name.Reduce.AreaDamage.Down.02</v>
      </c>
      <c r="P425" s="44" t="str">
        <f>_xlfn.IFNA(VLOOKUP($M425,Buff.CM!$A:$O,15,FALSE),"")</f>
        <v>Buff.Desc.Reduce.AreaDamage.Down.02</v>
      </c>
      <c r="Q425" s="44" t="b">
        <v>0</v>
      </c>
      <c r="R425" s="44" t="b">
        <v>1</v>
      </c>
    </row>
    <row r="426" spans="1:18" s="162" customFormat="1">
      <c r="A426" s="44" t="s">
        <v>4204</v>
      </c>
      <c r="B426" s="44"/>
      <c r="C426" s="44"/>
      <c r="D426" s="44">
        <v>7000</v>
      </c>
      <c r="E426" s="44">
        <v>0</v>
      </c>
      <c r="F426" s="44">
        <v>0</v>
      </c>
      <c r="G426" s="66" t="s">
        <v>1575</v>
      </c>
      <c r="H426" s="44"/>
      <c r="I426" s="44" t="b">
        <v>0</v>
      </c>
      <c r="J426" s="44" t="b">
        <v>0</v>
      </c>
      <c r="K426" s="44" t="b">
        <v>0</v>
      </c>
      <c r="L426" s="44" t="s">
        <v>175</v>
      </c>
      <c r="M426" s="66" t="s">
        <v>1576</v>
      </c>
      <c r="N426" s="44" t="str">
        <f>_xlfn.IFNA(VLOOKUP($M426,Buff.CM!$A:$O,13,FALSE),"")</f>
        <v>icon_battle_damageimmune</v>
      </c>
      <c r="O426" s="44" t="str">
        <f>_xlfn.IFNA(VLOOKUP($M426,Buff.CM!$A:$O,14,FALSE),"")</f>
        <v>Buff.Name.Reduce.AreaDamage.Down.03</v>
      </c>
      <c r="P426" s="44" t="str">
        <f>_xlfn.IFNA(VLOOKUP($M426,Buff.CM!$A:$O,15,FALSE),"")</f>
        <v>Buff.Desc.Reduce.AreaDamage.Down.03</v>
      </c>
      <c r="Q426" s="44" t="b">
        <v>0</v>
      </c>
      <c r="R426" s="44" t="b">
        <v>1</v>
      </c>
    </row>
    <row r="427" spans="1:18" s="162" customFormat="1">
      <c r="A427" s="44" t="s">
        <v>4205</v>
      </c>
      <c r="B427" s="44"/>
      <c r="C427" s="44"/>
      <c r="D427" s="44">
        <v>8000</v>
      </c>
      <c r="E427" s="44">
        <v>0</v>
      </c>
      <c r="F427" s="44">
        <v>0</v>
      </c>
      <c r="G427" s="66" t="s">
        <v>1576</v>
      </c>
      <c r="H427" s="44"/>
      <c r="I427" s="44" t="b">
        <v>0</v>
      </c>
      <c r="J427" s="44" t="b">
        <v>0</v>
      </c>
      <c r="K427" s="44" t="b">
        <v>0</v>
      </c>
      <c r="L427" s="44" t="s">
        <v>175</v>
      </c>
      <c r="M427" s="66" t="s">
        <v>1575</v>
      </c>
      <c r="N427" s="44" t="str">
        <f>_xlfn.IFNA(VLOOKUP($M427,Buff.CM!$A:$O,13,FALSE),"")</f>
        <v>icon_battle_damageimmune</v>
      </c>
      <c r="O427" s="44" t="str">
        <f>_xlfn.IFNA(VLOOKUP($M427,Buff.CM!$A:$O,14,FALSE),"")</f>
        <v>Buff.Name.Reduce.AreaDamage.Down.02</v>
      </c>
      <c r="P427" s="44" t="str">
        <f>_xlfn.IFNA(VLOOKUP($M427,Buff.CM!$A:$O,15,FALSE),"")</f>
        <v>Buff.Desc.Reduce.AreaDamage.Down.02</v>
      </c>
      <c r="Q427" s="44" t="b">
        <v>0</v>
      </c>
      <c r="R427" s="44" t="b">
        <v>1</v>
      </c>
    </row>
    <row r="428" spans="1:18" s="162" customFormat="1">
      <c r="A428" s="44" t="s">
        <v>4219</v>
      </c>
      <c r="B428" s="44"/>
      <c r="C428" s="44"/>
      <c r="D428" s="44">
        <v>8000</v>
      </c>
      <c r="E428" s="44">
        <v>0</v>
      </c>
      <c r="F428" s="44">
        <v>0</v>
      </c>
      <c r="G428" s="66" t="s">
        <v>1576</v>
      </c>
      <c r="H428" s="44"/>
      <c r="I428" s="44" t="b">
        <v>0</v>
      </c>
      <c r="J428" s="44" t="b">
        <v>0</v>
      </c>
      <c r="K428" s="44" t="b">
        <v>0</v>
      </c>
      <c r="L428" s="44" t="s">
        <v>175</v>
      </c>
      <c r="M428" s="66" t="s">
        <v>1575</v>
      </c>
      <c r="N428" s="44" t="str">
        <f>_xlfn.IFNA(VLOOKUP($M428,Buff.CM!$A:$O,13,FALSE),"")</f>
        <v>icon_battle_damageimmune</v>
      </c>
      <c r="O428" s="44" t="str">
        <f>_xlfn.IFNA(VLOOKUP($M428,Buff.CM!$A:$O,14,FALSE),"")</f>
        <v>Buff.Name.Reduce.AreaDamage.Down.02</v>
      </c>
      <c r="P428" s="44" t="str">
        <f>_xlfn.IFNA(VLOOKUP($M428,Buff.CM!$A:$O,15,FALSE),"")</f>
        <v>Buff.Desc.Reduce.AreaDamage.Down.02</v>
      </c>
      <c r="Q428" s="44" t="b">
        <v>0</v>
      </c>
      <c r="R428" s="44" t="b">
        <v>1</v>
      </c>
    </row>
    <row r="429" spans="1:18">
      <c r="A429" s="25" t="s">
        <v>4218</v>
      </c>
      <c r="B429" s="25"/>
      <c r="C429" s="25"/>
      <c r="D429" s="25">
        <v>7000</v>
      </c>
      <c r="E429" s="25">
        <v>0</v>
      </c>
      <c r="F429" s="25">
        <v>0</v>
      </c>
      <c r="G429" s="25" t="s">
        <v>1584</v>
      </c>
      <c r="H429" s="25"/>
      <c r="I429" s="25" t="b">
        <v>0</v>
      </c>
      <c r="J429" s="25" t="b">
        <v>0</v>
      </c>
      <c r="K429" s="25" t="b">
        <v>0</v>
      </c>
      <c r="L429" s="25" t="s">
        <v>175</v>
      </c>
      <c r="M429" s="25" t="s">
        <v>1584</v>
      </c>
      <c r="N429" s="25" t="str">
        <f>_xlfn.IFNA(VLOOKUP($M429,Buff.CM!$A:$O,13,FALSE),"")</f>
        <v>icon_battle_damageimmune</v>
      </c>
      <c r="O429" s="25" t="str">
        <f>_xlfn.IFNA(VLOOKUP($M429,Buff.CM!$A:$O,14,FALSE),"")</f>
        <v>Buff.Name.Reduce.RangeDamage.Down.03</v>
      </c>
      <c r="P429" s="25" t="str">
        <f>_xlfn.IFNA(VLOOKUP($M429,Buff.CM!$A:$O,15,FALSE),"")</f>
        <v>Buff.Desc.Reduce.RangeDamage.Down.03</v>
      </c>
      <c r="Q429" s="25" t="b">
        <v>0</v>
      </c>
      <c r="R429" s="25" t="b">
        <v>1</v>
      </c>
    </row>
    <row r="430" spans="1:18">
      <c r="A430" s="25" t="s">
        <v>2287</v>
      </c>
      <c r="B430" s="25"/>
      <c r="C430" s="25"/>
      <c r="D430" s="25">
        <v>8000</v>
      </c>
      <c r="E430" s="25">
        <v>0</v>
      </c>
      <c r="F430" s="25">
        <v>0</v>
      </c>
      <c r="G430" s="25" t="s">
        <v>1584</v>
      </c>
      <c r="H430" s="25"/>
      <c r="I430" s="25" t="b">
        <v>0</v>
      </c>
      <c r="J430" s="25" t="b">
        <v>0</v>
      </c>
      <c r="K430" s="25" t="b">
        <v>0</v>
      </c>
      <c r="L430" s="25" t="s">
        <v>175</v>
      </c>
      <c r="M430" s="25" t="s">
        <v>1584</v>
      </c>
      <c r="N430" s="25" t="str">
        <f>_xlfn.IFNA(VLOOKUP($M430,Buff.CM!$A:$O,13,FALSE),"")</f>
        <v>icon_battle_damageimmune</v>
      </c>
      <c r="O430" s="25" t="str">
        <f>_xlfn.IFNA(VLOOKUP($M430,Buff.CM!$A:$O,14,FALSE),"")</f>
        <v>Buff.Name.Reduce.RangeDamage.Down.03</v>
      </c>
      <c r="P430" s="25" t="str">
        <f>_xlfn.IFNA(VLOOKUP($M430,Buff.CM!$A:$O,15,FALSE),"")</f>
        <v>Buff.Desc.Reduce.RangeDamage.Down.03</v>
      </c>
      <c r="Q430" s="25" t="b">
        <v>0</v>
      </c>
      <c r="R430" s="25" t="b">
        <v>1</v>
      </c>
    </row>
    <row r="431" spans="1:18">
      <c r="A431" s="25" t="s">
        <v>2288</v>
      </c>
      <c r="B431" s="25"/>
      <c r="C431" s="25"/>
      <c r="D431" s="25">
        <v>8000</v>
      </c>
      <c r="E431" s="25">
        <v>0</v>
      </c>
      <c r="F431" s="25">
        <v>0</v>
      </c>
      <c r="G431" s="25" t="s">
        <v>1584</v>
      </c>
      <c r="H431" s="25"/>
      <c r="I431" s="25" t="b">
        <v>0</v>
      </c>
      <c r="J431" s="25" t="b">
        <v>0</v>
      </c>
      <c r="K431" s="25" t="b">
        <v>0</v>
      </c>
      <c r="L431" s="25" t="s">
        <v>175</v>
      </c>
      <c r="M431" s="25" t="s">
        <v>1584</v>
      </c>
      <c r="N431" s="25" t="str">
        <f>_xlfn.IFNA(VLOOKUP($M431,Buff.CM!$A:$O,13,FALSE),"")</f>
        <v>icon_battle_damageimmune</v>
      </c>
      <c r="O431" s="25" t="str">
        <f>_xlfn.IFNA(VLOOKUP($M431,Buff.CM!$A:$O,14,FALSE),"")</f>
        <v>Buff.Name.Reduce.RangeDamage.Down.03</v>
      </c>
      <c r="P431" s="25" t="str">
        <f>_xlfn.IFNA(VLOOKUP($M431,Buff.CM!$A:$O,15,FALSE),"")</f>
        <v>Buff.Desc.Reduce.RangeDamage.Down.03</v>
      </c>
      <c r="Q431" s="25" t="b">
        <v>0</v>
      </c>
      <c r="R431" s="25" t="b">
        <v>1</v>
      </c>
    </row>
    <row r="432" spans="1:18">
      <c r="A432" s="25" t="s">
        <v>2289</v>
      </c>
      <c r="B432" s="25"/>
      <c r="C432" s="25"/>
      <c r="D432" s="25">
        <v>10000</v>
      </c>
      <c r="E432" s="25">
        <v>0</v>
      </c>
      <c r="F432" s="25">
        <v>0</v>
      </c>
      <c r="G432" s="25" t="s">
        <v>1584</v>
      </c>
      <c r="H432" s="25"/>
      <c r="I432" s="25" t="b">
        <v>0</v>
      </c>
      <c r="J432" s="25" t="b">
        <v>0</v>
      </c>
      <c r="K432" s="25" t="b">
        <v>0</v>
      </c>
      <c r="L432" s="25" t="s">
        <v>175</v>
      </c>
      <c r="M432" s="25" t="s">
        <v>1584</v>
      </c>
      <c r="N432" s="25" t="str">
        <f>_xlfn.IFNA(VLOOKUP($M432,Buff.CM!$A:$O,13,FALSE),"")</f>
        <v>icon_battle_damageimmune</v>
      </c>
      <c r="O432" s="25" t="str">
        <f>_xlfn.IFNA(VLOOKUP($M432,Buff.CM!$A:$O,14,FALSE),"")</f>
        <v>Buff.Name.Reduce.RangeDamage.Down.03</v>
      </c>
      <c r="P432" s="25" t="str">
        <f>_xlfn.IFNA(VLOOKUP($M432,Buff.CM!$A:$O,15,FALSE),"")</f>
        <v>Buff.Desc.Reduce.RangeDamage.Down.03</v>
      </c>
      <c r="Q432" s="25" t="b">
        <v>0</v>
      </c>
      <c r="R432" s="25" t="b">
        <v>1</v>
      </c>
    </row>
    <row r="433" spans="1:18" ht="33">
      <c r="A433" s="26" t="s">
        <v>2141</v>
      </c>
      <c r="B433" s="26"/>
      <c r="C433" s="26"/>
      <c r="D433" s="26">
        <v>6000</v>
      </c>
      <c r="E433" s="26">
        <v>0</v>
      </c>
      <c r="F433" s="26">
        <v>0</v>
      </c>
      <c r="G433" s="45" t="s">
        <v>6697</v>
      </c>
      <c r="H433" s="26"/>
      <c r="I433" s="26" t="b">
        <v>0</v>
      </c>
      <c r="J433" s="26" t="b">
        <v>0</v>
      </c>
      <c r="K433" s="26" t="b">
        <v>0</v>
      </c>
      <c r="L433" s="26" t="s">
        <v>161</v>
      </c>
      <c r="M433" s="26" t="s">
        <v>6121</v>
      </c>
      <c r="N433" s="26" t="str">
        <f>_xlfn.IFNA(VLOOKUP($M433,Buff.CM!$A:$O,13,FALSE),"")</f>
        <v>icon_battle_burn</v>
      </c>
      <c r="O433" s="26" t="str">
        <f>_xlfn.IFNA(VLOOKUP($M433,Buff.CM!$A:$O,14,FALSE),"")</f>
        <v>Buff.Name.burn</v>
      </c>
      <c r="P433" s="26" t="str">
        <f>_xlfn.IFNA(VLOOKUP($M433,Buff.CM!$A:$O,15,FALSE),"")</f>
        <v>Buff.Desc.burn</v>
      </c>
      <c r="Q433" s="26" t="b">
        <v>0</v>
      </c>
      <c r="R433" s="26" t="b">
        <v>1</v>
      </c>
    </row>
    <row r="434" spans="1:18" ht="33">
      <c r="A434" s="26" t="s">
        <v>2142</v>
      </c>
      <c r="B434" s="26"/>
      <c r="C434" s="26"/>
      <c r="D434" s="26">
        <v>6000</v>
      </c>
      <c r="E434" s="26">
        <v>0</v>
      </c>
      <c r="F434" s="26">
        <v>0</v>
      </c>
      <c r="G434" s="45" t="s">
        <v>6698</v>
      </c>
      <c r="H434" s="26"/>
      <c r="I434" s="26" t="b">
        <v>0</v>
      </c>
      <c r="J434" s="26" t="b">
        <v>0</v>
      </c>
      <c r="K434" s="26" t="b">
        <v>0</v>
      </c>
      <c r="L434" s="26" t="s">
        <v>161</v>
      </c>
      <c r="M434" s="26" t="s">
        <v>6121</v>
      </c>
      <c r="N434" s="26" t="str">
        <f>_xlfn.IFNA(VLOOKUP($M434,Buff.CM!$A:$O,13,FALSE),"")</f>
        <v>icon_battle_burn</v>
      </c>
      <c r="O434" s="26" t="str">
        <f>_xlfn.IFNA(VLOOKUP($M434,Buff.CM!$A:$O,14,FALSE),"")</f>
        <v>Buff.Name.burn</v>
      </c>
      <c r="P434" s="26" t="str">
        <f>_xlfn.IFNA(VLOOKUP($M434,Buff.CM!$A:$O,15,FALSE),"")</f>
        <v>Buff.Desc.burn</v>
      </c>
      <c r="Q434" s="26" t="b">
        <v>0</v>
      </c>
      <c r="R434" s="26" t="b">
        <v>1</v>
      </c>
    </row>
    <row r="435" spans="1:18" ht="33">
      <c r="A435" s="26" t="s">
        <v>2143</v>
      </c>
      <c r="B435" s="26"/>
      <c r="C435" s="26"/>
      <c r="D435" s="26">
        <v>6000</v>
      </c>
      <c r="E435" s="26">
        <v>0</v>
      </c>
      <c r="F435" s="26">
        <v>0</v>
      </c>
      <c r="G435" s="45" t="s">
        <v>6698</v>
      </c>
      <c r="H435" s="26"/>
      <c r="I435" s="26" t="b">
        <v>0</v>
      </c>
      <c r="J435" s="26" t="b">
        <v>0</v>
      </c>
      <c r="K435" s="26" t="b">
        <v>0</v>
      </c>
      <c r="L435" s="26" t="s">
        <v>161</v>
      </c>
      <c r="M435" s="26" t="s">
        <v>6121</v>
      </c>
      <c r="N435" s="26" t="str">
        <f>_xlfn.IFNA(VLOOKUP($M435,Buff.CM!$A:$O,13,FALSE),"")</f>
        <v>icon_battle_burn</v>
      </c>
      <c r="O435" s="26" t="str">
        <f>_xlfn.IFNA(VLOOKUP($M435,Buff.CM!$A:$O,14,FALSE),"")</f>
        <v>Buff.Name.burn</v>
      </c>
      <c r="P435" s="26" t="str">
        <f>_xlfn.IFNA(VLOOKUP($M435,Buff.CM!$A:$O,15,FALSE),"")</f>
        <v>Buff.Desc.burn</v>
      </c>
      <c r="Q435" s="26" t="b">
        <v>0</v>
      </c>
      <c r="R435" s="26" t="b">
        <v>1</v>
      </c>
    </row>
    <row r="436" spans="1:18" ht="33">
      <c r="A436" s="26" t="s">
        <v>2144</v>
      </c>
      <c r="B436" s="26"/>
      <c r="C436" s="26"/>
      <c r="D436" s="26">
        <v>6000</v>
      </c>
      <c r="E436" s="26">
        <v>0</v>
      </c>
      <c r="F436" s="26">
        <v>0</v>
      </c>
      <c r="G436" s="45" t="s">
        <v>6699</v>
      </c>
      <c r="H436" s="26"/>
      <c r="I436" s="26" t="b">
        <v>0</v>
      </c>
      <c r="J436" s="26" t="b">
        <v>0</v>
      </c>
      <c r="K436" s="26" t="b">
        <v>0</v>
      </c>
      <c r="L436" s="26" t="s">
        <v>161</v>
      </c>
      <c r="M436" s="26" t="s">
        <v>6121</v>
      </c>
      <c r="N436" s="26" t="str">
        <f>_xlfn.IFNA(VLOOKUP($M436,Buff.CM!$A:$O,13,FALSE),"")</f>
        <v>icon_battle_burn</v>
      </c>
      <c r="O436" s="26" t="str">
        <f>_xlfn.IFNA(VLOOKUP($M436,Buff.CM!$A:$O,14,FALSE),"")</f>
        <v>Buff.Name.burn</v>
      </c>
      <c r="P436" s="26" t="str">
        <f>_xlfn.IFNA(VLOOKUP($M436,Buff.CM!$A:$O,15,FALSE),"")</f>
        <v>Buff.Desc.burn</v>
      </c>
      <c r="Q436" s="26" t="b">
        <v>0</v>
      </c>
      <c r="R436" s="26" t="b">
        <v>1</v>
      </c>
    </row>
    <row r="437" spans="1:18">
      <c r="A437" s="25" t="s">
        <v>683</v>
      </c>
      <c r="B437" s="25"/>
      <c r="C437" s="25"/>
      <c r="D437" s="25">
        <v>0</v>
      </c>
      <c r="E437" s="25">
        <v>0</v>
      </c>
      <c r="F437" s="25">
        <v>0</v>
      </c>
      <c r="G437" s="25" t="s">
        <v>684</v>
      </c>
      <c r="H437" s="25"/>
      <c r="I437" s="25" t="b">
        <v>0</v>
      </c>
      <c r="J437" s="23" t="b">
        <v>1</v>
      </c>
      <c r="K437" s="25" t="b">
        <v>1</v>
      </c>
      <c r="L437" s="25"/>
      <c r="M437" s="25"/>
      <c r="N437" s="25" t="str">
        <f>_xlfn.IFNA(VLOOKUP($M437,Buff.CM!$A:$O,13,FALSE),"")</f>
        <v/>
      </c>
      <c r="O437" s="25" t="str">
        <f>_xlfn.IFNA(VLOOKUP($M437,Buff.CM!$A:$O,14,FALSE),"")</f>
        <v/>
      </c>
      <c r="P437" s="25" t="str">
        <f>_xlfn.IFNA(VLOOKUP($M437,Buff.CM!$A:$O,15,FALSE),"")</f>
        <v/>
      </c>
      <c r="Q437" s="25" t="b">
        <v>0</v>
      </c>
      <c r="R437" s="25" t="b">
        <v>0</v>
      </c>
    </row>
    <row r="438" spans="1:18">
      <c r="A438" s="25" t="s">
        <v>685</v>
      </c>
      <c r="B438" s="25"/>
      <c r="C438" s="25"/>
      <c r="D438" s="25">
        <v>0</v>
      </c>
      <c r="E438" s="25">
        <v>0</v>
      </c>
      <c r="F438" s="25">
        <v>0</v>
      </c>
      <c r="G438" s="25" t="s">
        <v>686</v>
      </c>
      <c r="H438" s="25"/>
      <c r="I438" s="25" t="b">
        <v>0</v>
      </c>
      <c r="J438" s="23" t="b">
        <v>1</v>
      </c>
      <c r="K438" s="25" t="b">
        <v>1</v>
      </c>
      <c r="L438" s="25"/>
      <c r="M438" s="25"/>
      <c r="N438" s="25" t="str">
        <f>_xlfn.IFNA(VLOOKUP($M438,Buff.CM!$A:$O,13,FALSE),"")</f>
        <v/>
      </c>
      <c r="O438" s="25" t="str">
        <f>_xlfn.IFNA(VLOOKUP($M438,Buff.CM!$A:$O,14,FALSE),"")</f>
        <v/>
      </c>
      <c r="P438" s="25" t="str">
        <f>_xlfn.IFNA(VLOOKUP($M438,Buff.CM!$A:$O,15,FALSE),"")</f>
        <v/>
      </c>
      <c r="Q438" s="25" t="b">
        <v>0</v>
      </c>
      <c r="R438" s="25" t="b">
        <v>0</v>
      </c>
    </row>
    <row r="439" spans="1:18">
      <c r="A439" s="25" t="s">
        <v>687</v>
      </c>
      <c r="B439" s="25"/>
      <c r="C439" s="25"/>
      <c r="D439" s="25">
        <v>0</v>
      </c>
      <c r="E439" s="25">
        <v>0</v>
      </c>
      <c r="F439" s="25">
        <v>0</v>
      </c>
      <c r="G439" s="25" t="s">
        <v>688</v>
      </c>
      <c r="H439" s="25"/>
      <c r="I439" s="25" t="b">
        <v>0</v>
      </c>
      <c r="J439" s="23" t="b">
        <v>1</v>
      </c>
      <c r="K439" s="25" t="b">
        <v>1</v>
      </c>
      <c r="L439" s="25"/>
      <c r="M439" s="25"/>
      <c r="N439" s="25" t="str">
        <f>_xlfn.IFNA(VLOOKUP($M439,Buff.CM!$A:$O,13,FALSE),"")</f>
        <v/>
      </c>
      <c r="O439" s="25" t="str">
        <f>_xlfn.IFNA(VLOOKUP($M439,Buff.CM!$A:$O,14,FALSE),"")</f>
        <v/>
      </c>
      <c r="P439" s="25" t="str">
        <f>_xlfn.IFNA(VLOOKUP($M439,Buff.CM!$A:$O,15,FALSE),"")</f>
        <v/>
      </c>
      <c r="Q439" s="25" t="b">
        <v>0</v>
      </c>
      <c r="R439" s="25" t="b">
        <v>0</v>
      </c>
    </row>
    <row r="440" spans="1:18">
      <c r="A440" s="34" t="s">
        <v>689</v>
      </c>
      <c r="B440" s="34"/>
      <c r="C440" s="34"/>
      <c r="D440" s="34">
        <v>0</v>
      </c>
      <c r="E440" s="34">
        <v>0</v>
      </c>
      <c r="F440" s="34">
        <v>0</v>
      </c>
      <c r="G440" s="34" t="s">
        <v>690</v>
      </c>
      <c r="H440" s="34"/>
      <c r="I440" s="34" t="b">
        <v>0</v>
      </c>
      <c r="J440" s="23" t="b">
        <v>1</v>
      </c>
      <c r="K440" s="34" t="b">
        <v>1</v>
      </c>
      <c r="L440" s="26"/>
      <c r="M440" s="26"/>
      <c r="N440" s="26" t="str">
        <f>_xlfn.IFNA(VLOOKUP($M440,Buff.CM!$A:$O,13,FALSE),"")</f>
        <v/>
      </c>
      <c r="O440" s="26" t="str">
        <f>_xlfn.IFNA(VLOOKUP($M440,Buff.CM!$A:$O,14,FALSE),"")</f>
        <v/>
      </c>
      <c r="P440" s="26" t="str">
        <f>_xlfn.IFNA(VLOOKUP($M440,Buff.CM!$A:$O,15,FALSE),"")</f>
        <v/>
      </c>
      <c r="Q440" s="34" t="b">
        <v>0</v>
      </c>
      <c r="R440" s="34" t="b">
        <v>0</v>
      </c>
    </row>
    <row r="441" spans="1:18">
      <c r="A441" s="34" t="s">
        <v>691</v>
      </c>
      <c r="B441" s="34"/>
      <c r="C441" s="34"/>
      <c r="D441" s="34">
        <v>0</v>
      </c>
      <c r="E441" s="34">
        <v>0</v>
      </c>
      <c r="F441" s="34">
        <v>0</v>
      </c>
      <c r="G441" s="34" t="s">
        <v>692</v>
      </c>
      <c r="H441" s="34"/>
      <c r="I441" s="34" t="b">
        <v>0</v>
      </c>
      <c r="J441" s="23" t="b">
        <v>1</v>
      </c>
      <c r="K441" s="34" t="b">
        <v>1</v>
      </c>
      <c r="L441" s="26"/>
      <c r="M441" s="26"/>
      <c r="N441" s="26" t="str">
        <f>_xlfn.IFNA(VLOOKUP($M441,Buff.CM!$A:$O,13,FALSE),"")</f>
        <v/>
      </c>
      <c r="O441" s="26" t="str">
        <f>_xlfn.IFNA(VLOOKUP($M441,Buff.CM!$A:$O,14,FALSE),"")</f>
        <v/>
      </c>
      <c r="P441" s="26" t="str">
        <f>_xlfn.IFNA(VLOOKUP($M441,Buff.CM!$A:$O,15,FALSE),"")</f>
        <v/>
      </c>
      <c r="Q441" s="34" t="b">
        <v>0</v>
      </c>
      <c r="R441" s="34" t="b">
        <v>0</v>
      </c>
    </row>
    <row r="442" spans="1:18" s="13" customFormat="1">
      <c r="A442" s="34" t="s">
        <v>693</v>
      </c>
      <c r="B442" s="34"/>
      <c r="C442" s="34"/>
      <c r="D442" s="34">
        <v>0</v>
      </c>
      <c r="E442" s="34">
        <v>0</v>
      </c>
      <c r="F442" s="34">
        <v>0</v>
      </c>
      <c r="G442" s="34" t="s">
        <v>694</v>
      </c>
      <c r="H442" s="34"/>
      <c r="I442" s="34" t="b">
        <v>0</v>
      </c>
      <c r="J442" s="23" t="b">
        <v>1</v>
      </c>
      <c r="K442" s="34" t="b">
        <v>1</v>
      </c>
      <c r="L442" s="26"/>
      <c r="M442" s="26"/>
      <c r="N442" s="26" t="str">
        <f>_xlfn.IFNA(VLOOKUP($M442,Buff.CM!$A:$O,13,FALSE),"")</f>
        <v/>
      </c>
      <c r="O442" s="26" t="str">
        <f>_xlfn.IFNA(VLOOKUP($M442,Buff.CM!$A:$O,14,FALSE),"")</f>
        <v/>
      </c>
      <c r="P442" s="26" t="str">
        <f>_xlfn.IFNA(VLOOKUP($M442,Buff.CM!$A:$O,15,FALSE),"")</f>
        <v/>
      </c>
      <c r="Q442" s="34" t="b">
        <v>0</v>
      </c>
      <c r="R442" s="34" t="b">
        <v>0</v>
      </c>
    </row>
    <row r="443" spans="1:18" s="13" customFormat="1">
      <c r="A443" s="25" t="s">
        <v>2145</v>
      </c>
      <c r="B443" s="25" t="s">
        <v>8813</v>
      </c>
      <c r="C443" s="25" t="s">
        <v>863</v>
      </c>
      <c r="D443" s="25">
        <v>2000</v>
      </c>
      <c r="E443" s="25">
        <v>0</v>
      </c>
      <c r="F443" s="25">
        <v>0</v>
      </c>
      <c r="G443" s="25" t="s">
        <v>2151</v>
      </c>
      <c r="H443" s="25"/>
      <c r="I443" s="25" t="b">
        <v>0</v>
      </c>
      <c r="J443" s="23" t="b">
        <v>1</v>
      </c>
      <c r="K443" s="26" t="b">
        <v>0</v>
      </c>
      <c r="L443" s="25"/>
      <c r="M443" s="25"/>
      <c r="N443" s="25" t="str">
        <f>_xlfn.IFNA(VLOOKUP($M443,Buff.CM!$A:$O,13,FALSE),"")</f>
        <v/>
      </c>
      <c r="O443" s="25" t="str">
        <f>_xlfn.IFNA(VLOOKUP($M443,Buff.CM!$A:$O,14,FALSE),"")</f>
        <v/>
      </c>
      <c r="P443" s="25" t="str">
        <f>_xlfn.IFNA(VLOOKUP($M443,Buff.CM!$A:$O,15,FALSE),"")</f>
        <v/>
      </c>
      <c r="Q443" s="25" t="b">
        <v>0</v>
      </c>
      <c r="R443" s="25" t="b">
        <v>0</v>
      </c>
    </row>
    <row r="444" spans="1:18" s="13" customFormat="1">
      <c r="A444" s="25" t="s">
        <v>2146</v>
      </c>
      <c r="B444" s="25" t="s">
        <v>8813</v>
      </c>
      <c r="C444" s="25" t="s">
        <v>863</v>
      </c>
      <c r="D444" s="25">
        <v>2000</v>
      </c>
      <c r="E444" s="25">
        <v>0</v>
      </c>
      <c r="F444" s="25">
        <v>0</v>
      </c>
      <c r="G444" s="25" t="s">
        <v>2152</v>
      </c>
      <c r="H444" s="25"/>
      <c r="I444" s="25" t="b">
        <v>0</v>
      </c>
      <c r="J444" s="23" t="b">
        <v>1</v>
      </c>
      <c r="K444" s="26" t="b">
        <v>0</v>
      </c>
      <c r="L444" s="25"/>
      <c r="M444" s="25"/>
      <c r="N444" s="25" t="str">
        <f>_xlfn.IFNA(VLOOKUP($M444,Buff.CM!$A:$O,13,FALSE),"")</f>
        <v/>
      </c>
      <c r="O444" s="25" t="str">
        <f>_xlfn.IFNA(VLOOKUP($M444,Buff.CM!$A:$O,14,FALSE),"")</f>
        <v/>
      </c>
      <c r="P444" s="25" t="str">
        <f>_xlfn.IFNA(VLOOKUP($M444,Buff.CM!$A:$O,15,FALSE),"")</f>
        <v/>
      </c>
      <c r="Q444" s="25" t="b">
        <v>0</v>
      </c>
      <c r="R444" s="25" t="b">
        <v>0</v>
      </c>
    </row>
    <row r="445" spans="1:18" s="13" customFormat="1">
      <c r="A445" s="25" t="s">
        <v>2147</v>
      </c>
      <c r="B445" s="25" t="s">
        <v>8813</v>
      </c>
      <c r="C445" s="25" t="s">
        <v>863</v>
      </c>
      <c r="D445" s="25">
        <v>2000</v>
      </c>
      <c r="E445" s="25">
        <v>0</v>
      </c>
      <c r="F445" s="25">
        <v>0</v>
      </c>
      <c r="G445" s="25" t="s">
        <v>2153</v>
      </c>
      <c r="H445" s="25"/>
      <c r="I445" s="25" t="b">
        <v>0</v>
      </c>
      <c r="J445" s="23" t="b">
        <v>1</v>
      </c>
      <c r="K445" s="26" t="b">
        <v>0</v>
      </c>
      <c r="L445" s="25"/>
      <c r="M445" s="25"/>
      <c r="N445" s="25" t="str">
        <f>_xlfn.IFNA(VLOOKUP($M445,Buff.CM!$A:$O,13,FALSE),"")</f>
        <v/>
      </c>
      <c r="O445" s="25" t="str">
        <f>_xlfn.IFNA(VLOOKUP($M445,Buff.CM!$A:$O,14,FALSE),"")</f>
        <v/>
      </c>
      <c r="P445" s="25" t="str">
        <f>_xlfn.IFNA(VLOOKUP($M445,Buff.CM!$A:$O,15,FALSE),"")</f>
        <v/>
      </c>
      <c r="Q445" s="25" t="b">
        <v>0</v>
      </c>
      <c r="R445" s="25" t="b">
        <v>0</v>
      </c>
    </row>
    <row r="446" spans="1:18" s="13" customFormat="1">
      <c r="A446" s="34" t="s">
        <v>2148</v>
      </c>
      <c r="B446" s="34" t="s">
        <v>8813</v>
      </c>
      <c r="C446" s="34" t="s">
        <v>863</v>
      </c>
      <c r="D446" s="34">
        <v>2000</v>
      </c>
      <c r="E446" s="34">
        <v>0</v>
      </c>
      <c r="F446" s="34">
        <v>0</v>
      </c>
      <c r="G446" s="34" t="s">
        <v>2154</v>
      </c>
      <c r="H446" s="34"/>
      <c r="I446" s="34" t="b">
        <v>0</v>
      </c>
      <c r="J446" s="23" t="b">
        <v>1</v>
      </c>
      <c r="K446" s="26" t="b">
        <v>0</v>
      </c>
      <c r="L446" s="26"/>
      <c r="M446" s="26"/>
      <c r="N446" s="26" t="str">
        <f>_xlfn.IFNA(VLOOKUP($M446,Buff.CM!$A:$O,13,FALSE),"")</f>
        <v/>
      </c>
      <c r="O446" s="26" t="str">
        <f>_xlfn.IFNA(VLOOKUP($M446,Buff.CM!$A:$O,14,FALSE),"")</f>
        <v/>
      </c>
      <c r="P446" s="26" t="str">
        <f>_xlfn.IFNA(VLOOKUP($M446,Buff.CM!$A:$O,15,FALSE),"")</f>
        <v/>
      </c>
      <c r="Q446" s="34" t="b">
        <v>0</v>
      </c>
      <c r="R446" s="34" t="b">
        <v>0</v>
      </c>
    </row>
    <row r="447" spans="1:18" s="13" customFormat="1">
      <c r="A447" s="34" t="s">
        <v>2149</v>
      </c>
      <c r="B447" s="34" t="s">
        <v>8813</v>
      </c>
      <c r="C447" s="34" t="s">
        <v>863</v>
      </c>
      <c r="D447" s="34">
        <v>2000</v>
      </c>
      <c r="E447" s="34">
        <v>0</v>
      </c>
      <c r="F447" s="34">
        <v>0</v>
      </c>
      <c r="G447" s="34" t="s">
        <v>2155</v>
      </c>
      <c r="H447" s="34"/>
      <c r="I447" s="34" t="b">
        <v>0</v>
      </c>
      <c r="J447" s="23" t="b">
        <v>1</v>
      </c>
      <c r="K447" s="26" t="b">
        <v>0</v>
      </c>
      <c r="L447" s="26"/>
      <c r="M447" s="26"/>
      <c r="N447" s="26" t="str">
        <f>_xlfn.IFNA(VLOOKUP($M447,Buff.CM!$A:$O,13,FALSE),"")</f>
        <v/>
      </c>
      <c r="O447" s="26" t="str">
        <f>_xlfn.IFNA(VLOOKUP($M447,Buff.CM!$A:$O,14,FALSE),"")</f>
        <v/>
      </c>
      <c r="P447" s="26" t="str">
        <f>_xlfn.IFNA(VLOOKUP($M447,Buff.CM!$A:$O,15,FALSE),"")</f>
        <v/>
      </c>
      <c r="Q447" s="34" t="b">
        <v>0</v>
      </c>
      <c r="R447" s="34" t="b">
        <v>0</v>
      </c>
    </row>
    <row r="448" spans="1:18" s="13" customFormat="1">
      <c r="A448" s="34" t="s">
        <v>2150</v>
      </c>
      <c r="B448" s="34" t="s">
        <v>8813</v>
      </c>
      <c r="C448" s="34" t="s">
        <v>863</v>
      </c>
      <c r="D448" s="34">
        <v>2000</v>
      </c>
      <c r="E448" s="34">
        <v>0</v>
      </c>
      <c r="F448" s="34">
        <v>0</v>
      </c>
      <c r="G448" s="34" t="s">
        <v>2156</v>
      </c>
      <c r="H448" s="34"/>
      <c r="I448" s="34" t="b">
        <v>0</v>
      </c>
      <c r="J448" s="23" t="b">
        <v>1</v>
      </c>
      <c r="K448" s="26" t="b">
        <v>0</v>
      </c>
      <c r="L448" s="26"/>
      <c r="M448" s="26"/>
      <c r="N448" s="26" t="str">
        <f>_xlfn.IFNA(VLOOKUP($M448,Buff.CM!$A:$O,13,FALSE),"")</f>
        <v/>
      </c>
      <c r="O448" s="26" t="str">
        <f>_xlfn.IFNA(VLOOKUP($M448,Buff.CM!$A:$O,14,FALSE),"")</f>
        <v/>
      </c>
      <c r="P448" s="26" t="str">
        <f>_xlfn.IFNA(VLOOKUP($M448,Buff.CM!$A:$O,15,FALSE),"")</f>
        <v/>
      </c>
      <c r="Q448" s="34" t="b">
        <v>0</v>
      </c>
      <c r="R448" s="34" t="b">
        <v>0</v>
      </c>
    </row>
    <row r="449" spans="1:18">
      <c r="A449" s="25" t="s">
        <v>7009</v>
      </c>
      <c r="B449" s="25"/>
      <c r="C449" s="25"/>
      <c r="D449" s="25">
        <v>0</v>
      </c>
      <c r="E449" s="25">
        <v>0</v>
      </c>
      <c r="F449" s="25">
        <v>0</v>
      </c>
      <c r="G449" s="25" t="s">
        <v>7010</v>
      </c>
      <c r="H449" s="25"/>
      <c r="I449" s="25" t="b">
        <v>0</v>
      </c>
      <c r="J449" s="23" t="b">
        <v>1</v>
      </c>
      <c r="K449" s="25" t="b">
        <v>1</v>
      </c>
      <c r="L449" s="25"/>
      <c r="M449" s="25"/>
      <c r="N449" s="25" t="str">
        <f>_xlfn.IFNA(VLOOKUP($M449,Buff.CM!$A:$O,13,FALSE),"")</f>
        <v/>
      </c>
      <c r="O449" s="25" t="str">
        <f>_xlfn.IFNA(VLOOKUP($M449,Buff.CM!$A:$O,14,FALSE),"")</f>
        <v/>
      </c>
      <c r="P449" s="25" t="str">
        <f>_xlfn.IFNA(VLOOKUP($M449,Buff.CM!$A:$O,15,FALSE),"")</f>
        <v/>
      </c>
      <c r="Q449" s="25" t="b">
        <v>0</v>
      </c>
      <c r="R449" s="25" t="b">
        <v>0</v>
      </c>
    </row>
    <row r="450" spans="1:18">
      <c r="A450" s="25" t="s">
        <v>3669</v>
      </c>
      <c r="B450" s="25"/>
      <c r="C450" s="25"/>
      <c r="D450" s="25">
        <v>0</v>
      </c>
      <c r="E450" s="25">
        <v>0</v>
      </c>
      <c r="F450" s="25">
        <v>0</v>
      </c>
      <c r="G450" s="25" t="s">
        <v>3674</v>
      </c>
      <c r="H450" s="25"/>
      <c r="I450" s="25" t="b">
        <v>0</v>
      </c>
      <c r="J450" s="23" t="b">
        <v>1</v>
      </c>
      <c r="K450" s="25" t="b">
        <v>1</v>
      </c>
      <c r="L450" s="25"/>
      <c r="M450" s="25"/>
      <c r="N450" s="25" t="str">
        <f>_xlfn.IFNA(VLOOKUP($M450,Buff.CM!$A:$O,13,FALSE),"")</f>
        <v/>
      </c>
      <c r="O450" s="25" t="str">
        <f>_xlfn.IFNA(VLOOKUP($M450,Buff.CM!$A:$O,14,FALSE),"")</f>
        <v/>
      </c>
      <c r="P450" s="25" t="str">
        <f>_xlfn.IFNA(VLOOKUP($M450,Buff.CM!$A:$O,15,FALSE),"")</f>
        <v/>
      </c>
      <c r="Q450" s="25" t="b">
        <v>0</v>
      </c>
      <c r="R450" s="25" t="b">
        <v>0</v>
      </c>
    </row>
    <row r="451" spans="1:18">
      <c r="A451" s="25" t="s">
        <v>3670</v>
      </c>
      <c r="B451" s="25"/>
      <c r="C451" s="25"/>
      <c r="D451" s="25">
        <v>0</v>
      </c>
      <c r="E451" s="25">
        <v>0</v>
      </c>
      <c r="F451" s="25">
        <v>0</v>
      </c>
      <c r="G451" s="25" t="s">
        <v>3675</v>
      </c>
      <c r="H451" s="25"/>
      <c r="I451" s="25" t="b">
        <v>0</v>
      </c>
      <c r="J451" s="23" t="b">
        <v>1</v>
      </c>
      <c r="K451" s="25" t="b">
        <v>1</v>
      </c>
      <c r="L451" s="25"/>
      <c r="M451" s="25"/>
      <c r="N451" s="25" t="str">
        <f>_xlfn.IFNA(VLOOKUP($M451,Buff.CM!$A:$O,13,FALSE),"")</f>
        <v/>
      </c>
      <c r="O451" s="25" t="str">
        <f>_xlfn.IFNA(VLOOKUP($M451,Buff.CM!$A:$O,14,FALSE),"")</f>
        <v/>
      </c>
      <c r="P451" s="25" t="str">
        <f>_xlfn.IFNA(VLOOKUP($M451,Buff.CM!$A:$O,15,FALSE),"")</f>
        <v/>
      </c>
      <c r="Q451" s="25" t="b">
        <v>0</v>
      </c>
      <c r="R451" s="25" t="b">
        <v>0</v>
      </c>
    </row>
    <row r="452" spans="1:18">
      <c r="A452" s="34" t="s">
        <v>3671</v>
      </c>
      <c r="B452" s="34"/>
      <c r="C452" s="34"/>
      <c r="D452" s="34">
        <v>0</v>
      </c>
      <c r="E452" s="34">
        <v>0</v>
      </c>
      <c r="F452" s="34">
        <v>0</v>
      </c>
      <c r="G452" s="34" t="s">
        <v>3676</v>
      </c>
      <c r="H452" s="34"/>
      <c r="I452" s="34" t="b">
        <v>0</v>
      </c>
      <c r="J452" s="23" t="b">
        <v>1</v>
      </c>
      <c r="K452" s="34" t="b">
        <v>1</v>
      </c>
      <c r="L452" s="26"/>
      <c r="M452" s="26"/>
      <c r="N452" s="26" t="str">
        <f>_xlfn.IFNA(VLOOKUP($M452,Buff.CM!$A:$O,13,FALSE),"")</f>
        <v/>
      </c>
      <c r="O452" s="26" t="str">
        <f>_xlfn.IFNA(VLOOKUP($M452,Buff.CM!$A:$O,14,FALSE),"")</f>
        <v/>
      </c>
      <c r="P452" s="26" t="str">
        <f>_xlfn.IFNA(VLOOKUP($M452,Buff.CM!$A:$O,15,FALSE),"")</f>
        <v/>
      </c>
      <c r="Q452" s="34" t="b">
        <v>0</v>
      </c>
      <c r="R452" s="34" t="b">
        <v>0</v>
      </c>
    </row>
    <row r="453" spans="1:18">
      <c r="A453" s="34" t="s">
        <v>3672</v>
      </c>
      <c r="B453" s="34"/>
      <c r="C453" s="34"/>
      <c r="D453" s="34">
        <v>0</v>
      </c>
      <c r="E453" s="34">
        <v>0</v>
      </c>
      <c r="F453" s="34">
        <v>0</v>
      </c>
      <c r="G453" s="34" t="s">
        <v>3677</v>
      </c>
      <c r="H453" s="34"/>
      <c r="I453" s="34" t="b">
        <v>0</v>
      </c>
      <c r="J453" s="23" t="b">
        <v>1</v>
      </c>
      <c r="K453" s="34" t="b">
        <v>1</v>
      </c>
      <c r="L453" s="26"/>
      <c r="M453" s="26"/>
      <c r="N453" s="26" t="str">
        <f>_xlfn.IFNA(VLOOKUP($M453,Buff.CM!$A:$O,13,FALSE),"")</f>
        <v/>
      </c>
      <c r="O453" s="26" t="str">
        <f>_xlfn.IFNA(VLOOKUP($M453,Buff.CM!$A:$O,14,FALSE),"")</f>
        <v/>
      </c>
      <c r="P453" s="26" t="str">
        <f>_xlfn.IFNA(VLOOKUP($M453,Buff.CM!$A:$O,15,FALSE),"")</f>
        <v/>
      </c>
      <c r="Q453" s="34" t="b">
        <v>0</v>
      </c>
      <c r="R453" s="34" t="b">
        <v>0</v>
      </c>
    </row>
    <row r="454" spans="1:18" s="13" customFormat="1">
      <c r="A454" s="34" t="s">
        <v>3673</v>
      </c>
      <c r="B454" s="34"/>
      <c r="C454" s="34"/>
      <c r="D454" s="34">
        <v>0</v>
      </c>
      <c r="E454" s="34">
        <v>0</v>
      </c>
      <c r="F454" s="34">
        <v>0</v>
      </c>
      <c r="G454" s="34" t="s">
        <v>3678</v>
      </c>
      <c r="H454" s="34"/>
      <c r="I454" s="34" t="b">
        <v>0</v>
      </c>
      <c r="J454" s="23" t="b">
        <v>1</v>
      </c>
      <c r="K454" s="34" t="b">
        <v>1</v>
      </c>
      <c r="L454" s="26"/>
      <c r="M454" s="26"/>
      <c r="N454" s="26" t="str">
        <f>_xlfn.IFNA(VLOOKUP($M454,Buff.CM!$A:$O,13,FALSE),"")</f>
        <v/>
      </c>
      <c r="O454" s="26" t="str">
        <f>_xlfn.IFNA(VLOOKUP($M454,Buff.CM!$A:$O,14,FALSE),"")</f>
        <v/>
      </c>
      <c r="P454" s="26" t="str">
        <f>_xlfn.IFNA(VLOOKUP($M454,Buff.CM!$A:$O,15,FALSE),"")</f>
        <v/>
      </c>
      <c r="Q454" s="34" t="b">
        <v>0</v>
      </c>
      <c r="R454" s="34" t="b">
        <v>0</v>
      </c>
    </row>
    <row r="455" spans="1:18">
      <c r="A455" s="24" t="s">
        <v>4212</v>
      </c>
      <c r="B455" s="24"/>
      <c r="C455" s="24"/>
      <c r="D455" s="24">
        <v>0</v>
      </c>
      <c r="E455" s="24">
        <v>0</v>
      </c>
      <c r="F455" s="24">
        <v>0</v>
      </c>
      <c r="G455" s="108" t="s">
        <v>4206</v>
      </c>
      <c r="H455" s="24"/>
      <c r="I455" s="24" t="b">
        <v>0</v>
      </c>
      <c r="J455" s="23" t="b">
        <v>1</v>
      </c>
      <c r="K455" s="24" t="b">
        <v>0</v>
      </c>
      <c r="L455" s="24"/>
      <c r="M455" s="24"/>
      <c r="N455" s="24" t="str">
        <f>_xlfn.IFNA(VLOOKUP($M455,Buff.CM!$A:$O,13,FALSE),"")</f>
        <v/>
      </c>
      <c r="O455" s="24" t="str">
        <f>_xlfn.IFNA(VLOOKUP($M455,Buff.CM!$A:$O,14,FALSE),"")</f>
        <v/>
      </c>
      <c r="P455" s="24" t="str">
        <f>_xlfn.IFNA(VLOOKUP($M455,Buff.CM!$A:$O,15,FALSE),"")</f>
        <v/>
      </c>
      <c r="Q455" s="24" t="b">
        <v>0</v>
      </c>
      <c r="R455" s="24" t="b">
        <v>0</v>
      </c>
    </row>
    <row r="456" spans="1:18">
      <c r="A456" s="24" t="s">
        <v>4213</v>
      </c>
      <c r="B456" s="24"/>
      <c r="C456" s="24"/>
      <c r="D456" s="24">
        <v>0</v>
      </c>
      <c r="E456" s="24">
        <v>0</v>
      </c>
      <c r="F456" s="24">
        <v>0</v>
      </c>
      <c r="G456" s="108" t="s">
        <v>4207</v>
      </c>
      <c r="H456" s="24"/>
      <c r="I456" s="24" t="b">
        <v>0</v>
      </c>
      <c r="J456" s="23" t="b">
        <v>1</v>
      </c>
      <c r="K456" s="24" t="b">
        <v>0</v>
      </c>
      <c r="L456" s="24"/>
      <c r="M456" s="24"/>
      <c r="N456" s="24" t="str">
        <f>_xlfn.IFNA(VLOOKUP($M456,Buff.CM!$A:$O,13,FALSE),"")</f>
        <v/>
      </c>
      <c r="O456" s="24" t="str">
        <f>_xlfn.IFNA(VLOOKUP($M456,Buff.CM!$A:$O,14,FALSE),"")</f>
        <v/>
      </c>
      <c r="P456" s="24" t="str">
        <f>_xlfn.IFNA(VLOOKUP($M456,Buff.CM!$A:$O,15,FALSE),"")</f>
        <v/>
      </c>
      <c r="Q456" s="24" t="b">
        <v>0</v>
      </c>
      <c r="R456" s="24" t="b">
        <v>0</v>
      </c>
    </row>
    <row r="457" spans="1:18">
      <c r="A457" s="24" t="s">
        <v>4214</v>
      </c>
      <c r="B457" s="24"/>
      <c r="C457" s="24"/>
      <c r="D457" s="24">
        <v>0</v>
      </c>
      <c r="E457" s="24">
        <v>0</v>
      </c>
      <c r="F457" s="24">
        <v>0</v>
      </c>
      <c r="G457" s="108" t="s">
        <v>4208</v>
      </c>
      <c r="H457" s="24"/>
      <c r="I457" s="24" t="b">
        <v>0</v>
      </c>
      <c r="J457" s="23" t="b">
        <v>1</v>
      </c>
      <c r="K457" s="24" t="b">
        <v>0</v>
      </c>
      <c r="L457" s="24"/>
      <c r="M457" s="24"/>
      <c r="N457" s="24" t="str">
        <f>_xlfn.IFNA(VLOOKUP($M457,Buff.CM!$A:$O,13,FALSE),"")</f>
        <v/>
      </c>
      <c r="O457" s="24" t="str">
        <f>_xlfn.IFNA(VLOOKUP($M457,Buff.CM!$A:$O,14,FALSE),"")</f>
        <v/>
      </c>
      <c r="P457" s="24" t="str">
        <f>_xlfn.IFNA(VLOOKUP($M457,Buff.CM!$A:$O,15,FALSE),"")</f>
        <v/>
      </c>
      <c r="Q457" s="24" t="b">
        <v>0</v>
      </c>
      <c r="R457" s="24" t="b">
        <v>0</v>
      </c>
    </row>
    <row r="458" spans="1:18">
      <c r="A458" s="34" t="s">
        <v>4215</v>
      </c>
      <c r="B458" s="34"/>
      <c r="C458" s="34"/>
      <c r="D458" s="34">
        <v>0</v>
      </c>
      <c r="E458" s="34">
        <v>0</v>
      </c>
      <c r="F458" s="34">
        <v>0</v>
      </c>
      <c r="G458" s="37" t="s">
        <v>4209</v>
      </c>
      <c r="H458" s="34"/>
      <c r="I458" s="34" t="b">
        <v>0</v>
      </c>
      <c r="J458" s="23" t="b">
        <v>1</v>
      </c>
      <c r="K458" s="34" t="b">
        <v>0</v>
      </c>
      <c r="L458" s="34"/>
      <c r="M458" s="34"/>
      <c r="N458" s="34" t="str">
        <f>_xlfn.IFNA(VLOOKUP($M458,Buff.CM!$A:$O,13,FALSE),"")</f>
        <v/>
      </c>
      <c r="O458" s="34" t="str">
        <f>_xlfn.IFNA(VLOOKUP($M458,Buff.CM!$A:$O,14,FALSE),"")</f>
        <v/>
      </c>
      <c r="P458" s="34" t="str">
        <f>_xlfn.IFNA(VLOOKUP($M458,Buff.CM!$A:$O,15,FALSE),"")</f>
        <v/>
      </c>
      <c r="Q458" s="34" t="b">
        <v>0</v>
      </c>
      <c r="R458" s="34" t="b">
        <v>0</v>
      </c>
    </row>
    <row r="459" spans="1:18">
      <c r="A459" s="34" t="s">
        <v>4216</v>
      </c>
      <c r="B459" s="34"/>
      <c r="C459" s="34"/>
      <c r="D459" s="34">
        <v>0</v>
      </c>
      <c r="E459" s="34">
        <v>0</v>
      </c>
      <c r="F459" s="34">
        <v>0</v>
      </c>
      <c r="G459" s="37" t="s">
        <v>4210</v>
      </c>
      <c r="H459" s="34"/>
      <c r="I459" s="34" t="b">
        <v>0</v>
      </c>
      <c r="J459" s="23" t="b">
        <v>1</v>
      </c>
      <c r="K459" s="34" t="b">
        <v>0</v>
      </c>
      <c r="L459" s="34"/>
      <c r="M459" s="34"/>
      <c r="N459" s="34" t="str">
        <f>_xlfn.IFNA(VLOOKUP($M459,Buff.CM!$A:$O,13,FALSE),"")</f>
        <v/>
      </c>
      <c r="O459" s="34" t="str">
        <f>_xlfn.IFNA(VLOOKUP($M459,Buff.CM!$A:$O,14,FALSE),"")</f>
        <v/>
      </c>
      <c r="P459" s="34" t="str">
        <f>_xlfn.IFNA(VLOOKUP($M459,Buff.CM!$A:$O,15,FALSE),"")</f>
        <v/>
      </c>
      <c r="Q459" s="34" t="b">
        <v>0</v>
      </c>
      <c r="R459" s="34" t="b">
        <v>0</v>
      </c>
    </row>
    <row r="460" spans="1:18">
      <c r="A460" s="34" t="s">
        <v>4217</v>
      </c>
      <c r="B460" s="34"/>
      <c r="C460" s="34"/>
      <c r="D460" s="34">
        <v>0</v>
      </c>
      <c r="E460" s="34">
        <v>0</v>
      </c>
      <c r="F460" s="34">
        <v>0</v>
      </c>
      <c r="G460" s="37" t="s">
        <v>4211</v>
      </c>
      <c r="H460" s="34"/>
      <c r="I460" s="34" t="b">
        <v>0</v>
      </c>
      <c r="J460" s="23" t="b">
        <v>1</v>
      </c>
      <c r="K460" s="34" t="b">
        <v>0</v>
      </c>
      <c r="L460" s="34"/>
      <c r="M460" s="34"/>
      <c r="N460" s="34" t="str">
        <f>_xlfn.IFNA(VLOOKUP($M460,Buff.CM!$A:$O,13,FALSE),"")</f>
        <v/>
      </c>
      <c r="O460" s="34" t="str">
        <f>_xlfn.IFNA(VLOOKUP($M460,Buff.CM!$A:$O,14,FALSE),"")</f>
        <v/>
      </c>
      <c r="P460" s="34" t="str">
        <f>_xlfn.IFNA(VLOOKUP($M460,Buff.CM!$A:$O,15,FALSE),"")</f>
        <v/>
      </c>
      <c r="Q460" s="34" t="b">
        <v>0</v>
      </c>
      <c r="R460" s="34" t="b">
        <v>0</v>
      </c>
    </row>
    <row r="461" spans="1:18">
      <c r="A461" s="23" t="s">
        <v>695</v>
      </c>
      <c r="B461" s="23"/>
      <c r="C461" s="23"/>
      <c r="D461" s="23">
        <v>7000</v>
      </c>
      <c r="E461" s="23">
        <v>0</v>
      </c>
      <c r="F461" s="23">
        <v>0</v>
      </c>
      <c r="G461" s="112" t="s">
        <v>1607</v>
      </c>
      <c r="H461" s="23"/>
      <c r="I461" s="23" t="b">
        <v>0</v>
      </c>
      <c r="J461" s="23" t="b">
        <v>0</v>
      </c>
      <c r="K461" s="23" t="b">
        <v>0</v>
      </c>
      <c r="L461" s="23" t="s">
        <v>8311</v>
      </c>
      <c r="M461" s="112" t="s">
        <v>1607</v>
      </c>
      <c r="N461" s="23" t="str">
        <f>_xlfn.IFNA(VLOOKUP($M461,Buff.CM!$A:$O,13,FALSE),"")</f>
        <v>icon_battle_receiverecovery</v>
      </c>
      <c r="O461" s="23" t="str">
        <f>_xlfn.IFNA(VLOOKUP($M461,Buff.CM!$A:$O,14,FALSE),"")</f>
        <v>Buff.Name.ReceiveHealRate.Down.02</v>
      </c>
      <c r="P461" s="23" t="str">
        <f>_xlfn.IFNA(VLOOKUP($M461,Buff.CM!$A:$O,15,FALSE),"")</f>
        <v>Buff.Desc.ReceiveHealRate.Down.02</v>
      </c>
      <c r="Q461" s="23" t="b">
        <v>0</v>
      </c>
      <c r="R461" s="23" t="b">
        <v>0</v>
      </c>
    </row>
    <row r="462" spans="1:18">
      <c r="A462" s="23" t="s">
        <v>696</v>
      </c>
      <c r="B462" s="23"/>
      <c r="C462" s="23"/>
      <c r="D462" s="23">
        <v>8000</v>
      </c>
      <c r="E462" s="23">
        <v>0</v>
      </c>
      <c r="F462" s="23">
        <v>0</v>
      </c>
      <c r="G462" s="112" t="s">
        <v>1607</v>
      </c>
      <c r="H462" s="23"/>
      <c r="I462" s="23" t="b">
        <v>0</v>
      </c>
      <c r="J462" s="23" t="b">
        <v>0</v>
      </c>
      <c r="K462" s="23" t="b">
        <v>0</v>
      </c>
      <c r="L462" s="23" t="s">
        <v>6761</v>
      </c>
      <c r="M462" s="112" t="s">
        <v>1607</v>
      </c>
      <c r="N462" s="23" t="str">
        <f>_xlfn.IFNA(VLOOKUP($M462,Buff.CM!$A:$O,13,FALSE),"")</f>
        <v>icon_battle_receiverecovery</v>
      </c>
      <c r="O462" s="23" t="str">
        <f>_xlfn.IFNA(VLOOKUP($M462,Buff.CM!$A:$O,14,FALSE),"")</f>
        <v>Buff.Name.ReceiveHealRate.Down.02</v>
      </c>
      <c r="P462" s="23" t="str">
        <f>_xlfn.IFNA(VLOOKUP($M462,Buff.CM!$A:$O,15,FALSE),"")</f>
        <v>Buff.Desc.ReceiveHealRate.Down.02</v>
      </c>
      <c r="Q462" s="23" t="b">
        <v>0</v>
      </c>
      <c r="R462" s="23" t="b">
        <v>0</v>
      </c>
    </row>
    <row r="463" spans="1:18">
      <c r="A463" s="23" t="s">
        <v>697</v>
      </c>
      <c r="B463" s="23"/>
      <c r="C463" s="23"/>
      <c r="D463" s="23">
        <v>8000</v>
      </c>
      <c r="E463" s="23">
        <v>0</v>
      </c>
      <c r="F463" s="23">
        <v>0</v>
      </c>
      <c r="G463" s="112" t="s">
        <v>7011</v>
      </c>
      <c r="H463" s="23"/>
      <c r="I463" s="23" t="b">
        <v>0</v>
      </c>
      <c r="J463" s="23" t="b">
        <v>0</v>
      </c>
      <c r="K463" s="23" t="b">
        <v>0</v>
      </c>
      <c r="L463" s="23" t="s">
        <v>6761</v>
      </c>
      <c r="M463" s="112" t="s">
        <v>7011</v>
      </c>
      <c r="N463" s="23" t="str">
        <f>_xlfn.IFNA(VLOOKUP($M463,Buff.CM!$A:$O,13,FALSE),"")</f>
        <v>icon_battle_receiverecovery</v>
      </c>
      <c r="O463" s="23" t="str">
        <f>_xlfn.IFNA(VLOOKUP($M463,Buff.CM!$A:$O,14,FALSE),"")</f>
        <v>Buff.Name.ReceiveHealRate.Down.03</v>
      </c>
      <c r="P463" s="23" t="str">
        <f>_xlfn.IFNA(VLOOKUP($M463,Buff.CM!$A:$O,15,FALSE),"")</f>
        <v>Buff.Desc.ReceiveHealRate.Down.03</v>
      </c>
      <c r="Q463" s="23" t="b">
        <v>0</v>
      </c>
      <c r="R463" s="23" t="b">
        <v>0</v>
      </c>
    </row>
    <row r="464" spans="1:18">
      <c r="A464" s="23" t="s">
        <v>3321</v>
      </c>
      <c r="B464" s="23"/>
      <c r="C464" s="23"/>
      <c r="D464" s="23">
        <v>9000</v>
      </c>
      <c r="E464" s="23">
        <v>0</v>
      </c>
      <c r="F464" s="23">
        <v>0</v>
      </c>
      <c r="G464" s="112" t="s">
        <v>7011</v>
      </c>
      <c r="H464" s="23"/>
      <c r="I464" s="23" t="b">
        <v>0</v>
      </c>
      <c r="J464" s="23" t="b">
        <v>0</v>
      </c>
      <c r="K464" s="23" t="b">
        <v>0</v>
      </c>
      <c r="L464" s="23" t="s">
        <v>6761</v>
      </c>
      <c r="M464" s="112" t="s">
        <v>7011</v>
      </c>
      <c r="N464" s="23" t="str">
        <f>_xlfn.IFNA(VLOOKUP($M464,Buff.CM!$A:$O,13,FALSE),"")</f>
        <v>icon_battle_receiverecovery</v>
      </c>
      <c r="O464" s="23" t="str">
        <f>_xlfn.IFNA(VLOOKUP($M464,Buff.CM!$A:$O,14,FALSE),"")</f>
        <v>Buff.Name.ReceiveHealRate.Down.03</v>
      </c>
      <c r="P464" s="23" t="str">
        <f>_xlfn.IFNA(VLOOKUP($M464,Buff.CM!$A:$O,15,FALSE),"")</f>
        <v>Buff.Desc.ReceiveHealRate.Down.03</v>
      </c>
      <c r="Q464" s="23" t="b">
        <v>0</v>
      </c>
      <c r="R464" s="23" t="b">
        <v>0</v>
      </c>
    </row>
    <row r="465" spans="1:18">
      <c r="A465" s="23" t="s">
        <v>3322</v>
      </c>
      <c r="B465" s="23"/>
      <c r="C465" s="23"/>
      <c r="D465" s="23">
        <v>10000</v>
      </c>
      <c r="E465" s="23">
        <v>0</v>
      </c>
      <c r="F465" s="23">
        <v>0</v>
      </c>
      <c r="G465" s="112" t="s">
        <v>7011</v>
      </c>
      <c r="H465" s="23"/>
      <c r="I465" s="23" t="b">
        <v>0</v>
      </c>
      <c r="J465" s="23" t="b">
        <v>0</v>
      </c>
      <c r="K465" s="23" t="b">
        <v>0</v>
      </c>
      <c r="L465" s="23" t="s">
        <v>6761</v>
      </c>
      <c r="M465" s="112" t="s">
        <v>7011</v>
      </c>
      <c r="N465" s="23" t="str">
        <f>_xlfn.IFNA(VLOOKUP($M465,Buff.CM!$A:$O,13,FALSE),"")</f>
        <v>icon_battle_receiverecovery</v>
      </c>
      <c r="O465" s="23" t="str">
        <f>_xlfn.IFNA(VLOOKUP($M465,Buff.CM!$A:$O,14,FALSE),"")</f>
        <v>Buff.Name.ReceiveHealRate.Down.03</v>
      </c>
      <c r="P465" s="23" t="str">
        <f>_xlfn.IFNA(VLOOKUP($M465,Buff.CM!$A:$O,15,FALSE),"")</f>
        <v>Buff.Desc.ReceiveHealRate.Down.03</v>
      </c>
      <c r="Q465" s="23" t="b">
        <v>0</v>
      </c>
      <c r="R465" s="23" t="b">
        <v>0</v>
      </c>
    </row>
    <row r="466" spans="1:18">
      <c r="A466" s="23" t="s">
        <v>3323</v>
      </c>
      <c r="B466" s="23"/>
      <c r="C466" s="23"/>
      <c r="D466" s="23">
        <v>7000</v>
      </c>
      <c r="E466" s="23">
        <v>0</v>
      </c>
      <c r="F466" s="23">
        <v>0</v>
      </c>
      <c r="G466" s="112" t="s">
        <v>7011</v>
      </c>
      <c r="H466" s="23"/>
      <c r="I466" s="23" t="b">
        <v>0</v>
      </c>
      <c r="J466" s="23" t="b">
        <v>0</v>
      </c>
      <c r="K466" s="23" t="b">
        <v>0</v>
      </c>
      <c r="L466" s="23" t="s">
        <v>6761</v>
      </c>
      <c r="M466" s="112" t="s">
        <v>7011</v>
      </c>
      <c r="N466" s="23" t="str">
        <f>_xlfn.IFNA(VLOOKUP($M466,Buff.CM!$A:$O,13,FALSE),"")</f>
        <v>icon_battle_receiverecovery</v>
      </c>
      <c r="O466" s="23" t="str">
        <f>_xlfn.IFNA(VLOOKUP($M466,Buff.CM!$A:$O,14,FALSE),"")</f>
        <v>Buff.Name.ReceiveHealRate.Down.03</v>
      </c>
      <c r="P466" s="23" t="str">
        <f>_xlfn.IFNA(VLOOKUP($M466,Buff.CM!$A:$O,15,FALSE),"")</f>
        <v>Buff.Desc.ReceiveHealRate.Down.03</v>
      </c>
      <c r="Q466" s="23" t="b">
        <v>0</v>
      </c>
      <c r="R466" s="23" t="b">
        <v>0</v>
      </c>
    </row>
    <row r="467" spans="1:18" s="160" customFormat="1">
      <c r="A467" s="65" t="s">
        <v>7012</v>
      </c>
      <c r="B467" s="65"/>
      <c r="C467" s="65"/>
      <c r="D467" s="65">
        <v>7000</v>
      </c>
      <c r="E467" s="65">
        <v>0</v>
      </c>
      <c r="F467" s="65">
        <v>0</v>
      </c>
      <c r="G467" s="159" t="s">
        <v>1611</v>
      </c>
      <c r="H467" s="65"/>
      <c r="I467" s="65" t="b">
        <v>0</v>
      </c>
      <c r="J467" s="65" t="b">
        <v>0</v>
      </c>
      <c r="K467" s="65" t="b">
        <v>0</v>
      </c>
      <c r="L467" s="24" t="s">
        <v>175</v>
      </c>
      <c r="M467" s="159" t="s">
        <v>1611</v>
      </c>
      <c r="N467" s="65" t="str">
        <f>_xlfn.IFNA(VLOOKUP($M467,Buff.CM!$A:$O,13,FALSE),"")</f>
        <v>icon_battle_eprechargerate_down</v>
      </c>
      <c r="O467" s="65" t="str">
        <f>_xlfn.IFNA(VLOOKUP($M467,Buff.CM!$A:$O,14,FALSE),"")</f>
        <v>Buff.Name.RechargeRate.Down.03</v>
      </c>
      <c r="P467" s="65" t="str">
        <f>_xlfn.IFNA(VLOOKUP($M467,Buff.CM!$A:$O,15,FALSE),"")</f>
        <v>Buff.Desc.RechargeRate.Down.03</v>
      </c>
      <c r="Q467" s="65" t="b">
        <v>0</v>
      </c>
      <c r="R467" s="65" t="b">
        <v>0</v>
      </c>
    </row>
    <row r="468" spans="1:18" s="160" customFormat="1">
      <c r="A468" s="65" t="s">
        <v>3455</v>
      </c>
      <c r="B468" s="65"/>
      <c r="C468" s="65"/>
      <c r="D468" s="65">
        <v>8000</v>
      </c>
      <c r="E468" s="65">
        <v>0</v>
      </c>
      <c r="F468" s="65">
        <v>0</v>
      </c>
      <c r="G468" s="159" t="s">
        <v>1611</v>
      </c>
      <c r="H468" s="65"/>
      <c r="I468" s="65" t="b">
        <v>0</v>
      </c>
      <c r="J468" s="65" t="b">
        <v>0</v>
      </c>
      <c r="K468" s="65" t="b">
        <v>0</v>
      </c>
      <c r="L468" s="24" t="s">
        <v>175</v>
      </c>
      <c r="M468" s="159" t="s">
        <v>1611</v>
      </c>
      <c r="N468" s="65" t="str">
        <f>_xlfn.IFNA(VLOOKUP($M468,Buff.CM!$A:$O,13,FALSE),"")</f>
        <v>icon_battle_eprechargerate_down</v>
      </c>
      <c r="O468" s="65" t="str">
        <f>_xlfn.IFNA(VLOOKUP($M468,Buff.CM!$A:$O,14,FALSE),"")</f>
        <v>Buff.Name.RechargeRate.Down.03</v>
      </c>
      <c r="P468" s="65" t="str">
        <f>_xlfn.IFNA(VLOOKUP($M468,Buff.CM!$A:$O,15,FALSE),"")</f>
        <v>Buff.Desc.RechargeRate.Down.03</v>
      </c>
      <c r="Q468" s="65" t="b">
        <v>0</v>
      </c>
      <c r="R468" s="65" t="b">
        <v>0</v>
      </c>
    </row>
    <row r="469" spans="1:18" s="160" customFormat="1">
      <c r="A469" s="65" t="s">
        <v>3456</v>
      </c>
      <c r="B469" s="65"/>
      <c r="C469" s="65"/>
      <c r="D469" s="65">
        <v>8000</v>
      </c>
      <c r="E469" s="65">
        <v>0</v>
      </c>
      <c r="F469" s="65">
        <v>0</v>
      </c>
      <c r="G469" s="159" t="s">
        <v>1612</v>
      </c>
      <c r="H469" s="65"/>
      <c r="I469" s="65" t="b">
        <v>0</v>
      </c>
      <c r="J469" s="65" t="b">
        <v>0</v>
      </c>
      <c r="K469" s="65" t="b">
        <v>0</v>
      </c>
      <c r="L469" s="24" t="s">
        <v>175</v>
      </c>
      <c r="M469" s="159" t="s">
        <v>1612</v>
      </c>
      <c r="N469" s="65" t="str">
        <f>_xlfn.IFNA(VLOOKUP($M469,Buff.CM!$A:$O,13,FALSE),"")</f>
        <v>icon_battle_eprechargerate_down</v>
      </c>
      <c r="O469" s="65" t="str">
        <f>_xlfn.IFNA(VLOOKUP($M469,Buff.CM!$A:$O,14,FALSE),"")</f>
        <v>Buff.Name.RechargeRate.Down.04</v>
      </c>
      <c r="P469" s="65" t="str">
        <f>_xlfn.IFNA(VLOOKUP($M469,Buff.CM!$A:$O,15,FALSE),"")</f>
        <v>Buff.Desc.RechargeRate.Down.04</v>
      </c>
      <c r="Q469" s="65" t="b">
        <v>0</v>
      </c>
      <c r="R469" s="65" t="b">
        <v>0</v>
      </c>
    </row>
    <row r="470" spans="1:18" s="160" customFormat="1">
      <c r="A470" s="65" t="s">
        <v>3457</v>
      </c>
      <c r="B470" s="65"/>
      <c r="C470" s="65"/>
      <c r="D470" s="65">
        <v>9000</v>
      </c>
      <c r="E470" s="65">
        <v>0</v>
      </c>
      <c r="F470" s="65">
        <v>0</v>
      </c>
      <c r="G470" s="159" t="s">
        <v>1612</v>
      </c>
      <c r="H470" s="65"/>
      <c r="I470" s="65" t="b">
        <v>0</v>
      </c>
      <c r="J470" s="65" t="b">
        <v>0</v>
      </c>
      <c r="K470" s="65" t="b">
        <v>0</v>
      </c>
      <c r="L470" s="24" t="s">
        <v>175</v>
      </c>
      <c r="M470" s="159" t="s">
        <v>1612</v>
      </c>
      <c r="N470" s="65" t="str">
        <f>_xlfn.IFNA(VLOOKUP($M470,Buff.CM!$A:$O,13,FALSE),"")</f>
        <v>icon_battle_eprechargerate_down</v>
      </c>
      <c r="O470" s="65" t="str">
        <f>_xlfn.IFNA(VLOOKUP($M470,Buff.CM!$A:$O,14,FALSE),"")</f>
        <v>Buff.Name.RechargeRate.Down.04</v>
      </c>
      <c r="P470" s="65" t="str">
        <f>_xlfn.IFNA(VLOOKUP($M470,Buff.CM!$A:$O,15,FALSE),"")</f>
        <v>Buff.Desc.RechargeRate.Down.04</v>
      </c>
      <c r="Q470" s="65" t="b">
        <v>0</v>
      </c>
      <c r="R470" s="65" t="b">
        <v>0</v>
      </c>
    </row>
    <row r="471" spans="1:18" s="160" customFormat="1">
      <c r="A471" s="65" t="s">
        <v>3458</v>
      </c>
      <c r="B471" s="65"/>
      <c r="C471" s="65"/>
      <c r="D471" s="65">
        <v>10000</v>
      </c>
      <c r="E471" s="65">
        <v>0</v>
      </c>
      <c r="F471" s="65">
        <v>0</v>
      </c>
      <c r="G471" s="159" t="s">
        <v>1612</v>
      </c>
      <c r="H471" s="65"/>
      <c r="I471" s="65" t="b">
        <v>0</v>
      </c>
      <c r="J471" s="65" t="b">
        <v>0</v>
      </c>
      <c r="K471" s="65" t="b">
        <v>0</v>
      </c>
      <c r="L471" s="24" t="s">
        <v>175</v>
      </c>
      <c r="M471" s="159" t="s">
        <v>1612</v>
      </c>
      <c r="N471" s="65" t="str">
        <f>_xlfn.IFNA(VLOOKUP($M471,Buff.CM!$A:$O,13,FALSE),"")</f>
        <v>icon_battle_eprechargerate_down</v>
      </c>
      <c r="O471" s="65" t="str">
        <f>_xlfn.IFNA(VLOOKUP($M471,Buff.CM!$A:$O,14,FALSE),"")</f>
        <v>Buff.Name.RechargeRate.Down.04</v>
      </c>
      <c r="P471" s="65" t="str">
        <f>_xlfn.IFNA(VLOOKUP($M471,Buff.CM!$A:$O,15,FALSE),"")</f>
        <v>Buff.Desc.RechargeRate.Down.04</v>
      </c>
      <c r="Q471" s="65" t="b">
        <v>0</v>
      </c>
      <c r="R471" s="65" t="b">
        <v>0</v>
      </c>
    </row>
    <row r="472" spans="1:18" s="160" customFormat="1">
      <c r="A472" s="65" t="s">
        <v>3459</v>
      </c>
      <c r="B472" s="65"/>
      <c r="C472" s="65"/>
      <c r="D472" s="65">
        <v>7000</v>
      </c>
      <c r="E472" s="65">
        <v>0</v>
      </c>
      <c r="F472" s="65">
        <v>0</v>
      </c>
      <c r="G472" s="159" t="s">
        <v>1612</v>
      </c>
      <c r="H472" s="65"/>
      <c r="I472" s="65" t="b">
        <v>0</v>
      </c>
      <c r="J472" s="65" t="b">
        <v>0</v>
      </c>
      <c r="K472" s="65" t="b">
        <v>0</v>
      </c>
      <c r="L472" s="24" t="s">
        <v>175</v>
      </c>
      <c r="M472" s="159" t="s">
        <v>1612</v>
      </c>
      <c r="N472" s="65" t="str">
        <f>_xlfn.IFNA(VLOOKUP($M472,Buff.CM!$A:$O,13,FALSE),"")</f>
        <v>icon_battle_eprechargerate_down</v>
      </c>
      <c r="O472" s="65" t="str">
        <f>_xlfn.IFNA(VLOOKUP($M472,Buff.CM!$A:$O,14,FALSE),"")</f>
        <v>Buff.Name.RechargeRate.Down.04</v>
      </c>
      <c r="P472" s="65" t="str">
        <f>_xlfn.IFNA(VLOOKUP($M472,Buff.CM!$A:$O,15,FALSE),"")</f>
        <v>Buff.Desc.RechargeRate.Down.04</v>
      </c>
      <c r="Q472" s="65" t="b">
        <v>0</v>
      </c>
      <c r="R472" s="65" t="b">
        <v>0</v>
      </c>
    </row>
    <row r="473" spans="1:18">
      <c r="A473" s="108" t="s">
        <v>7013</v>
      </c>
      <c r="B473" s="24"/>
      <c r="C473" s="24"/>
      <c r="D473" s="24">
        <v>4000</v>
      </c>
      <c r="E473" s="24">
        <v>0</v>
      </c>
      <c r="F473" s="24">
        <v>0</v>
      </c>
      <c r="G473" s="24" t="s">
        <v>6490</v>
      </c>
      <c r="H473" s="24"/>
      <c r="I473" s="24" t="b">
        <v>0</v>
      </c>
      <c r="J473" s="24" t="b">
        <v>0</v>
      </c>
      <c r="K473" s="24" t="b">
        <v>0</v>
      </c>
      <c r="L473" s="24" t="s">
        <v>175</v>
      </c>
      <c r="M473" s="24" t="s">
        <v>6490</v>
      </c>
      <c r="N473" s="24" t="str">
        <f>_xlfn.IFNA(VLOOKUP($M473,Buff.CM!$A:$O,13,FALSE),"")</f>
        <v>icon_battle_attackspeed</v>
      </c>
      <c r="O473" s="24" t="str">
        <f>_xlfn.IFNA(VLOOKUP($M473,Buff.CM!$A:$O,14,FALSE),"")</f>
        <v>Buff.Name.AtkSpeed.Down.01</v>
      </c>
      <c r="P473" s="24" t="str">
        <f>_xlfn.IFNA(VLOOKUP($M473,Buff.CM!$A:$O,15,FALSE),"")</f>
        <v>Buff.Desc.AtkSpeed.Down.01</v>
      </c>
      <c r="Q473" s="24" t="b">
        <v>0</v>
      </c>
      <c r="R473" s="24" t="b">
        <v>0</v>
      </c>
    </row>
    <row r="474" spans="1:18">
      <c r="A474" s="108" t="s">
        <v>4233</v>
      </c>
      <c r="B474" s="24"/>
      <c r="C474" s="24"/>
      <c r="D474" s="24">
        <v>4000</v>
      </c>
      <c r="E474" s="24">
        <v>0</v>
      </c>
      <c r="F474" s="24">
        <v>0</v>
      </c>
      <c r="G474" s="24" t="s">
        <v>6490</v>
      </c>
      <c r="H474" s="24"/>
      <c r="I474" s="24" t="b">
        <v>0</v>
      </c>
      <c r="J474" s="24" t="b">
        <v>0</v>
      </c>
      <c r="K474" s="24" t="b">
        <v>0</v>
      </c>
      <c r="L474" s="24" t="s">
        <v>175</v>
      </c>
      <c r="M474" s="24" t="s">
        <v>6490</v>
      </c>
      <c r="N474" s="24" t="str">
        <f>_xlfn.IFNA(VLOOKUP($M474,Buff.CM!$A:$O,13,FALSE),"")</f>
        <v>icon_battle_attackspeed</v>
      </c>
      <c r="O474" s="24" t="str">
        <f>_xlfn.IFNA(VLOOKUP($M474,Buff.CM!$A:$O,14,FALSE),"")</f>
        <v>Buff.Name.AtkSpeed.Down.01</v>
      </c>
      <c r="P474" s="24" t="str">
        <f>_xlfn.IFNA(VLOOKUP($M474,Buff.CM!$A:$O,15,FALSE),"")</f>
        <v>Buff.Desc.AtkSpeed.Down.01</v>
      </c>
      <c r="Q474" s="24" t="b">
        <v>0</v>
      </c>
      <c r="R474" s="24" t="b">
        <v>0</v>
      </c>
    </row>
    <row r="475" spans="1:18">
      <c r="A475" s="108" t="s">
        <v>4234</v>
      </c>
      <c r="B475" s="24"/>
      <c r="C475" s="24"/>
      <c r="D475" s="24">
        <v>4000</v>
      </c>
      <c r="E475" s="24">
        <v>0</v>
      </c>
      <c r="F475" s="24">
        <v>0</v>
      </c>
      <c r="G475" s="24" t="s">
        <v>1531</v>
      </c>
      <c r="H475" s="24"/>
      <c r="I475" s="24" t="b">
        <v>0</v>
      </c>
      <c r="J475" s="24" t="b">
        <v>0</v>
      </c>
      <c r="K475" s="24" t="b">
        <v>0</v>
      </c>
      <c r="L475" s="24" t="s">
        <v>175</v>
      </c>
      <c r="M475" s="24" t="s">
        <v>1531</v>
      </c>
      <c r="N475" s="24" t="str">
        <f>_xlfn.IFNA(VLOOKUP($M475,Buff.CM!$A:$O,13,FALSE),"")</f>
        <v>icon_battle_attackspeed</v>
      </c>
      <c r="O475" s="24" t="str">
        <f>_xlfn.IFNA(VLOOKUP($M475,Buff.CM!$A:$O,14,FALSE),"")</f>
        <v>Buff.Name.AtkSpeed.Down.02</v>
      </c>
      <c r="P475" s="24" t="str">
        <f>_xlfn.IFNA(VLOOKUP($M475,Buff.CM!$A:$O,15,FALSE),"")</f>
        <v>Buff.Desc.AtkSpeed.Down.02</v>
      </c>
      <c r="Q475" s="24" t="b">
        <v>0</v>
      </c>
      <c r="R475" s="24" t="b">
        <v>0</v>
      </c>
    </row>
    <row r="476" spans="1:18">
      <c r="A476" s="108" t="s">
        <v>4235</v>
      </c>
      <c r="B476" s="24"/>
      <c r="C476" s="24"/>
      <c r="D476" s="24">
        <v>4000</v>
      </c>
      <c r="E476" s="24">
        <v>0</v>
      </c>
      <c r="F476" s="24">
        <v>0</v>
      </c>
      <c r="G476" s="24" t="s">
        <v>1532</v>
      </c>
      <c r="H476" s="24"/>
      <c r="I476" s="24" t="b">
        <v>0</v>
      </c>
      <c r="J476" s="24" t="b">
        <v>0</v>
      </c>
      <c r="K476" s="24" t="b">
        <v>0</v>
      </c>
      <c r="L476" s="24" t="s">
        <v>175</v>
      </c>
      <c r="M476" s="24" t="s">
        <v>1532</v>
      </c>
      <c r="N476" s="24" t="str">
        <f>_xlfn.IFNA(VLOOKUP($M476,Buff.CM!$A:$O,13,FALSE),"")</f>
        <v>icon_battle_attackspeed</v>
      </c>
      <c r="O476" s="24" t="str">
        <f>_xlfn.IFNA(VLOOKUP($M476,Buff.CM!$A:$O,14,FALSE),"")</f>
        <v>Buff.Name.AtkSpeed.Down.03</v>
      </c>
      <c r="P476" s="24" t="str">
        <f>_xlfn.IFNA(VLOOKUP($M476,Buff.CM!$A:$O,15,FALSE),"")</f>
        <v>Buff.Desc.AtkSpeed.Down.03</v>
      </c>
      <c r="Q476" s="24" t="b">
        <v>0</v>
      </c>
      <c r="R476" s="24" t="b">
        <v>0</v>
      </c>
    </row>
    <row r="477" spans="1:18">
      <c r="A477" s="108" t="s">
        <v>4236</v>
      </c>
      <c r="B477" s="24"/>
      <c r="C477" s="24"/>
      <c r="D477" s="24">
        <v>4000</v>
      </c>
      <c r="E477" s="24">
        <v>0</v>
      </c>
      <c r="F477" s="24">
        <v>0</v>
      </c>
      <c r="G477" s="24" t="s">
        <v>1532</v>
      </c>
      <c r="H477" s="24"/>
      <c r="I477" s="24" t="b">
        <v>0</v>
      </c>
      <c r="J477" s="24" t="b">
        <v>0</v>
      </c>
      <c r="K477" s="24" t="b">
        <v>0</v>
      </c>
      <c r="L477" s="24" t="s">
        <v>175</v>
      </c>
      <c r="M477" s="24" t="s">
        <v>1532</v>
      </c>
      <c r="N477" s="24" t="str">
        <f>_xlfn.IFNA(VLOOKUP($M477,Buff.CM!$A:$O,13,FALSE),"")</f>
        <v>icon_battle_attackspeed</v>
      </c>
      <c r="O477" s="24" t="str">
        <f>_xlfn.IFNA(VLOOKUP($M477,Buff.CM!$A:$O,14,FALSE),"")</f>
        <v>Buff.Name.AtkSpeed.Down.03</v>
      </c>
      <c r="P477" s="24" t="str">
        <f>_xlfn.IFNA(VLOOKUP($M477,Buff.CM!$A:$O,15,FALSE),"")</f>
        <v>Buff.Desc.AtkSpeed.Down.03</v>
      </c>
      <c r="Q477" s="24" t="b">
        <v>0</v>
      </c>
      <c r="R477" s="24" t="b">
        <v>0</v>
      </c>
    </row>
    <row r="478" spans="1:18">
      <c r="A478" s="108" t="s">
        <v>4237</v>
      </c>
      <c r="B478" s="24"/>
      <c r="C478" s="24"/>
      <c r="D478" s="24">
        <v>4000</v>
      </c>
      <c r="E478" s="24">
        <v>0</v>
      </c>
      <c r="F478" s="24">
        <v>0</v>
      </c>
      <c r="G478" s="24" t="s">
        <v>1532</v>
      </c>
      <c r="H478" s="24"/>
      <c r="I478" s="24" t="b">
        <v>0</v>
      </c>
      <c r="J478" s="24" t="b">
        <v>0</v>
      </c>
      <c r="K478" s="24" t="b">
        <v>0</v>
      </c>
      <c r="L478" s="24" t="s">
        <v>175</v>
      </c>
      <c r="M478" s="24" t="s">
        <v>1532</v>
      </c>
      <c r="N478" s="24" t="str">
        <f>_xlfn.IFNA(VLOOKUP($M478,Buff.CM!$A:$O,13,FALSE),"")</f>
        <v>icon_battle_attackspeed</v>
      </c>
      <c r="O478" s="24" t="str">
        <f>_xlfn.IFNA(VLOOKUP($M478,Buff.CM!$A:$O,14,FALSE),"")</f>
        <v>Buff.Name.AtkSpeed.Down.03</v>
      </c>
      <c r="P478" s="24" t="str">
        <f>_xlfn.IFNA(VLOOKUP($M478,Buff.CM!$A:$O,15,FALSE),"")</f>
        <v>Buff.Desc.AtkSpeed.Down.03</v>
      </c>
      <c r="Q478" s="24" t="b">
        <v>0</v>
      </c>
      <c r="R478" s="24" t="b">
        <v>0</v>
      </c>
    </row>
    <row r="479" spans="1:18" s="160" customFormat="1">
      <c r="A479" s="70" t="s">
        <v>7014</v>
      </c>
      <c r="B479" s="65"/>
      <c r="C479" s="65"/>
      <c r="D479" s="65">
        <v>4000</v>
      </c>
      <c r="E479" s="65">
        <v>0</v>
      </c>
      <c r="F479" s="65">
        <v>0</v>
      </c>
      <c r="G479" s="65" t="s">
        <v>1516</v>
      </c>
      <c r="H479" s="65"/>
      <c r="I479" s="65" t="b">
        <v>0</v>
      </c>
      <c r="J479" s="65" t="b">
        <v>0</v>
      </c>
      <c r="K479" s="65" t="b">
        <v>0</v>
      </c>
      <c r="L479" s="65" t="s">
        <v>5475</v>
      </c>
      <c r="M479" s="65" t="s">
        <v>1516</v>
      </c>
      <c r="N479" s="65" t="str">
        <f>_xlfn.IFNA(VLOOKUP($M479,Buff.CM!$A:$O,13,FALSE),"")</f>
        <v>icon_battle_attack</v>
      </c>
      <c r="O479" s="65" t="str">
        <f>_xlfn.IFNA(VLOOKUP($M479,Buff.CM!$A:$O,14,FALSE),"")</f>
        <v>Buff.Name.Atk.Down.03</v>
      </c>
      <c r="P479" s="65" t="str">
        <f>_xlfn.IFNA(VLOOKUP($M479,Buff.CM!$A:$O,15,FALSE),"")</f>
        <v>Buff.Desc.Atk.Down.03</v>
      </c>
      <c r="Q479" s="65" t="b">
        <v>0</v>
      </c>
      <c r="R479" s="65" t="b">
        <v>0</v>
      </c>
    </row>
    <row r="480" spans="1:18" s="160" customFormat="1">
      <c r="A480" s="70" t="s">
        <v>4238</v>
      </c>
      <c r="B480" s="65"/>
      <c r="C480" s="65"/>
      <c r="D480" s="65">
        <v>4000</v>
      </c>
      <c r="E480" s="65">
        <v>0</v>
      </c>
      <c r="F480" s="65">
        <v>0</v>
      </c>
      <c r="G480" s="65" t="s">
        <v>1516</v>
      </c>
      <c r="H480" s="65"/>
      <c r="I480" s="65" t="b">
        <v>0</v>
      </c>
      <c r="J480" s="65" t="b">
        <v>0</v>
      </c>
      <c r="K480" s="65" t="b">
        <v>0</v>
      </c>
      <c r="L480" s="65" t="s">
        <v>5475</v>
      </c>
      <c r="M480" s="65" t="s">
        <v>1516</v>
      </c>
      <c r="N480" s="65" t="str">
        <f>_xlfn.IFNA(VLOOKUP($M480,Buff.CM!$A:$O,13,FALSE),"")</f>
        <v>icon_battle_attack</v>
      </c>
      <c r="O480" s="65" t="str">
        <f>_xlfn.IFNA(VLOOKUP($M480,Buff.CM!$A:$O,14,FALSE),"")</f>
        <v>Buff.Name.Atk.Down.03</v>
      </c>
      <c r="P480" s="65" t="str">
        <f>_xlfn.IFNA(VLOOKUP($M480,Buff.CM!$A:$O,15,FALSE),"")</f>
        <v>Buff.Desc.Atk.Down.03</v>
      </c>
      <c r="Q480" s="65" t="b">
        <v>0</v>
      </c>
      <c r="R480" s="65" t="b">
        <v>0</v>
      </c>
    </row>
    <row r="481" spans="1:18" s="160" customFormat="1">
      <c r="A481" s="70" t="s">
        <v>4239</v>
      </c>
      <c r="B481" s="65"/>
      <c r="C481" s="65"/>
      <c r="D481" s="65">
        <v>5000</v>
      </c>
      <c r="E481" s="65">
        <v>0</v>
      </c>
      <c r="F481" s="65">
        <v>0</v>
      </c>
      <c r="G481" s="65" t="s">
        <v>1516</v>
      </c>
      <c r="H481" s="65"/>
      <c r="I481" s="65" t="b">
        <v>0</v>
      </c>
      <c r="J481" s="65" t="b">
        <v>0</v>
      </c>
      <c r="K481" s="65" t="b">
        <v>0</v>
      </c>
      <c r="L481" s="65" t="s">
        <v>5475</v>
      </c>
      <c r="M481" s="65" t="s">
        <v>1516</v>
      </c>
      <c r="N481" s="65" t="str">
        <f>_xlfn.IFNA(VLOOKUP($M481,Buff.CM!$A:$O,13,FALSE),"")</f>
        <v>icon_battle_attack</v>
      </c>
      <c r="O481" s="65" t="str">
        <f>_xlfn.IFNA(VLOOKUP($M481,Buff.CM!$A:$O,14,FALSE),"")</f>
        <v>Buff.Name.Atk.Down.03</v>
      </c>
      <c r="P481" s="65" t="str">
        <f>_xlfn.IFNA(VLOOKUP($M481,Buff.CM!$A:$O,15,FALSE),"")</f>
        <v>Buff.Desc.Atk.Down.03</v>
      </c>
      <c r="Q481" s="65" t="b">
        <v>0</v>
      </c>
      <c r="R481" s="65" t="b">
        <v>0</v>
      </c>
    </row>
    <row r="482" spans="1:18" s="160" customFormat="1">
      <c r="A482" s="70" t="s">
        <v>4240</v>
      </c>
      <c r="B482" s="65"/>
      <c r="C482" s="65"/>
      <c r="D482" s="65">
        <v>6000</v>
      </c>
      <c r="E482" s="65">
        <v>0</v>
      </c>
      <c r="F482" s="65">
        <v>0</v>
      </c>
      <c r="G482" s="65" t="s">
        <v>1516</v>
      </c>
      <c r="H482" s="65"/>
      <c r="I482" s="65" t="b">
        <v>0</v>
      </c>
      <c r="J482" s="65" t="b">
        <v>0</v>
      </c>
      <c r="K482" s="65" t="b">
        <v>0</v>
      </c>
      <c r="L482" s="65" t="s">
        <v>5475</v>
      </c>
      <c r="M482" s="65" t="s">
        <v>1516</v>
      </c>
      <c r="N482" s="65" t="str">
        <f>_xlfn.IFNA(VLOOKUP($M482,Buff.CM!$A:$O,13,FALSE),"")</f>
        <v>icon_battle_attack</v>
      </c>
      <c r="O482" s="65" t="str">
        <f>_xlfn.IFNA(VLOOKUP($M482,Buff.CM!$A:$O,14,FALSE),"")</f>
        <v>Buff.Name.Atk.Down.03</v>
      </c>
      <c r="P482" s="65" t="str">
        <f>_xlfn.IFNA(VLOOKUP($M482,Buff.CM!$A:$O,15,FALSE),"")</f>
        <v>Buff.Desc.Atk.Down.03</v>
      </c>
      <c r="Q482" s="65" t="b">
        <v>0</v>
      </c>
      <c r="R482" s="65" t="b">
        <v>0</v>
      </c>
    </row>
    <row r="483" spans="1:18" s="160" customFormat="1">
      <c r="A483" s="70" t="s">
        <v>4241</v>
      </c>
      <c r="B483" s="65"/>
      <c r="C483" s="65"/>
      <c r="D483" s="65">
        <v>4000</v>
      </c>
      <c r="E483" s="65">
        <v>0</v>
      </c>
      <c r="F483" s="65">
        <v>0</v>
      </c>
      <c r="G483" s="65" t="s">
        <v>1516</v>
      </c>
      <c r="H483" s="65"/>
      <c r="I483" s="65" t="b">
        <v>0</v>
      </c>
      <c r="J483" s="65" t="b">
        <v>0</v>
      </c>
      <c r="K483" s="65" t="b">
        <v>0</v>
      </c>
      <c r="L483" s="65" t="s">
        <v>5475</v>
      </c>
      <c r="M483" s="65" t="s">
        <v>1516</v>
      </c>
      <c r="N483" s="65" t="str">
        <f>_xlfn.IFNA(VLOOKUP($M483,Buff.CM!$A:$O,13,FALSE),"")</f>
        <v>icon_battle_attack</v>
      </c>
      <c r="O483" s="65" t="str">
        <f>_xlfn.IFNA(VLOOKUP($M483,Buff.CM!$A:$O,14,FALSE),"")</f>
        <v>Buff.Name.Atk.Down.03</v>
      </c>
      <c r="P483" s="65" t="str">
        <f>_xlfn.IFNA(VLOOKUP($M483,Buff.CM!$A:$O,15,FALSE),"")</f>
        <v>Buff.Desc.Atk.Down.03</v>
      </c>
      <c r="Q483" s="65" t="b">
        <v>0</v>
      </c>
      <c r="R483" s="65" t="b">
        <v>0</v>
      </c>
    </row>
    <row r="484" spans="1:18" s="160" customFormat="1">
      <c r="A484" s="70" t="s">
        <v>4242</v>
      </c>
      <c r="B484" s="65"/>
      <c r="C484" s="65"/>
      <c r="D484" s="65">
        <v>4000</v>
      </c>
      <c r="E484" s="65">
        <v>0</v>
      </c>
      <c r="F484" s="65">
        <v>0</v>
      </c>
      <c r="G484" s="65" t="s">
        <v>1516</v>
      </c>
      <c r="H484" s="65"/>
      <c r="I484" s="65" t="b">
        <v>0</v>
      </c>
      <c r="J484" s="65" t="b">
        <v>0</v>
      </c>
      <c r="K484" s="65" t="b">
        <v>0</v>
      </c>
      <c r="L484" s="65" t="s">
        <v>5475</v>
      </c>
      <c r="M484" s="65" t="s">
        <v>1516</v>
      </c>
      <c r="N484" s="65" t="str">
        <f>_xlfn.IFNA(VLOOKUP($M484,Buff.CM!$A:$O,13,FALSE),"")</f>
        <v>icon_battle_attack</v>
      </c>
      <c r="O484" s="65" t="str">
        <f>_xlfn.IFNA(VLOOKUP($M484,Buff.CM!$A:$O,14,FALSE),"")</f>
        <v>Buff.Name.Atk.Down.03</v>
      </c>
      <c r="P484" s="65" t="str">
        <f>_xlfn.IFNA(VLOOKUP($M484,Buff.CM!$A:$O,15,FALSE),"")</f>
        <v>Buff.Desc.Atk.Down.03</v>
      </c>
      <c r="Q484" s="65" t="b">
        <v>0</v>
      </c>
      <c r="R484" s="65" t="b">
        <v>0</v>
      </c>
    </row>
    <row r="485" spans="1:18" ht="33">
      <c r="A485" s="106" t="s">
        <v>698</v>
      </c>
      <c r="B485" s="23"/>
      <c r="C485" s="23"/>
      <c r="D485" s="23">
        <v>0</v>
      </c>
      <c r="E485" s="23">
        <v>0</v>
      </c>
      <c r="F485" s="23">
        <v>0</v>
      </c>
      <c r="G485" s="112" t="s">
        <v>7015</v>
      </c>
      <c r="H485" s="23"/>
      <c r="I485" s="23" t="b">
        <v>0</v>
      </c>
      <c r="J485" s="23" t="b">
        <v>1</v>
      </c>
      <c r="K485" s="23" t="b">
        <v>1</v>
      </c>
      <c r="L485" s="23"/>
      <c r="M485" s="23"/>
      <c r="N485" s="23" t="str">
        <f>_xlfn.IFNA(VLOOKUP($M485,Buff.CM!$A:$O,13,FALSE),"")</f>
        <v/>
      </c>
      <c r="O485" s="23" t="str">
        <f>_xlfn.IFNA(VLOOKUP($M485,Buff.CM!$A:$O,14,FALSE),"")</f>
        <v/>
      </c>
      <c r="P485" s="23" t="str">
        <f>_xlfn.IFNA(VLOOKUP($M485,Buff.CM!$A:$O,15,FALSE),"")</f>
        <v/>
      </c>
      <c r="Q485" s="23" t="b">
        <v>0</v>
      </c>
      <c r="R485" s="23" t="b">
        <v>0</v>
      </c>
    </row>
    <row r="486" spans="1:18" ht="33">
      <c r="A486" s="106" t="s">
        <v>699</v>
      </c>
      <c r="B486" s="23"/>
      <c r="C486" s="23"/>
      <c r="D486" s="23">
        <v>0</v>
      </c>
      <c r="E486" s="23">
        <v>0</v>
      </c>
      <c r="F486" s="23">
        <v>0</v>
      </c>
      <c r="G486" s="112" t="s">
        <v>7016</v>
      </c>
      <c r="H486" s="23"/>
      <c r="I486" s="23" t="b">
        <v>0</v>
      </c>
      <c r="J486" s="23" t="b">
        <v>1</v>
      </c>
      <c r="K486" s="23" t="b">
        <v>1</v>
      </c>
      <c r="L486" s="23"/>
      <c r="M486" s="23"/>
      <c r="N486" s="23" t="str">
        <f>_xlfn.IFNA(VLOOKUP($M486,Buff.CM!$A:$O,13,FALSE),"")</f>
        <v/>
      </c>
      <c r="O486" s="23" t="str">
        <f>_xlfn.IFNA(VLOOKUP($M486,Buff.CM!$A:$O,14,FALSE),"")</f>
        <v/>
      </c>
      <c r="P486" s="23" t="str">
        <f>_xlfn.IFNA(VLOOKUP($M486,Buff.CM!$A:$O,15,FALSE),"")</f>
        <v/>
      </c>
      <c r="Q486" s="23" t="b">
        <v>0</v>
      </c>
      <c r="R486" s="23" t="b">
        <v>0</v>
      </c>
    </row>
    <row r="487" spans="1:18" ht="33">
      <c r="A487" s="106" t="s">
        <v>701</v>
      </c>
      <c r="B487" s="23"/>
      <c r="C487" s="23"/>
      <c r="D487" s="23">
        <v>0</v>
      </c>
      <c r="E487" s="23">
        <v>0</v>
      </c>
      <c r="F487" s="23">
        <v>0</v>
      </c>
      <c r="G487" s="112" t="s">
        <v>7017</v>
      </c>
      <c r="H487" s="23"/>
      <c r="I487" s="23" t="b">
        <v>0</v>
      </c>
      <c r="J487" s="23" t="b">
        <v>1</v>
      </c>
      <c r="K487" s="23" t="b">
        <v>1</v>
      </c>
      <c r="L487" s="23"/>
      <c r="M487" s="23"/>
      <c r="N487" s="23" t="str">
        <f>_xlfn.IFNA(VLOOKUP($M487,Buff.CM!$A:$O,13,FALSE),"")</f>
        <v/>
      </c>
      <c r="O487" s="23" t="str">
        <f>_xlfn.IFNA(VLOOKUP($M487,Buff.CM!$A:$O,14,FALSE),"")</f>
        <v/>
      </c>
      <c r="P487" s="23" t="str">
        <f>_xlfn.IFNA(VLOOKUP($M487,Buff.CM!$A:$O,15,FALSE),"")</f>
        <v/>
      </c>
      <c r="Q487" s="23" t="b">
        <v>0</v>
      </c>
      <c r="R487" s="23" t="b">
        <v>0</v>
      </c>
    </row>
    <row r="488" spans="1:18" ht="33">
      <c r="A488" s="37" t="s">
        <v>703</v>
      </c>
      <c r="B488" s="34"/>
      <c r="C488" s="34"/>
      <c r="D488" s="34">
        <v>0</v>
      </c>
      <c r="E488" s="34">
        <v>0</v>
      </c>
      <c r="F488" s="34">
        <v>0</v>
      </c>
      <c r="G488" s="57" t="s">
        <v>7018</v>
      </c>
      <c r="H488" s="34"/>
      <c r="I488" s="34" t="b">
        <v>0</v>
      </c>
      <c r="J488" s="23" t="b">
        <v>1</v>
      </c>
      <c r="K488" s="34" t="b">
        <v>1</v>
      </c>
      <c r="L488" s="34"/>
      <c r="M488" s="34"/>
      <c r="N488" s="34" t="str">
        <f>_xlfn.IFNA(VLOOKUP($M488,Buff.CM!$A:$O,13,FALSE),"")</f>
        <v/>
      </c>
      <c r="O488" s="34" t="str">
        <f>_xlfn.IFNA(VLOOKUP($M488,Buff.CM!$A:$O,14,FALSE),"")</f>
        <v/>
      </c>
      <c r="P488" s="34" t="str">
        <f>_xlfn.IFNA(VLOOKUP($M488,Buff.CM!$A:$O,15,FALSE),"")</f>
        <v/>
      </c>
      <c r="Q488" s="34" t="b">
        <v>0</v>
      </c>
      <c r="R488" s="34" t="b">
        <v>0</v>
      </c>
    </row>
    <row r="489" spans="1:18" ht="33">
      <c r="A489" s="37" t="s">
        <v>705</v>
      </c>
      <c r="B489" s="34"/>
      <c r="C489" s="34"/>
      <c r="D489" s="34">
        <v>0</v>
      </c>
      <c r="E489" s="34">
        <v>0</v>
      </c>
      <c r="F489" s="34">
        <v>0</v>
      </c>
      <c r="G489" s="57" t="s">
        <v>7019</v>
      </c>
      <c r="H489" s="34"/>
      <c r="I489" s="34" t="b">
        <v>0</v>
      </c>
      <c r="J489" s="23" t="b">
        <v>1</v>
      </c>
      <c r="K489" s="34" t="b">
        <v>1</v>
      </c>
      <c r="L489" s="34"/>
      <c r="M489" s="34"/>
      <c r="N489" s="34" t="str">
        <f>_xlfn.IFNA(VLOOKUP($M489,Buff.CM!$A:$O,13,FALSE),"")</f>
        <v/>
      </c>
      <c r="O489" s="34" t="str">
        <f>_xlfn.IFNA(VLOOKUP($M489,Buff.CM!$A:$O,14,FALSE),"")</f>
        <v/>
      </c>
      <c r="P489" s="34" t="str">
        <f>_xlfn.IFNA(VLOOKUP($M489,Buff.CM!$A:$O,15,FALSE),"")</f>
        <v/>
      </c>
      <c r="Q489" s="34" t="b">
        <v>0</v>
      </c>
      <c r="R489" s="34" t="b">
        <v>0</v>
      </c>
    </row>
    <row r="490" spans="1:18" ht="33">
      <c r="A490" s="37" t="s">
        <v>707</v>
      </c>
      <c r="B490" s="34"/>
      <c r="C490" s="34"/>
      <c r="D490" s="34">
        <v>0</v>
      </c>
      <c r="E490" s="34">
        <v>0</v>
      </c>
      <c r="F490" s="34">
        <v>0</v>
      </c>
      <c r="G490" s="57" t="s">
        <v>7020</v>
      </c>
      <c r="H490" s="34"/>
      <c r="I490" s="34" t="b">
        <v>0</v>
      </c>
      <c r="J490" s="23" t="b">
        <v>1</v>
      </c>
      <c r="K490" s="34" t="b">
        <v>1</v>
      </c>
      <c r="L490" s="34"/>
      <c r="M490" s="34"/>
      <c r="N490" s="34" t="str">
        <f>_xlfn.IFNA(VLOOKUP($M490,Buff.CM!$A:$O,13,FALSE),"")</f>
        <v/>
      </c>
      <c r="O490" s="34" t="str">
        <f>_xlfn.IFNA(VLOOKUP($M490,Buff.CM!$A:$O,14,FALSE),"")</f>
        <v/>
      </c>
      <c r="P490" s="34" t="str">
        <f>_xlfn.IFNA(VLOOKUP($M490,Buff.CM!$A:$O,15,FALSE),"")</f>
        <v/>
      </c>
      <c r="Q490" s="34" t="b">
        <v>0</v>
      </c>
      <c r="R490" s="34" t="b">
        <v>0</v>
      </c>
    </row>
    <row r="491" spans="1:18">
      <c r="A491" s="108" t="s">
        <v>1826</v>
      </c>
      <c r="B491" s="24" t="s">
        <v>1367</v>
      </c>
      <c r="C491" s="24" t="s">
        <v>4244</v>
      </c>
      <c r="D491" s="24">
        <v>0</v>
      </c>
      <c r="E491" s="24">
        <v>0</v>
      </c>
      <c r="F491" s="24">
        <v>0</v>
      </c>
      <c r="G491" s="108" t="s">
        <v>1832</v>
      </c>
      <c r="H491" s="24"/>
      <c r="I491" s="24" t="b">
        <v>0</v>
      </c>
      <c r="J491" s="23" t="b">
        <v>1</v>
      </c>
      <c r="K491" s="24" t="b">
        <v>1</v>
      </c>
      <c r="L491" s="24"/>
      <c r="M491" s="24"/>
      <c r="N491" s="24" t="str">
        <f>_xlfn.IFNA(VLOOKUP($M491,Buff.CM!$A:$O,13,FALSE),"")</f>
        <v/>
      </c>
      <c r="O491" s="24" t="str">
        <f>_xlfn.IFNA(VLOOKUP($M491,Buff.CM!$A:$O,14,FALSE),"")</f>
        <v/>
      </c>
      <c r="P491" s="24" t="str">
        <f>_xlfn.IFNA(VLOOKUP($M491,Buff.CM!$A:$O,15,FALSE),"")</f>
        <v/>
      </c>
      <c r="Q491" s="24" t="b">
        <v>0</v>
      </c>
      <c r="R491" s="24" t="b">
        <v>0</v>
      </c>
    </row>
    <row r="492" spans="1:18">
      <c r="A492" s="108" t="s">
        <v>1827</v>
      </c>
      <c r="B492" s="24" t="s">
        <v>1367</v>
      </c>
      <c r="C492" s="24" t="s">
        <v>4244</v>
      </c>
      <c r="D492" s="24">
        <v>0</v>
      </c>
      <c r="E492" s="24">
        <v>0</v>
      </c>
      <c r="F492" s="24">
        <v>0</v>
      </c>
      <c r="G492" s="108" t="s">
        <v>1833</v>
      </c>
      <c r="H492" s="24"/>
      <c r="I492" s="24" t="b">
        <v>0</v>
      </c>
      <c r="J492" s="23" t="b">
        <v>1</v>
      </c>
      <c r="K492" s="24" t="b">
        <v>1</v>
      </c>
      <c r="L492" s="24"/>
      <c r="M492" s="24"/>
      <c r="N492" s="24" t="str">
        <f>_xlfn.IFNA(VLOOKUP($M492,Buff.CM!$A:$O,13,FALSE),"")</f>
        <v/>
      </c>
      <c r="O492" s="24" t="str">
        <f>_xlfn.IFNA(VLOOKUP($M492,Buff.CM!$A:$O,14,FALSE),"")</f>
        <v/>
      </c>
      <c r="P492" s="24" t="str">
        <f>_xlfn.IFNA(VLOOKUP($M492,Buff.CM!$A:$O,15,FALSE),"")</f>
        <v/>
      </c>
      <c r="Q492" s="24" t="b">
        <v>0</v>
      </c>
      <c r="R492" s="24" t="b">
        <v>0</v>
      </c>
    </row>
    <row r="493" spans="1:18">
      <c r="A493" s="108" t="s">
        <v>1828</v>
      </c>
      <c r="B493" s="24" t="s">
        <v>1367</v>
      </c>
      <c r="C493" s="24" t="s">
        <v>4244</v>
      </c>
      <c r="D493" s="24">
        <v>0</v>
      </c>
      <c r="E493" s="24">
        <v>0</v>
      </c>
      <c r="F493" s="24">
        <v>0</v>
      </c>
      <c r="G493" s="108" t="s">
        <v>1834</v>
      </c>
      <c r="H493" s="24"/>
      <c r="I493" s="24" t="b">
        <v>0</v>
      </c>
      <c r="J493" s="23" t="b">
        <v>1</v>
      </c>
      <c r="K493" s="24" t="b">
        <v>1</v>
      </c>
      <c r="L493" s="24"/>
      <c r="M493" s="24"/>
      <c r="N493" s="24" t="str">
        <f>_xlfn.IFNA(VLOOKUP($M493,Buff.CM!$A:$O,13,FALSE),"")</f>
        <v/>
      </c>
      <c r="O493" s="24" t="str">
        <f>_xlfn.IFNA(VLOOKUP($M493,Buff.CM!$A:$O,14,FALSE),"")</f>
        <v/>
      </c>
      <c r="P493" s="24" t="str">
        <f>_xlfn.IFNA(VLOOKUP($M493,Buff.CM!$A:$O,15,FALSE),"")</f>
        <v/>
      </c>
      <c r="Q493" s="24" t="b">
        <v>0</v>
      </c>
      <c r="R493" s="24" t="b">
        <v>0</v>
      </c>
    </row>
    <row r="494" spans="1:18">
      <c r="A494" s="37" t="s">
        <v>1829</v>
      </c>
      <c r="B494" s="34" t="s">
        <v>1367</v>
      </c>
      <c r="C494" s="34" t="s">
        <v>4244</v>
      </c>
      <c r="D494" s="34">
        <v>0</v>
      </c>
      <c r="E494" s="34">
        <v>0</v>
      </c>
      <c r="F494" s="34">
        <v>0</v>
      </c>
      <c r="G494" s="37" t="s">
        <v>1835</v>
      </c>
      <c r="H494" s="34"/>
      <c r="I494" s="34" t="b">
        <v>0</v>
      </c>
      <c r="J494" s="23" t="b">
        <v>1</v>
      </c>
      <c r="K494" s="34" t="b">
        <v>1</v>
      </c>
      <c r="L494" s="34"/>
      <c r="M494" s="34"/>
      <c r="N494" s="34" t="str">
        <f>_xlfn.IFNA(VLOOKUP($M494,Buff.CM!$A:$O,13,FALSE),"")</f>
        <v/>
      </c>
      <c r="O494" s="34" t="str">
        <f>_xlfn.IFNA(VLOOKUP($M494,Buff.CM!$A:$O,14,FALSE),"")</f>
        <v/>
      </c>
      <c r="P494" s="34" t="str">
        <f>_xlfn.IFNA(VLOOKUP($M494,Buff.CM!$A:$O,15,FALSE),"")</f>
        <v/>
      </c>
      <c r="Q494" s="34" t="b">
        <v>0</v>
      </c>
      <c r="R494" s="34" t="b">
        <v>0</v>
      </c>
    </row>
    <row r="495" spans="1:18">
      <c r="A495" s="37" t="s">
        <v>1830</v>
      </c>
      <c r="B495" s="34" t="s">
        <v>1367</v>
      </c>
      <c r="C495" s="34" t="s">
        <v>4244</v>
      </c>
      <c r="D495" s="34">
        <v>0</v>
      </c>
      <c r="E495" s="34">
        <v>0</v>
      </c>
      <c r="F495" s="34">
        <v>0</v>
      </c>
      <c r="G495" s="37" t="s">
        <v>1836</v>
      </c>
      <c r="H495" s="34"/>
      <c r="I495" s="34" t="b">
        <v>0</v>
      </c>
      <c r="J495" s="23" t="b">
        <v>1</v>
      </c>
      <c r="K495" s="34" t="b">
        <v>1</v>
      </c>
      <c r="L495" s="34"/>
      <c r="M495" s="34"/>
      <c r="N495" s="34" t="str">
        <f>_xlfn.IFNA(VLOOKUP($M495,Buff.CM!$A:$O,13,FALSE),"")</f>
        <v/>
      </c>
      <c r="O495" s="34" t="str">
        <f>_xlfn.IFNA(VLOOKUP($M495,Buff.CM!$A:$O,14,FALSE),"")</f>
        <v/>
      </c>
      <c r="P495" s="34" t="str">
        <f>_xlfn.IFNA(VLOOKUP($M495,Buff.CM!$A:$O,15,FALSE),"")</f>
        <v/>
      </c>
      <c r="Q495" s="34" t="b">
        <v>0</v>
      </c>
      <c r="R495" s="34" t="b">
        <v>0</v>
      </c>
    </row>
    <row r="496" spans="1:18">
      <c r="A496" s="37" t="s">
        <v>1831</v>
      </c>
      <c r="B496" s="34" t="s">
        <v>1367</v>
      </c>
      <c r="C496" s="34" t="s">
        <v>4244</v>
      </c>
      <c r="D496" s="34">
        <v>0</v>
      </c>
      <c r="E496" s="34">
        <v>0</v>
      </c>
      <c r="F496" s="34">
        <v>0</v>
      </c>
      <c r="G496" s="37" t="s">
        <v>1837</v>
      </c>
      <c r="H496" s="34"/>
      <c r="I496" s="34" t="b">
        <v>0</v>
      </c>
      <c r="J496" s="23" t="b">
        <v>1</v>
      </c>
      <c r="K496" s="34" t="b">
        <v>1</v>
      </c>
      <c r="L496" s="34"/>
      <c r="M496" s="34"/>
      <c r="N496" s="34" t="str">
        <f>_xlfn.IFNA(VLOOKUP($M496,Buff.CM!$A:$O,13,FALSE),"")</f>
        <v/>
      </c>
      <c r="O496" s="34" t="str">
        <f>_xlfn.IFNA(VLOOKUP($M496,Buff.CM!$A:$O,14,FALSE),"")</f>
        <v/>
      </c>
      <c r="P496" s="34" t="str">
        <f>_xlfn.IFNA(VLOOKUP($M496,Buff.CM!$A:$O,15,FALSE),"")</f>
        <v/>
      </c>
      <c r="Q496" s="34" t="b">
        <v>0</v>
      </c>
      <c r="R496" s="34" t="b">
        <v>0</v>
      </c>
    </row>
    <row r="497" spans="1:18" s="142" customFormat="1">
      <c r="A497" s="106" t="s">
        <v>4244</v>
      </c>
      <c r="B497" s="23"/>
      <c r="C497" s="23"/>
      <c r="D497" s="23">
        <v>0</v>
      </c>
      <c r="E497" s="23">
        <v>0</v>
      </c>
      <c r="F497" s="23">
        <v>0</v>
      </c>
      <c r="G497" s="106" t="s">
        <v>122</v>
      </c>
      <c r="H497" s="23"/>
      <c r="I497" s="34" t="b">
        <v>1</v>
      </c>
      <c r="J497" s="23" t="b">
        <v>1</v>
      </c>
      <c r="K497" s="34" t="b">
        <v>1</v>
      </c>
      <c r="L497" s="23"/>
      <c r="M497" s="23"/>
      <c r="N497" s="23" t="str">
        <f>_xlfn.IFNA(VLOOKUP($M497,Buff.CM!$A:$O,13,FALSE),"")</f>
        <v/>
      </c>
      <c r="O497" s="23" t="str">
        <f>_xlfn.IFNA(VLOOKUP($M497,Buff.CM!$A:$O,14,FALSE),"")</f>
        <v/>
      </c>
      <c r="P497" s="23" t="str">
        <f>_xlfn.IFNA(VLOOKUP($M497,Buff.CM!$A:$O,15,FALSE),"")</f>
        <v/>
      </c>
      <c r="Q497" s="23" t="b">
        <v>0</v>
      </c>
      <c r="R497" s="23" t="b">
        <v>0</v>
      </c>
    </row>
    <row r="498" spans="1:18">
      <c r="A498" s="108" t="s">
        <v>3465</v>
      </c>
      <c r="B498" s="24"/>
      <c r="C498" s="24"/>
      <c r="D498" s="24">
        <v>0</v>
      </c>
      <c r="E498" s="24">
        <v>0</v>
      </c>
      <c r="F498" s="24">
        <v>0</v>
      </c>
      <c r="G498" s="163" t="s">
        <v>3466</v>
      </c>
      <c r="H498" s="24"/>
      <c r="I498" s="24" t="b">
        <v>0</v>
      </c>
      <c r="J498" s="23" t="b">
        <v>1</v>
      </c>
      <c r="K498" s="24" t="b">
        <v>1</v>
      </c>
      <c r="L498" s="24"/>
      <c r="M498" s="24"/>
      <c r="N498" s="24" t="str">
        <f>_xlfn.IFNA(VLOOKUP($M498,Buff.CM!$A:$O,13,FALSE),"")</f>
        <v/>
      </c>
      <c r="O498" s="24" t="str">
        <f>_xlfn.IFNA(VLOOKUP($M498,Buff.CM!$A:$O,14,FALSE),"")</f>
        <v/>
      </c>
      <c r="P498" s="24" t="str">
        <f>_xlfn.IFNA(VLOOKUP($M498,Buff.CM!$A:$O,15,FALSE),"")</f>
        <v/>
      </c>
      <c r="Q498" s="24" t="b">
        <v>0</v>
      </c>
      <c r="R498" s="24" t="b">
        <v>0</v>
      </c>
    </row>
    <row r="499" spans="1:18">
      <c r="A499" s="108" t="s">
        <v>3460</v>
      </c>
      <c r="B499" s="24"/>
      <c r="C499" s="24"/>
      <c r="D499" s="24">
        <v>0</v>
      </c>
      <c r="E499" s="24">
        <v>0</v>
      </c>
      <c r="F499" s="24">
        <v>0</v>
      </c>
      <c r="G499" s="163" t="s">
        <v>3467</v>
      </c>
      <c r="H499" s="24"/>
      <c r="I499" s="24" t="b">
        <v>0</v>
      </c>
      <c r="J499" s="23" t="b">
        <v>1</v>
      </c>
      <c r="K499" s="24" t="b">
        <v>1</v>
      </c>
      <c r="L499" s="24"/>
      <c r="M499" s="24"/>
      <c r="N499" s="24" t="str">
        <f>_xlfn.IFNA(VLOOKUP($M499,Buff.CM!$A:$O,13,FALSE),"")</f>
        <v/>
      </c>
      <c r="O499" s="24" t="str">
        <f>_xlfn.IFNA(VLOOKUP($M499,Buff.CM!$A:$O,14,FALSE),"")</f>
        <v/>
      </c>
      <c r="P499" s="24" t="str">
        <f>_xlfn.IFNA(VLOOKUP($M499,Buff.CM!$A:$O,15,FALSE),"")</f>
        <v/>
      </c>
      <c r="Q499" s="24" t="b">
        <v>0</v>
      </c>
      <c r="R499" s="24" t="b">
        <v>0</v>
      </c>
    </row>
    <row r="500" spans="1:18">
      <c r="A500" s="108" t="s">
        <v>3461</v>
      </c>
      <c r="B500" s="24"/>
      <c r="C500" s="24"/>
      <c r="D500" s="24">
        <v>0</v>
      </c>
      <c r="E500" s="24">
        <v>0</v>
      </c>
      <c r="F500" s="24">
        <v>0</v>
      </c>
      <c r="G500" s="163" t="s">
        <v>3468</v>
      </c>
      <c r="H500" s="24"/>
      <c r="I500" s="24" t="b">
        <v>0</v>
      </c>
      <c r="J500" s="23" t="b">
        <v>1</v>
      </c>
      <c r="K500" s="24" t="b">
        <v>1</v>
      </c>
      <c r="L500" s="24"/>
      <c r="M500" s="24"/>
      <c r="N500" s="24" t="str">
        <f>_xlfn.IFNA(VLOOKUP($M500,Buff.CM!$A:$O,13,FALSE),"")</f>
        <v/>
      </c>
      <c r="O500" s="24" t="str">
        <f>_xlfn.IFNA(VLOOKUP($M500,Buff.CM!$A:$O,14,FALSE),"")</f>
        <v/>
      </c>
      <c r="P500" s="24" t="str">
        <f>_xlfn.IFNA(VLOOKUP($M500,Buff.CM!$A:$O,15,FALSE),"")</f>
        <v/>
      </c>
      <c r="Q500" s="24" t="b">
        <v>0</v>
      </c>
      <c r="R500" s="24" t="b">
        <v>0</v>
      </c>
    </row>
    <row r="501" spans="1:18">
      <c r="A501" s="37" t="s">
        <v>3462</v>
      </c>
      <c r="B501" s="34"/>
      <c r="C501" s="34"/>
      <c r="D501" s="34">
        <v>0</v>
      </c>
      <c r="E501" s="34">
        <v>0</v>
      </c>
      <c r="F501" s="34">
        <v>0</v>
      </c>
      <c r="G501" s="57" t="s">
        <v>3469</v>
      </c>
      <c r="H501" s="34"/>
      <c r="I501" s="34" t="b">
        <v>0</v>
      </c>
      <c r="J501" s="23" t="b">
        <v>1</v>
      </c>
      <c r="K501" s="34" t="b">
        <v>1</v>
      </c>
      <c r="L501" s="34"/>
      <c r="M501" s="34"/>
      <c r="N501" s="34" t="str">
        <f>_xlfn.IFNA(VLOOKUP($M501,Buff.CM!$A:$O,13,FALSE),"")</f>
        <v/>
      </c>
      <c r="O501" s="34" t="str">
        <f>_xlfn.IFNA(VLOOKUP($M501,Buff.CM!$A:$O,14,FALSE),"")</f>
        <v/>
      </c>
      <c r="P501" s="34" t="str">
        <f>_xlfn.IFNA(VLOOKUP($M501,Buff.CM!$A:$O,15,FALSE),"")</f>
        <v/>
      </c>
      <c r="Q501" s="34" t="b">
        <v>0</v>
      </c>
      <c r="R501" s="34" t="b">
        <v>0</v>
      </c>
    </row>
    <row r="502" spans="1:18">
      <c r="A502" s="37" t="s">
        <v>3463</v>
      </c>
      <c r="B502" s="34"/>
      <c r="C502" s="34"/>
      <c r="D502" s="34">
        <v>0</v>
      </c>
      <c r="E502" s="34">
        <v>0</v>
      </c>
      <c r="F502" s="34">
        <v>0</v>
      </c>
      <c r="G502" s="57" t="s">
        <v>3470</v>
      </c>
      <c r="H502" s="34"/>
      <c r="I502" s="34" t="b">
        <v>0</v>
      </c>
      <c r="J502" s="23" t="b">
        <v>1</v>
      </c>
      <c r="K502" s="34" t="b">
        <v>1</v>
      </c>
      <c r="L502" s="34"/>
      <c r="M502" s="34"/>
      <c r="N502" s="34" t="str">
        <f>_xlfn.IFNA(VLOOKUP($M502,Buff.CM!$A:$O,13,FALSE),"")</f>
        <v/>
      </c>
      <c r="O502" s="34" t="str">
        <f>_xlfn.IFNA(VLOOKUP($M502,Buff.CM!$A:$O,14,FALSE),"")</f>
        <v/>
      </c>
      <c r="P502" s="34" t="str">
        <f>_xlfn.IFNA(VLOOKUP($M502,Buff.CM!$A:$O,15,FALSE),"")</f>
        <v/>
      </c>
      <c r="Q502" s="34" t="b">
        <v>0</v>
      </c>
      <c r="R502" s="34" t="b">
        <v>0</v>
      </c>
    </row>
    <row r="503" spans="1:18">
      <c r="A503" s="37" t="s">
        <v>3464</v>
      </c>
      <c r="B503" s="34"/>
      <c r="C503" s="34"/>
      <c r="D503" s="34">
        <v>0</v>
      </c>
      <c r="E503" s="34">
        <v>0</v>
      </c>
      <c r="F503" s="34">
        <v>0</v>
      </c>
      <c r="G503" s="57" t="s">
        <v>3471</v>
      </c>
      <c r="H503" s="34"/>
      <c r="I503" s="34" t="b">
        <v>0</v>
      </c>
      <c r="J503" s="23" t="b">
        <v>1</v>
      </c>
      <c r="K503" s="34" t="b">
        <v>1</v>
      </c>
      <c r="L503" s="34"/>
      <c r="M503" s="34"/>
      <c r="N503" s="34" t="str">
        <f>_xlfn.IFNA(VLOOKUP($M503,Buff.CM!$A:$O,13,FALSE),"")</f>
        <v/>
      </c>
      <c r="O503" s="34" t="str">
        <f>_xlfn.IFNA(VLOOKUP($M503,Buff.CM!$A:$O,14,FALSE),"")</f>
        <v/>
      </c>
      <c r="P503" s="34" t="str">
        <f>_xlfn.IFNA(VLOOKUP($M503,Buff.CM!$A:$O,15,FALSE),"")</f>
        <v/>
      </c>
      <c r="Q503" s="34" t="b">
        <v>0</v>
      </c>
      <c r="R503" s="34" t="b">
        <v>0</v>
      </c>
    </row>
    <row r="504" spans="1:18">
      <c r="A504" s="24" t="s">
        <v>3472</v>
      </c>
      <c r="B504" s="24" t="s">
        <v>1414</v>
      </c>
      <c r="C504" s="24" t="s">
        <v>4245</v>
      </c>
      <c r="D504" s="24">
        <v>0</v>
      </c>
      <c r="E504" s="24">
        <v>0</v>
      </c>
      <c r="F504" s="24">
        <v>0</v>
      </c>
      <c r="G504" s="108" t="s">
        <v>1707</v>
      </c>
      <c r="H504" s="24"/>
      <c r="I504" s="24" t="b">
        <v>0</v>
      </c>
      <c r="J504" s="24" t="b">
        <v>0</v>
      </c>
      <c r="K504" s="24" t="b">
        <v>0</v>
      </c>
      <c r="L504" s="24"/>
      <c r="M504" s="108" t="s">
        <v>1707</v>
      </c>
      <c r="N504" s="24" t="str">
        <f>_xlfn.IFNA(VLOOKUP($M504,Buff.CM!$A:$O,13,FALSE),"")</f>
        <v>icon_battle_damageimmune</v>
      </c>
      <c r="O504" s="24" t="str">
        <f>_xlfn.IFNA(VLOOKUP($M504,Buff.CM!$A:$O,14,FALSE),"")</f>
        <v>Buff.Name.Reduce.AreaDamage.Down.01</v>
      </c>
      <c r="P504" s="24" t="str">
        <f>_xlfn.IFNA(VLOOKUP($M504,Buff.CM!$A:$O,15,FALSE),"")</f>
        <v>Buff.Desc.Reduce.AreaDamage.Down.01</v>
      </c>
      <c r="Q504" s="24" t="b">
        <v>0</v>
      </c>
      <c r="R504" s="24" t="b">
        <v>0</v>
      </c>
    </row>
    <row r="505" spans="1:18">
      <c r="A505" s="24" t="s">
        <v>3473</v>
      </c>
      <c r="B505" s="24" t="s">
        <v>1414</v>
      </c>
      <c r="C505" s="24" t="s">
        <v>4245</v>
      </c>
      <c r="D505" s="24">
        <v>0</v>
      </c>
      <c r="E505" s="24">
        <v>0</v>
      </c>
      <c r="F505" s="24">
        <v>0</v>
      </c>
      <c r="G505" s="108" t="s">
        <v>1707</v>
      </c>
      <c r="H505" s="24"/>
      <c r="I505" s="24" t="b">
        <v>0</v>
      </c>
      <c r="J505" s="24" t="b">
        <v>0</v>
      </c>
      <c r="K505" s="24" t="b">
        <v>0</v>
      </c>
      <c r="L505" s="24"/>
      <c r="M505" s="108" t="s">
        <v>1707</v>
      </c>
      <c r="N505" s="24" t="str">
        <f>_xlfn.IFNA(VLOOKUP($M505,Buff.CM!$A:$O,13,FALSE),"")</f>
        <v>icon_battle_damageimmune</v>
      </c>
      <c r="O505" s="24" t="str">
        <f>_xlfn.IFNA(VLOOKUP($M505,Buff.CM!$A:$O,14,FALSE),"")</f>
        <v>Buff.Name.Reduce.AreaDamage.Down.01</v>
      </c>
      <c r="P505" s="24" t="str">
        <f>_xlfn.IFNA(VLOOKUP($M505,Buff.CM!$A:$O,15,FALSE),"")</f>
        <v>Buff.Desc.Reduce.AreaDamage.Down.01</v>
      </c>
      <c r="Q505" s="24" t="b">
        <v>0</v>
      </c>
      <c r="R505" s="24" t="b">
        <v>0</v>
      </c>
    </row>
    <row r="506" spans="1:18">
      <c r="A506" s="24" t="s">
        <v>3474</v>
      </c>
      <c r="B506" s="24" t="s">
        <v>1414</v>
      </c>
      <c r="C506" s="24" t="s">
        <v>4245</v>
      </c>
      <c r="D506" s="24">
        <v>0</v>
      </c>
      <c r="E506" s="24">
        <v>0</v>
      </c>
      <c r="F506" s="24">
        <v>0</v>
      </c>
      <c r="G506" s="108" t="s">
        <v>1575</v>
      </c>
      <c r="H506" s="24"/>
      <c r="I506" s="24" t="b">
        <v>0</v>
      </c>
      <c r="J506" s="24" t="b">
        <v>0</v>
      </c>
      <c r="K506" s="24" t="b">
        <v>0</v>
      </c>
      <c r="L506" s="24"/>
      <c r="M506" s="108" t="s">
        <v>1575</v>
      </c>
      <c r="N506" s="24" t="str">
        <f>_xlfn.IFNA(VLOOKUP($M506,Buff.CM!$A:$O,13,FALSE),"")</f>
        <v>icon_battle_damageimmune</v>
      </c>
      <c r="O506" s="24" t="str">
        <f>_xlfn.IFNA(VLOOKUP($M506,Buff.CM!$A:$O,14,FALSE),"")</f>
        <v>Buff.Name.Reduce.AreaDamage.Down.02</v>
      </c>
      <c r="P506" s="24" t="str">
        <f>_xlfn.IFNA(VLOOKUP($M506,Buff.CM!$A:$O,15,FALSE),"")</f>
        <v>Buff.Desc.Reduce.AreaDamage.Down.02</v>
      </c>
      <c r="Q506" s="24" t="b">
        <v>0</v>
      </c>
      <c r="R506" s="24" t="b">
        <v>0</v>
      </c>
    </row>
    <row r="507" spans="1:18">
      <c r="A507" s="34" t="s">
        <v>3475</v>
      </c>
      <c r="B507" s="34" t="s">
        <v>1414</v>
      </c>
      <c r="C507" s="34" t="s">
        <v>4245</v>
      </c>
      <c r="D507" s="34">
        <v>0</v>
      </c>
      <c r="E507" s="34">
        <v>0</v>
      </c>
      <c r="F507" s="34">
        <v>0</v>
      </c>
      <c r="G507" s="37" t="s">
        <v>1575</v>
      </c>
      <c r="H507" s="34"/>
      <c r="I507" s="34" t="b">
        <v>0</v>
      </c>
      <c r="J507" s="24" t="b">
        <v>0</v>
      </c>
      <c r="K507" s="34" t="b">
        <v>0</v>
      </c>
      <c r="L507" s="34"/>
      <c r="M507" s="37" t="s">
        <v>1575</v>
      </c>
      <c r="N507" s="34" t="str">
        <f>_xlfn.IFNA(VLOOKUP($M507,Buff.CM!$A:$O,13,FALSE),"")</f>
        <v>icon_battle_damageimmune</v>
      </c>
      <c r="O507" s="34" t="str">
        <f>_xlfn.IFNA(VLOOKUP($M507,Buff.CM!$A:$O,14,FALSE),"")</f>
        <v>Buff.Name.Reduce.AreaDamage.Down.02</v>
      </c>
      <c r="P507" s="34" t="str">
        <f>_xlfn.IFNA(VLOOKUP($M507,Buff.CM!$A:$O,15,FALSE),"")</f>
        <v>Buff.Desc.Reduce.AreaDamage.Down.02</v>
      </c>
      <c r="Q507" s="34" t="b">
        <v>0</v>
      </c>
      <c r="R507" s="34" t="b">
        <v>0</v>
      </c>
    </row>
    <row r="508" spans="1:18">
      <c r="A508" s="34" t="s">
        <v>3476</v>
      </c>
      <c r="B508" s="34" t="s">
        <v>1414</v>
      </c>
      <c r="C508" s="34" t="s">
        <v>4245</v>
      </c>
      <c r="D508" s="34">
        <v>0</v>
      </c>
      <c r="E508" s="34">
        <v>0</v>
      </c>
      <c r="F508" s="34">
        <v>0</v>
      </c>
      <c r="G508" s="37" t="s">
        <v>1576</v>
      </c>
      <c r="H508" s="34"/>
      <c r="I508" s="34" t="b">
        <v>0</v>
      </c>
      <c r="J508" s="24" t="b">
        <v>0</v>
      </c>
      <c r="K508" s="34" t="b">
        <v>0</v>
      </c>
      <c r="L508" s="34"/>
      <c r="M508" s="37" t="s">
        <v>1576</v>
      </c>
      <c r="N508" s="34" t="str">
        <f>_xlfn.IFNA(VLOOKUP($M508,Buff.CM!$A:$O,13,FALSE),"")</f>
        <v>icon_battle_damageimmune</v>
      </c>
      <c r="O508" s="34" t="str">
        <f>_xlfn.IFNA(VLOOKUP($M508,Buff.CM!$A:$O,14,FALSE),"")</f>
        <v>Buff.Name.Reduce.AreaDamage.Down.03</v>
      </c>
      <c r="P508" s="34" t="str">
        <f>_xlfn.IFNA(VLOOKUP($M508,Buff.CM!$A:$O,15,FALSE),"")</f>
        <v>Buff.Desc.Reduce.AreaDamage.Down.03</v>
      </c>
      <c r="Q508" s="34" t="b">
        <v>0</v>
      </c>
      <c r="R508" s="34" t="b">
        <v>0</v>
      </c>
    </row>
    <row r="509" spans="1:18">
      <c r="A509" s="34" t="s">
        <v>3477</v>
      </c>
      <c r="B509" s="34" t="s">
        <v>1414</v>
      </c>
      <c r="C509" s="34" t="s">
        <v>4245</v>
      </c>
      <c r="D509" s="34">
        <v>0</v>
      </c>
      <c r="E509" s="34">
        <v>0</v>
      </c>
      <c r="F509" s="34">
        <v>0</v>
      </c>
      <c r="G509" s="37" t="s">
        <v>1577</v>
      </c>
      <c r="H509" s="34"/>
      <c r="I509" s="34" t="b">
        <v>0</v>
      </c>
      <c r="J509" s="24" t="b">
        <v>0</v>
      </c>
      <c r="K509" s="34" t="b">
        <v>0</v>
      </c>
      <c r="L509" s="34"/>
      <c r="M509" s="37" t="s">
        <v>1577</v>
      </c>
      <c r="N509" s="34" t="str">
        <f>_xlfn.IFNA(VLOOKUP($M509,Buff.CM!$A:$O,13,FALSE),"")</f>
        <v>icon_battle_damageimmune</v>
      </c>
      <c r="O509" s="34" t="str">
        <f>_xlfn.IFNA(VLOOKUP($M509,Buff.CM!$A:$O,14,FALSE),"")</f>
        <v>Buff.Name.Reduce.AreaDamage.Down.04</v>
      </c>
      <c r="P509" s="34" t="str">
        <f>_xlfn.IFNA(VLOOKUP($M509,Buff.CM!$A:$O,15,FALSE),"")</f>
        <v>Buff.Desc.Reduce.AreaDamage.Down.04</v>
      </c>
      <c r="Q509" s="34" t="b">
        <v>0</v>
      </c>
      <c r="R509" s="34" t="b">
        <v>0</v>
      </c>
    </row>
    <row r="510" spans="1:18">
      <c r="A510" s="108" t="s">
        <v>7021</v>
      </c>
      <c r="B510" s="24"/>
      <c r="C510" s="24"/>
      <c r="D510" s="24">
        <v>8000</v>
      </c>
      <c r="E510" s="24">
        <v>0</v>
      </c>
      <c r="F510" s="24">
        <v>0</v>
      </c>
      <c r="G510" s="163" t="s">
        <v>4245</v>
      </c>
      <c r="H510" s="24"/>
      <c r="I510" s="24" t="b">
        <v>0</v>
      </c>
      <c r="J510" s="24" t="b">
        <v>0</v>
      </c>
      <c r="K510" s="34" t="b">
        <v>0</v>
      </c>
      <c r="L510" s="24"/>
      <c r="M510" s="24"/>
      <c r="N510" s="34" t="str">
        <f>_xlfn.IFNA(VLOOKUP($M510,Buff.CM!$A:$O,13,FALSE),"")</f>
        <v/>
      </c>
      <c r="O510" s="24" t="str">
        <f>_xlfn.IFNA(VLOOKUP($M510,Buff.CM!$A:$O,14,FALSE),"")</f>
        <v/>
      </c>
      <c r="P510" s="24" t="str">
        <f>_xlfn.IFNA(VLOOKUP($M510,Buff.CM!$A:$O,15,FALSE),"")</f>
        <v/>
      </c>
      <c r="Q510" s="24" t="b">
        <v>0</v>
      </c>
      <c r="R510" s="24" t="b">
        <v>0</v>
      </c>
    </row>
    <row r="511" spans="1:18">
      <c r="A511" s="108" t="s">
        <v>4292</v>
      </c>
      <c r="B511" s="24"/>
      <c r="C511" s="24"/>
      <c r="D511" s="24">
        <v>9000</v>
      </c>
      <c r="E511" s="24">
        <v>0</v>
      </c>
      <c r="F511" s="24">
        <v>0</v>
      </c>
      <c r="G511" s="163" t="s">
        <v>4245</v>
      </c>
      <c r="H511" s="24"/>
      <c r="I511" s="24" t="b">
        <v>0</v>
      </c>
      <c r="J511" s="24" t="b">
        <v>0</v>
      </c>
      <c r="K511" s="34" t="b">
        <v>0</v>
      </c>
      <c r="L511" s="24"/>
      <c r="M511" s="24"/>
      <c r="N511" s="34" t="str">
        <f>_xlfn.IFNA(VLOOKUP($M511,Buff.CM!$A:$O,13,FALSE),"")</f>
        <v/>
      </c>
      <c r="O511" s="24" t="str">
        <f>_xlfn.IFNA(VLOOKUP($M511,Buff.CM!$A:$O,14,FALSE),"")</f>
        <v/>
      </c>
      <c r="P511" s="24" t="str">
        <f>_xlfn.IFNA(VLOOKUP($M511,Buff.CM!$A:$O,15,FALSE),"")</f>
        <v/>
      </c>
      <c r="Q511" s="24" t="b">
        <v>0</v>
      </c>
      <c r="R511" s="24" t="b">
        <v>0</v>
      </c>
    </row>
    <row r="512" spans="1:18">
      <c r="A512" s="108" t="s">
        <v>4293</v>
      </c>
      <c r="B512" s="24"/>
      <c r="C512" s="24"/>
      <c r="D512" s="24">
        <v>9000</v>
      </c>
      <c r="E512" s="24">
        <v>0</v>
      </c>
      <c r="F512" s="24">
        <v>0</v>
      </c>
      <c r="G512" s="163" t="s">
        <v>4245</v>
      </c>
      <c r="H512" s="24"/>
      <c r="I512" s="24" t="b">
        <v>0</v>
      </c>
      <c r="J512" s="24" t="b">
        <v>0</v>
      </c>
      <c r="K512" s="34" t="b">
        <v>0</v>
      </c>
      <c r="L512" s="24"/>
      <c r="M512" s="24"/>
      <c r="N512" s="34" t="str">
        <f>_xlfn.IFNA(VLOOKUP($M512,Buff.CM!$A:$O,13,FALSE),"")</f>
        <v/>
      </c>
      <c r="O512" s="24" t="str">
        <f>_xlfn.IFNA(VLOOKUP($M512,Buff.CM!$A:$O,14,FALSE),"")</f>
        <v/>
      </c>
      <c r="P512" s="24" t="str">
        <f>_xlfn.IFNA(VLOOKUP($M512,Buff.CM!$A:$O,15,FALSE),"")</f>
        <v/>
      </c>
      <c r="Q512" s="24" t="b">
        <v>0</v>
      </c>
      <c r="R512" s="24" t="b">
        <v>0</v>
      </c>
    </row>
    <row r="513" spans="1:18">
      <c r="A513" s="108" t="s">
        <v>4294</v>
      </c>
      <c r="B513" s="24"/>
      <c r="C513" s="24"/>
      <c r="D513" s="24">
        <v>10000</v>
      </c>
      <c r="E513" s="24">
        <v>0</v>
      </c>
      <c r="F513" s="24">
        <v>0</v>
      </c>
      <c r="G513" s="163" t="s">
        <v>4245</v>
      </c>
      <c r="H513" s="24"/>
      <c r="I513" s="24" t="b">
        <v>0</v>
      </c>
      <c r="J513" s="24" t="b">
        <v>0</v>
      </c>
      <c r="K513" s="34" t="b">
        <v>0</v>
      </c>
      <c r="L513" s="24"/>
      <c r="M513" s="24"/>
      <c r="N513" s="34" t="str">
        <f>_xlfn.IFNA(VLOOKUP($M513,Buff.CM!$A:$O,13,FALSE),"")</f>
        <v/>
      </c>
      <c r="O513" s="24" t="str">
        <f>_xlfn.IFNA(VLOOKUP($M513,Buff.CM!$A:$O,14,FALSE),"")</f>
        <v/>
      </c>
      <c r="P513" s="24" t="str">
        <f>_xlfn.IFNA(VLOOKUP($M513,Buff.CM!$A:$O,15,FALSE),"")</f>
        <v/>
      </c>
      <c r="Q513" s="24" t="b">
        <v>0</v>
      </c>
      <c r="R513" s="24" t="b">
        <v>0</v>
      </c>
    </row>
    <row r="514" spans="1:18">
      <c r="A514" s="108" t="s">
        <v>4295</v>
      </c>
      <c r="B514" s="24"/>
      <c r="C514" s="24"/>
      <c r="D514" s="24">
        <v>10000</v>
      </c>
      <c r="E514" s="24">
        <v>0</v>
      </c>
      <c r="F514" s="24">
        <v>0</v>
      </c>
      <c r="G514" s="163" t="s">
        <v>4245</v>
      </c>
      <c r="H514" s="24"/>
      <c r="I514" s="24" t="b">
        <v>0</v>
      </c>
      <c r="J514" s="24" t="b">
        <v>0</v>
      </c>
      <c r="K514" s="34" t="b">
        <v>0</v>
      </c>
      <c r="L514" s="24"/>
      <c r="M514" s="24"/>
      <c r="N514" s="34" t="str">
        <f>_xlfn.IFNA(VLOOKUP($M514,Buff.CM!$A:$O,13,FALSE),"")</f>
        <v/>
      </c>
      <c r="O514" s="24" t="str">
        <f>_xlfn.IFNA(VLOOKUP($M514,Buff.CM!$A:$O,14,FALSE),"")</f>
        <v/>
      </c>
      <c r="P514" s="24" t="str">
        <f>_xlfn.IFNA(VLOOKUP($M514,Buff.CM!$A:$O,15,FALSE),"")</f>
        <v/>
      </c>
      <c r="Q514" s="24" t="b">
        <v>0</v>
      </c>
      <c r="R514" s="24" t="b">
        <v>0</v>
      </c>
    </row>
    <row r="515" spans="1:18">
      <c r="A515" s="108" t="s">
        <v>4296</v>
      </c>
      <c r="B515" s="24"/>
      <c r="C515" s="24"/>
      <c r="D515" s="24">
        <v>10000</v>
      </c>
      <c r="E515" s="24">
        <v>0</v>
      </c>
      <c r="F515" s="24">
        <v>0</v>
      </c>
      <c r="G515" s="163" t="s">
        <v>4245</v>
      </c>
      <c r="H515" s="24"/>
      <c r="I515" s="24" t="b">
        <v>0</v>
      </c>
      <c r="J515" s="24" t="b">
        <v>0</v>
      </c>
      <c r="K515" s="34" t="b">
        <v>0</v>
      </c>
      <c r="L515" s="24"/>
      <c r="M515" s="24"/>
      <c r="N515" s="34" t="str">
        <f>_xlfn.IFNA(VLOOKUP($M515,Buff.CM!$A:$O,13,FALSE),"")</f>
        <v/>
      </c>
      <c r="O515" s="24" t="str">
        <f>_xlfn.IFNA(VLOOKUP($M515,Buff.CM!$A:$O,14,FALSE),"")</f>
        <v/>
      </c>
      <c r="P515" s="24" t="str">
        <f>_xlfn.IFNA(VLOOKUP($M515,Buff.CM!$A:$O,15,FALSE),"")</f>
        <v/>
      </c>
      <c r="Q515" s="24" t="b">
        <v>0</v>
      </c>
      <c r="R515" s="24" t="b">
        <v>0</v>
      </c>
    </row>
    <row r="516" spans="1:18">
      <c r="A516" s="108" t="s">
        <v>4297</v>
      </c>
      <c r="B516" s="24"/>
      <c r="C516" s="24"/>
      <c r="D516" s="24">
        <v>10000</v>
      </c>
      <c r="E516" s="24">
        <v>0</v>
      </c>
      <c r="F516" s="24">
        <v>0</v>
      </c>
      <c r="G516" s="163" t="s">
        <v>4245</v>
      </c>
      <c r="H516" s="24"/>
      <c r="I516" s="24" t="b">
        <v>0</v>
      </c>
      <c r="J516" s="24" t="b">
        <v>0</v>
      </c>
      <c r="K516" s="34" t="b">
        <v>0</v>
      </c>
      <c r="L516" s="24"/>
      <c r="M516" s="24"/>
      <c r="N516" s="34" t="str">
        <f>_xlfn.IFNA(VLOOKUP($M516,Buff.CM!$A:$O,13,FALSE),"")</f>
        <v/>
      </c>
      <c r="O516" s="24" t="str">
        <f>_xlfn.IFNA(VLOOKUP($M516,Buff.CM!$A:$O,14,FALSE),"")</f>
        <v/>
      </c>
      <c r="P516" s="24" t="str">
        <f>_xlfn.IFNA(VLOOKUP($M516,Buff.CM!$A:$O,15,FALSE),"")</f>
        <v/>
      </c>
      <c r="Q516" s="24" t="b">
        <v>0</v>
      </c>
      <c r="R516" s="24" t="b">
        <v>0</v>
      </c>
    </row>
    <row r="517" spans="1:18" s="142" customFormat="1">
      <c r="A517" s="106" t="s">
        <v>2811</v>
      </c>
      <c r="B517" s="23"/>
      <c r="C517" s="23"/>
      <c r="D517" s="23">
        <v>4000</v>
      </c>
      <c r="E517" s="23">
        <v>0</v>
      </c>
      <c r="F517" s="23">
        <v>0</v>
      </c>
      <c r="G517" s="106" t="s">
        <v>1715</v>
      </c>
      <c r="H517" s="23"/>
      <c r="I517" s="23" t="b">
        <v>0</v>
      </c>
      <c r="J517" s="23" t="b">
        <v>0</v>
      </c>
      <c r="K517" s="23" t="b">
        <v>0</v>
      </c>
      <c r="L517" s="23" t="s">
        <v>6761</v>
      </c>
      <c r="M517" s="106" t="s">
        <v>1715</v>
      </c>
      <c r="N517" s="23" t="str">
        <f>_xlfn.IFNA(VLOOKUP($M517,Buff.CM!$A:$O,13,FALSE),"")</f>
        <v>icon_battle_receiverecovery</v>
      </c>
      <c r="O517" s="23" t="str">
        <f>_xlfn.IFNA(VLOOKUP($M517,Buff.CM!$A:$O,14,FALSE),"")</f>
        <v>Buff.Name.ReceiveHealRate.Down.01</v>
      </c>
      <c r="P517" s="23" t="str">
        <f>_xlfn.IFNA(VLOOKUP($M517,Buff.CM!$A:$O,15,FALSE),"")</f>
        <v>Buff.Desc.ReceiveHealRate.Down.01</v>
      </c>
      <c r="Q517" s="23" t="b">
        <v>0</v>
      </c>
      <c r="R517" s="23" t="b">
        <v>0</v>
      </c>
    </row>
    <row r="518" spans="1:18" s="142" customFormat="1">
      <c r="A518" s="106" t="s">
        <v>2812</v>
      </c>
      <c r="B518" s="23"/>
      <c r="C518" s="23"/>
      <c r="D518" s="23">
        <v>5000</v>
      </c>
      <c r="E518" s="23">
        <v>0</v>
      </c>
      <c r="F518" s="23">
        <v>0</v>
      </c>
      <c r="G518" s="106" t="s">
        <v>1715</v>
      </c>
      <c r="H518" s="23"/>
      <c r="I518" s="23" t="b">
        <v>0</v>
      </c>
      <c r="J518" s="23" t="b">
        <v>0</v>
      </c>
      <c r="K518" s="23" t="b">
        <v>0</v>
      </c>
      <c r="L518" s="23" t="s">
        <v>6761</v>
      </c>
      <c r="M518" s="106" t="s">
        <v>1715</v>
      </c>
      <c r="N518" s="23" t="str">
        <f>_xlfn.IFNA(VLOOKUP($M518,Buff.CM!$A:$O,13,FALSE),"")</f>
        <v>icon_battle_receiverecovery</v>
      </c>
      <c r="O518" s="23" t="str">
        <f>_xlfn.IFNA(VLOOKUP($M518,Buff.CM!$A:$O,14,FALSE),"")</f>
        <v>Buff.Name.ReceiveHealRate.Down.01</v>
      </c>
      <c r="P518" s="23" t="str">
        <f>_xlfn.IFNA(VLOOKUP($M518,Buff.CM!$A:$O,15,FALSE),"")</f>
        <v>Buff.Desc.ReceiveHealRate.Down.01</v>
      </c>
      <c r="Q518" s="23" t="b">
        <v>0</v>
      </c>
      <c r="R518" s="23" t="b">
        <v>0</v>
      </c>
    </row>
    <row r="519" spans="1:18" s="142" customFormat="1">
      <c r="A519" s="106" t="s">
        <v>2813</v>
      </c>
      <c r="B519" s="23"/>
      <c r="C519" s="23"/>
      <c r="D519" s="23">
        <v>6000</v>
      </c>
      <c r="E519" s="23">
        <v>0</v>
      </c>
      <c r="F519" s="23">
        <v>0</v>
      </c>
      <c r="G519" s="106" t="s">
        <v>1715</v>
      </c>
      <c r="H519" s="23"/>
      <c r="I519" s="23" t="b">
        <v>0</v>
      </c>
      <c r="J519" s="23" t="b">
        <v>0</v>
      </c>
      <c r="K519" s="23" t="b">
        <v>0</v>
      </c>
      <c r="L519" s="23" t="s">
        <v>6761</v>
      </c>
      <c r="M519" s="106" t="s">
        <v>1715</v>
      </c>
      <c r="N519" s="23" t="str">
        <f>_xlfn.IFNA(VLOOKUP($M519,Buff.CM!$A:$O,13,FALSE),"")</f>
        <v>icon_battle_receiverecovery</v>
      </c>
      <c r="O519" s="23" t="str">
        <f>_xlfn.IFNA(VLOOKUP($M519,Buff.CM!$A:$O,14,FALSE),"")</f>
        <v>Buff.Name.ReceiveHealRate.Down.01</v>
      </c>
      <c r="P519" s="23" t="str">
        <f>_xlfn.IFNA(VLOOKUP($M519,Buff.CM!$A:$O,15,FALSE),"")</f>
        <v>Buff.Desc.ReceiveHealRate.Down.01</v>
      </c>
      <c r="Q519" s="23" t="b">
        <v>0</v>
      </c>
      <c r="R519" s="23" t="b">
        <v>0</v>
      </c>
    </row>
    <row r="520" spans="1:18" s="142" customFormat="1">
      <c r="A520" s="106" t="s">
        <v>2814</v>
      </c>
      <c r="B520" s="23"/>
      <c r="C520" s="23"/>
      <c r="D520" s="23">
        <v>6000</v>
      </c>
      <c r="E520" s="23">
        <v>0</v>
      </c>
      <c r="F520" s="23">
        <v>0</v>
      </c>
      <c r="G520" s="106" t="s">
        <v>1607</v>
      </c>
      <c r="H520" s="23"/>
      <c r="I520" s="23" t="b">
        <v>0</v>
      </c>
      <c r="J520" s="23" t="b">
        <v>0</v>
      </c>
      <c r="K520" s="23" t="b">
        <v>0</v>
      </c>
      <c r="L520" s="23" t="s">
        <v>6761</v>
      </c>
      <c r="M520" s="106" t="s">
        <v>1607</v>
      </c>
      <c r="N520" s="23" t="str">
        <f>_xlfn.IFNA(VLOOKUP($M520,Buff.CM!$A:$O,13,FALSE),"")</f>
        <v>icon_battle_receiverecovery</v>
      </c>
      <c r="O520" s="23" t="str">
        <f>_xlfn.IFNA(VLOOKUP($M520,Buff.CM!$A:$O,14,FALSE),"")</f>
        <v>Buff.Name.ReceiveHealRate.Down.02</v>
      </c>
      <c r="P520" s="23" t="str">
        <f>_xlfn.IFNA(VLOOKUP($M520,Buff.CM!$A:$O,15,FALSE),"")</f>
        <v>Buff.Desc.ReceiveHealRate.Down.02</v>
      </c>
      <c r="Q520" s="23" t="b">
        <v>0</v>
      </c>
      <c r="R520" s="23" t="b">
        <v>0</v>
      </c>
    </row>
    <row r="521" spans="1:18" s="142" customFormat="1">
      <c r="A521" s="106" t="s">
        <v>2815</v>
      </c>
      <c r="B521" s="23"/>
      <c r="C521" s="23"/>
      <c r="D521" s="23">
        <v>7000</v>
      </c>
      <c r="E521" s="23">
        <v>0</v>
      </c>
      <c r="F521" s="23">
        <v>0</v>
      </c>
      <c r="G521" s="106" t="s">
        <v>1607</v>
      </c>
      <c r="H521" s="23"/>
      <c r="I521" s="23" t="b">
        <v>0</v>
      </c>
      <c r="J521" s="23" t="b">
        <v>0</v>
      </c>
      <c r="K521" s="23" t="b">
        <v>0</v>
      </c>
      <c r="L521" s="23" t="s">
        <v>6761</v>
      </c>
      <c r="M521" s="106" t="s">
        <v>1607</v>
      </c>
      <c r="N521" s="23" t="str">
        <f>_xlfn.IFNA(VLOOKUP($M521,Buff.CM!$A:$O,13,FALSE),"")</f>
        <v>icon_battle_receiverecovery</v>
      </c>
      <c r="O521" s="23" t="str">
        <f>_xlfn.IFNA(VLOOKUP($M521,Buff.CM!$A:$O,14,FALSE),"")</f>
        <v>Buff.Name.ReceiveHealRate.Down.02</v>
      </c>
      <c r="P521" s="23" t="str">
        <f>_xlfn.IFNA(VLOOKUP($M521,Buff.CM!$A:$O,15,FALSE),"")</f>
        <v>Buff.Desc.ReceiveHealRate.Down.02</v>
      </c>
      <c r="Q521" s="23" t="b">
        <v>0</v>
      </c>
      <c r="R521" s="23" t="b">
        <v>0</v>
      </c>
    </row>
    <row r="522" spans="1:18">
      <c r="A522" s="37" t="s">
        <v>2816</v>
      </c>
      <c r="B522" s="34"/>
      <c r="C522" s="34"/>
      <c r="D522" s="34">
        <v>7000</v>
      </c>
      <c r="E522" s="34">
        <v>0</v>
      </c>
      <c r="F522" s="34">
        <v>0</v>
      </c>
      <c r="G522" s="37" t="s">
        <v>1607</v>
      </c>
      <c r="H522" s="34"/>
      <c r="I522" s="34" t="b">
        <v>0</v>
      </c>
      <c r="J522" s="34" t="b">
        <v>0</v>
      </c>
      <c r="K522" s="34" t="b">
        <v>0</v>
      </c>
      <c r="L522" s="23" t="s">
        <v>6761</v>
      </c>
      <c r="M522" s="34" t="s">
        <v>1607</v>
      </c>
      <c r="N522" s="34" t="str">
        <f>_xlfn.IFNA(VLOOKUP($M522,Buff.CM!$A:$O,13,FALSE),"")</f>
        <v>icon_battle_receiverecovery</v>
      </c>
      <c r="O522" s="34" t="str">
        <f>_xlfn.IFNA(VLOOKUP($M522,Buff.CM!$A:$O,14,FALSE),"")</f>
        <v>Buff.Name.ReceiveHealRate.Down.02</v>
      </c>
      <c r="P522" s="34" t="str">
        <f>_xlfn.IFNA(VLOOKUP($M522,Buff.CM!$A:$O,15,FALSE),"")</f>
        <v>Buff.Desc.ReceiveHealRate.Down.02</v>
      </c>
      <c r="Q522" s="34" t="b">
        <v>0</v>
      </c>
      <c r="R522" s="34" t="b">
        <v>0</v>
      </c>
    </row>
    <row r="523" spans="1:18">
      <c r="A523" s="37" t="s">
        <v>2817</v>
      </c>
      <c r="B523" s="34"/>
      <c r="C523" s="34"/>
      <c r="D523" s="34">
        <v>7000</v>
      </c>
      <c r="E523" s="34">
        <v>0</v>
      </c>
      <c r="F523" s="34">
        <v>0</v>
      </c>
      <c r="G523" s="37" t="s">
        <v>1607</v>
      </c>
      <c r="H523" s="34"/>
      <c r="I523" s="34" t="b">
        <v>0</v>
      </c>
      <c r="J523" s="34" t="b">
        <v>0</v>
      </c>
      <c r="K523" s="34" t="b">
        <v>0</v>
      </c>
      <c r="L523" s="23" t="s">
        <v>6761</v>
      </c>
      <c r="M523" s="34" t="s">
        <v>1607</v>
      </c>
      <c r="N523" s="34" t="str">
        <f>_xlfn.IFNA(VLOOKUP($M523,Buff.CM!$A:$O,13,FALSE),"")</f>
        <v>icon_battle_receiverecovery</v>
      </c>
      <c r="O523" s="34" t="str">
        <f>_xlfn.IFNA(VLOOKUP($M523,Buff.CM!$A:$O,14,FALSE),"")</f>
        <v>Buff.Name.ReceiveHealRate.Down.02</v>
      </c>
      <c r="P523" s="34" t="str">
        <f>_xlfn.IFNA(VLOOKUP($M523,Buff.CM!$A:$O,15,FALSE),"")</f>
        <v>Buff.Desc.ReceiveHealRate.Down.02</v>
      </c>
      <c r="Q523" s="34" t="b">
        <v>0</v>
      </c>
      <c r="R523" s="34" t="b">
        <v>0</v>
      </c>
    </row>
    <row r="524" spans="1:18">
      <c r="A524" s="41" t="s">
        <v>2159</v>
      </c>
      <c r="B524" s="41"/>
      <c r="C524" s="41"/>
      <c r="D524" s="41">
        <v>7000</v>
      </c>
      <c r="E524" s="41">
        <v>0</v>
      </c>
      <c r="F524" s="41">
        <v>0</v>
      </c>
      <c r="G524" s="41" t="s">
        <v>6976</v>
      </c>
      <c r="H524" s="41"/>
      <c r="I524" s="41" t="b">
        <v>0</v>
      </c>
      <c r="J524" s="41" t="b">
        <v>0</v>
      </c>
      <c r="K524" s="41" t="b">
        <v>0</v>
      </c>
      <c r="L524" s="41" t="s">
        <v>168</v>
      </c>
      <c r="M524" s="41" t="s">
        <v>6122</v>
      </c>
      <c r="N524" s="41" t="str">
        <f>_xlfn.IFNA(VLOOKUP($M524,Buff.CM!$A:$O,13,FALSE),"")</f>
        <v>icon_battle_bleeding</v>
      </c>
      <c r="O524" s="41" t="str">
        <f>_xlfn.IFNA(VLOOKUP($M524,Buff.CM!$A:$O,14,FALSE),"")</f>
        <v>Buff.Name.Bleeding</v>
      </c>
      <c r="P524" s="41" t="str">
        <f>_xlfn.IFNA(VLOOKUP($M524,Buff.CM!$A:$O,15,FALSE),"")</f>
        <v>Buff.Desc.Bleeding</v>
      </c>
      <c r="Q524" s="25" t="b">
        <v>0</v>
      </c>
      <c r="R524" s="41" t="b">
        <v>0</v>
      </c>
    </row>
    <row r="525" spans="1:18">
      <c r="A525" s="41" t="s">
        <v>2160</v>
      </c>
      <c r="B525" s="41"/>
      <c r="C525" s="41"/>
      <c r="D525" s="41">
        <v>8000</v>
      </c>
      <c r="E525" s="41">
        <v>0</v>
      </c>
      <c r="F525" s="41">
        <v>0</v>
      </c>
      <c r="G525" s="41" t="s">
        <v>6976</v>
      </c>
      <c r="H525" s="41"/>
      <c r="I525" s="41" t="b">
        <v>0</v>
      </c>
      <c r="J525" s="41" t="b">
        <v>0</v>
      </c>
      <c r="K525" s="41" t="b">
        <v>0</v>
      </c>
      <c r="L525" s="41" t="s">
        <v>168</v>
      </c>
      <c r="M525" s="41" t="s">
        <v>6122</v>
      </c>
      <c r="N525" s="41" t="str">
        <f>_xlfn.IFNA(VLOOKUP($M525,Buff.CM!$A:$O,13,FALSE),"")</f>
        <v>icon_battle_bleeding</v>
      </c>
      <c r="O525" s="41" t="str">
        <f>_xlfn.IFNA(VLOOKUP($M525,Buff.CM!$A:$O,14,FALSE),"")</f>
        <v>Buff.Name.Bleeding</v>
      </c>
      <c r="P525" s="41" t="str">
        <f>_xlfn.IFNA(VLOOKUP($M525,Buff.CM!$A:$O,15,FALSE),"")</f>
        <v>Buff.Desc.Bleeding</v>
      </c>
      <c r="Q525" s="25" t="b">
        <v>0</v>
      </c>
      <c r="R525" s="41" t="b">
        <v>0</v>
      </c>
    </row>
    <row r="526" spans="1:18">
      <c r="A526" s="41" t="s">
        <v>2161</v>
      </c>
      <c r="B526" s="41"/>
      <c r="C526" s="41"/>
      <c r="D526" s="41">
        <v>9000</v>
      </c>
      <c r="E526" s="41">
        <v>0</v>
      </c>
      <c r="F526" s="41">
        <v>0</v>
      </c>
      <c r="G526" s="41" t="s">
        <v>6976</v>
      </c>
      <c r="H526" s="41"/>
      <c r="I526" s="41" t="b">
        <v>0</v>
      </c>
      <c r="J526" s="41" t="b">
        <v>0</v>
      </c>
      <c r="K526" s="41" t="b">
        <v>0</v>
      </c>
      <c r="L526" s="41" t="s">
        <v>168</v>
      </c>
      <c r="M526" s="41" t="s">
        <v>6122</v>
      </c>
      <c r="N526" s="41" t="str">
        <f>_xlfn.IFNA(VLOOKUP($M526,Buff.CM!$A:$O,13,FALSE),"")</f>
        <v>icon_battle_bleeding</v>
      </c>
      <c r="O526" s="41" t="str">
        <f>_xlfn.IFNA(VLOOKUP($M526,Buff.CM!$A:$O,14,FALSE),"")</f>
        <v>Buff.Name.Bleeding</v>
      </c>
      <c r="P526" s="41" t="str">
        <f>_xlfn.IFNA(VLOOKUP($M526,Buff.CM!$A:$O,15,FALSE),"")</f>
        <v>Buff.Desc.Bleeding</v>
      </c>
      <c r="Q526" s="25" t="b">
        <v>0</v>
      </c>
      <c r="R526" s="41" t="b">
        <v>0</v>
      </c>
    </row>
    <row r="527" spans="1:18">
      <c r="A527" s="41" t="s">
        <v>2162</v>
      </c>
      <c r="B527" s="41"/>
      <c r="C527" s="41"/>
      <c r="D527" s="41">
        <v>9000</v>
      </c>
      <c r="E527" s="41">
        <v>0</v>
      </c>
      <c r="F527" s="41">
        <v>0</v>
      </c>
      <c r="G527" s="41" t="s">
        <v>1637</v>
      </c>
      <c r="H527" s="41"/>
      <c r="I527" s="41" t="b">
        <v>0</v>
      </c>
      <c r="J527" s="41" t="b">
        <v>0</v>
      </c>
      <c r="K527" s="41" t="b">
        <v>0</v>
      </c>
      <c r="L527" s="41" t="s">
        <v>168</v>
      </c>
      <c r="M527" s="41" t="s">
        <v>6122</v>
      </c>
      <c r="N527" s="41" t="str">
        <f>_xlfn.IFNA(VLOOKUP($M527,Buff.CM!$A:$O,13,FALSE),"")</f>
        <v>icon_battle_bleeding</v>
      </c>
      <c r="O527" s="41" t="str">
        <f>_xlfn.IFNA(VLOOKUP($M527,Buff.CM!$A:$O,14,FALSE),"")</f>
        <v>Buff.Name.Bleeding</v>
      </c>
      <c r="P527" s="41" t="str">
        <f>_xlfn.IFNA(VLOOKUP($M527,Buff.CM!$A:$O,15,FALSE),"")</f>
        <v>Buff.Desc.Bleeding</v>
      </c>
      <c r="Q527" s="25" t="b">
        <v>0</v>
      </c>
      <c r="R527" s="41" t="b">
        <v>0</v>
      </c>
    </row>
    <row r="528" spans="1:18">
      <c r="A528" s="41" t="s">
        <v>2536</v>
      </c>
      <c r="B528" s="41"/>
      <c r="C528" s="41"/>
      <c r="D528" s="41">
        <v>10000</v>
      </c>
      <c r="E528" s="41">
        <v>0</v>
      </c>
      <c r="F528" s="41">
        <v>0</v>
      </c>
      <c r="G528" s="41" t="s">
        <v>1637</v>
      </c>
      <c r="H528" s="41"/>
      <c r="I528" s="41" t="b">
        <v>0</v>
      </c>
      <c r="J528" s="41" t="b">
        <v>0</v>
      </c>
      <c r="K528" s="41" t="b">
        <v>0</v>
      </c>
      <c r="L528" s="41" t="s">
        <v>168</v>
      </c>
      <c r="M528" s="41" t="s">
        <v>6122</v>
      </c>
      <c r="N528" s="41" t="str">
        <f>_xlfn.IFNA(VLOOKUP($M528,Buff.CM!$A:$O,13,FALSE),"")</f>
        <v>icon_battle_bleeding</v>
      </c>
      <c r="O528" s="41" t="str">
        <f>_xlfn.IFNA(VLOOKUP($M528,Buff.CM!$A:$O,14,FALSE),"")</f>
        <v>Buff.Name.Bleeding</v>
      </c>
      <c r="P528" s="41" t="str">
        <f>_xlfn.IFNA(VLOOKUP($M528,Buff.CM!$A:$O,15,FALSE),"")</f>
        <v>Buff.Desc.Bleeding</v>
      </c>
      <c r="Q528" s="25" t="b">
        <v>0</v>
      </c>
      <c r="R528" s="41" t="b">
        <v>0</v>
      </c>
    </row>
    <row r="529" spans="1:18">
      <c r="A529" s="34" t="s">
        <v>2537</v>
      </c>
      <c r="B529" s="34"/>
      <c r="C529" s="34"/>
      <c r="D529" s="34">
        <v>10000</v>
      </c>
      <c r="E529" s="34">
        <v>0</v>
      </c>
      <c r="F529" s="34">
        <v>0</v>
      </c>
      <c r="G529" s="34" t="s">
        <v>1637</v>
      </c>
      <c r="H529" s="34"/>
      <c r="I529" s="34" t="b">
        <v>0</v>
      </c>
      <c r="J529" s="34" t="b">
        <v>0</v>
      </c>
      <c r="K529" s="34" t="b">
        <v>0</v>
      </c>
      <c r="L529" s="34" t="s">
        <v>168</v>
      </c>
      <c r="M529" s="34" t="s">
        <v>6122</v>
      </c>
      <c r="N529" s="34" t="str">
        <f>_xlfn.IFNA(VLOOKUP($M529,Buff.CM!$A:$O,13,FALSE),"")</f>
        <v>icon_battle_bleeding</v>
      </c>
      <c r="O529" s="34" t="str">
        <f>_xlfn.IFNA(VLOOKUP($M529,Buff.CM!$A:$O,14,FALSE),"")</f>
        <v>Buff.Name.Bleeding</v>
      </c>
      <c r="P529" s="34" t="str">
        <f>_xlfn.IFNA(VLOOKUP($M529,Buff.CM!$A:$O,15,FALSE),"")</f>
        <v>Buff.Desc.Bleeding</v>
      </c>
      <c r="Q529" s="34" t="b">
        <v>0</v>
      </c>
      <c r="R529" s="34" t="b">
        <v>0</v>
      </c>
    </row>
    <row r="530" spans="1:18">
      <c r="A530" s="34" t="s">
        <v>2538</v>
      </c>
      <c r="B530" s="34"/>
      <c r="C530" s="34"/>
      <c r="D530" s="34">
        <v>10000</v>
      </c>
      <c r="E530" s="34">
        <v>0</v>
      </c>
      <c r="F530" s="34">
        <v>0</v>
      </c>
      <c r="G530" s="34" t="s">
        <v>1637</v>
      </c>
      <c r="H530" s="34"/>
      <c r="I530" s="34" t="b">
        <v>0</v>
      </c>
      <c r="J530" s="34" t="b">
        <v>0</v>
      </c>
      <c r="K530" s="34" t="b">
        <v>0</v>
      </c>
      <c r="L530" s="34" t="s">
        <v>168</v>
      </c>
      <c r="M530" s="34" t="s">
        <v>6122</v>
      </c>
      <c r="N530" s="34" t="str">
        <f>_xlfn.IFNA(VLOOKUP($M530,Buff.CM!$A:$O,13,FALSE),"")</f>
        <v>icon_battle_bleeding</v>
      </c>
      <c r="O530" s="34" t="str">
        <f>_xlfn.IFNA(VLOOKUP($M530,Buff.CM!$A:$O,14,FALSE),"")</f>
        <v>Buff.Name.Bleeding</v>
      </c>
      <c r="P530" s="34" t="str">
        <f>_xlfn.IFNA(VLOOKUP($M530,Buff.CM!$A:$O,15,FALSE),"")</f>
        <v>Buff.Desc.Bleeding</v>
      </c>
      <c r="Q530" s="34" t="b">
        <v>0</v>
      </c>
      <c r="R530" s="34" t="b">
        <v>0</v>
      </c>
    </row>
    <row r="531" spans="1:18">
      <c r="A531" s="6" t="s">
        <v>2824</v>
      </c>
      <c r="B531" s="6"/>
      <c r="C531" s="6"/>
      <c r="D531" s="6">
        <v>7000</v>
      </c>
      <c r="E531" s="6">
        <v>0</v>
      </c>
      <c r="F531" s="6">
        <v>0</v>
      </c>
      <c r="G531" s="6" t="s">
        <v>8780</v>
      </c>
      <c r="H531" s="6"/>
      <c r="I531" s="6" t="b">
        <v>0</v>
      </c>
      <c r="J531" s="6" t="b">
        <v>0</v>
      </c>
      <c r="K531" s="6" t="b">
        <v>0</v>
      </c>
      <c r="L531" s="6" t="s">
        <v>175</v>
      </c>
      <c r="M531" s="6" t="s">
        <v>8780</v>
      </c>
      <c r="N531" s="6" t="str">
        <f>_xlfn.IFNA(VLOOKUP($M531,Buff.CM!$A:$O,13,FALSE),"")</f>
        <v>icon_battle_damageimmune</v>
      </c>
      <c r="O531" s="6" t="str">
        <f>_xlfn.IFNA(VLOOKUP($M531,Buff.CM!$A:$O,14,FALSE),"")</f>
        <v>Buff.Name.Reduce.DotDamage.Down.02</v>
      </c>
      <c r="P531" s="6" t="str">
        <f>_xlfn.IFNA(VLOOKUP($M531,Buff.CM!$A:$O,15,FALSE),"")</f>
        <v>Buff.Desc.Reduce.DotDamage.Down.02</v>
      </c>
      <c r="Q531" s="6" t="b">
        <v>0</v>
      </c>
      <c r="R531" s="6" t="b">
        <v>0</v>
      </c>
    </row>
    <row r="532" spans="1:18">
      <c r="A532" s="6" t="s">
        <v>2818</v>
      </c>
      <c r="B532" s="6"/>
      <c r="C532" s="6"/>
      <c r="D532" s="6">
        <v>8000</v>
      </c>
      <c r="E532" s="6">
        <v>0</v>
      </c>
      <c r="F532" s="6">
        <v>0</v>
      </c>
      <c r="G532" s="6" t="s">
        <v>8780</v>
      </c>
      <c r="H532" s="6"/>
      <c r="I532" s="6" t="b">
        <v>0</v>
      </c>
      <c r="J532" s="6" t="b">
        <v>0</v>
      </c>
      <c r="K532" s="6" t="b">
        <v>0</v>
      </c>
      <c r="L532" s="6" t="s">
        <v>175</v>
      </c>
      <c r="M532" s="6" t="s">
        <v>8780</v>
      </c>
      <c r="N532" s="6" t="str">
        <f>_xlfn.IFNA(VLOOKUP($M532,Buff.CM!$A:$O,13,FALSE),"")</f>
        <v>icon_battle_damageimmune</v>
      </c>
      <c r="O532" s="6" t="str">
        <f>_xlfn.IFNA(VLOOKUP($M532,Buff.CM!$A:$O,14,FALSE),"")</f>
        <v>Buff.Name.Reduce.DotDamage.Down.02</v>
      </c>
      <c r="P532" s="6" t="str">
        <f>_xlfn.IFNA(VLOOKUP($M532,Buff.CM!$A:$O,15,FALSE),"")</f>
        <v>Buff.Desc.Reduce.DotDamage.Down.02</v>
      </c>
      <c r="Q532" s="6" t="b">
        <v>0</v>
      </c>
      <c r="R532" s="6" t="b">
        <v>0</v>
      </c>
    </row>
    <row r="533" spans="1:18">
      <c r="A533" s="6" t="s">
        <v>2819</v>
      </c>
      <c r="B533" s="6"/>
      <c r="C533" s="6"/>
      <c r="D533" s="6">
        <v>9000</v>
      </c>
      <c r="E533" s="6">
        <v>0</v>
      </c>
      <c r="F533" s="6">
        <v>0</v>
      </c>
      <c r="G533" s="6" t="s">
        <v>8780</v>
      </c>
      <c r="H533" s="6"/>
      <c r="I533" s="6" t="b">
        <v>0</v>
      </c>
      <c r="J533" s="6" t="b">
        <v>0</v>
      </c>
      <c r="K533" s="6" t="b">
        <v>0</v>
      </c>
      <c r="L533" s="6" t="s">
        <v>175</v>
      </c>
      <c r="M533" s="6" t="s">
        <v>8780</v>
      </c>
      <c r="N533" s="6" t="str">
        <f>_xlfn.IFNA(VLOOKUP($M533,Buff.CM!$A:$O,13,FALSE),"")</f>
        <v>icon_battle_damageimmune</v>
      </c>
      <c r="O533" s="6" t="str">
        <f>_xlfn.IFNA(VLOOKUP($M533,Buff.CM!$A:$O,14,FALSE),"")</f>
        <v>Buff.Name.Reduce.DotDamage.Down.02</v>
      </c>
      <c r="P533" s="6" t="str">
        <f>_xlfn.IFNA(VLOOKUP($M533,Buff.CM!$A:$O,15,FALSE),"")</f>
        <v>Buff.Desc.Reduce.DotDamage.Down.02</v>
      </c>
      <c r="Q533" s="6" t="b">
        <v>0</v>
      </c>
      <c r="R533" s="6" t="b">
        <v>0</v>
      </c>
    </row>
    <row r="534" spans="1:18">
      <c r="A534" s="6" t="s">
        <v>2820</v>
      </c>
      <c r="B534" s="6"/>
      <c r="C534" s="6"/>
      <c r="D534" s="6">
        <v>9000</v>
      </c>
      <c r="E534" s="6">
        <v>0</v>
      </c>
      <c r="F534" s="6">
        <v>0</v>
      </c>
      <c r="G534" s="6" t="s">
        <v>8781</v>
      </c>
      <c r="H534" s="6"/>
      <c r="I534" s="6" t="b">
        <v>0</v>
      </c>
      <c r="J534" s="6" t="b">
        <v>0</v>
      </c>
      <c r="K534" s="6" t="b">
        <v>0</v>
      </c>
      <c r="L534" s="6" t="s">
        <v>175</v>
      </c>
      <c r="M534" s="6" t="s">
        <v>8781</v>
      </c>
      <c r="N534" s="6" t="str">
        <f>_xlfn.IFNA(VLOOKUP($M534,Buff.CM!$A:$O,13,FALSE),"")</f>
        <v>icon_battle_damageimmune</v>
      </c>
      <c r="O534" s="6" t="str">
        <f>_xlfn.IFNA(VLOOKUP($M534,Buff.CM!$A:$O,14,FALSE),"")</f>
        <v>Buff.Name.Reduce.DotDamage.Down.03</v>
      </c>
      <c r="P534" s="6" t="str">
        <f>_xlfn.IFNA(VLOOKUP($M534,Buff.CM!$A:$O,15,FALSE),"")</f>
        <v>Buff.Desc.Reduce.DotDamage.Down.03</v>
      </c>
      <c r="Q534" s="6" t="b">
        <v>0</v>
      </c>
      <c r="R534" s="6" t="b">
        <v>0</v>
      </c>
    </row>
    <row r="535" spans="1:18">
      <c r="A535" s="6" t="s">
        <v>2821</v>
      </c>
      <c r="B535" s="6"/>
      <c r="C535" s="6"/>
      <c r="D535" s="6">
        <v>10000</v>
      </c>
      <c r="E535" s="6">
        <v>0</v>
      </c>
      <c r="F535" s="6">
        <v>0</v>
      </c>
      <c r="G535" s="6" t="s">
        <v>8781</v>
      </c>
      <c r="H535" s="6"/>
      <c r="I535" s="6" t="b">
        <v>0</v>
      </c>
      <c r="J535" s="6" t="b">
        <v>0</v>
      </c>
      <c r="K535" s="6" t="b">
        <v>0</v>
      </c>
      <c r="L535" s="6" t="s">
        <v>175</v>
      </c>
      <c r="M535" s="6" t="s">
        <v>8781</v>
      </c>
      <c r="N535" s="6" t="str">
        <f>_xlfn.IFNA(VLOOKUP($M535,Buff.CM!$A:$O,13,FALSE),"")</f>
        <v>icon_battle_damageimmune</v>
      </c>
      <c r="O535" s="6" t="str">
        <f>_xlfn.IFNA(VLOOKUP($M535,Buff.CM!$A:$O,14,FALSE),"")</f>
        <v>Buff.Name.Reduce.DotDamage.Down.03</v>
      </c>
      <c r="P535" s="6" t="str">
        <f>_xlfn.IFNA(VLOOKUP($M535,Buff.CM!$A:$O,15,FALSE),"")</f>
        <v>Buff.Desc.Reduce.DotDamage.Down.03</v>
      </c>
      <c r="Q535" s="6" t="b">
        <v>0</v>
      </c>
      <c r="R535" s="6" t="b">
        <v>0</v>
      </c>
    </row>
    <row r="536" spans="1:18">
      <c r="A536" s="34" t="s">
        <v>2822</v>
      </c>
      <c r="B536" s="34"/>
      <c r="C536" s="34"/>
      <c r="D536" s="34">
        <v>10000</v>
      </c>
      <c r="E536" s="34">
        <v>0</v>
      </c>
      <c r="F536" s="34">
        <v>0</v>
      </c>
      <c r="G536" s="34" t="s">
        <v>8781</v>
      </c>
      <c r="H536" s="34"/>
      <c r="I536" s="34" t="b">
        <v>0</v>
      </c>
      <c r="J536" s="34" t="b">
        <v>0</v>
      </c>
      <c r="K536" s="34" t="b">
        <v>0</v>
      </c>
      <c r="L536" s="34" t="s">
        <v>175</v>
      </c>
      <c r="M536" s="34" t="s">
        <v>8781</v>
      </c>
      <c r="N536" s="34" t="str">
        <f>_xlfn.IFNA(VLOOKUP($M536,Buff.CM!$A:$O,13,FALSE),"")</f>
        <v>icon_battle_damageimmune</v>
      </c>
      <c r="O536" s="34" t="str">
        <f>_xlfn.IFNA(VLOOKUP($M536,Buff.CM!$A:$O,14,FALSE),"")</f>
        <v>Buff.Name.Reduce.DotDamage.Down.03</v>
      </c>
      <c r="P536" s="34" t="str">
        <f>_xlfn.IFNA(VLOOKUP($M536,Buff.CM!$A:$O,15,FALSE),"")</f>
        <v>Buff.Desc.Reduce.DotDamage.Down.03</v>
      </c>
      <c r="Q536" s="34" t="b">
        <v>0</v>
      </c>
      <c r="R536" s="34" t="b">
        <v>0</v>
      </c>
    </row>
    <row r="537" spans="1:18">
      <c r="A537" s="34" t="s">
        <v>2823</v>
      </c>
      <c r="B537" s="34"/>
      <c r="C537" s="34"/>
      <c r="D537" s="34">
        <v>10000</v>
      </c>
      <c r="E537" s="34">
        <v>0</v>
      </c>
      <c r="F537" s="34">
        <v>0</v>
      </c>
      <c r="G537" s="34" t="s">
        <v>8781</v>
      </c>
      <c r="H537" s="34"/>
      <c r="I537" s="34" t="b">
        <v>0</v>
      </c>
      <c r="J537" s="34" t="b">
        <v>0</v>
      </c>
      <c r="K537" s="34" t="b">
        <v>0</v>
      </c>
      <c r="L537" s="34" t="s">
        <v>175</v>
      </c>
      <c r="M537" s="34" t="s">
        <v>8781</v>
      </c>
      <c r="N537" s="34" t="str">
        <f>_xlfn.IFNA(VLOOKUP($M537,Buff.CM!$A:$O,13,FALSE),"")</f>
        <v>icon_battle_damageimmune</v>
      </c>
      <c r="O537" s="34" t="str">
        <f>_xlfn.IFNA(VLOOKUP($M537,Buff.CM!$A:$O,14,FALSE),"")</f>
        <v>Buff.Name.Reduce.DotDamage.Down.03</v>
      </c>
      <c r="P537" s="34" t="str">
        <f>_xlfn.IFNA(VLOOKUP($M537,Buff.CM!$A:$O,15,FALSE),"")</f>
        <v>Buff.Desc.Reduce.DotDamage.Down.03</v>
      </c>
      <c r="Q537" s="34" t="b">
        <v>0</v>
      </c>
      <c r="R537" s="34" t="b">
        <v>0</v>
      </c>
    </row>
    <row r="538" spans="1:18">
      <c r="A538" s="41" t="s">
        <v>8729</v>
      </c>
      <c r="B538" s="41"/>
      <c r="C538" s="41"/>
      <c r="D538" s="41">
        <v>4000</v>
      </c>
      <c r="E538" s="41">
        <v>0</v>
      </c>
      <c r="F538" s="41">
        <v>0</v>
      </c>
      <c r="G538" s="41" t="s">
        <v>6976</v>
      </c>
      <c r="H538" s="41"/>
      <c r="I538" s="41" t="b">
        <v>0</v>
      </c>
      <c r="J538" s="41" t="b">
        <v>0</v>
      </c>
      <c r="K538" s="41" t="b">
        <v>0</v>
      </c>
      <c r="L538" s="41" t="s">
        <v>168</v>
      </c>
      <c r="M538" s="41" t="s">
        <v>6122</v>
      </c>
      <c r="N538" s="41" t="str">
        <f>_xlfn.IFNA(VLOOKUP($M538,Buff.CM!$A:$O,13,FALSE),"")</f>
        <v>icon_battle_bleeding</v>
      </c>
      <c r="O538" s="41" t="str">
        <f>_xlfn.IFNA(VLOOKUP($M538,Buff.CM!$A:$O,14,FALSE),"")</f>
        <v>Buff.Name.Bleeding</v>
      </c>
      <c r="P538" s="41" t="str">
        <f>_xlfn.IFNA(VLOOKUP($M538,Buff.CM!$A:$O,15,FALSE),"")</f>
        <v>Buff.Desc.Bleeding</v>
      </c>
      <c r="Q538" s="41" t="b">
        <v>0</v>
      </c>
      <c r="R538" s="41" t="b">
        <v>0</v>
      </c>
    </row>
    <row r="539" spans="1:18">
      <c r="A539" s="41" t="s">
        <v>8730</v>
      </c>
      <c r="B539" s="41"/>
      <c r="C539" s="41"/>
      <c r="D539" s="41">
        <v>5000</v>
      </c>
      <c r="E539" s="41">
        <v>0</v>
      </c>
      <c r="F539" s="41">
        <v>0</v>
      </c>
      <c r="G539" s="41" t="s">
        <v>6976</v>
      </c>
      <c r="H539" s="41"/>
      <c r="I539" s="41" t="b">
        <v>0</v>
      </c>
      <c r="J539" s="41" t="b">
        <v>0</v>
      </c>
      <c r="K539" s="41" t="b">
        <v>0</v>
      </c>
      <c r="L539" s="41" t="s">
        <v>168</v>
      </c>
      <c r="M539" s="41" t="s">
        <v>6122</v>
      </c>
      <c r="N539" s="41" t="str">
        <f>_xlfn.IFNA(VLOOKUP($M539,Buff.CM!$A:$O,13,FALSE),"")</f>
        <v>icon_battle_bleeding</v>
      </c>
      <c r="O539" s="41" t="str">
        <f>_xlfn.IFNA(VLOOKUP($M539,Buff.CM!$A:$O,14,FALSE),"")</f>
        <v>Buff.Name.Bleeding</v>
      </c>
      <c r="P539" s="41" t="str">
        <f>_xlfn.IFNA(VLOOKUP($M539,Buff.CM!$A:$O,15,FALSE),"")</f>
        <v>Buff.Desc.Bleeding</v>
      </c>
      <c r="Q539" s="41" t="b">
        <v>0</v>
      </c>
      <c r="R539" s="41" t="b">
        <v>0</v>
      </c>
    </row>
    <row r="540" spans="1:18">
      <c r="A540" s="41" t="s">
        <v>8731</v>
      </c>
      <c r="B540" s="41"/>
      <c r="C540" s="41"/>
      <c r="D540" s="41">
        <v>6000</v>
      </c>
      <c r="E540" s="41">
        <v>0</v>
      </c>
      <c r="F540" s="41">
        <v>0</v>
      </c>
      <c r="G540" s="41" t="s">
        <v>6976</v>
      </c>
      <c r="H540" s="41"/>
      <c r="I540" s="41" t="b">
        <v>0</v>
      </c>
      <c r="J540" s="41" t="b">
        <v>0</v>
      </c>
      <c r="K540" s="41" t="b">
        <v>0</v>
      </c>
      <c r="L540" s="41" t="s">
        <v>168</v>
      </c>
      <c r="M540" s="41" t="s">
        <v>6122</v>
      </c>
      <c r="N540" s="41" t="str">
        <f>_xlfn.IFNA(VLOOKUP($M540,Buff.CM!$A:$O,13,FALSE),"")</f>
        <v>icon_battle_bleeding</v>
      </c>
      <c r="O540" s="41" t="str">
        <f>_xlfn.IFNA(VLOOKUP($M540,Buff.CM!$A:$O,14,FALSE),"")</f>
        <v>Buff.Name.Bleeding</v>
      </c>
      <c r="P540" s="41" t="str">
        <f>_xlfn.IFNA(VLOOKUP($M540,Buff.CM!$A:$O,15,FALSE),"")</f>
        <v>Buff.Desc.Bleeding</v>
      </c>
      <c r="Q540" s="41" t="b">
        <v>0</v>
      </c>
      <c r="R540" s="41" t="b">
        <v>0</v>
      </c>
    </row>
    <row r="541" spans="1:18">
      <c r="A541" s="41" t="s">
        <v>8732</v>
      </c>
      <c r="B541" s="41"/>
      <c r="C541" s="41"/>
      <c r="D541" s="41">
        <v>6000</v>
      </c>
      <c r="E541" s="41">
        <v>0</v>
      </c>
      <c r="F541" s="41">
        <v>0</v>
      </c>
      <c r="G541" s="41" t="s">
        <v>1637</v>
      </c>
      <c r="H541" s="41"/>
      <c r="I541" s="41" t="b">
        <v>0</v>
      </c>
      <c r="J541" s="41" t="b">
        <v>0</v>
      </c>
      <c r="K541" s="41" t="b">
        <v>0</v>
      </c>
      <c r="L541" s="41" t="s">
        <v>168</v>
      </c>
      <c r="M541" s="41" t="s">
        <v>6122</v>
      </c>
      <c r="N541" s="41" t="str">
        <f>_xlfn.IFNA(VLOOKUP($M541,Buff.CM!$A:$O,13,FALSE),"")</f>
        <v>icon_battle_bleeding</v>
      </c>
      <c r="O541" s="41" t="str">
        <f>_xlfn.IFNA(VLOOKUP($M541,Buff.CM!$A:$O,14,FALSE),"")</f>
        <v>Buff.Name.Bleeding</v>
      </c>
      <c r="P541" s="41" t="str">
        <f>_xlfn.IFNA(VLOOKUP($M541,Buff.CM!$A:$O,15,FALSE),"")</f>
        <v>Buff.Desc.Bleeding</v>
      </c>
      <c r="Q541" s="41" t="b">
        <v>0</v>
      </c>
      <c r="R541" s="41" t="b">
        <v>0</v>
      </c>
    </row>
    <row r="542" spans="1:18">
      <c r="A542" s="41" t="s">
        <v>8733</v>
      </c>
      <c r="B542" s="41"/>
      <c r="C542" s="41"/>
      <c r="D542" s="41">
        <v>7000</v>
      </c>
      <c r="E542" s="41">
        <v>0</v>
      </c>
      <c r="F542" s="41">
        <v>0</v>
      </c>
      <c r="G542" s="41" t="s">
        <v>1637</v>
      </c>
      <c r="H542" s="41"/>
      <c r="I542" s="41" t="b">
        <v>0</v>
      </c>
      <c r="J542" s="41" t="b">
        <v>0</v>
      </c>
      <c r="K542" s="41" t="b">
        <v>0</v>
      </c>
      <c r="L542" s="41" t="s">
        <v>168</v>
      </c>
      <c r="M542" s="41" t="s">
        <v>6122</v>
      </c>
      <c r="N542" s="41" t="str">
        <f>_xlfn.IFNA(VLOOKUP($M542,Buff.CM!$A:$O,13,FALSE),"")</f>
        <v>icon_battle_bleeding</v>
      </c>
      <c r="O542" s="41" t="str">
        <f>_xlfn.IFNA(VLOOKUP($M542,Buff.CM!$A:$O,14,FALSE),"")</f>
        <v>Buff.Name.Bleeding</v>
      </c>
      <c r="P542" s="41" t="str">
        <f>_xlfn.IFNA(VLOOKUP($M542,Buff.CM!$A:$O,15,FALSE),"")</f>
        <v>Buff.Desc.Bleeding</v>
      </c>
      <c r="Q542" s="41" t="b">
        <v>0</v>
      </c>
      <c r="R542" s="41" t="b">
        <v>0</v>
      </c>
    </row>
    <row r="543" spans="1:18">
      <c r="A543" s="34" t="s">
        <v>8734</v>
      </c>
      <c r="B543" s="34"/>
      <c r="C543" s="34"/>
      <c r="D543" s="34">
        <v>5100</v>
      </c>
      <c r="E543" s="34">
        <v>0</v>
      </c>
      <c r="F543" s="34">
        <v>0</v>
      </c>
      <c r="G543" s="34" t="s">
        <v>1637</v>
      </c>
      <c r="H543" s="34"/>
      <c r="I543" s="34" t="b">
        <v>0</v>
      </c>
      <c r="J543" s="34" t="b">
        <v>0</v>
      </c>
      <c r="K543" s="34" t="b">
        <v>0</v>
      </c>
      <c r="L543" s="34" t="s">
        <v>168</v>
      </c>
      <c r="M543" s="34" t="s">
        <v>6122</v>
      </c>
      <c r="N543" s="34" t="str">
        <f>_xlfn.IFNA(VLOOKUP($M543,Buff.CM!$A:$O,13,FALSE),"")</f>
        <v>icon_battle_bleeding</v>
      </c>
      <c r="O543" s="34" t="str">
        <f>_xlfn.IFNA(VLOOKUP($M543,Buff.CM!$A:$O,14,FALSE),"")</f>
        <v>Buff.Name.Bleeding</v>
      </c>
      <c r="P543" s="34" t="str">
        <f>_xlfn.IFNA(VLOOKUP($M543,Buff.CM!$A:$O,15,FALSE),"")</f>
        <v>Buff.Desc.Bleeding</v>
      </c>
      <c r="Q543" s="34" t="b">
        <v>0</v>
      </c>
      <c r="R543" s="34" t="b">
        <v>0</v>
      </c>
    </row>
    <row r="544" spans="1:18">
      <c r="A544" s="34" t="s">
        <v>8735</v>
      </c>
      <c r="B544" s="34"/>
      <c r="C544" s="34"/>
      <c r="D544" s="34">
        <v>5600</v>
      </c>
      <c r="E544" s="34">
        <v>0</v>
      </c>
      <c r="F544" s="34">
        <v>0</v>
      </c>
      <c r="G544" s="34" t="s">
        <v>1637</v>
      </c>
      <c r="H544" s="34"/>
      <c r="I544" s="34" t="b">
        <v>0</v>
      </c>
      <c r="J544" s="34" t="b">
        <v>0</v>
      </c>
      <c r="K544" s="34" t="b">
        <v>0</v>
      </c>
      <c r="L544" s="34" t="s">
        <v>168</v>
      </c>
      <c r="M544" s="34" t="s">
        <v>6122</v>
      </c>
      <c r="N544" s="34" t="str">
        <f>_xlfn.IFNA(VLOOKUP($M544,Buff.CM!$A:$O,13,FALSE),"")</f>
        <v>icon_battle_bleeding</v>
      </c>
      <c r="O544" s="34" t="str">
        <f>_xlfn.IFNA(VLOOKUP($M544,Buff.CM!$A:$O,14,FALSE),"")</f>
        <v>Buff.Name.Bleeding</v>
      </c>
      <c r="P544" s="34" t="str">
        <f>_xlfn.IFNA(VLOOKUP($M544,Buff.CM!$A:$O,15,FALSE),"")</f>
        <v>Buff.Desc.Bleeding</v>
      </c>
      <c r="Q544" s="34" t="b">
        <v>0</v>
      </c>
      <c r="R544" s="34" t="b">
        <v>0</v>
      </c>
    </row>
    <row r="545" spans="1:18">
      <c r="A545" s="156" t="s">
        <v>7022</v>
      </c>
      <c r="B545" s="6"/>
      <c r="C545" s="6"/>
      <c r="D545" s="6">
        <v>4000</v>
      </c>
      <c r="E545" s="6">
        <v>0</v>
      </c>
      <c r="F545" s="6">
        <v>0</v>
      </c>
      <c r="G545" s="158" t="s">
        <v>8754</v>
      </c>
      <c r="H545" s="6"/>
      <c r="I545" s="6" t="b">
        <v>0</v>
      </c>
      <c r="J545" s="6" t="b">
        <v>0</v>
      </c>
      <c r="K545" s="34" t="b">
        <v>0</v>
      </c>
      <c r="L545" s="6" t="s">
        <v>175</v>
      </c>
      <c r="M545" s="158" t="s">
        <v>8754</v>
      </c>
      <c r="N545" s="6" t="str">
        <f>_xlfn.IFNA(VLOOKUP($M545,Buff.CM!$A:$O,13,FALSE),"")</f>
        <v>icon_battle_accuracy</v>
      </c>
      <c r="O545" s="6" t="str">
        <f>_xlfn.IFNA(VLOOKUP($M545,Buff.CM!$A:$O,14,FALSE),"")</f>
        <v>Buff.Name.Accuracy.Down.03</v>
      </c>
      <c r="P545" s="6" t="str">
        <f>_xlfn.IFNA(VLOOKUP($M545,Buff.CM!$A:$O,15,FALSE),"")</f>
        <v>Buff.Desc.Accuracy.Down.03</v>
      </c>
      <c r="Q545" s="25" t="b">
        <v>0</v>
      </c>
      <c r="R545" s="6" t="b">
        <v>0</v>
      </c>
    </row>
    <row r="546" spans="1:18">
      <c r="A546" s="156" t="s">
        <v>4681</v>
      </c>
      <c r="B546" s="6"/>
      <c r="C546" s="6"/>
      <c r="D546" s="6">
        <v>4500</v>
      </c>
      <c r="E546" s="6">
        <v>0</v>
      </c>
      <c r="F546" s="6">
        <v>0</v>
      </c>
      <c r="G546" s="158" t="s">
        <v>8754</v>
      </c>
      <c r="H546" s="6"/>
      <c r="I546" s="6" t="b">
        <v>0</v>
      </c>
      <c r="J546" s="6" t="b">
        <v>0</v>
      </c>
      <c r="K546" s="34" t="b">
        <v>0</v>
      </c>
      <c r="L546" s="6" t="s">
        <v>175</v>
      </c>
      <c r="M546" s="158" t="s">
        <v>8754</v>
      </c>
      <c r="N546" s="6" t="str">
        <f>_xlfn.IFNA(VLOOKUP($M546,Buff.CM!$A:$O,13,FALSE),"")</f>
        <v>icon_battle_accuracy</v>
      </c>
      <c r="O546" s="6" t="str">
        <f>_xlfn.IFNA(VLOOKUP($M546,Buff.CM!$A:$O,14,FALSE),"")</f>
        <v>Buff.Name.Accuracy.Down.03</v>
      </c>
      <c r="P546" s="6" t="str">
        <f>_xlfn.IFNA(VLOOKUP($M546,Buff.CM!$A:$O,15,FALSE),"")</f>
        <v>Buff.Desc.Accuracy.Down.03</v>
      </c>
      <c r="Q546" s="25" t="b">
        <v>0</v>
      </c>
      <c r="R546" s="6" t="b">
        <v>0</v>
      </c>
    </row>
    <row r="547" spans="1:18">
      <c r="A547" s="156" t="s">
        <v>4682</v>
      </c>
      <c r="B547" s="6"/>
      <c r="C547" s="6"/>
      <c r="D547" s="6">
        <v>5000</v>
      </c>
      <c r="E547" s="6">
        <v>0</v>
      </c>
      <c r="F547" s="6">
        <v>0</v>
      </c>
      <c r="G547" s="158" t="s">
        <v>8755</v>
      </c>
      <c r="H547" s="6"/>
      <c r="I547" s="6" t="b">
        <v>0</v>
      </c>
      <c r="J547" s="6" t="b">
        <v>0</v>
      </c>
      <c r="K547" s="34" t="b">
        <v>0</v>
      </c>
      <c r="L547" s="6" t="s">
        <v>175</v>
      </c>
      <c r="M547" s="158" t="s">
        <v>8755</v>
      </c>
      <c r="N547" s="6" t="str">
        <f>_xlfn.IFNA(VLOOKUP($M547,Buff.CM!$A:$O,13,FALSE),"")</f>
        <v>icon_battle_accuracy</v>
      </c>
      <c r="O547" s="6" t="str">
        <f>_xlfn.IFNA(VLOOKUP($M547,Buff.CM!$A:$O,14,FALSE),"")</f>
        <v>Buff.Name.Accuracy.Down.04</v>
      </c>
      <c r="P547" s="6" t="str">
        <f>_xlfn.IFNA(VLOOKUP($M547,Buff.CM!$A:$O,15,FALSE),"")</f>
        <v>Buff.Desc.Accuracy.Down.04</v>
      </c>
      <c r="Q547" s="25" t="b">
        <v>0</v>
      </c>
      <c r="R547" s="6" t="b">
        <v>0</v>
      </c>
    </row>
    <row r="548" spans="1:18">
      <c r="A548" s="167" t="s">
        <v>4683</v>
      </c>
      <c r="B548" s="34"/>
      <c r="C548" s="34"/>
      <c r="D548" s="34">
        <v>5500</v>
      </c>
      <c r="E548" s="34">
        <v>0</v>
      </c>
      <c r="F548" s="34">
        <v>0</v>
      </c>
      <c r="G548" s="40" t="s">
        <v>8755</v>
      </c>
      <c r="H548" s="34"/>
      <c r="I548" s="34" t="b">
        <v>0</v>
      </c>
      <c r="J548" s="34" t="b">
        <v>0</v>
      </c>
      <c r="K548" s="34" t="b">
        <v>0</v>
      </c>
      <c r="L548" s="34" t="s">
        <v>175</v>
      </c>
      <c r="M548" s="40" t="s">
        <v>8755</v>
      </c>
      <c r="N548" s="34" t="str">
        <f>_xlfn.IFNA(VLOOKUP($M548,Buff.CM!$A:$O,13,FALSE),"")</f>
        <v>icon_battle_accuracy</v>
      </c>
      <c r="O548" s="34" t="str">
        <f>_xlfn.IFNA(VLOOKUP($M548,Buff.CM!$A:$O,14,FALSE),"")</f>
        <v>Buff.Name.Accuracy.Down.04</v>
      </c>
      <c r="P548" s="34" t="str">
        <f>_xlfn.IFNA(VLOOKUP($M548,Buff.CM!$A:$O,15,FALSE),"")</f>
        <v>Buff.Desc.Accuracy.Down.04</v>
      </c>
      <c r="Q548" s="34" t="b">
        <v>0</v>
      </c>
      <c r="R548" s="34" t="b">
        <v>0</v>
      </c>
    </row>
    <row r="549" spans="1:18">
      <c r="A549" s="35" t="s">
        <v>4684</v>
      </c>
      <c r="B549" s="34"/>
      <c r="C549" s="34"/>
      <c r="D549" s="34">
        <v>8000</v>
      </c>
      <c r="E549" s="34">
        <v>0</v>
      </c>
      <c r="F549" s="34">
        <v>0</v>
      </c>
      <c r="G549" s="40" t="s">
        <v>1537</v>
      </c>
      <c r="H549" s="34"/>
      <c r="I549" s="34" t="b">
        <v>0</v>
      </c>
      <c r="J549" s="34" t="b">
        <v>0</v>
      </c>
      <c r="K549" s="34" t="b">
        <v>0</v>
      </c>
      <c r="L549" s="34" t="s">
        <v>175</v>
      </c>
      <c r="M549" s="40" t="s">
        <v>1537</v>
      </c>
      <c r="N549" s="34" t="str">
        <f>_xlfn.IFNA(VLOOKUP($M549,Buff.CM!$A:$O,13,FALSE),"")</f>
        <v>icon_battle_accuracy</v>
      </c>
      <c r="O549" s="34" t="str">
        <f>_xlfn.IFNA(VLOOKUP($M549,Buff.CM!$A:$O,14,FALSE),"")</f>
        <v>Buff.Name.Accuracy.Down.04</v>
      </c>
      <c r="P549" s="34" t="str">
        <f>_xlfn.IFNA(VLOOKUP($M549,Buff.CM!$A:$O,15,FALSE),"")</f>
        <v>Buff.Desc.Accuracy.Down.04</v>
      </c>
      <c r="Q549" s="34" t="b">
        <v>0</v>
      </c>
      <c r="R549" s="34" t="b">
        <v>0</v>
      </c>
    </row>
    <row r="550" spans="1:18">
      <c r="A550" s="37" t="s">
        <v>4685</v>
      </c>
      <c r="B550" s="34"/>
      <c r="C550" s="34"/>
      <c r="D550" s="34">
        <v>8000</v>
      </c>
      <c r="E550" s="34">
        <v>0</v>
      </c>
      <c r="F550" s="34">
        <v>0</v>
      </c>
      <c r="G550" s="40" t="s">
        <v>1537</v>
      </c>
      <c r="H550" s="34"/>
      <c r="I550" s="34" t="b">
        <v>0</v>
      </c>
      <c r="J550" s="34" t="b">
        <v>0</v>
      </c>
      <c r="K550" s="34" t="b">
        <v>0</v>
      </c>
      <c r="L550" s="34" t="s">
        <v>175</v>
      </c>
      <c r="M550" s="40" t="s">
        <v>1537</v>
      </c>
      <c r="N550" s="34" t="str">
        <f>_xlfn.IFNA(VLOOKUP($M550,Buff.CM!$A:$O,13,FALSE),"")</f>
        <v>icon_battle_accuracy</v>
      </c>
      <c r="O550" s="34" t="str">
        <f>_xlfn.IFNA(VLOOKUP($M550,Buff.CM!$A:$O,14,FALSE),"")</f>
        <v>Buff.Name.Accuracy.Down.04</v>
      </c>
      <c r="P550" s="34" t="str">
        <f>_xlfn.IFNA(VLOOKUP($M550,Buff.CM!$A:$O,15,FALSE),"")</f>
        <v>Buff.Desc.Accuracy.Down.04</v>
      </c>
      <c r="Q550" s="34" t="b">
        <v>0</v>
      </c>
      <c r="R550" s="34" t="b">
        <v>0</v>
      </c>
    </row>
    <row r="551" spans="1:18">
      <c r="A551" s="6" t="s">
        <v>2163</v>
      </c>
      <c r="B551" s="6"/>
      <c r="C551" s="6"/>
      <c r="D551" s="6">
        <v>6000</v>
      </c>
      <c r="E551" s="6">
        <v>0</v>
      </c>
      <c r="F551" s="6">
        <v>0</v>
      </c>
      <c r="G551" s="6" t="s">
        <v>6976</v>
      </c>
      <c r="H551" s="6"/>
      <c r="I551" s="6" t="b">
        <v>0</v>
      </c>
      <c r="J551" s="6" t="b">
        <v>0</v>
      </c>
      <c r="K551" s="6" t="b">
        <v>0</v>
      </c>
      <c r="L551" s="6" t="s">
        <v>168</v>
      </c>
      <c r="M551" s="6" t="s">
        <v>6122</v>
      </c>
      <c r="N551" s="6" t="str">
        <f>_xlfn.IFNA(VLOOKUP($M551,Buff.CM!$A:$O,13,FALSE),"")</f>
        <v>icon_battle_bleeding</v>
      </c>
      <c r="O551" s="6" t="str">
        <f>_xlfn.IFNA(VLOOKUP($M551,Buff.CM!$A:$O,14,FALSE),"")</f>
        <v>Buff.Name.Bleeding</v>
      </c>
      <c r="P551" s="6" t="str">
        <f>_xlfn.IFNA(VLOOKUP($M551,Buff.CM!$A:$O,15,FALSE),"")</f>
        <v>Buff.Desc.Bleeding</v>
      </c>
      <c r="Q551" s="25" t="b">
        <v>0</v>
      </c>
      <c r="R551" s="6" t="b">
        <v>0</v>
      </c>
    </row>
    <row r="552" spans="1:18">
      <c r="A552" s="6" t="s">
        <v>2164</v>
      </c>
      <c r="B552" s="6"/>
      <c r="C552" s="6"/>
      <c r="D552" s="6">
        <v>7000</v>
      </c>
      <c r="E552" s="6">
        <v>0</v>
      </c>
      <c r="F552" s="6">
        <v>0</v>
      </c>
      <c r="G552" s="6" t="s">
        <v>6976</v>
      </c>
      <c r="H552" s="6"/>
      <c r="I552" s="6" t="b">
        <v>0</v>
      </c>
      <c r="J552" s="6" t="b">
        <v>0</v>
      </c>
      <c r="K552" s="6" t="b">
        <v>0</v>
      </c>
      <c r="L552" s="6" t="s">
        <v>168</v>
      </c>
      <c r="M552" s="6" t="s">
        <v>6122</v>
      </c>
      <c r="N552" s="6" t="str">
        <f>_xlfn.IFNA(VLOOKUP($M552,Buff.CM!$A:$O,13,FALSE),"")</f>
        <v>icon_battle_bleeding</v>
      </c>
      <c r="O552" s="6" t="str">
        <f>_xlfn.IFNA(VLOOKUP($M552,Buff.CM!$A:$O,14,FALSE),"")</f>
        <v>Buff.Name.Bleeding</v>
      </c>
      <c r="P552" s="6" t="str">
        <f>_xlfn.IFNA(VLOOKUP($M552,Buff.CM!$A:$O,15,FALSE),"")</f>
        <v>Buff.Desc.Bleeding</v>
      </c>
      <c r="Q552" s="25" t="b">
        <v>0</v>
      </c>
      <c r="R552" s="6" t="b">
        <v>0</v>
      </c>
    </row>
    <row r="553" spans="1:18">
      <c r="A553" s="6" t="s">
        <v>2165</v>
      </c>
      <c r="B553" s="6"/>
      <c r="C553" s="6"/>
      <c r="D553" s="6">
        <v>7000</v>
      </c>
      <c r="E553" s="6">
        <v>0</v>
      </c>
      <c r="F553" s="6">
        <v>0</v>
      </c>
      <c r="G553" s="6" t="s">
        <v>1637</v>
      </c>
      <c r="H553" s="6"/>
      <c r="I553" s="6" t="b">
        <v>0</v>
      </c>
      <c r="J553" s="6" t="b">
        <v>0</v>
      </c>
      <c r="K553" s="6" t="b">
        <v>0</v>
      </c>
      <c r="L553" s="6" t="s">
        <v>168</v>
      </c>
      <c r="M553" s="6" t="s">
        <v>6122</v>
      </c>
      <c r="N553" s="6" t="str">
        <f>_xlfn.IFNA(VLOOKUP($M553,Buff.CM!$A:$O,13,FALSE),"")</f>
        <v>icon_battle_bleeding</v>
      </c>
      <c r="O553" s="6" t="str">
        <f>_xlfn.IFNA(VLOOKUP($M553,Buff.CM!$A:$O,14,FALSE),"")</f>
        <v>Buff.Name.Bleeding</v>
      </c>
      <c r="P553" s="6" t="str">
        <f>_xlfn.IFNA(VLOOKUP($M553,Buff.CM!$A:$O,15,FALSE),"")</f>
        <v>Buff.Desc.Bleeding</v>
      </c>
      <c r="Q553" s="25" t="b">
        <v>0</v>
      </c>
      <c r="R553" s="6" t="b">
        <v>0</v>
      </c>
    </row>
    <row r="554" spans="1:18">
      <c r="A554" s="34" t="s">
        <v>2166</v>
      </c>
      <c r="B554" s="34"/>
      <c r="C554" s="34"/>
      <c r="D554" s="34">
        <v>8000</v>
      </c>
      <c r="E554" s="34">
        <v>0</v>
      </c>
      <c r="F554" s="34">
        <v>0</v>
      </c>
      <c r="G554" s="34" t="s">
        <v>1637</v>
      </c>
      <c r="H554" s="34"/>
      <c r="I554" s="34" t="b">
        <v>0</v>
      </c>
      <c r="J554" s="34" t="b">
        <v>0</v>
      </c>
      <c r="K554" s="34" t="b">
        <v>0</v>
      </c>
      <c r="L554" s="34" t="s">
        <v>168</v>
      </c>
      <c r="M554" s="34" t="s">
        <v>6122</v>
      </c>
      <c r="N554" s="34" t="str">
        <f>_xlfn.IFNA(VLOOKUP($M554,Buff.CM!$A:$O,13,FALSE),"")</f>
        <v>icon_battle_bleeding</v>
      </c>
      <c r="O554" s="34" t="str">
        <f>_xlfn.IFNA(VLOOKUP($M554,Buff.CM!$A:$O,14,FALSE),"")</f>
        <v>Buff.Name.Bleeding</v>
      </c>
      <c r="P554" s="34" t="str">
        <f>_xlfn.IFNA(VLOOKUP($M554,Buff.CM!$A:$O,15,FALSE),"")</f>
        <v>Buff.Desc.Bleeding</v>
      </c>
      <c r="Q554" s="34" t="b">
        <v>0</v>
      </c>
      <c r="R554" s="34" t="b">
        <v>0</v>
      </c>
    </row>
    <row r="555" spans="1:18">
      <c r="A555" s="34" t="s">
        <v>2539</v>
      </c>
      <c r="B555" s="34"/>
      <c r="C555" s="34"/>
      <c r="D555" s="34">
        <v>8000</v>
      </c>
      <c r="E555" s="34">
        <v>0</v>
      </c>
      <c r="F555" s="34">
        <v>0</v>
      </c>
      <c r="G555" s="34" t="s">
        <v>1637</v>
      </c>
      <c r="H555" s="34"/>
      <c r="I555" s="34" t="b">
        <v>0</v>
      </c>
      <c r="J555" s="34" t="b">
        <v>0</v>
      </c>
      <c r="K555" s="34" t="b">
        <v>0</v>
      </c>
      <c r="L555" s="34" t="s">
        <v>168</v>
      </c>
      <c r="M555" s="34" t="s">
        <v>6122</v>
      </c>
      <c r="N555" s="34" t="str">
        <f>_xlfn.IFNA(VLOOKUP($M555,Buff.CM!$A:$O,13,FALSE),"")</f>
        <v>icon_battle_bleeding</v>
      </c>
      <c r="O555" s="34" t="str">
        <f>_xlfn.IFNA(VLOOKUP($M555,Buff.CM!$A:$O,14,FALSE),"")</f>
        <v>Buff.Name.Bleeding</v>
      </c>
      <c r="P555" s="34" t="str">
        <f>_xlfn.IFNA(VLOOKUP($M555,Buff.CM!$A:$O,15,FALSE),"")</f>
        <v>Buff.Desc.Bleeding</v>
      </c>
      <c r="Q555" s="34" t="b">
        <v>0</v>
      </c>
      <c r="R555" s="34" t="b">
        <v>0</v>
      </c>
    </row>
    <row r="556" spans="1:18">
      <c r="A556" s="34" t="s">
        <v>2540</v>
      </c>
      <c r="B556" s="34"/>
      <c r="C556" s="34"/>
      <c r="D556" s="34">
        <v>8000</v>
      </c>
      <c r="E556" s="34">
        <v>0</v>
      </c>
      <c r="F556" s="34">
        <v>0</v>
      </c>
      <c r="G556" s="34" t="s">
        <v>1637</v>
      </c>
      <c r="H556" s="34"/>
      <c r="I556" s="34" t="b">
        <v>0</v>
      </c>
      <c r="J556" s="34" t="b">
        <v>0</v>
      </c>
      <c r="K556" s="34" t="b">
        <v>0</v>
      </c>
      <c r="L556" s="34" t="s">
        <v>168</v>
      </c>
      <c r="M556" s="34" t="s">
        <v>6122</v>
      </c>
      <c r="N556" s="34" t="str">
        <f>_xlfn.IFNA(VLOOKUP($M556,Buff.CM!$A:$O,13,FALSE),"")</f>
        <v>icon_battle_bleeding</v>
      </c>
      <c r="O556" s="34" t="str">
        <f>_xlfn.IFNA(VLOOKUP($M556,Buff.CM!$A:$O,14,FALSE),"")</f>
        <v>Buff.Name.Bleeding</v>
      </c>
      <c r="P556" s="34" t="str">
        <f>_xlfn.IFNA(VLOOKUP($M556,Buff.CM!$A:$O,15,FALSE),"")</f>
        <v>Buff.Desc.Bleeding</v>
      </c>
      <c r="Q556" s="34" t="b">
        <v>0</v>
      </c>
      <c r="R556" s="34" t="b">
        <v>0</v>
      </c>
    </row>
    <row r="557" spans="1:18" ht="33">
      <c r="A557" s="58" t="s">
        <v>709</v>
      </c>
      <c r="B557" s="41"/>
      <c r="C557" s="41"/>
      <c r="D557" s="41">
        <v>0</v>
      </c>
      <c r="E557" s="41">
        <v>0</v>
      </c>
      <c r="F557" s="41">
        <v>0</v>
      </c>
      <c r="G557" s="190" t="s">
        <v>8756</v>
      </c>
      <c r="H557" s="41"/>
      <c r="I557" s="41" t="b">
        <v>0</v>
      </c>
      <c r="J557" s="23" t="b">
        <v>1</v>
      </c>
      <c r="K557" s="41" t="b">
        <v>1</v>
      </c>
      <c r="L557" s="41"/>
      <c r="M557" s="41"/>
      <c r="N557" s="6" t="str">
        <f>_xlfn.IFNA(VLOOKUP($M557,Buff.CM!$A:$O,13,FALSE),"")</f>
        <v/>
      </c>
      <c r="O557" s="6" t="str">
        <f>_xlfn.IFNA(VLOOKUP($M557,Buff.CM!$A:$O,14,FALSE),"")</f>
        <v/>
      </c>
      <c r="P557" s="6" t="str">
        <f>_xlfn.IFNA(VLOOKUP($M557,Buff.CM!$A:$O,15,FALSE),"")</f>
        <v/>
      </c>
      <c r="Q557" s="41" t="b">
        <v>0</v>
      </c>
      <c r="R557" s="41" t="b">
        <v>0</v>
      </c>
    </row>
    <row r="558" spans="1:18" ht="33">
      <c r="A558" s="58" t="s">
        <v>711</v>
      </c>
      <c r="B558" s="41"/>
      <c r="C558" s="41"/>
      <c r="D558" s="41">
        <v>0</v>
      </c>
      <c r="E558" s="41">
        <v>0</v>
      </c>
      <c r="F558" s="41">
        <v>0</v>
      </c>
      <c r="G558" s="190" t="s">
        <v>8757</v>
      </c>
      <c r="H558" s="41"/>
      <c r="I558" s="41" t="b">
        <v>0</v>
      </c>
      <c r="J558" s="23" t="b">
        <v>1</v>
      </c>
      <c r="K558" s="41" t="b">
        <v>1</v>
      </c>
      <c r="L558" s="41"/>
      <c r="M558" s="41"/>
      <c r="N558" s="6" t="str">
        <f>_xlfn.IFNA(VLOOKUP($M558,Buff.CM!$A:$O,13,FALSE),"")</f>
        <v/>
      </c>
      <c r="O558" s="6" t="str">
        <f>_xlfn.IFNA(VLOOKUP($M558,Buff.CM!$A:$O,14,FALSE),"")</f>
        <v/>
      </c>
      <c r="P558" s="6" t="str">
        <f>_xlfn.IFNA(VLOOKUP($M558,Buff.CM!$A:$O,15,FALSE),"")</f>
        <v/>
      </c>
      <c r="Q558" s="41" t="b">
        <v>0</v>
      </c>
      <c r="R558" s="41" t="b">
        <v>0</v>
      </c>
    </row>
    <row r="559" spans="1:18" ht="33">
      <c r="A559" s="58" t="s">
        <v>713</v>
      </c>
      <c r="B559" s="41"/>
      <c r="C559" s="41"/>
      <c r="D559" s="41">
        <v>0</v>
      </c>
      <c r="E559" s="41">
        <v>0</v>
      </c>
      <c r="F559" s="41">
        <v>0</v>
      </c>
      <c r="G559" s="190" t="s">
        <v>8758</v>
      </c>
      <c r="H559" s="41"/>
      <c r="I559" s="41" t="b">
        <v>0</v>
      </c>
      <c r="J559" s="23" t="b">
        <v>1</v>
      </c>
      <c r="K559" s="41" t="b">
        <v>1</v>
      </c>
      <c r="L559" s="41"/>
      <c r="M559" s="41"/>
      <c r="N559" s="6" t="str">
        <f>_xlfn.IFNA(VLOOKUP($M559,Buff.CM!$A:$O,13,FALSE),"")</f>
        <v/>
      </c>
      <c r="O559" s="6" t="str">
        <f>_xlfn.IFNA(VLOOKUP($M559,Buff.CM!$A:$O,14,FALSE),"")</f>
        <v/>
      </c>
      <c r="P559" s="6" t="str">
        <f>_xlfn.IFNA(VLOOKUP($M559,Buff.CM!$A:$O,15,FALSE),"")</f>
        <v/>
      </c>
      <c r="Q559" s="41" t="b">
        <v>0</v>
      </c>
      <c r="R559" s="41" t="b">
        <v>0</v>
      </c>
    </row>
    <row r="560" spans="1:18" ht="33">
      <c r="A560" s="37" t="s">
        <v>715</v>
      </c>
      <c r="B560" s="34"/>
      <c r="C560" s="34"/>
      <c r="D560" s="34">
        <v>0</v>
      </c>
      <c r="E560" s="34">
        <v>0</v>
      </c>
      <c r="F560" s="34">
        <v>0</v>
      </c>
      <c r="G560" s="57" t="s">
        <v>8759</v>
      </c>
      <c r="H560" s="34"/>
      <c r="I560" s="34" t="b">
        <v>0</v>
      </c>
      <c r="J560" s="23" t="b">
        <v>1</v>
      </c>
      <c r="K560" s="34" t="b">
        <v>1</v>
      </c>
      <c r="L560" s="34"/>
      <c r="M560" s="34"/>
      <c r="N560" s="34" t="str">
        <f>_xlfn.IFNA(VLOOKUP($M560,Buff.CM!$A:$O,13,FALSE),"")</f>
        <v/>
      </c>
      <c r="O560" s="34" t="str">
        <f>_xlfn.IFNA(VLOOKUP($M560,Buff.CM!$A:$O,14,FALSE),"")</f>
        <v/>
      </c>
      <c r="P560" s="34" t="str">
        <f>_xlfn.IFNA(VLOOKUP($M560,Buff.CM!$A:$O,15,FALSE),"")</f>
        <v/>
      </c>
      <c r="Q560" s="34" t="b">
        <v>0</v>
      </c>
      <c r="R560" s="34" t="b">
        <v>0</v>
      </c>
    </row>
    <row r="561" spans="1:18" ht="33">
      <c r="A561" s="37" t="s">
        <v>2179</v>
      </c>
      <c r="B561" s="34"/>
      <c r="C561" s="34"/>
      <c r="D561" s="34">
        <v>0</v>
      </c>
      <c r="E561" s="34">
        <v>0</v>
      </c>
      <c r="F561" s="34">
        <v>0</v>
      </c>
      <c r="G561" s="57" t="s">
        <v>8760</v>
      </c>
      <c r="H561" s="34"/>
      <c r="I561" s="34" t="b">
        <v>0</v>
      </c>
      <c r="J561" s="23" t="b">
        <v>1</v>
      </c>
      <c r="K561" s="34" t="b">
        <v>1</v>
      </c>
      <c r="L561" s="34"/>
      <c r="M561" s="34"/>
      <c r="N561" s="34" t="str">
        <f>_xlfn.IFNA(VLOOKUP($M561,Buff.CM!$A:$O,13,FALSE),"")</f>
        <v/>
      </c>
      <c r="O561" s="34" t="str">
        <f>_xlfn.IFNA(VLOOKUP($M561,Buff.CM!$A:$O,14,FALSE),"")</f>
        <v/>
      </c>
      <c r="P561" s="34" t="str">
        <f>_xlfn.IFNA(VLOOKUP($M561,Buff.CM!$A:$O,15,FALSE),"")</f>
        <v/>
      </c>
      <c r="Q561" s="34" t="b">
        <v>0</v>
      </c>
      <c r="R561" s="34" t="b">
        <v>0</v>
      </c>
    </row>
    <row r="562" spans="1:18" ht="33">
      <c r="A562" s="37" t="s">
        <v>2180</v>
      </c>
      <c r="B562" s="34"/>
      <c r="C562" s="34"/>
      <c r="D562" s="34">
        <v>0</v>
      </c>
      <c r="E562" s="34">
        <v>0</v>
      </c>
      <c r="F562" s="34">
        <v>0</v>
      </c>
      <c r="G562" s="57" t="s">
        <v>8761</v>
      </c>
      <c r="H562" s="34"/>
      <c r="I562" s="34" t="b">
        <v>0</v>
      </c>
      <c r="J562" s="23" t="b">
        <v>1</v>
      </c>
      <c r="K562" s="34" t="b">
        <v>1</v>
      </c>
      <c r="L562" s="34"/>
      <c r="M562" s="34"/>
      <c r="N562" s="34" t="str">
        <f>_xlfn.IFNA(VLOOKUP($M562,Buff.CM!$A:$O,13,FALSE),"")</f>
        <v/>
      </c>
      <c r="O562" s="34" t="str">
        <f>_xlfn.IFNA(VLOOKUP($M562,Buff.CM!$A:$O,14,FALSE),"")</f>
        <v/>
      </c>
      <c r="P562" s="34" t="str">
        <f>_xlfn.IFNA(VLOOKUP($M562,Buff.CM!$A:$O,15,FALSE),"")</f>
        <v/>
      </c>
      <c r="Q562" s="34" t="b">
        <v>0</v>
      </c>
      <c r="R562" s="34" t="b">
        <v>0</v>
      </c>
    </row>
    <row r="563" spans="1:18">
      <c r="A563" s="10" t="s">
        <v>2167</v>
      </c>
      <c r="B563" s="6"/>
      <c r="C563" s="6"/>
      <c r="D563" s="6">
        <v>0</v>
      </c>
      <c r="E563" s="6">
        <v>0</v>
      </c>
      <c r="F563" s="6">
        <v>0</v>
      </c>
      <c r="G563" s="10" t="s">
        <v>2171</v>
      </c>
      <c r="H563" s="6"/>
      <c r="I563" s="6" t="b">
        <v>0</v>
      </c>
      <c r="J563" s="23" t="b">
        <v>1</v>
      </c>
      <c r="K563" s="6" t="b">
        <v>0</v>
      </c>
      <c r="L563" s="6"/>
      <c r="M563" s="6"/>
      <c r="N563" s="6" t="str">
        <f>_xlfn.IFNA(VLOOKUP($M563,Buff.CM!$A:$O,13,FALSE),"")</f>
        <v/>
      </c>
      <c r="O563" s="6" t="str">
        <f>_xlfn.IFNA(VLOOKUP($M563,Buff.CM!$A:$O,14,FALSE),"")</f>
        <v/>
      </c>
      <c r="P563" s="6" t="str">
        <f>_xlfn.IFNA(VLOOKUP($M563,Buff.CM!$A:$O,15,FALSE),"")</f>
        <v/>
      </c>
      <c r="Q563" s="6" t="b">
        <v>0</v>
      </c>
      <c r="R563" s="6" t="b">
        <v>0</v>
      </c>
    </row>
    <row r="564" spans="1:18">
      <c r="A564" s="10" t="s">
        <v>2168</v>
      </c>
      <c r="B564" s="6"/>
      <c r="C564" s="6"/>
      <c r="D564" s="6">
        <v>0</v>
      </c>
      <c r="E564" s="6">
        <v>0</v>
      </c>
      <c r="F564" s="6">
        <v>0</v>
      </c>
      <c r="G564" s="10" t="s">
        <v>2172</v>
      </c>
      <c r="H564" s="6"/>
      <c r="I564" s="6" t="b">
        <v>0</v>
      </c>
      <c r="J564" s="23" t="b">
        <v>1</v>
      </c>
      <c r="K564" s="6" t="b">
        <v>0</v>
      </c>
      <c r="L564" s="6"/>
      <c r="M564" s="6"/>
      <c r="N564" s="6" t="str">
        <f>_xlfn.IFNA(VLOOKUP($M564,Buff.CM!$A:$O,13,FALSE),"")</f>
        <v/>
      </c>
      <c r="O564" s="6" t="str">
        <f>_xlfn.IFNA(VLOOKUP($M564,Buff.CM!$A:$O,14,FALSE),"")</f>
        <v/>
      </c>
      <c r="P564" s="6" t="str">
        <f>_xlfn.IFNA(VLOOKUP($M564,Buff.CM!$A:$O,15,FALSE),"")</f>
        <v/>
      </c>
      <c r="Q564" s="6" t="b">
        <v>0</v>
      </c>
      <c r="R564" s="6" t="b">
        <v>0</v>
      </c>
    </row>
    <row r="565" spans="1:18">
      <c r="A565" s="10" t="s">
        <v>2169</v>
      </c>
      <c r="B565" s="6"/>
      <c r="C565" s="6"/>
      <c r="D565" s="6">
        <v>0</v>
      </c>
      <c r="E565" s="6">
        <v>0</v>
      </c>
      <c r="F565" s="6">
        <v>0</v>
      </c>
      <c r="G565" s="10" t="s">
        <v>2173</v>
      </c>
      <c r="H565" s="6"/>
      <c r="I565" s="6" t="b">
        <v>0</v>
      </c>
      <c r="J565" s="23" t="b">
        <v>1</v>
      </c>
      <c r="K565" s="6" t="b">
        <v>0</v>
      </c>
      <c r="L565" s="6"/>
      <c r="M565" s="6"/>
      <c r="N565" s="6" t="str">
        <f>_xlfn.IFNA(VLOOKUP($M565,Buff.CM!$A:$O,13,FALSE),"")</f>
        <v/>
      </c>
      <c r="O565" s="6" t="str">
        <f>_xlfn.IFNA(VLOOKUP($M565,Buff.CM!$A:$O,14,FALSE),"")</f>
        <v/>
      </c>
      <c r="P565" s="6" t="str">
        <f>_xlfn.IFNA(VLOOKUP($M565,Buff.CM!$A:$O,15,FALSE),"")</f>
        <v/>
      </c>
      <c r="Q565" s="6" t="b">
        <v>0</v>
      </c>
      <c r="R565" s="6" t="b">
        <v>0</v>
      </c>
    </row>
    <row r="566" spans="1:18">
      <c r="A566" s="37" t="s">
        <v>2170</v>
      </c>
      <c r="B566" s="34"/>
      <c r="C566" s="34"/>
      <c r="D566" s="34">
        <v>0</v>
      </c>
      <c r="E566" s="34">
        <v>0</v>
      </c>
      <c r="F566" s="34">
        <v>0</v>
      </c>
      <c r="G566" s="37" t="s">
        <v>2174</v>
      </c>
      <c r="H566" s="34"/>
      <c r="I566" s="34" t="b">
        <v>0</v>
      </c>
      <c r="J566" s="23" t="b">
        <v>1</v>
      </c>
      <c r="K566" s="34" t="b">
        <v>0</v>
      </c>
      <c r="L566" s="34"/>
      <c r="M566" s="34"/>
      <c r="N566" s="34" t="str">
        <f>_xlfn.IFNA(VLOOKUP($M566,Buff.CM!$A:$O,13,FALSE),"")</f>
        <v/>
      </c>
      <c r="O566" s="34" t="str">
        <f>_xlfn.IFNA(VLOOKUP($M566,Buff.CM!$A:$O,14,FALSE),"")</f>
        <v/>
      </c>
      <c r="P566" s="34" t="str">
        <f>_xlfn.IFNA(VLOOKUP($M566,Buff.CM!$A:$O,15,FALSE),"")</f>
        <v/>
      </c>
      <c r="Q566" s="34" t="b">
        <v>0</v>
      </c>
      <c r="R566" s="34" t="b">
        <v>0</v>
      </c>
    </row>
    <row r="567" spans="1:18">
      <c r="A567" s="37" t="s">
        <v>2181</v>
      </c>
      <c r="B567" s="34"/>
      <c r="C567" s="34"/>
      <c r="D567" s="34">
        <v>0</v>
      </c>
      <c r="E567" s="34">
        <v>0</v>
      </c>
      <c r="F567" s="34">
        <v>0</v>
      </c>
      <c r="G567" s="37" t="s">
        <v>2177</v>
      </c>
      <c r="H567" s="34"/>
      <c r="I567" s="34" t="b">
        <v>0</v>
      </c>
      <c r="J567" s="23" t="b">
        <v>1</v>
      </c>
      <c r="K567" s="34" t="b">
        <v>0</v>
      </c>
      <c r="L567" s="34"/>
      <c r="M567" s="34"/>
      <c r="N567" s="34" t="str">
        <f>_xlfn.IFNA(VLOOKUP($M567,Buff.CM!$A:$O,13,FALSE),"")</f>
        <v/>
      </c>
      <c r="O567" s="34" t="str">
        <f>_xlfn.IFNA(VLOOKUP($M567,Buff.CM!$A:$O,14,FALSE),"")</f>
        <v/>
      </c>
      <c r="P567" s="34" t="str">
        <f>_xlfn.IFNA(VLOOKUP($M567,Buff.CM!$A:$O,15,FALSE),"")</f>
        <v/>
      </c>
      <c r="Q567" s="34" t="b">
        <v>0</v>
      </c>
      <c r="R567" s="34" t="b">
        <v>0</v>
      </c>
    </row>
    <row r="568" spans="1:18">
      <c r="A568" s="37" t="s">
        <v>2182</v>
      </c>
      <c r="B568" s="34"/>
      <c r="C568" s="34"/>
      <c r="D568" s="34">
        <v>0</v>
      </c>
      <c r="E568" s="34">
        <v>0</v>
      </c>
      <c r="F568" s="34">
        <v>0</v>
      </c>
      <c r="G568" s="37" t="s">
        <v>2178</v>
      </c>
      <c r="H568" s="34"/>
      <c r="I568" s="34" t="b">
        <v>0</v>
      </c>
      <c r="J568" s="23" t="b">
        <v>1</v>
      </c>
      <c r="K568" s="34" t="b">
        <v>0</v>
      </c>
      <c r="L568" s="34"/>
      <c r="M568" s="34"/>
      <c r="N568" s="34" t="str">
        <f>_xlfn.IFNA(VLOOKUP($M568,Buff.CM!$A:$O,13,FALSE),"")</f>
        <v/>
      </c>
      <c r="O568" s="34" t="str">
        <f>_xlfn.IFNA(VLOOKUP($M568,Buff.CM!$A:$O,14,FALSE),"")</f>
        <v/>
      </c>
      <c r="P568" s="34" t="str">
        <f>_xlfn.IFNA(VLOOKUP($M568,Buff.CM!$A:$O,15,FALSE),"")</f>
        <v/>
      </c>
      <c r="Q568" s="34" t="b">
        <v>0</v>
      </c>
      <c r="R568" s="34" t="b">
        <v>0</v>
      </c>
    </row>
    <row r="569" spans="1:18">
      <c r="A569" s="10" t="s">
        <v>8736</v>
      </c>
      <c r="B569" s="6"/>
      <c r="C569" s="6"/>
      <c r="D569" s="6">
        <v>5000</v>
      </c>
      <c r="E569" s="6">
        <v>0</v>
      </c>
      <c r="F569" s="6">
        <v>0</v>
      </c>
      <c r="G569" s="10" t="s">
        <v>6976</v>
      </c>
      <c r="H569" s="6"/>
      <c r="I569" s="6" t="b">
        <v>0</v>
      </c>
      <c r="J569" s="6" t="b">
        <v>0</v>
      </c>
      <c r="K569" s="6" t="b">
        <v>0</v>
      </c>
      <c r="L569" s="6" t="s">
        <v>168</v>
      </c>
      <c r="M569" s="6" t="s">
        <v>6122</v>
      </c>
      <c r="N569" s="6" t="str">
        <f>_xlfn.IFNA(VLOOKUP($M569,Buff.CM!$A:$O,13,FALSE),"")</f>
        <v>icon_battle_bleeding</v>
      </c>
      <c r="O569" s="6" t="str">
        <f>_xlfn.IFNA(VLOOKUP($M569,Buff.CM!$A:$O,14,FALSE),"")</f>
        <v>Buff.Name.Bleeding</v>
      </c>
      <c r="P569" s="6" t="str">
        <f>_xlfn.IFNA(VLOOKUP($M569,Buff.CM!$A:$O,15,FALSE),"")</f>
        <v>Buff.Desc.Bleeding</v>
      </c>
      <c r="Q569" s="6" t="b">
        <v>0</v>
      </c>
      <c r="R569" s="6" t="b">
        <v>0</v>
      </c>
    </row>
    <row r="570" spans="1:18">
      <c r="A570" s="10" t="s">
        <v>8737</v>
      </c>
      <c r="B570" s="6"/>
      <c r="C570" s="6"/>
      <c r="D570" s="6">
        <v>5000</v>
      </c>
      <c r="E570" s="6">
        <v>0</v>
      </c>
      <c r="F570" s="6">
        <v>0</v>
      </c>
      <c r="G570" s="10" t="s">
        <v>6976</v>
      </c>
      <c r="H570" s="6"/>
      <c r="I570" s="6" t="b">
        <v>0</v>
      </c>
      <c r="J570" s="6" t="b">
        <v>0</v>
      </c>
      <c r="K570" s="6" t="b">
        <v>0</v>
      </c>
      <c r="L570" s="6" t="s">
        <v>168</v>
      </c>
      <c r="M570" s="6" t="s">
        <v>6122</v>
      </c>
      <c r="N570" s="6" t="str">
        <f>_xlfn.IFNA(VLOOKUP($M570,Buff.CM!$A:$O,13,FALSE),"")</f>
        <v>icon_battle_bleeding</v>
      </c>
      <c r="O570" s="6" t="str">
        <f>_xlfn.IFNA(VLOOKUP($M570,Buff.CM!$A:$O,14,FALSE),"")</f>
        <v>Buff.Name.Bleeding</v>
      </c>
      <c r="P570" s="6" t="str">
        <f>_xlfn.IFNA(VLOOKUP($M570,Buff.CM!$A:$O,15,FALSE),"")</f>
        <v>Buff.Desc.Bleeding</v>
      </c>
      <c r="Q570" s="6" t="b">
        <v>0</v>
      </c>
      <c r="R570" s="6" t="b">
        <v>0</v>
      </c>
    </row>
    <row r="571" spans="1:18">
      <c r="A571" s="10" t="s">
        <v>8738</v>
      </c>
      <c r="B571" s="6"/>
      <c r="C571" s="6"/>
      <c r="D571" s="6">
        <v>5000</v>
      </c>
      <c r="E571" s="6">
        <v>0</v>
      </c>
      <c r="F571" s="6">
        <v>0</v>
      </c>
      <c r="G571" s="10" t="s">
        <v>6976</v>
      </c>
      <c r="H571" s="6"/>
      <c r="I571" s="6" t="b">
        <v>0</v>
      </c>
      <c r="J571" s="6" t="b">
        <v>0</v>
      </c>
      <c r="K571" s="6" t="b">
        <v>0</v>
      </c>
      <c r="L571" s="6" t="s">
        <v>168</v>
      </c>
      <c r="M571" s="6" t="s">
        <v>6122</v>
      </c>
      <c r="N571" s="6" t="str">
        <f>_xlfn.IFNA(VLOOKUP($M571,Buff.CM!$A:$O,13,FALSE),"")</f>
        <v>icon_battle_bleeding</v>
      </c>
      <c r="O571" s="6" t="str">
        <f>_xlfn.IFNA(VLOOKUP($M571,Buff.CM!$A:$O,14,FALSE),"")</f>
        <v>Buff.Name.Bleeding</v>
      </c>
      <c r="P571" s="6" t="str">
        <f>_xlfn.IFNA(VLOOKUP($M571,Buff.CM!$A:$O,15,FALSE),"")</f>
        <v>Buff.Desc.Bleeding</v>
      </c>
      <c r="Q571" s="6" t="b">
        <v>0</v>
      </c>
      <c r="R571" s="6" t="b">
        <v>0</v>
      </c>
    </row>
    <row r="572" spans="1:18">
      <c r="A572" s="10" t="s">
        <v>8739</v>
      </c>
      <c r="B572" s="6"/>
      <c r="C572" s="6"/>
      <c r="D572" s="6">
        <v>6000</v>
      </c>
      <c r="E572" s="6">
        <v>0</v>
      </c>
      <c r="F572" s="6">
        <v>0</v>
      </c>
      <c r="G572" s="10" t="s">
        <v>6976</v>
      </c>
      <c r="H572" s="6"/>
      <c r="I572" s="6" t="b">
        <v>0</v>
      </c>
      <c r="J572" s="6" t="b">
        <v>0</v>
      </c>
      <c r="K572" s="6" t="b">
        <v>0</v>
      </c>
      <c r="L572" s="6" t="s">
        <v>168</v>
      </c>
      <c r="M572" s="6" t="s">
        <v>6122</v>
      </c>
      <c r="N572" s="6" t="str">
        <f>_xlfn.IFNA(VLOOKUP($M572,Buff.CM!$A:$O,13,FALSE),"")</f>
        <v>icon_battle_bleeding</v>
      </c>
      <c r="O572" s="6" t="str">
        <f>_xlfn.IFNA(VLOOKUP($M572,Buff.CM!$A:$O,14,FALSE),"")</f>
        <v>Buff.Name.Bleeding</v>
      </c>
      <c r="P572" s="6" t="str">
        <f>_xlfn.IFNA(VLOOKUP($M572,Buff.CM!$A:$O,15,FALSE),"")</f>
        <v>Buff.Desc.Bleeding</v>
      </c>
      <c r="Q572" s="6" t="b">
        <v>0</v>
      </c>
      <c r="R572" s="6" t="b">
        <v>0</v>
      </c>
    </row>
    <row r="573" spans="1:18">
      <c r="A573" s="37" t="s">
        <v>8740</v>
      </c>
      <c r="B573" s="34"/>
      <c r="C573" s="34"/>
      <c r="D573" s="34">
        <v>6000</v>
      </c>
      <c r="E573" s="34">
        <v>0</v>
      </c>
      <c r="F573" s="34">
        <v>0</v>
      </c>
      <c r="G573" s="37" t="s">
        <v>6976</v>
      </c>
      <c r="H573" s="34"/>
      <c r="I573" s="34" t="b">
        <v>0</v>
      </c>
      <c r="J573" s="23" t="b">
        <v>0</v>
      </c>
      <c r="K573" s="34" t="b">
        <v>0</v>
      </c>
      <c r="L573" s="34" t="s">
        <v>168</v>
      </c>
      <c r="M573" s="34" t="s">
        <v>6122</v>
      </c>
      <c r="N573" s="34" t="str">
        <f>_xlfn.IFNA(VLOOKUP($M573,Buff.CM!$A:$O,13,FALSE),"")</f>
        <v>icon_battle_bleeding</v>
      </c>
      <c r="O573" s="34" t="str">
        <f>_xlfn.IFNA(VLOOKUP($M573,Buff.CM!$A:$O,14,FALSE),"")</f>
        <v>Buff.Name.Bleeding</v>
      </c>
      <c r="P573" s="34" t="str">
        <f>_xlfn.IFNA(VLOOKUP($M573,Buff.CM!$A:$O,15,FALSE),"")</f>
        <v>Buff.Desc.Bleeding</v>
      </c>
      <c r="Q573" s="34" t="b">
        <v>0</v>
      </c>
      <c r="R573" s="34" t="b">
        <v>0</v>
      </c>
    </row>
    <row r="574" spans="1:18">
      <c r="A574" s="37" t="s">
        <v>8741</v>
      </c>
      <c r="B574" s="34"/>
      <c r="C574" s="34"/>
      <c r="D574" s="34">
        <v>6000</v>
      </c>
      <c r="E574" s="34">
        <v>0</v>
      </c>
      <c r="F574" s="34">
        <v>0</v>
      </c>
      <c r="G574" s="37" t="s">
        <v>6976</v>
      </c>
      <c r="H574" s="34"/>
      <c r="I574" s="34" t="b">
        <v>0</v>
      </c>
      <c r="J574" s="23" t="b">
        <v>0</v>
      </c>
      <c r="K574" s="34" t="b">
        <v>0</v>
      </c>
      <c r="L574" s="34" t="s">
        <v>168</v>
      </c>
      <c r="M574" s="34" t="s">
        <v>6122</v>
      </c>
      <c r="N574" s="34" t="str">
        <f>_xlfn.IFNA(VLOOKUP($M574,Buff.CM!$A:$O,13,FALSE),"")</f>
        <v>icon_battle_bleeding</v>
      </c>
      <c r="O574" s="34" t="str">
        <f>_xlfn.IFNA(VLOOKUP($M574,Buff.CM!$A:$O,14,FALSE),"")</f>
        <v>Buff.Name.Bleeding</v>
      </c>
      <c r="P574" s="34" t="str">
        <f>_xlfn.IFNA(VLOOKUP($M574,Buff.CM!$A:$O,15,FALSE),"")</f>
        <v>Buff.Desc.Bleeding</v>
      </c>
      <c r="Q574" s="34" t="b">
        <v>0</v>
      </c>
      <c r="R574" s="34" t="b">
        <v>0</v>
      </c>
    </row>
    <row r="575" spans="1:18" ht="49.5">
      <c r="A575" s="58" t="s">
        <v>3106</v>
      </c>
      <c r="B575" s="41"/>
      <c r="C575" s="41"/>
      <c r="D575" s="41">
        <v>0</v>
      </c>
      <c r="E575" s="41">
        <v>0</v>
      </c>
      <c r="F575" s="41">
        <v>0</v>
      </c>
      <c r="G575" s="190" t="s">
        <v>8789</v>
      </c>
      <c r="H575" s="41"/>
      <c r="I575" s="41" t="b">
        <v>0</v>
      </c>
      <c r="J575" s="23" t="b">
        <v>1</v>
      </c>
      <c r="K575" s="41" t="b">
        <v>1</v>
      </c>
      <c r="L575" s="41"/>
      <c r="M575" s="41"/>
      <c r="N575" s="6" t="str">
        <f>_xlfn.IFNA(VLOOKUP($M575,Buff.CM!$A:$O,13,FALSE),"")</f>
        <v/>
      </c>
      <c r="O575" s="6" t="str">
        <f>_xlfn.IFNA(VLOOKUP($M575,Buff.CM!$A:$O,14,FALSE),"")</f>
        <v/>
      </c>
      <c r="P575" s="6" t="str">
        <f>_xlfn.IFNA(VLOOKUP($M575,Buff.CM!$A:$O,15,FALSE),"")</f>
        <v/>
      </c>
      <c r="Q575" s="41" t="b">
        <v>0</v>
      </c>
      <c r="R575" s="41" t="b">
        <v>0</v>
      </c>
    </row>
    <row r="576" spans="1:18" ht="49.5">
      <c r="A576" s="58" t="s">
        <v>3101</v>
      </c>
      <c r="B576" s="41"/>
      <c r="C576" s="41"/>
      <c r="D576" s="41">
        <v>0</v>
      </c>
      <c r="E576" s="41">
        <v>0</v>
      </c>
      <c r="F576" s="41">
        <v>0</v>
      </c>
      <c r="G576" s="190" t="s">
        <v>8790</v>
      </c>
      <c r="H576" s="41"/>
      <c r="I576" s="41" t="b">
        <v>0</v>
      </c>
      <c r="J576" s="23" t="b">
        <v>1</v>
      </c>
      <c r="K576" s="41" t="b">
        <v>1</v>
      </c>
      <c r="L576" s="41"/>
      <c r="M576" s="41"/>
      <c r="N576" s="6" t="str">
        <f>_xlfn.IFNA(VLOOKUP($M576,Buff.CM!$A:$O,13,FALSE),"")</f>
        <v/>
      </c>
      <c r="O576" s="6" t="str">
        <f>_xlfn.IFNA(VLOOKUP($M576,Buff.CM!$A:$O,14,FALSE),"")</f>
        <v/>
      </c>
      <c r="P576" s="6" t="str">
        <f>_xlfn.IFNA(VLOOKUP($M576,Buff.CM!$A:$O,15,FALSE),"")</f>
        <v/>
      </c>
      <c r="Q576" s="41" t="b">
        <v>0</v>
      </c>
      <c r="R576" s="41" t="b">
        <v>0</v>
      </c>
    </row>
    <row r="577" spans="1:18" ht="49.5">
      <c r="A577" s="58" t="s">
        <v>3102</v>
      </c>
      <c r="B577" s="41"/>
      <c r="C577" s="41"/>
      <c r="D577" s="41">
        <v>0</v>
      </c>
      <c r="E577" s="41">
        <v>0</v>
      </c>
      <c r="F577" s="41">
        <v>0</v>
      </c>
      <c r="G577" s="190" t="s">
        <v>8791</v>
      </c>
      <c r="H577" s="41"/>
      <c r="I577" s="41" t="b">
        <v>0</v>
      </c>
      <c r="J577" s="23" t="b">
        <v>1</v>
      </c>
      <c r="K577" s="41" t="b">
        <v>1</v>
      </c>
      <c r="L577" s="41"/>
      <c r="M577" s="41"/>
      <c r="N577" s="6" t="str">
        <f>_xlfn.IFNA(VLOOKUP($M577,Buff.CM!$A:$O,13,FALSE),"")</f>
        <v/>
      </c>
      <c r="O577" s="6" t="str">
        <f>_xlfn.IFNA(VLOOKUP($M577,Buff.CM!$A:$O,14,FALSE),"")</f>
        <v/>
      </c>
      <c r="P577" s="6" t="str">
        <f>_xlfn.IFNA(VLOOKUP($M577,Buff.CM!$A:$O,15,FALSE),"")</f>
        <v/>
      </c>
      <c r="Q577" s="41" t="b">
        <v>0</v>
      </c>
      <c r="R577" s="41" t="b">
        <v>0</v>
      </c>
    </row>
    <row r="578" spans="1:18" ht="49.5">
      <c r="A578" s="37" t="s">
        <v>3103</v>
      </c>
      <c r="B578" s="34"/>
      <c r="C578" s="34"/>
      <c r="D578" s="34">
        <v>0</v>
      </c>
      <c r="E578" s="34">
        <v>0</v>
      </c>
      <c r="F578" s="34">
        <v>0</v>
      </c>
      <c r="G578" s="57" t="s">
        <v>8792</v>
      </c>
      <c r="H578" s="34"/>
      <c r="I578" s="34" t="b">
        <v>0</v>
      </c>
      <c r="J578" s="23" t="b">
        <v>1</v>
      </c>
      <c r="K578" s="34" t="b">
        <v>1</v>
      </c>
      <c r="L578" s="34"/>
      <c r="M578" s="34"/>
      <c r="N578" s="34" t="str">
        <f>_xlfn.IFNA(VLOOKUP($M578,Buff.CM!$A:$O,13,FALSE),"")</f>
        <v/>
      </c>
      <c r="O578" s="34" t="str">
        <f>_xlfn.IFNA(VLOOKUP($M578,Buff.CM!$A:$O,14,FALSE),"")</f>
        <v/>
      </c>
      <c r="P578" s="34" t="str">
        <f>_xlfn.IFNA(VLOOKUP($M578,Buff.CM!$A:$O,15,FALSE),"")</f>
        <v/>
      </c>
      <c r="Q578" s="34" t="b">
        <v>0</v>
      </c>
      <c r="R578" s="34" t="b">
        <v>0</v>
      </c>
    </row>
    <row r="579" spans="1:18" ht="49.5">
      <c r="A579" s="37" t="s">
        <v>3104</v>
      </c>
      <c r="B579" s="34"/>
      <c r="C579" s="34"/>
      <c r="D579" s="34">
        <v>0</v>
      </c>
      <c r="E579" s="34">
        <v>0</v>
      </c>
      <c r="F579" s="34">
        <v>0</v>
      </c>
      <c r="G579" s="57" t="s">
        <v>8793</v>
      </c>
      <c r="H579" s="34"/>
      <c r="I579" s="34" t="b">
        <v>0</v>
      </c>
      <c r="J579" s="23" t="b">
        <v>1</v>
      </c>
      <c r="K579" s="34" t="b">
        <v>1</v>
      </c>
      <c r="L579" s="34"/>
      <c r="M579" s="34"/>
      <c r="N579" s="34" t="str">
        <f>_xlfn.IFNA(VLOOKUP($M579,Buff.CM!$A:$O,13,FALSE),"")</f>
        <v/>
      </c>
      <c r="O579" s="34" t="str">
        <f>_xlfn.IFNA(VLOOKUP($M579,Buff.CM!$A:$O,14,FALSE),"")</f>
        <v/>
      </c>
      <c r="P579" s="34" t="str">
        <f>_xlfn.IFNA(VLOOKUP($M579,Buff.CM!$A:$O,15,FALSE),"")</f>
        <v/>
      </c>
      <c r="Q579" s="34" t="b">
        <v>0</v>
      </c>
      <c r="R579" s="34" t="b">
        <v>0</v>
      </c>
    </row>
    <row r="580" spans="1:18" ht="49.5">
      <c r="A580" s="37" t="s">
        <v>3105</v>
      </c>
      <c r="B580" s="34"/>
      <c r="C580" s="34"/>
      <c r="D580" s="34">
        <v>0</v>
      </c>
      <c r="E580" s="34">
        <v>0</v>
      </c>
      <c r="F580" s="34">
        <v>0</v>
      </c>
      <c r="G580" s="57" t="s">
        <v>8794</v>
      </c>
      <c r="H580" s="34"/>
      <c r="I580" s="34" t="b">
        <v>0</v>
      </c>
      <c r="J580" s="23" t="b">
        <v>1</v>
      </c>
      <c r="K580" s="34" t="b">
        <v>1</v>
      </c>
      <c r="L580" s="34"/>
      <c r="M580" s="34"/>
      <c r="N580" s="34" t="str">
        <f>_xlfn.IFNA(VLOOKUP($M580,Buff.CM!$A:$O,13,FALSE),"")</f>
        <v/>
      </c>
      <c r="O580" s="34" t="str">
        <f>_xlfn.IFNA(VLOOKUP($M580,Buff.CM!$A:$O,14,FALSE),"")</f>
        <v/>
      </c>
      <c r="P580" s="34" t="str">
        <f>_xlfn.IFNA(VLOOKUP($M580,Buff.CM!$A:$O,15,FALSE),"")</f>
        <v/>
      </c>
      <c r="Q580" s="34" t="b">
        <v>0</v>
      </c>
      <c r="R580" s="34" t="b">
        <v>0</v>
      </c>
    </row>
    <row r="581" spans="1:18">
      <c r="A581" s="58" t="s">
        <v>7023</v>
      </c>
      <c r="B581" s="41"/>
      <c r="C581" s="41"/>
      <c r="D581" s="41">
        <v>15000</v>
      </c>
      <c r="E581" s="41">
        <v>0</v>
      </c>
      <c r="F581" s="41">
        <v>0</v>
      </c>
      <c r="G581" s="58" t="s">
        <v>4687</v>
      </c>
      <c r="H581" s="41"/>
      <c r="I581" s="41" t="b">
        <v>0</v>
      </c>
      <c r="J581" s="41" t="b">
        <v>0</v>
      </c>
      <c r="K581" s="41" t="b">
        <v>1</v>
      </c>
      <c r="L581" s="41" t="s">
        <v>66</v>
      </c>
      <c r="M581" s="41" t="s">
        <v>5718</v>
      </c>
      <c r="N581" s="6" t="str">
        <f>_xlfn.IFNA(VLOOKUP($M581,Buff.CM!$A:$O,13,FALSE),"")</f>
        <v>icon_battle_attack</v>
      </c>
      <c r="O581" s="6" t="str">
        <f>_xlfn.IFNA(VLOOKUP($M581,Buff.CM!$A:$O,14,FALSE),"")</f>
        <v>info.crimson.buff.ex</v>
      </c>
      <c r="P581" s="6" t="str">
        <f>_xlfn.IFNA(VLOOKUP($M581,Buff.CM!$A:$O,15,FALSE),"")</f>
        <v>Desc.info.crimson.buff.ex</v>
      </c>
      <c r="Q581" s="41" t="b">
        <v>0</v>
      </c>
      <c r="R581" s="41" t="b">
        <v>0</v>
      </c>
    </row>
    <row r="582" spans="1:18">
      <c r="A582" s="58" t="s">
        <v>4688</v>
      </c>
      <c r="B582" s="41"/>
      <c r="C582" s="41"/>
      <c r="D582" s="41">
        <v>15000</v>
      </c>
      <c r="E582" s="41">
        <v>0</v>
      </c>
      <c r="F582" s="41">
        <v>0</v>
      </c>
      <c r="G582" s="58" t="s">
        <v>3107</v>
      </c>
      <c r="H582" s="41"/>
      <c r="I582" s="41" t="b">
        <v>0</v>
      </c>
      <c r="J582" s="41" t="b">
        <v>0</v>
      </c>
      <c r="K582" s="41" t="b">
        <v>1</v>
      </c>
      <c r="L582" s="41" t="s">
        <v>66</v>
      </c>
      <c r="M582" s="41" t="s">
        <v>5718</v>
      </c>
      <c r="N582" s="6" t="str">
        <f>_xlfn.IFNA(VLOOKUP($M582,Buff.CM!$A:$O,13,FALSE),"")</f>
        <v>icon_battle_attack</v>
      </c>
      <c r="O582" s="6" t="str">
        <f>_xlfn.IFNA(VLOOKUP($M582,Buff.CM!$A:$O,14,FALSE),"")</f>
        <v>info.crimson.buff.ex</v>
      </c>
      <c r="P582" s="6" t="str">
        <f>_xlfn.IFNA(VLOOKUP($M582,Buff.CM!$A:$O,15,FALSE),"")</f>
        <v>Desc.info.crimson.buff.ex</v>
      </c>
      <c r="Q582" s="41" t="b">
        <v>0</v>
      </c>
      <c r="R582" s="41" t="b">
        <v>0</v>
      </c>
    </row>
    <row r="583" spans="1:18">
      <c r="A583" s="58" t="s">
        <v>4689</v>
      </c>
      <c r="B583" s="41"/>
      <c r="C583" s="41"/>
      <c r="D583" s="41">
        <v>15000</v>
      </c>
      <c r="E583" s="41">
        <v>0</v>
      </c>
      <c r="F583" s="41">
        <v>0</v>
      </c>
      <c r="G583" s="58" t="s">
        <v>3108</v>
      </c>
      <c r="H583" s="41"/>
      <c r="I583" s="41" t="b">
        <v>0</v>
      </c>
      <c r="J583" s="41" t="b">
        <v>0</v>
      </c>
      <c r="K583" s="41" t="b">
        <v>1</v>
      </c>
      <c r="L583" s="41" t="s">
        <v>66</v>
      </c>
      <c r="M583" s="41" t="s">
        <v>5718</v>
      </c>
      <c r="N583" s="6" t="str">
        <f>_xlfn.IFNA(VLOOKUP($M583,Buff.CM!$A:$O,13,FALSE),"")</f>
        <v>icon_battle_attack</v>
      </c>
      <c r="O583" s="6" t="str">
        <f>_xlfn.IFNA(VLOOKUP($M583,Buff.CM!$A:$O,14,FALSE),"")</f>
        <v>info.crimson.buff.ex</v>
      </c>
      <c r="P583" s="6" t="str">
        <f>_xlfn.IFNA(VLOOKUP($M583,Buff.CM!$A:$O,15,FALSE),"")</f>
        <v>Desc.info.crimson.buff.ex</v>
      </c>
      <c r="Q583" s="41" t="b">
        <v>0</v>
      </c>
      <c r="R583" s="41" t="b">
        <v>0</v>
      </c>
    </row>
    <row r="584" spans="1:18">
      <c r="A584" s="37" t="s">
        <v>4690</v>
      </c>
      <c r="B584" s="34"/>
      <c r="C584" s="34"/>
      <c r="D584" s="34">
        <v>15000</v>
      </c>
      <c r="E584" s="34">
        <v>0</v>
      </c>
      <c r="F584" s="34">
        <v>0</v>
      </c>
      <c r="G584" s="37" t="s">
        <v>3109</v>
      </c>
      <c r="H584" s="34"/>
      <c r="I584" s="34" t="b">
        <v>0</v>
      </c>
      <c r="J584" s="34" t="b">
        <v>0</v>
      </c>
      <c r="K584" s="34" t="b">
        <v>1</v>
      </c>
      <c r="L584" s="34" t="s">
        <v>66</v>
      </c>
      <c r="M584" s="34" t="s">
        <v>5718</v>
      </c>
      <c r="N584" s="34" t="str">
        <f>_xlfn.IFNA(VLOOKUP($M584,Buff.CM!$A:$O,13,FALSE),"")</f>
        <v>icon_battle_attack</v>
      </c>
      <c r="O584" s="34" t="str">
        <f>_xlfn.IFNA(VLOOKUP($M584,Buff.CM!$A:$O,14,FALSE),"")</f>
        <v>info.crimson.buff.ex</v>
      </c>
      <c r="P584" s="34" t="str">
        <f>_xlfn.IFNA(VLOOKUP($M584,Buff.CM!$A:$O,15,FALSE),"")</f>
        <v>Desc.info.crimson.buff.ex</v>
      </c>
      <c r="Q584" s="34" t="b">
        <v>0</v>
      </c>
      <c r="R584" s="34" t="b">
        <v>0</v>
      </c>
    </row>
    <row r="585" spans="1:18">
      <c r="A585" s="37" t="s">
        <v>4691</v>
      </c>
      <c r="B585" s="34"/>
      <c r="C585" s="34"/>
      <c r="D585" s="34">
        <v>15000</v>
      </c>
      <c r="E585" s="34">
        <v>0</v>
      </c>
      <c r="F585" s="34">
        <v>0</v>
      </c>
      <c r="G585" s="37" t="s">
        <v>3110</v>
      </c>
      <c r="H585" s="34"/>
      <c r="I585" s="34" t="b">
        <v>0</v>
      </c>
      <c r="J585" s="34" t="b">
        <v>0</v>
      </c>
      <c r="K585" s="34" t="b">
        <v>1</v>
      </c>
      <c r="L585" s="34" t="s">
        <v>66</v>
      </c>
      <c r="M585" s="34" t="s">
        <v>5718</v>
      </c>
      <c r="N585" s="34" t="str">
        <f>_xlfn.IFNA(VLOOKUP($M585,Buff.CM!$A:$O,13,FALSE),"")</f>
        <v>icon_battle_attack</v>
      </c>
      <c r="O585" s="34" t="str">
        <f>_xlfn.IFNA(VLOOKUP($M585,Buff.CM!$A:$O,14,FALSE),"")</f>
        <v>info.crimson.buff.ex</v>
      </c>
      <c r="P585" s="34" t="str">
        <f>_xlfn.IFNA(VLOOKUP($M585,Buff.CM!$A:$O,15,FALSE),"")</f>
        <v>Desc.info.crimson.buff.ex</v>
      </c>
      <c r="Q585" s="34" t="b">
        <v>0</v>
      </c>
      <c r="R585" s="34" t="b">
        <v>0</v>
      </c>
    </row>
    <row r="586" spans="1:18">
      <c r="A586" s="37" t="s">
        <v>4692</v>
      </c>
      <c r="B586" s="34"/>
      <c r="C586" s="34"/>
      <c r="D586" s="34">
        <v>15000</v>
      </c>
      <c r="E586" s="34">
        <v>0</v>
      </c>
      <c r="F586" s="34">
        <v>0</v>
      </c>
      <c r="G586" s="37" t="s">
        <v>3111</v>
      </c>
      <c r="H586" s="34"/>
      <c r="I586" s="34" t="b">
        <v>0</v>
      </c>
      <c r="J586" s="34" t="b">
        <v>0</v>
      </c>
      <c r="K586" s="34" t="b">
        <v>1</v>
      </c>
      <c r="L586" s="34" t="s">
        <v>66</v>
      </c>
      <c r="M586" s="34" t="s">
        <v>5718</v>
      </c>
      <c r="N586" s="34" t="str">
        <f>_xlfn.IFNA(VLOOKUP($M586,Buff.CM!$A:$O,13,FALSE),"")</f>
        <v>icon_battle_attack</v>
      </c>
      <c r="O586" s="34" t="str">
        <f>_xlfn.IFNA(VLOOKUP($M586,Buff.CM!$A:$O,14,FALSE),"")</f>
        <v>info.crimson.buff.ex</v>
      </c>
      <c r="P586" s="34" t="str">
        <f>_xlfn.IFNA(VLOOKUP($M586,Buff.CM!$A:$O,15,FALSE),"")</f>
        <v>Desc.info.crimson.buff.ex</v>
      </c>
      <c r="Q586" s="34" t="b">
        <v>0</v>
      </c>
      <c r="R586" s="34" t="b">
        <v>0</v>
      </c>
    </row>
    <row r="587" spans="1:18">
      <c r="A587" s="10" t="s">
        <v>8742</v>
      </c>
      <c r="B587" s="6"/>
      <c r="C587" s="6"/>
      <c r="D587" s="6">
        <v>0</v>
      </c>
      <c r="E587" s="6">
        <v>0</v>
      </c>
      <c r="F587" s="6">
        <v>0</v>
      </c>
      <c r="G587" s="10" t="s">
        <v>8743</v>
      </c>
      <c r="H587" s="6"/>
      <c r="I587" s="6" t="b">
        <v>0</v>
      </c>
      <c r="J587" s="6" t="b">
        <v>0</v>
      </c>
      <c r="K587" s="6" t="b">
        <v>1</v>
      </c>
      <c r="L587" s="6"/>
      <c r="M587" s="6"/>
      <c r="N587" s="6"/>
      <c r="O587" s="6"/>
      <c r="P587" s="6"/>
      <c r="Q587" s="6" t="b">
        <v>0</v>
      </c>
      <c r="R587" s="6" t="b">
        <v>0</v>
      </c>
    </row>
    <row r="588" spans="1:18">
      <c r="A588" s="10" t="s">
        <v>8744</v>
      </c>
      <c r="B588" s="6"/>
      <c r="C588" s="6"/>
      <c r="D588" s="6">
        <v>0</v>
      </c>
      <c r="E588" s="6">
        <v>0</v>
      </c>
      <c r="F588" s="6">
        <v>0</v>
      </c>
      <c r="G588" s="10" t="s">
        <v>8745</v>
      </c>
      <c r="H588" s="6"/>
      <c r="I588" s="6" t="b">
        <v>0</v>
      </c>
      <c r="J588" s="6" t="b">
        <v>0</v>
      </c>
      <c r="K588" s="6" t="b">
        <v>1</v>
      </c>
      <c r="L588" s="6"/>
      <c r="M588" s="6"/>
      <c r="N588" s="6"/>
      <c r="O588" s="6"/>
      <c r="P588" s="6"/>
      <c r="Q588" s="6" t="b">
        <v>0</v>
      </c>
      <c r="R588" s="6" t="b">
        <v>0</v>
      </c>
    </row>
    <row r="589" spans="1:18">
      <c r="A589" s="10" t="s">
        <v>8746</v>
      </c>
      <c r="B589" s="6"/>
      <c r="C589" s="6"/>
      <c r="D589" s="6">
        <v>0</v>
      </c>
      <c r="E589" s="6">
        <v>0</v>
      </c>
      <c r="F589" s="6">
        <v>0</v>
      </c>
      <c r="G589" s="10" t="s">
        <v>8747</v>
      </c>
      <c r="H589" s="6"/>
      <c r="I589" s="6" t="b">
        <v>0</v>
      </c>
      <c r="J589" s="6" t="b">
        <v>0</v>
      </c>
      <c r="K589" s="6" t="b">
        <v>1</v>
      </c>
      <c r="L589" s="6"/>
      <c r="M589" s="6"/>
      <c r="N589" s="6"/>
      <c r="O589" s="6"/>
      <c r="P589" s="6"/>
      <c r="Q589" s="6" t="b">
        <v>0</v>
      </c>
      <c r="R589" s="6" t="b">
        <v>0</v>
      </c>
    </row>
    <row r="590" spans="1:18">
      <c r="A590" s="10" t="s">
        <v>8748</v>
      </c>
      <c r="B590" s="6"/>
      <c r="C590" s="6"/>
      <c r="D590" s="6">
        <v>0</v>
      </c>
      <c r="E590" s="6">
        <v>0</v>
      </c>
      <c r="F590" s="6">
        <v>0</v>
      </c>
      <c r="G590" s="10" t="s">
        <v>8749</v>
      </c>
      <c r="H590" s="6"/>
      <c r="I590" s="6" t="b">
        <v>0</v>
      </c>
      <c r="J590" s="6" t="b">
        <v>0</v>
      </c>
      <c r="K590" s="6" t="b">
        <v>1</v>
      </c>
      <c r="L590" s="6"/>
      <c r="M590" s="6"/>
      <c r="N590" s="6"/>
      <c r="O590" s="6"/>
      <c r="P590" s="6"/>
      <c r="Q590" s="6" t="b">
        <v>0</v>
      </c>
      <c r="R590" s="6" t="b">
        <v>0</v>
      </c>
    </row>
    <row r="591" spans="1:18">
      <c r="A591" s="37" t="s">
        <v>8750</v>
      </c>
      <c r="B591" s="34"/>
      <c r="C591" s="34"/>
      <c r="D591" s="34">
        <v>0</v>
      </c>
      <c r="E591" s="34">
        <v>0</v>
      </c>
      <c r="F591" s="34">
        <v>0</v>
      </c>
      <c r="G591" s="37" t="s">
        <v>8751</v>
      </c>
      <c r="H591" s="34"/>
      <c r="I591" s="34" t="b">
        <v>0</v>
      </c>
      <c r="J591" s="34" t="b">
        <v>0</v>
      </c>
      <c r="K591" s="34" t="b">
        <v>1</v>
      </c>
      <c r="L591" s="34"/>
      <c r="M591" s="34"/>
      <c r="N591" s="34"/>
      <c r="O591" s="34"/>
      <c r="P591" s="34"/>
      <c r="Q591" s="34" t="b">
        <v>0</v>
      </c>
      <c r="R591" s="34" t="b">
        <v>0</v>
      </c>
    </row>
    <row r="592" spans="1:18">
      <c r="A592" s="37" t="s">
        <v>8752</v>
      </c>
      <c r="B592" s="34"/>
      <c r="C592" s="34"/>
      <c r="D592" s="34">
        <v>0</v>
      </c>
      <c r="E592" s="34">
        <v>0</v>
      </c>
      <c r="F592" s="34">
        <v>0</v>
      </c>
      <c r="G592" s="37" t="s">
        <v>8753</v>
      </c>
      <c r="H592" s="34"/>
      <c r="I592" s="34" t="b">
        <v>0</v>
      </c>
      <c r="J592" s="34" t="b">
        <v>0</v>
      </c>
      <c r="K592" s="34" t="b">
        <v>1</v>
      </c>
      <c r="L592" s="34"/>
      <c r="M592" s="34"/>
      <c r="N592" s="34"/>
      <c r="O592" s="34"/>
      <c r="P592" s="34"/>
      <c r="Q592" s="34" t="b">
        <v>0</v>
      </c>
      <c r="R592" s="34" t="b">
        <v>0</v>
      </c>
    </row>
    <row r="593" spans="1:18">
      <c r="A593" s="25" t="s">
        <v>1926</v>
      </c>
      <c r="B593" s="25"/>
      <c r="C593" s="25"/>
      <c r="D593" s="25">
        <v>15000</v>
      </c>
      <c r="E593" s="25">
        <v>0</v>
      </c>
      <c r="F593" s="25">
        <v>0</v>
      </c>
      <c r="G593" s="43" t="s">
        <v>4397</v>
      </c>
      <c r="H593" s="25"/>
      <c r="I593" s="25" t="b">
        <v>0</v>
      </c>
      <c r="J593" s="25" t="b">
        <v>0</v>
      </c>
      <c r="K593" s="25" t="b">
        <v>0</v>
      </c>
      <c r="L593" s="53" t="s">
        <v>5476</v>
      </c>
      <c r="M593" s="43" t="s">
        <v>4397</v>
      </c>
      <c r="N593" s="25" t="str">
        <f>_xlfn.IFNA(VLOOKUP($M593,Buff.CM!$A:$O,13,FALSE),"")</f>
        <v>icon_battle_defense</v>
      </c>
      <c r="O593" s="25" t="str">
        <f>_xlfn.IFNA(VLOOKUP($M593,Buff.CM!$A:$O,14,FALSE),"")</f>
        <v>Buff.Name.Def.Down.01</v>
      </c>
      <c r="P593" s="25" t="str">
        <f>_xlfn.IFNA(VLOOKUP($M593,Buff.CM!$A:$O,15,FALSE),"")</f>
        <v>Buff.Desc.Def.Down.01</v>
      </c>
      <c r="Q593" s="25" t="b">
        <v>0</v>
      </c>
      <c r="R593" s="25" t="b">
        <v>0</v>
      </c>
    </row>
    <row r="594" spans="1:18">
      <c r="A594" s="25" t="s">
        <v>1927</v>
      </c>
      <c r="B594" s="25"/>
      <c r="C594" s="25"/>
      <c r="D594" s="25">
        <v>15000</v>
      </c>
      <c r="E594" s="25">
        <v>0</v>
      </c>
      <c r="F594" s="25">
        <v>0</v>
      </c>
      <c r="G594" s="43" t="s">
        <v>4397</v>
      </c>
      <c r="H594" s="25"/>
      <c r="I594" s="25" t="b">
        <v>0</v>
      </c>
      <c r="J594" s="25" t="b">
        <v>0</v>
      </c>
      <c r="K594" s="25" t="b">
        <v>0</v>
      </c>
      <c r="L594" s="53" t="s">
        <v>5476</v>
      </c>
      <c r="M594" s="43" t="s">
        <v>4397</v>
      </c>
      <c r="N594" s="25" t="str">
        <f>_xlfn.IFNA(VLOOKUP($M594,Buff.CM!$A:$O,13,FALSE),"")</f>
        <v>icon_battle_defense</v>
      </c>
      <c r="O594" s="25" t="str">
        <f>_xlfn.IFNA(VLOOKUP($M594,Buff.CM!$A:$O,14,FALSE),"")</f>
        <v>Buff.Name.Def.Down.01</v>
      </c>
      <c r="P594" s="25" t="str">
        <f>_xlfn.IFNA(VLOOKUP($M594,Buff.CM!$A:$O,15,FALSE),"")</f>
        <v>Buff.Desc.Def.Down.01</v>
      </c>
      <c r="Q594" s="25" t="b">
        <v>0</v>
      </c>
      <c r="R594" s="25" t="b">
        <v>0</v>
      </c>
    </row>
    <row r="595" spans="1:18">
      <c r="A595" s="25" t="s">
        <v>1928</v>
      </c>
      <c r="B595" s="25"/>
      <c r="C595" s="25"/>
      <c r="D595" s="25">
        <v>15000</v>
      </c>
      <c r="E595" s="25">
        <v>0</v>
      </c>
      <c r="F595" s="25">
        <v>0</v>
      </c>
      <c r="G595" s="43" t="s">
        <v>4397</v>
      </c>
      <c r="H595" s="25"/>
      <c r="I595" s="25" t="b">
        <v>0</v>
      </c>
      <c r="J595" s="25" t="b">
        <v>0</v>
      </c>
      <c r="K595" s="25" t="b">
        <v>0</v>
      </c>
      <c r="L595" s="53" t="s">
        <v>5476</v>
      </c>
      <c r="M595" s="43" t="s">
        <v>4397</v>
      </c>
      <c r="N595" s="25" t="str">
        <f>_xlfn.IFNA(VLOOKUP($M595,Buff.CM!$A:$O,13,FALSE),"")</f>
        <v>icon_battle_defense</v>
      </c>
      <c r="O595" s="25" t="str">
        <f>_xlfn.IFNA(VLOOKUP($M595,Buff.CM!$A:$O,14,FALSE),"")</f>
        <v>Buff.Name.Def.Down.01</v>
      </c>
      <c r="P595" s="25" t="str">
        <f>_xlfn.IFNA(VLOOKUP($M595,Buff.CM!$A:$O,15,FALSE),"")</f>
        <v>Buff.Desc.Def.Down.01</v>
      </c>
      <c r="Q595" s="25" t="b">
        <v>0</v>
      </c>
      <c r="R595" s="25" t="b">
        <v>0</v>
      </c>
    </row>
    <row r="596" spans="1:18">
      <c r="A596" s="25" t="s">
        <v>1929</v>
      </c>
      <c r="B596" s="25"/>
      <c r="C596" s="25"/>
      <c r="D596" s="25">
        <v>15000</v>
      </c>
      <c r="E596" s="25">
        <v>0</v>
      </c>
      <c r="F596" s="25">
        <v>0</v>
      </c>
      <c r="G596" s="43" t="s">
        <v>4397</v>
      </c>
      <c r="H596" s="25"/>
      <c r="I596" s="25" t="b">
        <v>0</v>
      </c>
      <c r="J596" s="25" t="b">
        <v>0</v>
      </c>
      <c r="K596" s="25" t="b">
        <v>0</v>
      </c>
      <c r="L596" s="53" t="s">
        <v>5476</v>
      </c>
      <c r="M596" s="43" t="s">
        <v>4397</v>
      </c>
      <c r="N596" s="25" t="str">
        <f>_xlfn.IFNA(VLOOKUP($M596,Buff.CM!$A:$O,13,FALSE),"")</f>
        <v>icon_battle_defense</v>
      </c>
      <c r="O596" s="25" t="str">
        <f>_xlfn.IFNA(VLOOKUP($M596,Buff.CM!$A:$O,14,FALSE),"")</f>
        <v>Buff.Name.Def.Down.01</v>
      </c>
      <c r="P596" s="25" t="str">
        <f>_xlfn.IFNA(VLOOKUP($M596,Buff.CM!$A:$O,15,FALSE),"")</f>
        <v>Buff.Desc.Def.Down.01</v>
      </c>
      <c r="Q596" s="25" t="b">
        <v>0</v>
      </c>
      <c r="R596" s="25" t="b">
        <v>0</v>
      </c>
    </row>
    <row r="597" spans="1:18">
      <c r="A597" s="25" t="s">
        <v>2628</v>
      </c>
      <c r="B597" s="25"/>
      <c r="C597" s="25"/>
      <c r="D597" s="25">
        <v>15000</v>
      </c>
      <c r="E597" s="25">
        <v>0</v>
      </c>
      <c r="F597" s="25">
        <v>0</v>
      </c>
      <c r="G597" s="43" t="s">
        <v>4397</v>
      </c>
      <c r="H597" s="25"/>
      <c r="I597" s="25" t="b">
        <v>0</v>
      </c>
      <c r="J597" s="25" t="b">
        <v>0</v>
      </c>
      <c r="K597" s="25" t="b">
        <v>0</v>
      </c>
      <c r="L597" s="53" t="s">
        <v>5476</v>
      </c>
      <c r="M597" s="43" t="s">
        <v>4397</v>
      </c>
      <c r="N597" s="25" t="str">
        <f>_xlfn.IFNA(VLOOKUP($M597,Buff.CM!$A:$O,13,FALSE),"")</f>
        <v>icon_battle_defense</v>
      </c>
      <c r="O597" s="25" t="str">
        <f>_xlfn.IFNA(VLOOKUP($M597,Buff.CM!$A:$O,14,FALSE),"")</f>
        <v>Buff.Name.Def.Down.01</v>
      </c>
      <c r="P597" s="25" t="str">
        <f>_xlfn.IFNA(VLOOKUP($M597,Buff.CM!$A:$O,15,FALSE),"")</f>
        <v>Buff.Desc.Def.Down.01</v>
      </c>
      <c r="Q597" s="25" t="b">
        <v>0</v>
      </c>
      <c r="R597" s="25" t="b">
        <v>0</v>
      </c>
    </row>
    <row r="598" spans="1:18">
      <c r="A598" s="34" t="s">
        <v>2629</v>
      </c>
      <c r="B598" s="34"/>
      <c r="C598" s="34"/>
      <c r="D598" s="34">
        <v>6000</v>
      </c>
      <c r="E598" s="34">
        <v>0</v>
      </c>
      <c r="F598" s="34">
        <v>0</v>
      </c>
      <c r="G598" s="40" t="s">
        <v>1521</v>
      </c>
      <c r="H598" s="34"/>
      <c r="I598" s="34" t="b">
        <v>0</v>
      </c>
      <c r="J598" s="34" t="b">
        <v>0</v>
      </c>
      <c r="K598" s="34" t="b">
        <v>0</v>
      </c>
      <c r="L598" s="53" t="s">
        <v>5476</v>
      </c>
      <c r="M598" s="40" t="s">
        <v>1521</v>
      </c>
      <c r="N598" s="34" t="str">
        <f>_xlfn.IFNA(VLOOKUP($M598,Buff.CM!$A:$O,13,FALSE),"")</f>
        <v>icon_battle_defense</v>
      </c>
      <c r="O598" s="34" t="str">
        <f>_xlfn.IFNA(VLOOKUP($M598,Buff.CM!$A:$O,14,FALSE),"")</f>
        <v>Buff.Name.Def.Down.04</v>
      </c>
      <c r="P598" s="34" t="str">
        <f>_xlfn.IFNA(VLOOKUP($M598,Buff.CM!$A:$O,15,FALSE),"")</f>
        <v>Buff.Desc.Def.Down.04</v>
      </c>
      <c r="Q598" s="34" t="b">
        <v>0</v>
      </c>
      <c r="R598" s="34" t="b">
        <v>0</v>
      </c>
    </row>
    <row r="599" spans="1:18">
      <c r="A599" s="34" t="s">
        <v>2630</v>
      </c>
      <c r="B599" s="34"/>
      <c r="C599" s="34"/>
      <c r="D599" s="34">
        <v>6000</v>
      </c>
      <c r="E599" s="34">
        <v>0</v>
      </c>
      <c r="F599" s="34">
        <v>0</v>
      </c>
      <c r="G599" s="40" t="s">
        <v>1521</v>
      </c>
      <c r="H599" s="34"/>
      <c r="I599" s="34" t="b">
        <v>0</v>
      </c>
      <c r="J599" s="34" t="b">
        <v>0</v>
      </c>
      <c r="K599" s="34" t="b">
        <v>0</v>
      </c>
      <c r="L599" s="53" t="s">
        <v>5476</v>
      </c>
      <c r="M599" s="40" t="s">
        <v>1521</v>
      </c>
      <c r="N599" s="34" t="str">
        <f>_xlfn.IFNA(VLOOKUP($M599,Buff.CM!$A:$O,13,FALSE),"")</f>
        <v>icon_battle_defense</v>
      </c>
      <c r="O599" s="34" t="str">
        <f>_xlfn.IFNA(VLOOKUP($M599,Buff.CM!$A:$O,14,FALSE),"")</f>
        <v>Buff.Name.Def.Down.04</v>
      </c>
      <c r="P599" s="34" t="str">
        <f>_xlfn.IFNA(VLOOKUP($M599,Buff.CM!$A:$O,15,FALSE),"")</f>
        <v>Buff.Desc.Def.Down.04</v>
      </c>
      <c r="Q599" s="34" t="b">
        <v>0</v>
      </c>
      <c r="R599" s="34" t="b">
        <v>0</v>
      </c>
    </row>
    <row r="600" spans="1:18" s="13" customFormat="1">
      <c r="A600" s="23" t="s">
        <v>2927</v>
      </c>
      <c r="B600" s="23"/>
      <c r="C600" s="23"/>
      <c r="D600" s="23">
        <v>15000</v>
      </c>
      <c r="E600" s="23">
        <v>10</v>
      </c>
      <c r="F600" s="23">
        <v>1</v>
      </c>
      <c r="G600" s="39" t="s">
        <v>2934</v>
      </c>
      <c r="H600" s="23"/>
      <c r="I600" s="23" t="b">
        <v>0</v>
      </c>
      <c r="J600" s="23" t="b">
        <v>0</v>
      </c>
      <c r="K600" s="23" t="b">
        <v>1</v>
      </c>
      <c r="L600" s="23" t="s">
        <v>66</v>
      </c>
      <c r="M600" s="23" t="s">
        <v>5571</v>
      </c>
      <c r="N600" s="25" t="str">
        <f>_xlfn.IFNA(VLOOKUP($M600,Buff.CM!$A:$O,13,FALSE),"")</f>
        <v>icon_battle_skill_damage</v>
      </c>
      <c r="O600" s="25" t="str">
        <f>_xlfn.IFNA(VLOOKUP($M600,Buff.CM!$A:$O,14,FALSE),"")</f>
        <v>Buff.Name.ActiveDamage.Up.00</v>
      </c>
      <c r="P600" s="25" t="str">
        <f>_xlfn.IFNA(VLOOKUP($M600,Buff.CM!$A:$O,15,FALSE),"")</f>
        <v>Buff.Desc.ActiveDamage.Up.00</v>
      </c>
      <c r="Q600" s="23" t="b">
        <v>0</v>
      </c>
      <c r="R600" s="23" t="b">
        <v>0</v>
      </c>
    </row>
    <row r="601" spans="1:18" s="13" customFormat="1">
      <c r="A601" s="23" t="s">
        <v>2928</v>
      </c>
      <c r="B601" s="23"/>
      <c r="C601" s="23"/>
      <c r="D601" s="23">
        <v>15000</v>
      </c>
      <c r="E601" s="23">
        <v>10</v>
      </c>
      <c r="F601" s="23">
        <v>1</v>
      </c>
      <c r="G601" s="39" t="s">
        <v>2935</v>
      </c>
      <c r="H601" s="23"/>
      <c r="I601" s="23" t="b">
        <v>0</v>
      </c>
      <c r="J601" s="23" t="b">
        <v>0</v>
      </c>
      <c r="K601" s="23" t="b">
        <v>1</v>
      </c>
      <c r="L601" s="23" t="s">
        <v>66</v>
      </c>
      <c r="M601" s="23" t="s">
        <v>5571</v>
      </c>
      <c r="N601" s="25" t="str">
        <f>_xlfn.IFNA(VLOOKUP($M601,Buff.CM!$A:$O,13,FALSE),"")</f>
        <v>icon_battle_skill_damage</v>
      </c>
      <c r="O601" s="25" t="str">
        <f>_xlfn.IFNA(VLOOKUP($M601,Buff.CM!$A:$O,14,FALSE),"")</f>
        <v>Buff.Name.ActiveDamage.Up.00</v>
      </c>
      <c r="P601" s="25" t="str">
        <f>_xlfn.IFNA(VLOOKUP($M601,Buff.CM!$A:$O,15,FALSE),"")</f>
        <v>Buff.Desc.ActiveDamage.Up.00</v>
      </c>
      <c r="Q601" s="23" t="b">
        <v>0</v>
      </c>
      <c r="R601" s="23" t="b">
        <v>0</v>
      </c>
    </row>
    <row r="602" spans="1:18" s="13" customFormat="1">
      <c r="A602" s="23" t="s">
        <v>2929</v>
      </c>
      <c r="B602" s="23"/>
      <c r="C602" s="23"/>
      <c r="D602" s="23">
        <v>15000</v>
      </c>
      <c r="E602" s="23">
        <v>10</v>
      </c>
      <c r="F602" s="23">
        <v>1</v>
      </c>
      <c r="G602" s="39" t="s">
        <v>2936</v>
      </c>
      <c r="H602" s="23"/>
      <c r="I602" s="23" t="b">
        <v>0</v>
      </c>
      <c r="J602" s="23" t="b">
        <v>0</v>
      </c>
      <c r="K602" s="23" t="b">
        <v>1</v>
      </c>
      <c r="L602" s="23" t="s">
        <v>66</v>
      </c>
      <c r="M602" s="23" t="s">
        <v>5571</v>
      </c>
      <c r="N602" s="25" t="str">
        <f>_xlfn.IFNA(VLOOKUP($M602,Buff.CM!$A:$O,13,FALSE),"")</f>
        <v>icon_battle_skill_damage</v>
      </c>
      <c r="O602" s="25" t="str">
        <f>_xlfn.IFNA(VLOOKUP($M602,Buff.CM!$A:$O,14,FALSE),"")</f>
        <v>Buff.Name.ActiveDamage.Up.00</v>
      </c>
      <c r="P602" s="25" t="str">
        <f>_xlfn.IFNA(VLOOKUP($M602,Buff.CM!$A:$O,15,FALSE),"")</f>
        <v>Buff.Desc.ActiveDamage.Up.00</v>
      </c>
      <c r="Q602" s="23" t="b">
        <v>0</v>
      </c>
      <c r="R602" s="23" t="b">
        <v>0</v>
      </c>
    </row>
    <row r="603" spans="1:18" s="13" customFormat="1">
      <c r="A603" s="23" t="s">
        <v>2930</v>
      </c>
      <c r="B603" s="23"/>
      <c r="C603" s="23"/>
      <c r="D603" s="23">
        <v>15000</v>
      </c>
      <c r="E603" s="23">
        <v>10</v>
      </c>
      <c r="F603" s="23">
        <v>1</v>
      </c>
      <c r="G603" s="39" t="s">
        <v>2937</v>
      </c>
      <c r="H603" s="23"/>
      <c r="I603" s="23" t="b">
        <v>0</v>
      </c>
      <c r="J603" s="23" t="b">
        <v>0</v>
      </c>
      <c r="K603" s="23" t="b">
        <v>1</v>
      </c>
      <c r="L603" s="23" t="s">
        <v>66</v>
      </c>
      <c r="M603" s="23" t="s">
        <v>5571</v>
      </c>
      <c r="N603" s="26" t="str">
        <f>_xlfn.IFNA(VLOOKUP($M603,Buff.CM!$A:$O,13,FALSE),"")</f>
        <v>icon_battle_skill_damage</v>
      </c>
      <c r="O603" s="26" t="str">
        <f>_xlfn.IFNA(VLOOKUP($M603,Buff.CM!$A:$O,14,FALSE),"")</f>
        <v>Buff.Name.ActiveDamage.Up.00</v>
      </c>
      <c r="P603" s="26" t="str">
        <f>_xlfn.IFNA(VLOOKUP($M603,Buff.CM!$A:$O,15,FALSE),"")</f>
        <v>Buff.Desc.ActiveDamage.Up.00</v>
      </c>
      <c r="Q603" s="23" t="b">
        <v>0</v>
      </c>
      <c r="R603" s="23" t="b">
        <v>0</v>
      </c>
    </row>
    <row r="604" spans="1:18" s="13" customFormat="1">
      <c r="A604" s="23" t="s">
        <v>2931</v>
      </c>
      <c r="B604" s="23"/>
      <c r="C604" s="23"/>
      <c r="D604" s="23">
        <v>15000</v>
      </c>
      <c r="E604" s="23">
        <v>10</v>
      </c>
      <c r="F604" s="23">
        <v>1</v>
      </c>
      <c r="G604" s="39" t="s">
        <v>2938</v>
      </c>
      <c r="H604" s="23"/>
      <c r="I604" s="23" t="b">
        <v>0</v>
      </c>
      <c r="J604" s="23" t="b">
        <v>0</v>
      </c>
      <c r="K604" s="23" t="b">
        <v>1</v>
      </c>
      <c r="L604" s="23" t="s">
        <v>66</v>
      </c>
      <c r="M604" s="23" t="s">
        <v>5571</v>
      </c>
      <c r="N604" s="26" t="str">
        <f>_xlfn.IFNA(VLOOKUP($M604,Buff.CM!$A:$O,13,FALSE),"")</f>
        <v>icon_battle_skill_damage</v>
      </c>
      <c r="O604" s="26" t="str">
        <f>_xlfn.IFNA(VLOOKUP($M604,Buff.CM!$A:$O,14,FALSE),"")</f>
        <v>Buff.Name.ActiveDamage.Up.00</v>
      </c>
      <c r="P604" s="26" t="str">
        <f>_xlfn.IFNA(VLOOKUP($M604,Buff.CM!$A:$O,15,FALSE),"")</f>
        <v>Buff.Desc.ActiveDamage.Up.00</v>
      </c>
      <c r="Q604" s="23" t="b">
        <v>0</v>
      </c>
      <c r="R604" s="23" t="b">
        <v>0</v>
      </c>
    </row>
    <row r="605" spans="1:18" s="150" customFormat="1">
      <c r="A605" s="24" t="s">
        <v>2932</v>
      </c>
      <c r="B605" s="24"/>
      <c r="C605" s="24"/>
      <c r="D605" s="24">
        <v>7000</v>
      </c>
      <c r="E605" s="24">
        <v>10</v>
      </c>
      <c r="F605" s="24">
        <v>1</v>
      </c>
      <c r="G605" s="38" t="s">
        <v>2939</v>
      </c>
      <c r="H605" s="24"/>
      <c r="I605" s="24" t="b">
        <v>0</v>
      </c>
      <c r="J605" s="24" t="b">
        <v>0</v>
      </c>
      <c r="K605" s="24" t="b">
        <v>1</v>
      </c>
      <c r="L605" s="24" t="s">
        <v>66</v>
      </c>
      <c r="M605" s="24" t="s">
        <v>5571</v>
      </c>
      <c r="N605" s="24" t="str">
        <f>_xlfn.IFNA(VLOOKUP($M605,Buff.CM!$A:$O,13,FALSE),"")</f>
        <v>icon_battle_skill_damage</v>
      </c>
      <c r="O605" s="24" t="str">
        <f>_xlfn.IFNA(VLOOKUP($M605,Buff.CM!$A:$O,14,FALSE),"")</f>
        <v>Buff.Name.ActiveDamage.Up.00</v>
      </c>
      <c r="P605" s="24" t="str">
        <f>_xlfn.IFNA(VLOOKUP($M605,Buff.CM!$A:$O,15,FALSE),"")</f>
        <v>Buff.Desc.ActiveDamage.Up.00</v>
      </c>
      <c r="Q605" s="24" t="b">
        <v>0</v>
      </c>
      <c r="R605" s="24" t="b">
        <v>0</v>
      </c>
    </row>
    <row r="606" spans="1:18" s="150" customFormat="1">
      <c r="A606" s="24" t="s">
        <v>2933</v>
      </c>
      <c r="B606" s="24"/>
      <c r="C606" s="24"/>
      <c r="D606" s="24">
        <v>7000</v>
      </c>
      <c r="E606" s="24">
        <v>10</v>
      </c>
      <c r="F606" s="24">
        <v>1</v>
      </c>
      <c r="G606" s="38" t="s">
        <v>2940</v>
      </c>
      <c r="H606" s="24"/>
      <c r="I606" s="24" t="b">
        <v>0</v>
      </c>
      <c r="J606" s="24" t="b">
        <v>0</v>
      </c>
      <c r="K606" s="24" t="b">
        <v>1</v>
      </c>
      <c r="L606" s="24" t="s">
        <v>66</v>
      </c>
      <c r="M606" s="24" t="s">
        <v>5571</v>
      </c>
      <c r="N606" s="24" t="str">
        <f>_xlfn.IFNA(VLOOKUP($M606,Buff.CM!$A:$O,13,FALSE),"")</f>
        <v>icon_battle_skill_damage</v>
      </c>
      <c r="O606" s="24" t="str">
        <f>_xlfn.IFNA(VLOOKUP($M606,Buff.CM!$A:$O,14,FALSE),"")</f>
        <v>Buff.Name.ActiveDamage.Up.00</v>
      </c>
      <c r="P606" s="24" t="str">
        <f>_xlfn.IFNA(VLOOKUP($M606,Buff.CM!$A:$O,15,FALSE),"")</f>
        <v>Buff.Desc.ActiveDamage.Up.00</v>
      </c>
      <c r="Q606" s="24" t="b">
        <v>0</v>
      </c>
      <c r="R606" s="24" t="b">
        <v>0</v>
      </c>
    </row>
    <row r="607" spans="1:18">
      <c r="A607" s="25" t="s">
        <v>2826</v>
      </c>
      <c r="B607" s="25"/>
      <c r="C607" s="25"/>
      <c r="D607" s="25">
        <v>6000</v>
      </c>
      <c r="E607" s="25">
        <v>0</v>
      </c>
      <c r="F607" s="25">
        <v>0</v>
      </c>
      <c r="G607" s="43" t="s">
        <v>2833</v>
      </c>
      <c r="H607" s="25"/>
      <c r="I607" s="25" t="b">
        <v>0</v>
      </c>
      <c r="J607" s="25" t="b">
        <v>0</v>
      </c>
      <c r="K607" s="25" t="b">
        <v>0</v>
      </c>
      <c r="L607" s="25"/>
      <c r="M607" s="25"/>
      <c r="N607" s="25" t="str">
        <f>_xlfn.IFNA(VLOOKUP($M607,Buff.CM!$A:$O,13,FALSE),"")</f>
        <v/>
      </c>
      <c r="O607" s="25" t="str">
        <f>_xlfn.IFNA(VLOOKUP($M607,Buff.CM!$A:$O,14,FALSE),"")</f>
        <v/>
      </c>
      <c r="P607" s="25" t="str">
        <f>_xlfn.IFNA(VLOOKUP($M607,Buff.CM!$A:$O,15,FALSE),"")</f>
        <v/>
      </c>
      <c r="Q607" s="25" t="b">
        <v>0</v>
      </c>
      <c r="R607" s="25" t="b">
        <v>0</v>
      </c>
    </row>
    <row r="608" spans="1:18">
      <c r="A608" s="25" t="s">
        <v>2827</v>
      </c>
      <c r="B608" s="25"/>
      <c r="C608" s="25"/>
      <c r="D608" s="25">
        <v>6000</v>
      </c>
      <c r="E608" s="25">
        <v>0</v>
      </c>
      <c r="F608" s="25">
        <v>0</v>
      </c>
      <c r="G608" s="43" t="s">
        <v>2834</v>
      </c>
      <c r="H608" s="25"/>
      <c r="I608" s="25" t="b">
        <v>0</v>
      </c>
      <c r="J608" s="25" t="b">
        <v>0</v>
      </c>
      <c r="K608" s="25" t="b">
        <v>0</v>
      </c>
      <c r="L608" s="25"/>
      <c r="M608" s="25"/>
      <c r="N608" s="25" t="str">
        <f>_xlfn.IFNA(VLOOKUP($M608,Buff.CM!$A:$O,13,FALSE),"")</f>
        <v/>
      </c>
      <c r="O608" s="25" t="str">
        <f>_xlfn.IFNA(VLOOKUP($M608,Buff.CM!$A:$O,14,FALSE),"")</f>
        <v/>
      </c>
      <c r="P608" s="25" t="str">
        <f>_xlfn.IFNA(VLOOKUP($M608,Buff.CM!$A:$O,15,FALSE),"")</f>
        <v/>
      </c>
      <c r="Q608" s="25" t="b">
        <v>0</v>
      </c>
      <c r="R608" s="25" t="b">
        <v>0</v>
      </c>
    </row>
    <row r="609" spans="1:18">
      <c r="A609" s="25" t="s">
        <v>2828</v>
      </c>
      <c r="B609" s="25"/>
      <c r="C609" s="25"/>
      <c r="D609" s="25">
        <v>6000</v>
      </c>
      <c r="E609" s="25">
        <v>0</v>
      </c>
      <c r="F609" s="25">
        <v>0</v>
      </c>
      <c r="G609" s="43" t="s">
        <v>2835</v>
      </c>
      <c r="H609" s="25"/>
      <c r="I609" s="25" t="b">
        <v>0</v>
      </c>
      <c r="J609" s="25" t="b">
        <v>0</v>
      </c>
      <c r="K609" s="25" t="b">
        <v>0</v>
      </c>
      <c r="L609" s="25"/>
      <c r="M609" s="25"/>
      <c r="N609" s="25" t="str">
        <f>_xlfn.IFNA(VLOOKUP($M609,Buff.CM!$A:$O,13,FALSE),"")</f>
        <v/>
      </c>
      <c r="O609" s="25" t="str">
        <f>_xlfn.IFNA(VLOOKUP($M609,Buff.CM!$A:$O,14,FALSE),"")</f>
        <v/>
      </c>
      <c r="P609" s="25" t="str">
        <f>_xlfn.IFNA(VLOOKUP($M609,Buff.CM!$A:$O,15,FALSE),"")</f>
        <v/>
      </c>
      <c r="Q609" s="25" t="b">
        <v>0</v>
      </c>
      <c r="R609" s="25" t="b">
        <v>0</v>
      </c>
    </row>
    <row r="610" spans="1:18">
      <c r="A610" s="25" t="s">
        <v>2829</v>
      </c>
      <c r="B610" s="25"/>
      <c r="C610" s="25"/>
      <c r="D610" s="25">
        <v>6000</v>
      </c>
      <c r="E610" s="25">
        <v>0</v>
      </c>
      <c r="F610" s="25">
        <v>0</v>
      </c>
      <c r="G610" s="43" t="s">
        <v>2836</v>
      </c>
      <c r="H610" s="25"/>
      <c r="I610" s="25" t="b">
        <v>0</v>
      </c>
      <c r="J610" s="25" t="b">
        <v>0</v>
      </c>
      <c r="K610" s="25" t="b">
        <v>0</v>
      </c>
      <c r="L610" s="25"/>
      <c r="M610" s="25"/>
      <c r="N610" s="25" t="str">
        <f>_xlfn.IFNA(VLOOKUP($M610,Buff.CM!$A:$O,13,FALSE),"")</f>
        <v/>
      </c>
      <c r="O610" s="25" t="str">
        <f>_xlfn.IFNA(VLOOKUP($M610,Buff.CM!$A:$O,14,FALSE),"")</f>
        <v/>
      </c>
      <c r="P610" s="25" t="str">
        <f>_xlfn.IFNA(VLOOKUP($M610,Buff.CM!$A:$O,15,FALSE),"")</f>
        <v/>
      </c>
      <c r="Q610" s="25" t="b">
        <v>0</v>
      </c>
      <c r="R610" s="25" t="b">
        <v>0</v>
      </c>
    </row>
    <row r="611" spans="1:18">
      <c r="A611" s="25" t="s">
        <v>2830</v>
      </c>
      <c r="B611" s="25"/>
      <c r="C611" s="25"/>
      <c r="D611" s="25">
        <v>6000</v>
      </c>
      <c r="E611" s="25">
        <v>0</v>
      </c>
      <c r="F611" s="25">
        <v>0</v>
      </c>
      <c r="G611" s="43" t="s">
        <v>2837</v>
      </c>
      <c r="H611" s="25"/>
      <c r="I611" s="25" t="b">
        <v>0</v>
      </c>
      <c r="J611" s="25" t="b">
        <v>0</v>
      </c>
      <c r="K611" s="25" t="b">
        <v>0</v>
      </c>
      <c r="L611" s="25"/>
      <c r="M611" s="25"/>
      <c r="N611" s="25" t="str">
        <f>_xlfn.IFNA(VLOOKUP($M611,Buff.CM!$A:$O,13,FALSE),"")</f>
        <v/>
      </c>
      <c r="O611" s="25" t="str">
        <f>_xlfn.IFNA(VLOOKUP($M611,Buff.CM!$A:$O,14,FALSE),"")</f>
        <v/>
      </c>
      <c r="P611" s="25" t="str">
        <f>_xlfn.IFNA(VLOOKUP($M611,Buff.CM!$A:$O,15,FALSE),"")</f>
        <v/>
      </c>
      <c r="Q611" s="25" t="b">
        <v>0</v>
      </c>
      <c r="R611" s="25" t="b">
        <v>0</v>
      </c>
    </row>
    <row r="612" spans="1:18">
      <c r="A612" s="34" t="s">
        <v>2831</v>
      </c>
      <c r="B612" s="34"/>
      <c r="C612" s="34"/>
      <c r="D612" s="34">
        <v>5000</v>
      </c>
      <c r="E612" s="34">
        <v>0</v>
      </c>
      <c r="F612" s="34">
        <v>0</v>
      </c>
      <c r="G612" s="40" t="s">
        <v>2838</v>
      </c>
      <c r="H612" s="34"/>
      <c r="I612" s="34" t="b">
        <v>0</v>
      </c>
      <c r="J612" s="34" t="b">
        <v>0</v>
      </c>
      <c r="K612" s="34" t="b">
        <v>0</v>
      </c>
      <c r="L612" s="34"/>
      <c r="M612" s="34"/>
      <c r="N612" s="34" t="str">
        <f>_xlfn.IFNA(VLOOKUP($M612,Buff.CM!$A:$O,13,FALSE),"")</f>
        <v/>
      </c>
      <c r="O612" s="34" t="str">
        <f>_xlfn.IFNA(VLOOKUP($M612,Buff.CM!$A:$O,14,FALSE),"")</f>
        <v/>
      </c>
      <c r="P612" s="34" t="str">
        <f>_xlfn.IFNA(VLOOKUP($M612,Buff.CM!$A:$O,15,FALSE),"")</f>
        <v/>
      </c>
      <c r="Q612" s="34" t="b">
        <v>0</v>
      </c>
      <c r="R612" s="34" t="b">
        <v>0</v>
      </c>
    </row>
    <row r="613" spans="1:18">
      <c r="A613" s="34" t="s">
        <v>2832</v>
      </c>
      <c r="B613" s="34"/>
      <c r="C613" s="34"/>
      <c r="D613" s="34">
        <v>5000</v>
      </c>
      <c r="E613" s="34">
        <v>0</v>
      </c>
      <c r="F613" s="34">
        <v>0</v>
      </c>
      <c r="G613" s="40" t="s">
        <v>2839</v>
      </c>
      <c r="H613" s="34"/>
      <c r="I613" s="34" t="b">
        <v>0</v>
      </c>
      <c r="J613" s="34" t="b">
        <v>0</v>
      </c>
      <c r="K613" s="34" t="b">
        <v>0</v>
      </c>
      <c r="L613" s="34"/>
      <c r="M613" s="34"/>
      <c r="N613" s="34" t="str">
        <f>_xlfn.IFNA(VLOOKUP($M613,Buff.CM!$A:$O,13,FALSE),"")</f>
        <v/>
      </c>
      <c r="O613" s="34" t="str">
        <f>_xlfn.IFNA(VLOOKUP($M613,Buff.CM!$A:$O,14,FALSE),"")</f>
        <v/>
      </c>
      <c r="P613" s="34" t="str">
        <f>_xlfn.IFNA(VLOOKUP($M613,Buff.CM!$A:$O,15,FALSE),"")</f>
        <v/>
      </c>
      <c r="Q613" s="34" t="b">
        <v>0</v>
      </c>
      <c r="R613" s="34" t="b">
        <v>0</v>
      </c>
    </row>
    <row r="614" spans="1:18">
      <c r="A614" s="44" t="s">
        <v>1008</v>
      </c>
      <c r="B614" s="44"/>
      <c r="C614" s="44"/>
      <c r="D614" s="44">
        <v>0</v>
      </c>
      <c r="E614" s="44">
        <v>0</v>
      </c>
      <c r="F614" s="44">
        <v>0</v>
      </c>
      <c r="G614" s="44" t="str">
        <f t="shared" ref="G614" si="0">A614&amp;".buffeffect"</f>
        <v>ferrel.ult.ex.buff.buffeffect</v>
      </c>
      <c r="H614" s="44"/>
      <c r="I614" s="44" t="b">
        <v>0</v>
      </c>
      <c r="J614" s="44" t="b">
        <v>0</v>
      </c>
      <c r="K614" s="44" t="b">
        <v>1</v>
      </c>
      <c r="L614" s="44"/>
      <c r="M614" s="44"/>
      <c r="N614" s="44" t="str">
        <f>_xlfn.IFNA(VLOOKUP($M614,Buff.CM!$A:$O,13,FALSE),"")</f>
        <v/>
      </c>
      <c r="O614" s="44" t="str">
        <f>_xlfn.IFNA(VLOOKUP($M614,Buff.CM!$A:$O,14,FALSE),"")</f>
        <v/>
      </c>
      <c r="P614" s="44" t="str">
        <f>_xlfn.IFNA(VLOOKUP($M614,Buff.CM!$A:$O,15,FALSE),"")</f>
        <v/>
      </c>
      <c r="Q614" s="44" t="b">
        <v>0</v>
      </c>
      <c r="R614" s="44" t="b">
        <v>0</v>
      </c>
    </row>
    <row r="615" spans="1:18" s="13" customFormat="1">
      <c r="A615" s="23" t="s">
        <v>7024</v>
      </c>
      <c r="B615" s="23"/>
      <c r="C615" s="23"/>
      <c r="D615" s="23">
        <v>1000</v>
      </c>
      <c r="E615" s="23">
        <v>0</v>
      </c>
      <c r="F615" s="23">
        <v>0</v>
      </c>
      <c r="G615" s="39" t="s">
        <v>4350</v>
      </c>
      <c r="H615" s="23"/>
      <c r="I615" s="23" t="b">
        <v>0</v>
      </c>
      <c r="J615" s="23" t="b">
        <v>0</v>
      </c>
      <c r="K615" s="23" t="b">
        <v>0</v>
      </c>
      <c r="L615" s="26" t="s">
        <v>175</v>
      </c>
      <c r="M615" s="39" t="s">
        <v>4350</v>
      </c>
      <c r="N615" s="25" t="str">
        <f>_xlfn.IFNA(VLOOKUP($M615,Buff.CM!$A:$O,13,FALSE),"")</f>
        <v>icon_battle_damageimmune</v>
      </c>
      <c r="O615" s="25" t="str">
        <f>_xlfn.IFNA(VLOOKUP($M615,Buff.CM!$A:$O,14,FALSE),"")</f>
        <v>Buff.Name.Reduce.Active.Damage.Down.02</v>
      </c>
      <c r="P615" s="25" t="str">
        <f>_xlfn.IFNA(VLOOKUP($M615,Buff.CM!$A:$O,15,FALSE),"")</f>
        <v>Buff.Desc.Reduce.Active.Damage.Down.02</v>
      </c>
      <c r="Q615" s="23" t="b">
        <v>0</v>
      </c>
      <c r="R615" s="23" t="b">
        <v>0</v>
      </c>
    </row>
    <row r="616" spans="1:18" s="13" customFormat="1">
      <c r="A616" s="23" t="s">
        <v>4342</v>
      </c>
      <c r="B616" s="23"/>
      <c r="C616" s="23"/>
      <c r="D616" s="23">
        <v>1000</v>
      </c>
      <c r="E616" s="23">
        <v>0</v>
      </c>
      <c r="F616" s="23">
        <v>0</v>
      </c>
      <c r="G616" s="39" t="s">
        <v>4350</v>
      </c>
      <c r="H616" s="23"/>
      <c r="I616" s="23" t="b">
        <v>0</v>
      </c>
      <c r="J616" s="23" t="b">
        <v>0</v>
      </c>
      <c r="K616" s="23" t="b">
        <v>0</v>
      </c>
      <c r="L616" s="26" t="s">
        <v>175</v>
      </c>
      <c r="M616" s="39" t="s">
        <v>4350</v>
      </c>
      <c r="N616" s="25" t="str">
        <f>_xlfn.IFNA(VLOOKUP($M616,Buff.CM!$A:$O,13,FALSE),"")</f>
        <v>icon_battle_damageimmune</v>
      </c>
      <c r="O616" s="25" t="str">
        <f>_xlfn.IFNA(VLOOKUP($M616,Buff.CM!$A:$O,14,FALSE),"")</f>
        <v>Buff.Name.Reduce.Active.Damage.Down.02</v>
      </c>
      <c r="P616" s="25" t="str">
        <f>_xlfn.IFNA(VLOOKUP($M616,Buff.CM!$A:$O,15,FALSE),"")</f>
        <v>Buff.Desc.Reduce.Active.Damage.Down.02</v>
      </c>
      <c r="Q616" s="23" t="b">
        <v>0</v>
      </c>
      <c r="R616" s="23" t="b">
        <v>0</v>
      </c>
    </row>
    <row r="617" spans="1:18" s="13" customFormat="1">
      <c r="A617" s="23" t="s">
        <v>4343</v>
      </c>
      <c r="B617" s="23"/>
      <c r="C617" s="23"/>
      <c r="D617" s="23">
        <v>1000</v>
      </c>
      <c r="E617" s="23">
        <v>0</v>
      </c>
      <c r="F617" s="23">
        <v>0</v>
      </c>
      <c r="G617" s="39" t="s">
        <v>4351</v>
      </c>
      <c r="H617" s="23"/>
      <c r="I617" s="23" t="b">
        <v>0</v>
      </c>
      <c r="J617" s="23" t="b">
        <v>0</v>
      </c>
      <c r="K617" s="23" t="b">
        <v>0</v>
      </c>
      <c r="L617" s="26" t="s">
        <v>175</v>
      </c>
      <c r="M617" s="39" t="s">
        <v>4351</v>
      </c>
      <c r="N617" s="25" t="str">
        <f>_xlfn.IFNA(VLOOKUP($M617,Buff.CM!$A:$O,13,FALSE),"")</f>
        <v>icon_battle_damageimmune</v>
      </c>
      <c r="O617" s="25" t="str">
        <f>_xlfn.IFNA(VLOOKUP($M617,Buff.CM!$A:$O,14,FALSE),"")</f>
        <v>Buff.Name.Reduce.Active.Damage.Down.03</v>
      </c>
      <c r="P617" s="25" t="str">
        <f>_xlfn.IFNA(VLOOKUP($M617,Buff.CM!$A:$O,15,FALSE),"")</f>
        <v>Buff.Desc.Reduce.Active.Damage.Down.03</v>
      </c>
      <c r="Q617" s="23" t="b">
        <v>0</v>
      </c>
      <c r="R617" s="23" t="b">
        <v>0</v>
      </c>
    </row>
    <row r="618" spans="1:18" s="13" customFormat="1">
      <c r="A618" s="23" t="s">
        <v>4344</v>
      </c>
      <c r="B618" s="23"/>
      <c r="C618" s="23"/>
      <c r="D618" s="23">
        <v>1000</v>
      </c>
      <c r="E618" s="23">
        <v>0</v>
      </c>
      <c r="F618" s="23">
        <v>0</v>
      </c>
      <c r="G618" s="39" t="s">
        <v>4351</v>
      </c>
      <c r="H618" s="23"/>
      <c r="I618" s="23" t="b">
        <v>0</v>
      </c>
      <c r="J618" s="23" t="b">
        <v>0</v>
      </c>
      <c r="K618" s="23" t="b">
        <v>0</v>
      </c>
      <c r="L618" s="26" t="s">
        <v>175</v>
      </c>
      <c r="M618" s="39" t="s">
        <v>4351</v>
      </c>
      <c r="N618" s="25" t="str">
        <f>_xlfn.IFNA(VLOOKUP($M618,Buff.CM!$A:$O,13,FALSE),"")</f>
        <v>icon_battle_damageimmune</v>
      </c>
      <c r="O618" s="25" t="str">
        <f>_xlfn.IFNA(VLOOKUP($M618,Buff.CM!$A:$O,14,FALSE),"")</f>
        <v>Buff.Name.Reduce.Active.Damage.Down.03</v>
      </c>
      <c r="P618" s="25" t="str">
        <f>_xlfn.IFNA(VLOOKUP($M618,Buff.CM!$A:$O,15,FALSE),"")</f>
        <v>Buff.Desc.Reduce.Active.Damage.Down.03</v>
      </c>
      <c r="Q618" s="23" t="b">
        <v>0</v>
      </c>
      <c r="R618" s="23" t="b">
        <v>0</v>
      </c>
    </row>
    <row r="619" spans="1:18" s="13" customFormat="1">
      <c r="A619" s="23" t="s">
        <v>4345</v>
      </c>
      <c r="B619" s="23"/>
      <c r="C619" s="23"/>
      <c r="D619" s="23">
        <v>1000</v>
      </c>
      <c r="E619" s="23">
        <v>0</v>
      </c>
      <c r="F619" s="23">
        <v>0</v>
      </c>
      <c r="G619" s="39" t="s">
        <v>4352</v>
      </c>
      <c r="H619" s="23"/>
      <c r="I619" s="23" t="b">
        <v>0</v>
      </c>
      <c r="J619" s="23" t="b">
        <v>0</v>
      </c>
      <c r="K619" s="23" t="b">
        <v>0</v>
      </c>
      <c r="L619" s="26" t="s">
        <v>175</v>
      </c>
      <c r="M619" s="39" t="s">
        <v>4352</v>
      </c>
      <c r="N619" s="25" t="str">
        <f>_xlfn.IFNA(VLOOKUP($M619,Buff.CM!$A:$O,13,FALSE),"")</f>
        <v>icon_battle_damageimmune</v>
      </c>
      <c r="O619" s="25" t="str">
        <f>_xlfn.IFNA(VLOOKUP($M619,Buff.CM!$A:$O,14,FALSE),"")</f>
        <v>Buff.Name.Reduce.Active.Damage.Down.04</v>
      </c>
      <c r="P619" s="25" t="str">
        <f>_xlfn.IFNA(VLOOKUP($M619,Buff.CM!$A:$O,15,FALSE),"")</f>
        <v>Buff.Desc.Reduce.Active.Damage.Down.04</v>
      </c>
      <c r="Q619" s="23" t="b">
        <v>0</v>
      </c>
      <c r="R619" s="23" t="b">
        <v>0</v>
      </c>
    </row>
    <row r="620" spans="1:18" s="13" customFormat="1">
      <c r="A620" s="23" t="s">
        <v>4346</v>
      </c>
      <c r="B620" s="23"/>
      <c r="C620" s="23"/>
      <c r="D620" s="23">
        <v>1000</v>
      </c>
      <c r="E620" s="23">
        <v>0</v>
      </c>
      <c r="F620" s="23">
        <v>0</v>
      </c>
      <c r="G620" s="39" t="s">
        <v>4352</v>
      </c>
      <c r="H620" s="23"/>
      <c r="I620" s="23" t="b">
        <v>0</v>
      </c>
      <c r="J620" s="23" t="b">
        <v>0</v>
      </c>
      <c r="K620" s="23" t="b">
        <v>0</v>
      </c>
      <c r="L620" s="26" t="s">
        <v>175</v>
      </c>
      <c r="M620" s="39" t="s">
        <v>4352</v>
      </c>
      <c r="N620" s="25" t="str">
        <f>_xlfn.IFNA(VLOOKUP($M620,Buff.CM!$A:$O,13,FALSE),"")</f>
        <v>icon_battle_damageimmune</v>
      </c>
      <c r="O620" s="25" t="str">
        <f>_xlfn.IFNA(VLOOKUP($M620,Buff.CM!$A:$O,14,FALSE),"")</f>
        <v>Buff.Name.Reduce.Active.Damage.Down.04</v>
      </c>
      <c r="P620" s="25" t="str">
        <f>_xlfn.IFNA(VLOOKUP($M620,Buff.CM!$A:$O,15,FALSE),"")</f>
        <v>Buff.Desc.Reduce.Active.Damage.Down.04</v>
      </c>
      <c r="Q620" s="23" t="b">
        <v>0</v>
      </c>
      <c r="R620" s="23" t="b">
        <v>0</v>
      </c>
    </row>
    <row r="621" spans="1:18" s="13" customFormat="1">
      <c r="A621" s="23" t="s">
        <v>4347</v>
      </c>
      <c r="B621" s="23"/>
      <c r="C621" s="23"/>
      <c r="D621" s="23">
        <v>1000</v>
      </c>
      <c r="E621" s="23">
        <v>0</v>
      </c>
      <c r="F621" s="23">
        <v>0</v>
      </c>
      <c r="G621" s="39" t="s">
        <v>4352</v>
      </c>
      <c r="H621" s="23"/>
      <c r="I621" s="23" t="b">
        <v>0</v>
      </c>
      <c r="J621" s="23" t="b">
        <v>0</v>
      </c>
      <c r="K621" s="23" t="b">
        <v>0</v>
      </c>
      <c r="L621" s="26" t="s">
        <v>175</v>
      </c>
      <c r="M621" s="39" t="s">
        <v>4352</v>
      </c>
      <c r="N621" s="25" t="str">
        <f>_xlfn.IFNA(VLOOKUP($M621,Buff.CM!$A:$O,13,FALSE),"")</f>
        <v>icon_battle_damageimmune</v>
      </c>
      <c r="O621" s="25" t="str">
        <f>_xlfn.IFNA(VLOOKUP($M621,Buff.CM!$A:$O,14,FALSE),"")</f>
        <v>Buff.Name.Reduce.Active.Damage.Down.04</v>
      </c>
      <c r="P621" s="25" t="str">
        <f>_xlfn.IFNA(VLOOKUP($M621,Buff.CM!$A:$O,15,FALSE),"")</f>
        <v>Buff.Desc.Reduce.Active.Damage.Down.04</v>
      </c>
      <c r="Q621" s="23" t="b">
        <v>0</v>
      </c>
      <c r="R621" s="23" t="b">
        <v>0</v>
      </c>
    </row>
    <row r="622" spans="1:18">
      <c r="A622" s="26" t="s">
        <v>7025</v>
      </c>
      <c r="B622" s="26"/>
      <c r="C622" s="26"/>
      <c r="D622" s="26">
        <v>4000</v>
      </c>
      <c r="E622" s="26">
        <v>0</v>
      </c>
      <c r="F622" s="26">
        <v>0</v>
      </c>
      <c r="G622" s="45" t="s">
        <v>1571</v>
      </c>
      <c r="H622" s="26"/>
      <c r="I622" s="26" t="b">
        <v>0</v>
      </c>
      <c r="J622" s="26" t="b">
        <v>0</v>
      </c>
      <c r="K622" s="26" t="b">
        <v>0</v>
      </c>
      <c r="L622" s="26" t="s">
        <v>175</v>
      </c>
      <c r="M622" s="45" t="s">
        <v>1571</v>
      </c>
      <c r="N622" s="133" t="str">
        <f>_xlfn.IFNA(VLOOKUP($M622,Buff.CM!$A:$O,13,FALSE),"")</f>
        <v>icon_battle_damageimmune</v>
      </c>
      <c r="O622" s="26" t="str">
        <f>_xlfn.IFNA(VLOOKUP($M622,Buff.CM!$A:$O,14,FALSE),"")</f>
        <v>Buff.Name.Reduce.SingleDamage.Down.02</v>
      </c>
      <c r="P622" s="26" t="str">
        <f>_xlfn.IFNA(VLOOKUP($M622,Buff.CM!$A:$O,15,FALSE),"")</f>
        <v>Buff.Desc.Reduce.SingleDamage.Down.02</v>
      </c>
      <c r="Q622" s="26" t="b">
        <v>0</v>
      </c>
      <c r="R622" s="26" t="b">
        <v>0</v>
      </c>
    </row>
    <row r="623" spans="1:18">
      <c r="A623" s="26" t="s">
        <v>2284</v>
      </c>
      <c r="B623" s="26"/>
      <c r="C623" s="26"/>
      <c r="D623" s="26">
        <v>5000</v>
      </c>
      <c r="E623" s="26">
        <v>0</v>
      </c>
      <c r="F623" s="26">
        <v>0</v>
      </c>
      <c r="G623" s="45" t="s">
        <v>1572</v>
      </c>
      <c r="H623" s="26"/>
      <c r="I623" s="26" t="b">
        <v>0</v>
      </c>
      <c r="J623" s="26" t="b">
        <v>0</v>
      </c>
      <c r="K623" s="26" t="b">
        <v>0</v>
      </c>
      <c r="L623" s="26" t="s">
        <v>175</v>
      </c>
      <c r="M623" s="45" t="s">
        <v>1572</v>
      </c>
      <c r="N623" s="134" t="str">
        <f>_xlfn.IFNA(VLOOKUP($M623,Buff.CM!$A:$O,13,FALSE),"")</f>
        <v>icon_battle_damageimmune</v>
      </c>
      <c r="O623" s="26" t="str">
        <f>_xlfn.IFNA(VLOOKUP($M623,Buff.CM!$A:$O,14,FALSE),"")</f>
        <v>Buff.Name.Reduce.SingleDamage.Down.03</v>
      </c>
      <c r="P623" s="26" t="str">
        <f>_xlfn.IFNA(VLOOKUP($M623,Buff.CM!$A:$O,15,FALSE),"")</f>
        <v>Buff.Desc.Reduce.SingleDamage.Down.03</v>
      </c>
      <c r="Q623" s="26" t="b">
        <v>0</v>
      </c>
      <c r="R623" s="26" t="b">
        <v>0</v>
      </c>
    </row>
    <row r="624" spans="1:18">
      <c r="A624" s="26" t="s">
        <v>2285</v>
      </c>
      <c r="B624" s="26"/>
      <c r="C624" s="26"/>
      <c r="D624" s="26">
        <v>5000</v>
      </c>
      <c r="E624" s="26">
        <v>0</v>
      </c>
      <c r="F624" s="26">
        <v>0</v>
      </c>
      <c r="G624" s="45" t="s">
        <v>1572</v>
      </c>
      <c r="H624" s="26"/>
      <c r="I624" s="26" t="b">
        <v>0</v>
      </c>
      <c r="J624" s="26" t="b">
        <v>0</v>
      </c>
      <c r="K624" s="26" t="b">
        <v>0</v>
      </c>
      <c r="L624" s="26" t="s">
        <v>175</v>
      </c>
      <c r="M624" s="45" t="s">
        <v>1572</v>
      </c>
      <c r="N624" s="134" t="str">
        <f>_xlfn.IFNA(VLOOKUP($M624,Buff.CM!$A:$O,13,FALSE),"")</f>
        <v>icon_battle_damageimmune</v>
      </c>
      <c r="O624" s="26" t="str">
        <f>_xlfn.IFNA(VLOOKUP($M624,Buff.CM!$A:$O,14,FALSE),"")</f>
        <v>Buff.Name.Reduce.SingleDamage.Down.03</v>
      </c>
      <c r="P624" s="26" t="str">
        <f>_xlfn.IFNA(VLOOKUP($M624,Buff.CM!$A:$O,15,FALSE),"")</f>
        <v>Buff.Desc.Reduce.SingleDamage.Down.03</v>
      </c>
      <c r="Q624" s="26" t="b">
        <v>0</v>
      </c>
      <c r="R624" s="26" t="b">
        <v>0</v>
      </c>
    </row>
    <row r="625" spans="1:18">
      <c r="A625" s="34" t="s">
        <v>2286</v>
      </c>
      <c r="B625" s="34"/>
      <c r="C625" s="34"/>
      <c r="D625" s="34">
        <v>6000</v>
      </c>
      <c r="E625" s="34">
        <v>0</v>
      </c>
      <c r="F625" s="34">
        <v>0</v>
      </c>
      <c r="G625" s="40" t="s">
        <v>1573</v>
      </c>
      <c r="H625" s="34"/>
      <c r="I625" s="34" t="b">
        <v>0</v>
      </c>
      <c r="J625" s="34" t="b">
        <v>0</v>
      </c>
      <c r="K625" s="34" t="b">
        <v>0</v>
      </c>
      <c r="L625" s="34" t="s">
        <v>175</v>
      </c>
      <c r="M625" s="40" t="s">
        <v>1573</v>
      </c>
      <c r="N625" s="140" t="str">
        <f>_xlfn.IFNA(VLOOKUP($M625,Buff.CM!$A:$O,13,FALSE),"")</f>
        <v>icon_battle_damageimmune</v>
      </c>
      <c r="O625" s="34" t="str">
        <f>_xlfn.IFNA(VLOOKUP($M625,Buff.CM!$A:$O,14,FALSE),"")</f>
        <v>Buff.Name.Reduce.SingleDamage.Down.04</v>
      </c>
      <c r="P625" s="34" t="str">
        <f>_xlfn.IFNA(VLOOKUP($M625,Buff.CM!$A:$O,15,FALSE),"")</f>
        <v>Buff.Desc.Reduce.SingleDamage.Down.04</v>
      </c>
      <c r="Q625" s="34" t="b">
        <v>0</v>
      </c>
      <c r="R625" s="34" t="b">
        <v>0</v>
      </c>
    </row>
    <row r="626" spans="1:18">
      <c r="A626" s="34" t="s">
        <v>2631</v>
      </c>
      <c r="B626" s="34"/>
      <c r="C626" s="34"/>
      <c r="D626" s="34">
        <v>6000</v>
      </c>
      <c r="E626" s="34">
        <v>0</v>
      </c>
      <c r="F626" s="34">
        <v>0</v>
      </c>
      <c r="G626" s="40" t="s">
        <v>1573</v>
      </c>
      <c r="H626" s="34"/>
      <c r="I626" s="34" t="b">
        <v>0</v>
      </c>
      <c r="J626" s="34" t="b">
        <v>0</v>
      </c>
      <c r="K626" s="34" t="b">
        <v>0</v>
      </c>
      <c r="L626" s="34" t="s">
        <v>175</v>
      </c>
      <c r="M626" s="40" t="s">
        <v>1573</v>
      </c>
      <c r="N626" s="140" t="str">
        <f>_xlfn.IFNA(VLOOKUP($M626,Buff.CM!$A:$O,13,FALSE),"")</f>
        <v>icon_battle_damageimmune</v>
      </c>
      <c r="O626" s="34" t="str">
        <f>_xlfn.IFNA(VLOOKUP($M626,Buff.CM!$A:$O,14,FALSE),"")</f>
        <v>Buff.Name.Reduce.SingleDamage.Down.04</v>
      </c>
      <c r="P626" s="34" t="str">
        <f>_xlfn.IFNA(VLOOKUP($M626,Buff.CM!$A:$O,15,FALSE),"")</f>
        <v>Buff.Desc.Reduce.SingleDamage.Down.04</v>
      </c>
      <c r="Q626" s="34" t="b">
        <v>0</v>
      </c>
      <c r="R626" s="34" t="b">
        <v>0</v>
      </c>
    </row>
    <row r="627" spans="1:18">
      <c r="A627" s="34" t="s">
        <v>2632</v>
      </c>
      <c r="B627" s="34"/>
      <c r="C627" s="34"/>
      <c r="D627" s="34">
        <v>6000</v>
      </c>
      <c r="E627" s="34">
        <v>0</v>
      </c>
      <c r="F627" s="34">
        <v>0</v>
      </c>
      <c r="G627" s="40" t="s">
        <v>1573</v>
      </c>
      <c r="H627" s="34"/>
      <c r="I627" s="34" t="b">
        <v>0</v>
      </c>
      <c r="J627" s="34" t="b">
        <v>0</v>
      </c>
      <c r="K627" s="34" t="b">
        <v>0</v>
      </c>
      <c r="L627" s="34" t="s">
        <v>175</v>
      </c>
      <c r="M627" s="40" t="s">
        <v>1573</v>
      </c>
      <c r="N627" s="140" t="str">
        <f>_xlfn.IFNA(VLOOKUP($M627,Buff.CM!$A:$O,13,FALSE),"")</f>
        <v>icon_battle_damageimmune</v>
      </c>
      <c r="O627" s="34" t="str">
        <f>_xlfn.IFNA(VLOOKUP($M627,Buff.CM!$A:$O,14,FALSE),"")</f>
        <v>Buff.Name.Reduce.SingleDamage.Down.04</v>
      </c>
      <c r="P627" s="34" t="str">
        <f>_xlfn.IFNA(VLOOKUP($M627,Buff.CM!$A:$O,15,FALSE),"")</f>
        <v>Buff.Desc.Reduce.SingleDamage.Down.04</v>
      </c>
      <c r="Q627" s="34" t="b">
        <v>0</v>
      </c>
      <c r="R627" s="34" t="b">
        <v>0</v>
      </c>
    </row>
    <row r="628" spans="1:18">
      <c r="A628" s="25" t="s">
        <v>717</v>
      </c>
      <c r="B628" s="25"/>
      <c r="C628" s="25"/>
      <c r="D628" s="25">
        <v>0</v>
      </c>
      <c r="E628" s="25">
        <v>0</v>
      </c>
      <c r="F628" s="25">
        <v>0</v>
      </c>
      <c r="G628" s="43" t="s">
        <v>6924</v>
      </c>
      <c r="H628" s="25"/>
      <c r="I628" s="25" t="b">
        <v>0</v>
      </c>
      <c r="J628" s="23" t="b">
        <v>1</v>
      </c>
      <c r="K628" s="25" t="b">
        <v>1</v>
      </c>
      <c r="L628" s="25"/>
      <c r="M628" s="25"/>
      <c r="N628" s="25" t="str">
        <f>_xlfn.IFNA(VLOOKUP($M628,Buff.CM!$A:$O,13,FALSE),"")</f>
        <v/>
      </c>
      <c r="O628" s="25" t="str">
        <f>_xlfn.IFNA(VLOOKUP($M628,Buff.CM!$A:$O,14,FALSE),"")</f>
        <v/>
      </c>
      <c r="P628" s="25" t="str">
        <f>_xlfn.IFNA(VLOOKUP($M628,Buff.CM!$A:$O,15,FALSE),"")</f>
        <v/>
      </c>
      <c r="Q628" s="25" t="b">
        <v>0</v>
      </c>
      <c r="R628" s="25" t="b">
        <v>0</v>
      </c>
    </row>
    <row r="629" spans="1:18">
      <c r="A629" s="25" t="s">
        <v>718</v>
      </c>
      <c r="B629" s="25"/>
      <c r="C629" s="25"/>
      <c r="D629" s="25">
        <v>0</v>
      </c>
      <c r="E629" s="25">
        <v>0</v>
      </c>
      <c r="F629" s="25">
        <v>0</v>
      </c>
      <c r="G629" s="43" t="s">
        <v>6925</v>
      </c>
      <c r="H629" s="25"/>
      <c r="I629" s="25" t="b">
        <v>0</v>
      </c>
      <c r="J629" s="23" t="b">
        <v>1</v>
      </c>
      <c r="K629" s="25" t="b">
        <v>1</v>
      </c>
      <c r="L629" s="25"/>
      <c r="M629" s="25"/>
      <c r="N629" s="25" t="str">
        <f>_xlfn.IFNA(VLOOKUP($M629,Buff.CM!$A:$O,13,FALSE),"")</f>
        <v/>
      </c>
      <c r="O629" s="25" t="str">
        <f>_xlfn.IFNA(VLOOKUP($M629,Buff.CM!$A:$O,14,FALSE),"")</f>
        <v/>
      </c>
      <c r="P629" s="25" t="str">
        <f>_xlfn.IFNA(VLOOKUP($M629,Buff.CM!$A:$O,15,FALSE),"")</f>
        <v/>
      </c>
      <c r="Q629" s="25" t="b">
        <v>0</v>
      </c>
      <c r="R629" s="25" t="b">
        <v>0</v>
      </c>
    </row>
    <row r="630" spans="1:18">
      <c r="A630" s="25" t="s">
        <v>719</v>
      </c>
      <c r="B630" s="25"/>
      <c r="C630" s="25"/>
      <c r="D630" s="25">
        <v>0</v>
      </c>
      <c r="E630" s="25">
        <v>0</v>
      </c>
      <c r="F630" s="25">
        <v>0</v>
      </c>
      <c r="G630" s="43" t="s">
        <v>6926</v>
      </c>
      <c r="H630" s="25"/>
      <c r="I630" s="25" t="b">
        <v>0</v>
      </c>
      <c r="J630" s="23" t="b">
        <v>1</v>
      </c>
      <c r="K630" s="25" t="b">
        <v>1</v>
      </c>
      <c r="L630" s="25"/>
      <c r="M630" s="25"/>
      <c r="N630" s="25" t="str">
        <f>_xlfn.IFNA(VLOOKUP($M630,Buff.CM!$A:$O,13,FALSE),"")</f>
        <v/>
      </c>
      <c r="O630" s="25" t="str">
        <f>_xlfn.IFNA(VLOOKUP($M630,Buff.CM!$A:$O,14,FALSE),"")</f>
        <v/>
      </c>
      <c r="P630" s="25" t="str">
        <f>_xlfn.IFNA(VLOOKUP($M630,Buff.CM!$A:$O,15,FALSE),"")</f>
        <v/>
      </c>
      <c r="Q630" s="25" t="b">
        <v>0</v>
      </c>
      <c r="R630" s="25" t="b">
        <v>0</v>
      </c>
    </row>
    <row r="631" spans="1:18">
      <c r="A631" s="34" t="s">
        <v>720</v>
      </c>
      <c r="B631" s="34"/>
      <c r="C631" s="34"/>
      <c r="D631" s="34">
        <v>0</v>
      </c>
      <c r="E631" s="34">
        <v>0</v>
      </c>
      <c r="F631" s="34">
        <v>0</v>
      </c>
      <c r="G631" s="40" t="s">
        <v>6927</v>
      </c>
      <c r="H631" s="34"/>
      <c r="I631" s="34" t="b">
        <v>0</v>
      </c>
      <c r="J631" s="23" t="b">
        <v>1</v>
      </c>
      <c r="K631" s="34" t="b">
        <v>1</v>
      </c>
      <c r="L631" s="34"/>
      <c r="M631" s="34"/>
      <c r="N631" s="26" t="str">
        <f>_xlfn.IFNA(VLOOKUP($M631,Buff.CM!$A:$O,13,FALSE),"")</f>
        <v/>
      </c>
      <c r="O631" s="26" t="str">
        <f>_xlfn.IFNA(VLOOKUP($M631,Buff.CM!$A:$O,14,FALSE),"")</f>
        <v/>
      </c>
      <c r="P631" s="26" t="str">
        <f>_xlfn.IFNA(VLOOKUP($M631,Buff.CM!$A:$O,15,FALSE),"")</f>
        <v/>
      </c>
      <c r="Q631" s="23" t="b">
        <v>0</v>
      </c>
      <c r="R631" s="34" t="b">
        <v>0</v>
      </c>
    </row>
    <row r="632" spans="1:18">
      <c r="A632" s="34" t="s">
        <v>721</v>
      </c>
      <c r="B632" s="34"/>
      <c r="C632" s="34"/>
      <c r="D632" s="34">
        <v>0</v>
      </c>
      <c r="E632" s="34">
        <v>0</v>
      </c>
      <c r="F632" s="34">
        <v>0</v>
      </c>
      <c r="G632" s="40" t="s">
        <v>6928</v>
      </c>
      <c r="H632" s="34"/>
      <c r="I632" s="34" t="b">
        <v>0</v>
      </c>
      <c r="J632" s="23" t="b">
        <v>1</v>
      </c>
      <c r="K632" s="34" t="b">
        <v>1</v>
      </c>
      <c r="L632" s="34"/>
      <c r="M632" s="34"/>
      <c r="N632" s="26" t="str">
        <f>_xlfn.IFNA(VLOOKUP($M632,Buff.CM!$A:$O,13,FALSE),"")</f>
        <v/>
      </c>
      <c r="O632" s="26" t="str">
        <f>_xlfn.IFNA(VLOOKUP($M632,Buff.CM!$A:$O,14,FALSE),"")</f>
        <v/>
      </c>
      <c r="P632" s="26" t="str">
        <f>_xlfn.IFNA(VLOOKUP($M632,Buff.CM!$A:$O,15,FALSE),"")</f>
        <v/>
      </c>
      <c r="Q632" s="23" t="b">
        <v>0</v>
      </c>
      <c r="R632" s="34" t="b">
        <v>0</v>
      </c>
    </row>
    <row r="633" spans="1:18">
      <c r="A633" s="34" t="s">
        <v>722</v>
      </c>
      <c r="B633" s="34"/>
      <c r="C633" s="34"/>
      <c r="D633" s="34">
        <v>0</v>
      </c>
      <c r="E633" s="34">
        <v>0</v>
      </c>
      <c r="F633" s="34">
        <v>0</v>
      </c>
      <c r="G633" s="40" t="s">
        <v>6929</v>
      </c>
      <c r="H633" s="34"/>
      <c r="I633" s="34" t="b">
        <v>0</v>
      </c>
      <c r="J633" s="23" t="b">
        <v>1</v>
      </c>
      <c r="K633" s="34" t="b">
        <v>1</v>
      </c>
      <c r="L633" s="34"/>
      <c r="M633" s="34"/>
      <c r="N633" s="26" t="str">
        <f>_xlfn.IFNA(VLOOKUP($M633,Buff.CM!$A:$O,13,FALSE),"")</f>
        <v/>
      </c>
      <c r="O633" s="26" t="str">
        <f>_xlfn.IFNA(VLOOKUP($M633,Buff.CM!$A:$O,14,FALSE),"")</f>
        <v/>
      </c>
      <c r="P633" s="26" t="str">
        <f>_xlfn.IFNA(VLOOKUP($M633,Buff.CM!$A:$O,15,FALSE),"")</f>
        <v/>
      </c>
      <c r="Q633" s="23" t="b">
        <v>0</v>
      </c>
      <c r="R633" s="34" t="b">
        <v>0</v>
      </c>
    </row>
    <row r="634" spans="1:18">
      <c r="A634" s="25" t="s">
        <v>7026</v>
      </c>
      <c r="B634" s="25"/>
      <c r="C634" s="25"/>
      <c r="D634" s="25">
        <v>0</v>
      </c>
      <c r="E634" s="25">
        <v>0</v>
      </c>
      <c r="F634" s="25">
        <v>0</v>
      </c>
      <c r="G634" s="25" t="s">
        <v>7027</v>
      </c>
      <c r="H634" s="25"/>
      <c r="I634" s="25" t="b">
        <v>0</v>
      </c>
      <c r="J634" s="23" t="b">
        <v>1</v>
      </c>
      <c r="K634" s="25" t="b">
        <v>1</v>
      </c>
      <c r="L634" s="25"/>
      <c r="M634" s="25" t="s">
        <v>5634</v>
      </c>
      <c r="N634" s="25" t="str">
        <f>_xlfn.IFNA(VLOOKUP($M634,Buff.CM!$A:$O,13,FALSE),"")</f>
        <v>icon_battle_ferrel_buff_01</v>
      </c>
      <c r="O634" s="25" t="str">
        <f>_xlfn.IFNA(VLOOKUP($M634,Buff.CM!$A:$O,14,FALSE),"")</f>
        <v>info.ferrel.buff.eletrofield</v>
      </c>
      <c r="P634" s="25" t="str">
        <f>_xlfn.IFNA(VLOOKUP($M634,Buff.CM!$A:$O,15,FALSE),"")</f>
        <v>Desc.info.ferrel.buff.eletrofield</v>
      </c>
      <c r="Q634" s="25" t="b">
        <v>0</v>
      </c>
      <c r="R634" s="25" t="b">
        <v>0</v>
      </c>
    </row>
    <row r="635" spans="1:18" ht="49.5">
      <c r="A635" s="26" t="s">
        <v>1930</v>
      </c>
      <c r="B635" s="26"/>
      <c r="C635" s="26"/>
      <c r="D635" s="26">
        <v>0</v>
      </c>
      <c r="E635" s="26">
        <v>0</v>
      </c>
      <c r="F635" s="26">
        <v>0</v>
      </c>
      <c r="G635" s="45" t="s">
        <v>7028</v>
      </c>
      <c r="H635" s="26"/>
      <c r="I635" s="26" t="b">
        <v>0</v>
      </c>
      <c r="J635" s="23" t="b">
        <v>1</v>
      </c>
      <c r="K635" s="26" t="b">
        <v>1</v>
      </c>
      <c r="L635" s="26"/>
      <c r="M635" s="26" t="s">
        <v>5634</v>
      </c>
      <c r="N635" s="25" t="str">
        <f>_xlfn.IFNA(VLOOKUP($M635,Buff.CM!$A:$O,13,FALSE),"")</f>
        <v>icon_battle_ferrel_buff_01</v>
      </c>
      <c r="O635" s="25" t="str">
        <f>_xlfn.IFNA(VLOOKUP($M635,Buff.CM!$A:$O,14,FALSE),"")</f>
        <v>info.ferrel.buff.eletrofield</v>
      </c>
      <c r="P635" s="25" t="str">
        <f>_xlfn.IFNA(VLOOKUP($M635,Buff.CM!$A:$O,15,FALSE),"")</f>
        <v>Desc.info.ferrel.buff.eletrofield</v>
      </c>
      <c r="Q635" s="26" t="b">
        <v>0</v>
      </c>
      <c r="R635" s="26" t="b">
        <v>0</v>
      </c>
    </row>
    <row r="636" spans="1:18" ht="49.5">
      <c r="A636" s="26" t="s">
        <v>1931</v>
      </c>
      <c r="B636" s="26"/>
      <c r="C636" s="26"/>
      <c r="D636" s="26">
        <v>0</v>
      </c>
      <c r="E636" s="26">
        <v>0</v>
      </c>
      <c r="F636" s="26">
        <v>0</v>
      </c>
      <c r="G636" s="45" t="s">
        <v>7029</v>
      </c>
      <c r="H636" s="26"/>
      <c r="I636" s="26" t="b">
        <v>0</v>
      </c>
      <c r="J636" s="23" t="b">
        <v>1</v>
      </c>
      <c r="K636" s="26" t="b">
        <v>1</v>
      </c>
      <c r="L636" s="26"/>
      <c r="M636" s="26" t="s">
        <v>5634</v>
      </c>
      <c r="N636" s="25" t="str">
        <f>_xlfn.IFNA(VLOOKUP($M636,Buff.CM!$A:$O,13,FALSE),"")</f>
        <v>icon_battle_ferrel_buff_01</v>
      </c>
      <c r="O636" s="25" t="str">
        <f>_xlfn.IFNA(VLOOKUP($M636,Buff.CM!$A:$O,14,FALSE),"")</f>
        <v>info.ferrel.buff.eletrofield</v>
      </c>
      <c r="P636" s="25" t="str">
        <f>_xlfn.IFNA(VLOOKUP($M636,Buff.CM!$A:$O,15,FALSE),"")</f>
        <v>Desc.info.ferrel.buff.eletrofield</v>
      </c>
      <c r="Q636" s="26" t="b">
        <v>0</v>
      </c>
      <c r="R636" s="26" t="b">
        <v>0</v>
      </c>
    </row>
    <row r="637" spans="1:18" ht="49.5">
      <c r="A637" s="26" t="s">
        <v>1932</v>
      </c>
      <c r="B637" s="26"/>
      <c r="C637" s="26"/>
      <c r="D637" s="26">
        <v>0</v>
      </c>
      <c r="E637" s="26">
        <v>0</v>
      </c>
      <c r="F637" s="26">
        <v>0</v>
      </c>
      <c r="G637" s="45" t="s">
        <v>7030</v>
      </c>
      <c r="H637" s="26"/>
      <c r="I637" s="26" t="b">
        <v>0</v>
      </c>
      <c r="J637" s="23" t="b">
        <v>1</v>
      </c>
      <c r="K637" s="26" t="b">
        <v>1</v>
      </c>
      <c r="L637" s="26"/>
      <c r="M637" s="26" t="s">
        <v>5634</v>
      </c>
      <c r="N637" s="25" t="str">
        <f>_xlfn.IFNA(VLOOKUP($M637,Buff.CM!$A:$O,13,FALSE),"")</f>
        <v>icon_battle_ferrel_buff_01</v>
      </c>
      <c r="O637" s="25" t="str">
        <f>_xlfn.IFNA(VLOOKUP($M637,Buff.CM!$A:$O,14,FALSE),"")</f>
        <v>info.ferrel.buff.eletrofield</v>
      </c>
      <c r="P637" s="25" t="str">
        <f>_xlfn.IFNA(VLOOKUP($M637,Buff.CM!$A:$O,15,FALSE),"")</f>
        <v>Desc.info.ferrel.buff.eletrofield</v>
      </c>
      <c r="Q637" s="26" t="b">
        <v>0</v>
      </c>
      <c r="R637" s="26" t="b">
        <v>0</v>
      </c>
    </row>
    <row r="638" spans="1:18" ht="49.5">
      <c r="A638" s="34" t="s">
        <v>1933</v>
      </c>
      <c r="B638" s="34"/>
      <c r="C638" s="34"/>
      <c r="D638" s="34">
        <v>0</v>
      </c>
      <c r="E638" s="34">
        <v>0</v>
      </c>
      <c r="F638" s="34">
        <v>0</v>
      </c>
      <c r="G638" s="40" t="s">
        <v>7031</v>
      </c>
      <c r="H638" s="34"/>
      <c r="I638" s="34" t="b">
        <v>0</v>
      </c>
      <c r="J638" s="23" t="b">
        <v>1</v>
      </c>
      <c r="K638" s="34" t="b">
        <v>1</v>
      </c>
      <c r="L638" s="34"/>
      <c r="M638" s="34" t="s">
        <v>5634</v>
      </c>
      <c r="N638" s="26" t="str">
        <f>_xlfn.IFNA(VLOOKUP($M638,Buff.CM!$A:$O,13,FALSE),"")</f>
        <v>icon_battle_ferrel_buff_01</v>
      </c>
      <c r="O638" s="26" t="str">
        <f>_xlfn.IFNA(VLOOKUP($M638,Buff.CM!$A:$O,14,FALSE),"")</f>
        <v>info.ferrel.buff.eletrofield</v>
      </c>
      <c r="P638" s="26" t="str">
        <f>_xlfn.IFNA(VLOOKUP($M638,Buff.CM!$A:$O,15,FALSE),"")</f>
        <v>Desc.info.ferrel.buff.eletrofield</v>
      </c>
      <c r="Q638" s="23" t="b">
        <v>0</v>
      </c>
      <c r="R638" s="34" t="b">
        <v>0</v>
      </c>
    </row>
    <row r="639" spans="1:18" ht="49.5">
      <c r="A639" s="34" t="s">
        <v>1934</v>
      </c>
      <c r="B639" s="34"/>
      <c r="C639" s="34"/>
      <c r="D639" s="34">
        <v>0</v>
      </c>
      <c r="E639" s="34">
        <v>0</v>
      </c>
      <c r="F639" s="34">
        <v>0</v>
      </c>
      <c r="G639" s="40" t="s">
        <v>7032</v>
      </c>
      <c r="H639" s="34"/>
      <c r="I639" s="34" t="b">
        <v>0</v>
      </c>
      <c r="J639" s="23" t="b">
        <v>1</v>
      </c>
      <c r="K639" s="34" t="b">
        <v>1</v>
      </c>
      <c r="L639" s="34"/>
      <c r="M639" s="34" t="s">
        <v>5634</v>
      </c>
      <c r="N639" s="26" t="str">
        <f>_xlfn.IFNA(VLOOKUP($M639,Buff.CM!$A:$O,13,FALSE),"")</f>
        <v>icon_battle_ferrel_buff_01</v>
      </c>
      <c r="O639" s="26" t="str">
        <f>_xlfn.IFNA(VLOOKUP($M639,Buff.CM!$A:$O,14,FALSE),"")</f>
        <v>info.ferrel.buff.eletrofield</v>
      </c>
      <c r="P639" s="26" t="str">
        <f>_xlfn.IFNA(VLOOKUP($M639,Buff.CM!$A:$O,15,FALSE),"")</f>
        <v>Desc.info.ferrel.buff.eletrofield</v>
      </c>
      <c r="Q639" s="23" t="b">
        <v>0</v>
      </c>
      <c r="R639" s="34" t="b">
        <v>0</v>
      </c>
    </row>
    <row r="640" spans="1:18">
      <c r="A640" s="34" t="s">
        <v>2978</v>
      </c>
      <c r="B640" s="34"/>
      <c r="C640" s="34"/>
      <c r="D640" s="34">
        <v>0</v>
      </c>
      <c r="E640" s="34">
        <v>0</v>
      </c>
      <c r="F640" s="34">
        <v>0</v>
      </c>
      <c r="G640" s="40" t="s">
        <v>2984</v>
      </c>
      <c r="H640" s="34"/>
      <c r="I640" s="34" t="b">
        <v>0</v>
      </c>
      <c r="J640" s="23" t="b">
        <v>1</v>
      </c>
      <c r="K640" s="34" t="b">
        <v>1</v>
      </c>
      <c r="L640" s="34"/>
      <c r="M640" s="34"/>
      <c r="N640" s="26" t="str">
        <f>_xlfn.IFNA(VLOOKUP($M640,Buff.CM!$A:$O,13,FALSE),"")</f>
        <v/>
      </c>
      <c r="O640" s="26" t="str">
        <f>_xlfn.IFNA(VLOOKUP($M640,Buff.CM!$A:$O,14,FALSE),"")</f>
        <v/>
      </c>
      <c r="P640" s="26" t="str">
        <f>_xlfn.IFNA(VLOOKUP($M640,Buff.CM!$A:$O,15,FALSE),"")</f>
        <v/>
      </c>
      <c r="Q640" s="23" t="b">
        <v>0</v>
      </c>
      <c r="R640" s="34" t="b">
        <v>0</v>
      </c>
    </row>
    <row r="641" spans="1:18">
      <c r="A641" s="25" t="s">
        <v>2979</v>
      </c>
      <c r="B641" s="25"/>
      <c r="C641" s="25"/>
      <c r="D641" s="25">
        <v>0</v>
      </c>
      <c r="E641" s="25">
        <v>0</v>
      </c>
      <c r="F641" s="25">
        <v>0</v>
      </c>
      <c r="G641" s="43" t="s">
        <v>2985</v>
      </c>
      <c r="H641" s="25"/>
      <c r="I641" s="25" t="b">
        <v>0</v>
      </c>
      <c r="J641" s="23" t="b">
        <v>1</v>
      </c>
      <c r="K641" s="25" t="b">
        <v>1</v>
      </c>
      <c r="L641" s="25"/>
      <c r="M641" s="25"/>
      <c r="N641" s="25" t="str">
        <f>_xlfn.IFNA(VLOOKUP($M641,Buff.CM!$A:$O,13,FALSE),"")</f>
        <v/>
      </c>
      <c r="O641" s="25" t="str">
        <f>_xlfn.IFNA(VLOOKUP($M641,Buff.CM!$A:$O,14,FALSE),"")</f>
        <v/>
      </c>
      <c r="P641" s="25" t="str">
        <f>_xlfn.IFNA(VLOOKUP($M641,Buff.CM!$A:$O,15,FALSE),"")</f>
        <v/>
      </c>
      <c r="Q641" s="25" t="b">
        <v>0</v>
      </c>
      <c r="R641" s="25" t="b">
        <v>0</v>
      </c>
    </row>
    <row r="642" spans="1:18">
      <c r="A642" s="25" t="s">
        <v>2980</v>
      </c>
      <c r="B642" s="25"/>
      <c r="C642" s="25"/>
      <c r="D642" s="25">
        <v>0</v>
      </c>
      <c r="E642" s="25">
        <v>0</v>
      </c>
      <c r="F642" s="25">
        <v>0</v>
      </c>
      <c r="G642" s="43" t="s">
        <v>2986</v>
      </c>
      <c r="H642" s="25"/>
      <c r="I642" s="25" t="b">
        <v>0</v>
      </c>
      <c r="J642" s="23" t="b">
        <v>1</v>
      </c>
      <c r="K642" s="25" t="b">
        <v>1</v>
      </c>
      <c r="L642" s="25"/>
      <c r="M642" s="25"/>
      <c r="N642" s="25" t="str">
        <f>_xlfn.IFNA(VLOOKUP($M642,Buff.CM!$A:$O,13,FALSE),"")</f>
        <v/>
      </c>
      <c r="O642" s="25" t="str">
        <f>_xlfn.IFNA(VLOOKUP($M642,Buff.CM!$A:$O,14,FALSE),"")</f>
        <v/>
      </c>
      <c r="P642" s="25" t="str">
        <f>_xlfn.IFNA(VLOOKUP($M642,Buff.CM!$A:$O,15,FALSE),"")</f>
        <v/>
      </c>
      <c r="Q642" s="25" t="b">
        <v>0</v>
      </c>
      <c r="R642" s="25" t="b">
        <v>0</v>
      </c>
    </row>
    <row r="643" spans="1:18">
      <c r="A643" s="25" t="s">
        <v>2981</v>
      </c>
      <c r="B643" s="25"/>
      <c r="C643" s="25"/>
      <c r="D643" s="25">
        <v>0</v>
      </c>
      <c r="E643" s="25">
        <v>0</v>
      </c>
      <c r="F643" s="25">
        <v>0</v>
      </c>
      <c r="G643" s="43" t="s">
        <v>2987</v>
      </c>
      <c r="H643" s="25"/>
      <c r="I643" s="25" t="b">
        <v>0</v>
      </c>
      <c r="J643" s="23" t="b">
        <v>1</v>
      </c>
      <c r="K643" s="25" t="b">
        <v>1</v>
      </c>
      <c r="L643" s="25"/>
      <c r="M643" s="25"/>
      <c r="N643" s="25" t="str">
        <f>_xlfn.IFNA(VLOOKUP($M643,Buff.CM!$A:$O,13,FALSE),"")</f>
        <v/>
      </c>
      <c r="O643" s="25" t="str">
        <f>_xlfn.IFNA(VLOOKUP($M643,Buff.CM!$A:$O,14,FALSE),"")</f>
        <v/>
      </c>
      <c r="P643" s="25" t="str">
        <f>_xlfn.IFNA(VLOOKUP($M643,Buff.CM!$A:$O,15,FALSE),"")</f>
        <v/>
      </c>
      <c r="Q643" s="25" t="b">
        <v>0</v>
      </c>
      <c r="R643" s="25" t="b">
        <v>0</v>
      </c>
    </row>
    <row r="644" spans="1:18">
      <c r="A644" s="34" t="s">
        <v>2982</v>
      </c>
      <c r="B644" s="34"/>
      <c r="C644" s="34"/>
      <c r="D644" s="34">
        <v>0</v>
      </c>
      <c r="E644" s="34">
        <v>0</v>
      </c>
      <c r="F644" s="34">
        <v>0</v>
      </c>
      <c r="G644" s="40" t="s">
        <v>2988</v>
      </c>
      <c r="H644" s="34"/>
      <c r="I644" s="34" t="b">
        <v>0</v>
      </c>
      <c r="J644" s="23" t="b">
        <v>1</v>
      </c>
      <c r="K644" s="34" t="b">
        <v>1</v>
      </c>
      <c r="L644" s="34"/>
      <c r="M644" s="34"/>
      <c r="N644" s="26" t="str">
        <f>_xlfn.IFNA(VLOOKUP($M644,Buff.CM!$A:$O,13,FALSE),"")</f>
        <v/>
      </c>
      <c r="O644" s="26" t="str">
        <f>_xlfn.IFNA(VLOOKUP($M644,Buff.CM!$A:$O,14,FALSE),"")</f>
        <v/>
      </c>
      <c r="P644" s="26" t="str">
        <f>_xlfn.IFNA(VLOOKUP($M644,Buff.CM!$A:$O,15,FALSE),"")</f>
        <v/>
      </c>
      <c r="Q644" s="23" t="b">
        <v>0</v>
      </c>
      <c r="R644" s="34" t="b">
        <v>0</v>
      </c>
    </row>
    <row r="645" spans="1:18">
      <c r="A645" s="34" t="s">
        <v>2983</v>
      </c>
      <c r="B645" s="34"/>
      <c r="C645" s="34"/>
      <c r="D645" s="34">
        <v>0</v>
      </c>
      <c r="E645" s="34">
        <v>0</v>
      </c>
      <c r="F645" s="34">
        <v>0</v>
      </c>
      <c r="G645" s="40" t="s">
        <v>2989</v>
      </c>
      <c r="H645" s="34"/>
      <c r="I645" s="34" t="b">
        <v>0</v>
      </c>
      <c r="J645" s="23" t="b">
        <v>1</v>
      </c>
      <c r="K645" s="34" t="b">
        <v>1</v>
      </c>
      <c r="L645" s="34"/>
      <c r="M645" s="34"/>
      <c r="N645" s="26" t="str">
        <f>_xlfn.IFNA(VLOOKUP($M645,Buff.CM!$A:$O,13,FALSE),"")</f>
        <v/>
      </c>
      <c r="O645" s="26" t="str">
        <f>_xlfn.IFNA(VLOOKUP($M645,Buff.CM!$A:$O,14,FALSE),"")</f>
        <v/>
      </c>
      <c r="P645" s="26" t="str">
        <f>_xlfn.IFNA(VLOOKUP($M645,Buff.CM!$A:$O,15,FALSE),"")</f>
        <v/>
      </c>
      <c r="Q645" s="23" t="b">
        <v>0</v>
      </c>
      <c r="R645" s="34" t="b">
        <v>0</v>
      </c>
    </row>
    <row r="646" spans="1:18">
      <c r="A646" s="34" t="s">
        <v>2961</v>
      </c>
      <c r="B646" s="34"/>
      <c r="C646" s="34"/>
      <c r="D646" s="34">
        <v>0</v>
      </c>
      <c r="E646" s="34">
        <v>0</v>
      </c>
      <c r="F646" s="34">
        <v>0</v>
      </c>
      <c r="G646" s="40" t="s">
        <v>2967</v>
      </c>
      <c r="H646" s="34"/>
      <c r="I646" s="34" t="b">
        <v>0</v>
      </c>
      <c r="J646" s="23" t="b">
        <v>1</v>
      </c>
      <c r="K646" s="34" t="b">
        <v>1</v>
      </c>
      <c r="L646" s="34"/>
      <c r="M646" s="34"/>
      <c r="N646" s="26" t="str">
        <f>_xlfn.IFNA(VLOOKUP($M646,Buff.CM!$A:$O,13,FALSE),"")</f>
        <v/>
      </c>
      <c r="O646" s="26" t="str">
        <f>_xlfn.IFNA(VLOOKUP($M646,Buff.CM!$A:$O,14,FALSE),"")</f>
        <v/>
      </c>
      <c r="P646" s="26" t="str">
        <f>_xlfn.IFNA(VLOOKUP($M646,Buff.CM!$A:$O,15,FALSE),"")</f>
        <v/>
      </c>
      <c r="Q646" s="23" t="b">
        <v>0</v>
      </c>
      <c r="R646" s="34" t="b">
        <v>0</v>
      </c>
    </row>
    <row r="647" spans="1:18">
      <c r="A647" s="25" t="s">
        <v>2962</v>
      </c>
      <c r="B647" s="25"/>
      <c r="C647" s="25"/>
      <c r="D647" s="25">
        <v>0</v>
      </c>
      <c r="E647" s="25">
        <v>0</v>
      </c>
      <c r="F647" s="25">
        <v>0</v>
      </c>
      <c r="G647" s="43" t="s">
        <v>2968</v>
      </c>
      <c r="H647" s="25"/>
      <c r="I647" s="25" t="b">
        <v>0</v>
      </c>
      <c r="J647" s="23" t="b">
        <v>1</v>
      </c>
      <c r="K647" s="25" t="b">
        <v>1</v>
      </c>
      <c r="L647" s="25"/>
      <c r="M647" s="25"/>
      <c r="N647" s="25" t="str">
        <f>_xlfn.IFNA(VLOOKUP($M647,Buff.CM!$A:$O,13,FALSE),"")</f>
        <v/>
      </c>
      <c r="O647" s="25" t="str">
        <f>_xlfn.IFNA(VLOOKUP($M647,Buff.CM!$A:$O,14,FALSE),"")</f>
        <v/>
      </c>
      <c r="P647" s="25" t="str">
        <f>_xlfn.IFNA(VLOOKUP($M647,Buff.CM!$A:$O,15,FALSE),"")</f>
        <v/>
      </c>
      <c r="Q647" s="25" t="b">
        <v>0</v>
      </c>
      <c r="R647" s="25" t="b">
        <v>0</v>
      </c>
    </row>
    <row r="648" spans="1:18">
      <c r="A648" s="25" t="s">
        <v>2963</v>
      </c>
      <c r="B648" s="25"/>
      <c r="C648" s="25"/>
      <c r="D648" s="25">
        <v>0</v>
      </c>
      <c r="E648" s="25">
        <v>0</v>
      </c>
      <c r="F648" s="25">
        <v>0</v>
      </c>
      <c r="G648" s="43" t="s">
        <v>2969</v>
      </c>
      <c r="H648" s="25"/>
      <c r="I648" s="25" t="b">
        <v>0</v>
      </c>
      <c r="J648" s="23" t="b">
        <v>1</v>
      </c>
      <c r="K648" s="25" t="b">
        <v>1</v>
      </c>
      <c r="L648" s="25"/>
      <c r="M648" s="25"/>
      <c r="N648" s="25" t="str">
        <f>_xlfn.IFNA(VLOOKUP($M648,Buff.CM!$A:$O,13,FALSE),"")</f>
        <v/>
      </c>
      <c r="O648" s="25" t="str">
        <f>_xlfn.IFNA(VLOOKUP($M648,Buff.CM!$A:$O,14,FALSE),"")</f>
        <v/>
      </c>
      <c r="P648" s="25" t="str">
        <f>_xlfn.IFNA(VLOOKUP($M648,Buff.CM!$A:$O,15,FALSE),"")</f>
        <v/>
      </c>
      <c r="Q648" s="25" t="b">
        <v>0</v>
      </c>
      <c r="R648" s="25" t="b">
        <v>0</v>
      </c>
    </row>
    <row r="649" spans="1:18">
      <c r="A649" s="25" t="s">
        <v>2964</v>
      </c>
      <c r="B649" s="25"/>
      <c r="C649" s="25"/>
      <c r="D649" s="25">
        <v>0</v>
      </c>
      <c r="E649" s="25">
        <v>0</v>
      </c>
      <c r="F649" s="25">
        <v>0</v>
      </c>
      <c r="G649" s="43" t="s">
        <v>2970</v>
      </c>
      <c r="H649" s="25"/>
      <c r="I649" s="25" t="b">
        <v>0</v>
      </c>
      <c r="J649" s="23" t="b">
        <v>1</v>
      </c>
      <c r="K649" s="25" t="b">
        <v>1</v>
      </c>
      <c r="L649" s="25"/>
      <c r="M649" s="25"/>
      <c r="N649" s="25" t="str">
        <f>_xlfn.IFNA(VLOOKUP($M649,Buff.CM!$A:$O,13,FALSE),"")</f>
        <v/>
      </c>
      <c r="O649" s="25" t="str">
        <f>_xlfn.IFNA(VLOOKUP($M649,Buff.CM!$A:$O,14,FALSE),"")</f>
        <v/>
      </c>
      <c r="P649" s="25" t="str">
        <f>_xlfn.IFNA(VLOOKUP($M649,Buff.CM!$A:$O,15,FALSE),"")</f>
        <v/>
      </c>
      <c r="Q649" s="25" t="b">
        <v>0</v>
      </c>
      <c r="R649" s="25" t="b">
        <v>0</v>
      </c>
    </row>
    <row r="650" spans="1:18">
      <c r="A650" s="34" t="s">
        <v>2965</v>
      </c>
      <c r="B650" s="34"/>
      <c r="C650" s="34"/>
      <c r="D650" s="34">
        <v>0</v>
      </c>
      <c r="E650" s="34">
        <v>0</v>
      </c>
      <c r="F650" s="34">
        <v>0</v>
      </c>
      <c r="G650" s="40" t="s">
        <v>2971</v>
      </c>
      <c r="H650" s="34"/>
      <c r="I650" s="34" t="b">
        <v>0</v>
      </c>
      <c r="J650" s="23" t="b">
        <v>1</v>
      </c>
      <c r="K650" s="34" t="b">
        <v>1</v>
      </c>
      <c r="L650" s="34"/>
      <c r="M650" s="34"/>
      <c r="N650" s="26" t="str">
        <f>_xlfn.IFNA(VLOOKUP($M650,Buff.CM!$A:$O,13,FALSE),"")</f>
        <v/>
      </c>
      <c r="O650" s="26" t="str">
        <f>_xlfn.IFNA(VLOOKUP($M650,Buff.CM!$A:$O,14,FALSE),"")</f>
        <v/>
      </c>
      <c r="P650" s="26" t="str">
        <f>_xlfn.IFNA(VLOOKUP($M650,Buff.CM!$A:$O,15,FALSE),"")</f>
        <v/>
      </c>
      <c r="Q650" s="23" t="b">
        <v>0</v>
      </c>
      <c r="R650" s="34" t="b">
        <v>0</v>
      </c>
    </row>
    <row r="651" spans="1:18">
      <c r="A651" s="34" t="s">
        <v>2966</v>
      </c>
      <c r="B651" s="34"/>
      <c r="C651" s="34"/>
      <c r="D651" s="34">
        <v>0</v>
      </c>
      <c r="E651" s="34">
        <v>0</v>
      </c>
      <c r="F651" s="34">
        <v>0</v>
      </c>
      <c r="G651" s="40" t="s">
        <v>2972</v>
      </c>
      <c r="H651" s="34"/>
      <c r="I651" s="34" t="b">
        <v>0</v>
      </c>
      <c r="J651" s="23" t="b">
        <v>1</v>
      </c>
      <c r="K651" s="34" t="b">
        <v>1</v>
      </c>
      <c r="L651" s="34"/>
      <c r="M651" s="34"/>
      <c r="N651" s="26" t="str">
        <f>_xlfn.IFNA(VLOOKUP($M651,Buff.CM!$A:$O,13,FALSE),"")</f>
        <v/>
      </c>
      <c r="O651" s="26" t="str">
        <f>_xlfn.IFNA(VLOOKUP($M651,Buff.CM!$A:$O,14,FALSE),"")</f>
        <v/>
      </c>
      <c r="P651" s="26" t="str">
        <f>_xlfn.IFNA(VLOOKUP($M651,Buff.CM!$A:$O,15,FALSE),"")</f>
        <v/>
      </c>
      <c r="Q651" s="23" t="b">
        <v>0</v>
      </c>
      <c r="R651" s="34" t="b">
        <v>0</v>
      </c>
    </row>
    <row r="652" spans="1:18">
      <c r="A652" s="34" t="s">
        <v>7033</v>
      </c>
      <c r="B652" s="34"/>
      <c r="C652" s="34"/>
      <c r="D652" s="34">
        <v>0</v>
      </c>
      <c r="E652" s="34">
        <v>0</v>
      </c>
      <c r="F652" s="34">
        <v>0</v>
      </c>
      <c r="G652" s="40" t="s">
        <v>7034</v>
      </c>
      <c r="H652" s="34"/>
      <c r="I652" s="34" t="b">
        <v>0</v>
      </c>
      <c r="J652" s="23" t="b">
        <v>1</v>
      </c>
      <c r="K652" s="34" t="b">
        <v>1</v>
      </c>
      <c r="L652" s="34"/>
      <c r="M652" s="34"/>
      <c r="N652" s="26" t="str">
        <f>_xlfn.IFNA(VLOOKUP($M652,Buff.CM!$A:$O,13,FALSE),"")</f>
        <v/>
      </c>
      <c r="O652" s="26" t="str">
        <f>_xlfn.IFNA(VLOOKUP($M652,Buff.CM!$A:$O,14,FALSE),"")</f>
        <v/>
      </c>
      <c r="P652" s="26" t="str">
        <f>_xlfn.IFNA(VLOOKUP($M652,Buff.CM!$A:$O,15,FALSE),"")</f>
        <v/>
      </c>
      <c r="Q652" s="23" t="b">
        <v>0</v>
      </c>
      <c r="R652" s="34" t="b">
        <v>0</v>
      </c>
    </row>
    <row r="653" spans="1:18">
      <c r="A653" s="25" t="s">
        <v>3007</v>
      </c>
      <c r="B653" s="25"/>
      <c r="C653" s="25"/>
      <c r="D653" s="25">
        <v>0</v>
      </c>
      <c r="E653" s="25">
        <v>0</v>
      </c>
      <c r="F653" s="25">
        <v>0</v>
      </c>
      <c r="G653" s="43" t="s">
        <v>3012</v>
      </c>
      <c r="H653" s="25"/>
      <c r="I653" s="25" t="b">
        <v>0</v>
      </c>
      <c r="J653" s="23" t="b">
        <v>1</v>
      </c>
      <c r="K653" s="25" t="b">
        <v>1</v>
      </c>
      <c r="L653" s="25"/>
      <c r="M653" s="25"/>
      <c r="N653" s="25" t="str">
        <f>_xlfn.IFNA(VLOOKUP($M653,Buff.CM!$A:$O,13,FALSE),"")</f>
        <v/>
      </c>
      <c r="O653" s="25" t="str">
        <f>_xlfn.IFNA(VLOOKUP($M653,Buff.CM!$A:$O,14,FALSE),"")</f>
        <v/>
      </c>
      <c r="P653" s="25" t="str">
        <f>_xlfn.IFNA(VLOOKUP($M653,Buff.CM!$A:$O,15,FALSE),"")</f>
        <v/>
      </c>
      <c r="Q653" s="25" t="b">
        <v>0</v>
      </c>
      <c r="R653" s="25" t="b">
        <v>0</v>
      </c>
    </row>
    <row r="654" spans="1:18">
      <c r="A654" s="25" t="s">
        <v>3008</v>
      </c>
      <c r="B654" s="25"/>
      <c r="C654" s="25"/>
      <c r="D654" s="25">
        <v>0</v>
      </c>
      <c r="E654" s="25">
        <v>0</v>
      </c>
      <c r="F654" s="25">
        <v>0</v>
      </c>
      <c r="G654" s="43" t="s">
        <v>3013</v>
      </c>
      <c r="H654" s="25"/>
      <c r="I654" s="25" t="b">
        <v>0</v>
      </c>
      <c r="J654" s="23" t="b">
        <v>1</v>
      </c>
      <c r="K654" s="25" t="b">
        <v>1</v>
      </c>
      <c r="L654" s="25"/>
      <c r="M654" s="25"/>
      <c r="N654" s="25" t="str">
        <f>_xlfn.IFNA(VLOOKUP($M654,Buff.CM!$A:$O,13,FALSE),"")</f>
        <v/>
      </c>
      <c r="O654" s="25" t="str">
        <f>_xlfn.IFNA(VLOOKUP($M654,Buff.CM!$A:$O,14,FALSE),"")</f>
        <v/>
      </c>
      <c r="P654" s="25" t="str">
        <f>_xlfn.IFNA(VLOOKUP($M654,Buff.CM!$A:$O,15,FALSE),"")</f>
        <v/>
      </c>
      <c r="Q654" s="25" t="b">
        <v>0</v>
      </c>
      <c r="R654" s="25" t="b">
        <v>0</v>
      </c>
    </row>
    <row r="655" spans="1:18">
      <c r="A655" s="25" t="s">
        <v>3009</v>
      </c>
      <c r="B655" s="25"/>
      <c r="C655" s="25"/>
      <c r="D655" s="25">
        <v>0</v>
      </c>
      <c r="E655" s="25">
        <v>0</v>
      </c>
      <c r="F655" s="25">
        <v>0</v>
      </c>
      <c r="G655" s="43" t="s">
        <v>3014</v>
      </c>
      <c r="H655" s="25"/>
      <c r="I655" s="25" t="b">
        <v>0</v>
      </c>
      <c r="J655" s="23" t="b">
        <v>1</v>
      </c>
      <c r="K655" s="25" t="b">
        <v>1</v>
      </c>
      <c r="L655" s="25"/>
      <c r="M655" s="25"/>
      <c r="N655" s="25" t="str">
        <f>_xlfn.IFNA(VLOOKUP($M655,Buff.CM!$A:$O,13,FALSE),"")</f>
        <v/>
      </c>
      <c r="O655" s="25" t="str">
        <f>_xlfn.IFNA(VLOOKUP($M655,Buff.CM!$A:$O,14,FALSE),"")</f>
        <v/>
      </c>
      <c r="P655" s="25" t="str">
        <f>_xlfn.IFNA(VLOOKUP($M655,Buff.CM!$A:$O,15,FALSE),"")</f>
        <v/>
      </c>
      <c r="Q655" s="25" t="b">
        <v>0</v>
      </c>
      <c r="R655" s="25" t="b">
        <v>0</v>
      </c>
    </row>
    <row r="656" spans="1:18">
      <c r="A656" s="34" t="s">
        <v>3010</v>
      </c>
      <c r="B656" s="34"/>
      <c r="C656" s="34"/>
      <c r="D656" s="34">
        <v>0</v>
      </c>
      <c r="E656" s="34">
        <v>0</v>
      </c>
      <c r="F656" s="34">
        <v>0</v>
      </c>
      <c r="G656" s="40" t="s">
        <v>3015</v>
      </c>
      <c r="H656" s="34"/>
      <c r="I656" s="34" t="b">
        <v>0</v>
      </c>
      <c r="J656" s="23" t="b">
        <v>1</v>
      </c>
      <c r="K656" s="34" t="b">
        <v>1</v>
      </c>
      <c r="L656" s="34"/>
      <c r="M656" s="34"/>
      <c r="N656" s="26" t="str">
        <f>_xlfn.IFNA(VLOOKUP($M656,Buff.CM!$A:$O,13,FALSE),"")</f>
        <v/>
      </c>
      <c r="O656" s="26" t="str">
        <f>_xlfn.IFNA(VLOOKUP($M656,Buff.CM!$A:$O,14,FALSE),"")</f>
        <v/>
      </c>
      <c r="P656" s="26" t="str">
        <f>_xlfn.IFNA(VLOOKUP($M656,Buff.CM!$A:$O,15,FALSE),"")</f>
        <v/>
      </c>
      <c r="Q656" s="23" t="b">
        <v>0</v>
      </c>
      <c r="R656" s="34" t="b">
        <v>0</v>
      </c>
    </row>
    <row r="657" spans="1:18">
      <c r="A657" s="34" t="s">
        <v>3011</v>
      </c>
      <c r="B657" s="34"/>
      <c r="C657" s="34"/>
      <c r="D657" s="34">
        <v>0</v>
      </c>
      <c r="E657" s="34">
        <v>0</v>
      </c>
      <c r="F657" s="34">
        <v>0</v>
      </c>
      <c r="G657" s="40" t="s">
        <v>3016</v>
      </c>
      <c r="H657" s="34"/>
      <c r="I657" s="34" t="b">
        <v>0</v>
      </c>
      <c r="J657" s="23" t="b">
        <v>1</v>
      </c>
      <c r="K657" s="34" t="b">
        <v>1</v>
      </c>
      <c r="L657" s="34"/>
      <c r="M657" s="34"/>
      <c r="N657" s="26" t="str">
        <f>_xlfn.IFNA(VLOOKUP($M657,Buff.CM!$A:$O,13,FALSE),"")</f>
        <v/>
      </c>
      <c r="O657" s="26" t="str">
        <f>_xlfn.IFNA(VLOOKUP($M657,Buff.CM!$A:$O,14,FALSE),"")</f>
        <v/>
      </c>
      <c r="P657" s="26" t="str">
        <f>_xlfn.IFNA(VLOOKUP($M657,Buff.CM!$A:$O,15,FALSE),"")</f>
        <v/>
      </c>
      <c r="Q657" s="23" t="b">
        <v>0</v>
      </c>
      <c r="R657" s="34" t="b">
        <v>0</v>
      </c>
    </row>
    <row r="658" spans="1:18">
      <c r="A658" s="34" t="s">
        <v>4226</v>
      </c>
      <c r="B658" s="34"/>
      <c r="C658" s="34"/>
      <c r="D658" s="34">
        <v>7000</v>
      </c>
      <c r="E658" s="34">
        <v>0</v>
      </c>
      <c r="F658" s="34">
        <v>0</v>
      </c>
      <c r="G658" s="40" t="s">
        <v>3258</v>
      </c>
      <c r="H658" s="34"/>
      <c r="I658" s="34" t="b">
        <v>0</v>
      </c>
      <c r="J658" s="23" t="b">
        <v>0</v>
      </c>
      <c r="K658" s="34" t="b">
        <v>1</v>
      </c>
      <c r="L658" s="34" t="s">
        <v>66</v>
      </c>
      <c r="M658" s="34" t="s">
        <v>3258</v>
      </c>
      <c r="N658" s="26" t="str">
        <f>_xlfn.IFNA(VLOOKUP($M658,Buff.CM!$A:$O,13,FALSE),"")</f>
        <v>icon_battle_cooldown</v>
      </c>
      <c r="O658" s="26" t="str">
        <f>_xlfn.IFNA(VLOOKUP($M658,Buff.CM!$A:$O,14,FALSE),"")</f>
        <v>Buff.Name.AccelerationSkillTime.Up.02</v>
      </c>
      <c r="P658" s="26" t="str">
        <f>_xlfn.IFNA(VLOOKUP($M658,Buff.CM!$A:$O,15,FALSE),"")</f>
        <v>Buff.Desc.AccelerationSkillTime.Up.02</v>
      </c>
      <c r="Q658" s="23" t="b">
        <v>0</v>
      </c>
      <c r="R658" s="34" t="b">
        <v>0</v>
      </c>
    </row>
    <row r="659" spans="1:18">
      <c r="A659" s="23" t="s">
        <v>4220</v>
      </c>
      <c r="B659" s="23"/>
      <c r="C659" s="23"/>
      <c r="D659" s="23">
        <v>8000</v>
      </c>
      <c r="E659" s="23">
        <v>0</v>
      </c>
      <c r="F659" s="23">
        <v>0</v>
      </c>
      <c r="G659" s="23" t="s">
        <v>3258</v>
      </c>
      <c r="H659" s="23"/>
      <c r="I659" s="23" t="b">
        <v>0</v>
      </c>
      <c r="J659" s="23" t="b">
        <v>0</v>
      </c>
      <c r="K659" s="25" t="b">
        <v>1</v>
      </c>
      <c r="L659" s="26" t="s">
        <v>66</v>
      </c>
      <c r="M659" s="23" t="s">
        <v>3258</v>
      </c>
      <c r="N659" s="23" t="str">
        <f>_xlfn.IFNA(VLOOKUP($M659,Buff.CM!$A:$O,13,FALSE),"")</f>
        <v>icon_battle_cooldown</v>
      </c>
      <c r="O659" s="23" t="str">
        <f>_xlfn.IFNA(VLOOKUP($M659,Buff.CM!$A:$O,14,FALSE),"")</f>
        <v>Buff.Name.AccelerationSkillTime.Up.02</v>
      </c>
      <c r="P659" s="23" t="str">
        <f>_xlfn.IFNA(VLOOKUP($M659,Buff.CM!$A:$O,15,FALSE),"")</f>
        <v>Buff.Desc.AccelerationSkillTime.Up.02</v>
      </c>
      <c r="Q659" s="23" t="b">
        <v>0</v>
      </c>
      <c r="R659" s="23" t="b">
        <v>0</v>
      </c>
    </row>
    <row r="660" spans="1:18">
      <c r="A660" s="23" t="s">
        <v>4221</v>
      </c>
      <c r="B660" s="23"/>
      <c r="C660" s="23"/>
      <c r="D660" s="23">
        <v>9000</v>
      </c>
      <c r="E660" s="23">
        <v>0</v>
      </c>
      <c r="F660" s="23">
        <v>0</v>
      </c>
      <c r="G660" s="23" t="s">
        <v>3258</v>
      </c>
      <c r="H660" s="23"/>
      <c r="I660" s="23" t="b">
        <v>0</v>
      </c>
      <c r="J660" s="23" t="b">
        <v>0</v>
      </c>
      <c r="K660" s="25" t="b">
        <v>1</v>
      </c>
      <c r="L660" s="26" t="s">
        <v>66</v>
      </c>
      <c r="M660" s="23" t="s">
        <v>3258</v>
      </c>
      <c r="N660" s="23" t="str">
        <f>_xlfn.IFNA(VLOOKUP($M660,Buff.CM!$A:$O,13,FALSE),"")</f>
        <v>icon_battle_cooldown</v>
      </c>
      <c r="O660" s="23" t="str">
        <f>_xlfn.IFNA(VLOOKUP($M660,Buff.CM!$A:$O,14,FALSE),"")</f>
        <v>Buff.Name.AccelerationSkillTime.Up.02</v>
      </c>
      <c r="P660" s="23" t="str">
        <f>_xlfn.IFNA(VLOOKUP($M660,Buff.CM!$A:$O,15,FALSE),"")</f>
        <v>Buff.Desc.AccelerationSkillTime.Up.02</v>
      </c>
      <c r="Q660" s="23" t="b">
        <v>0</v>
      </c>
      <c r="R660" s="23" t="b">
        <v>0</v>
      </c>
    </row>
    <row r="661" spans="1:18">
      <c r="A661" s="23" t="s">
        <v>4222</v>
      </c>
      <c r="B661" s="23"/>
      <c r="C661" s="23"/>
      <c r="D661" s="23">
        <v>9000</v>
      </c>
      <c r="E661" s="23">
        <v>0</v>
      </c>
      <c r="F661" s="23">
        <v>0</v>
      </c>
      <c r="G661" s="23" t="s">
        <v>3259</v>
      </c>
      <c r="H661" s="23"/>
      <c r="I661" s="23" t="b">
        <v>0</v>
      </c>
      <c r="J661" s="23" t="b">
        <v>0</v>
      </c>
      <c r="K661" s="25" t="b">
        <v>1</v>
      </c>
      <c r="L661" s="26" t="s">
        <v>66</v>
      </c>
      <c r="M661" s="23" t="s">
        <v>3259</v>
      </c>
      <c r="N661" s="23" t="str">
        <f>_xlfn.IFNA(VLOOKUP($M661,Buff.CM!$A:$O,13,FALSE),"")</f>
        <v>icon_battle_cooldown</v>
      </c>
      <c r="O661" s="23" t="str">
        <f>_xlfn.IFNA(VLOOKUP($M661,Buff.CM!$A:$O,14,FALSE),"")</f>
        <v>Buff.Name.AccelerationSkillTime.Up.03</v>
      </c>
      <c r="P661" s="23" t="str">
        <f>_xlfn.IFNA(VLOOKUP($M661,Buff.CM!$A:$O,15,FALSE),"")</f>
        <v>Buff.Desc.AccelerationSkillTime.Up.03</v>
      </c>
      <c r="Q661" s="23" t="b">
        <v>0</v>
      </c>
      <c r="R661" s="23" t="b">
        <v>0</v>
      </c>
    </row>
    <row r="662" spans="1:18">
      <c r="A662" s="23" t="s">
        <v>4223</v>
      </c>
      <c r="B662" s="23"/>
      <c r="C662" s="23"/>
      <c r="D662" s="23">
        <v>10000</v>
      </c>
      <c r="E662" s="23">
        <v>0</v>
      </c>
      <c r="F662" s="23">
        <v>0</v>
      </c>
      <c r="G662" s="23" t="s">
        <v>3259</v>
      </c>
      <c r="H662" s="23"/>
      <c r="I662" s="23" t="b">
        <v>0</v>
      </c>
      <c r="J662" s="23" t="b">
        <v>0</v>
      </c>
      <c r="K662" s="25" t="b">
        <v>1</v>
      </c>
      <c r="L662" s="26" t="s">
        <v>66</v>
      </c>
      <c r="M662" s="23" t="s">
        <v>3259</v>
      </c>
      <c r="N662" s="23" t="str">
        <f>_xlfn.IFNA(VLOOKUP($M662,Buff.CM!$A:$O,13,FALSE),"")</f>
        <v>icon_battle_cooldown</v>
      </c>
      <c r="O662" s="23" t="str">
        <f>_xlfn.IFNA(VLOOKUP($M662,Buff.CM!$A:$O,14,FALSE),"")</f>
        <v>Buff.Name.AccelerationSkillTime.Up.03</v>
      </c>
      <c r="P662" s="23" t="str">
        <f>_xlfn.IFNA(VLOOKUP($M662,Buff.CM!$A:$O,15,FALSE),"")</f>
        <v>Buff.Desc.AccelerationSkillTime.Up.03</v>
      </c>
      <c r="Q662" s="23" t="b">
        <v>0</v>
      </c>
      <c r="R662" s="23" t="b">
        <v>0</v>
      </c>
    </row>
    <row r="663" spans="1:18">
      <c r="A663" s="23" t="s">
        <v>4224</v>
      </c>
      <c r="B663" s="23"/>
      <c r="C663" s="23"/>
      <c r="D663" s="23">
        <v>5000</v>
      </c>
      <c r="E663" s="23">
        <v>0</v>
      </c>
      <c r="F663" s="23">
        <v>0</v>
      </c>
      <c r="G663" s="23" t="s">
        <v>3260</v>
      </c>
      <c r="H663" s="23"/>
      <c r="I663" s="23" t="b">
        <v>0</v>
      </c>
      <c r="J663" s="23" t="b">
        <v>0</v>
      </c>
      <c r="K663" s="25" t="b">
        <v>1</v>
      </c>
      <c r="L663" s="26" t="s">
        <v>66</v>
      </c>
      <c r="M663" s="23" t="s">
        <v>3260</v>
      </c>
      <c r="N663" s="23" t="str">
        <f>_xlfn.IFNA(VLOOKUP($M663,Buff.CM!$A:$O,13,FALSE),"")</f>
        <v>icon_battle_cooldown</v>
      </c>
      <c r="O663" s="23" t="str">
        <f>_xlfn.IFNA(VLOOKUP($M663,Buff.CM!$A:$O,14,FALSE),"")</f>
        <v>Buff.Name.AccelerationSkillTime.Up.04</v>
      </c>
      <c r="P663" s="23" t="str">
        <f>_xlfn.IFNA(VLOOKUP($M663,Buff.CM!$A:$O,15,FALSE),"")</f>
        <v>Buff.Desc.AccelerationSkillTime.Up.04</v>
      </c>
      <c r="Q663" s="23" t="b">
        <v>0</v>
      </c>
      <c r="R663" s="23" t="b">
        <v>0</v>
      </c>
    </row>
    <row r="664" spans="1:18">
      <c r="A664" s="34" t="s">
        <v>4225</v>
      </c>
      <c r="B664" s="34"/>
      <c r="C664" s="34"/>
      <c r="D664" s="34">
        <v>5000</v>
      </c>
      <c r="E664" s="34">
        <v>0</v>
      </c>
      <c r="F664" s="34">
        <v>0</v>
      </c>
      <c r="G664" s="34" t="s">
        <v>3260</v>
      </c>
      <c r="H664" s="34"/>
      <c r="I664" s="34" t="b">
        <v>0</v>
      </c>
      <c r="J664" s="34" t="b">
        <v>0</v>
      </c>
      <c r="K664" s="34" t="b">
        <v>1</v>
      </c>
      <c r="L664" s="34" t="s">
        <v>66</v>
      </c>
      <c r="M664" s="34" t="s">
        <v>3260</v>
      </c>
      <c r="N664" s="34" t="str">
        <f>_xlfn.IFNA(VLOOKUP($M664,Buff.CM!$A:$O,13,FALSE),"")</f>
        <v>icon_battle_cooldown</v>
      </c>
      <c r="O664" s="34" t="str">
        <f>_xlfn.IFNA(VLOOKUP($M664,Buff.CM!$A:$O,14,FALSE),"")</f>
        <v>Buff.Name.AccelerationSkillTime.Up.04</v>
      </c>
      <c r="P664" s="34" t="str">
        <f>_xlfn.IFNA(VLOOKUP($M664,Buff.CM!$A:$O,15,FALSE),"")</f>
        <v>Buff.Desc.AccelerationSkillTime.Up.04</v>
      </c>
      <c r="Q664" s="34" t="b">
        <v>0</v>
      </c>
      <c r="R664" s="34" t="b">
        <v>0</v>
      </c>
    </row>
    <row r="665" spans="1:18">
      <c r="A665" s="34" t="s">
        <v>7035</v>
      </c>
      <c r="B665" s="34"/>
      <c r="C665" s="34"/>
      <c r="D665" s="34">
        <v>6000</v>
      </c>
      <c r="E665" s="34">
        <v>2</v>
      </c>
      <c r="F665" s="34">
        <v>1</v>
      </c>
      <c r="G665" s="34" t="s">
        <v>3785</v>
      </c>
      <c r="H665" s="34"/>
      <c r="I665" s="34" t="b">
        <v>0</v>
      </c>
      <c r="J665" s="34" t="b">
        <v>0</v>
      </c>
      <c r="K665" s="34" t="b">
        <v>0</v>
      </c>
      <c r="L665" s="34" t="s">
        <v>175</v>
      </c>
      <c r="M665" s="34" t="s">
        <v>5574</v>
      </c>
      <c r="N665" s="34" t="str">
        <f>_xlfn.IFNA(VLOOKUP($M665,Buff.CM!$A:$O,13,FALSE),"")</f>
        <v>icon_battle_defense</v>
      </c>
      <c r="O665" s="34" t="str">
        <f>_xlfn.IFNA(VLOOKUP($M665,Buff.CM!$A:$O,14,FALSE),"")</f>
        <v>Buff.Name.Def.Down.00</v>
      </c>
      <c r="P665" s="34" t="str">
        <f>_xlfn.IFNA(VLOOKUP($M665,Buff.CM!$A:$O,15,FALSE),"")</f>
        <v>Buff.Desc.Def.Down.00</v>
      </c>
      <c r="Q665" s="34" t="b">
        <v>0</v>
      </c>
      <c r="R665" s="34" t="b">
        <v>0</v>
      </c>
    </row>
    <row r="666" spans="1:18" s="150" customFormat="1">
      <c r="A666" s="108" t="s">
        <v>3779</v>
      </c>
      <c r="B666" s="24"/>
      <c r="C666" s="24"/>
      <c r="D666" s="24">
        <v>6000</v>
      </c>
      <c r="E666" s="24">
        <v>2</v>
      </c>
      <c r="F666" s="24">
        <v>1</v>
      </c>
      <c r="G666" s="38" t="s">
        <v>3786</v>
      </c>
      <c r="H666" s="24"/>
      <c r="I666" s="24" t="b">
        <v>0</v>
      </c>
      <c r="J666" s="24" t="b">
        <v>0</v>
      </c>
      <c r="K666" s="23" t="b">
        <v>0</v>
      </c>
      <c r="L666" s="24" t="s">
        <v>175</v>
      </c>
      <c r="M666" s="24" t="s">
        <v>5574</v>
      </c>
      <c r="N666" s="24" t="str">
        <f>_xlfn.IFNA(VLOOKUP($M666,Buff.CM!$A:$O,13,FALSE),"")</f>
        <v>icon_battle_defense</v>
      </c>
      <c r="O666" s="24" t="str">
        <f>_xlfn.IFNA(VLOOKUP($M666,Buff.CM!$A:$O,14,FALSE),"")</f>
        <v>Buff.Name.Def.Down.00</v>
      </c>
      <c r="P666" s="24" t="str">
        <f>_xlfn.IFNA(VLOOKUP($M666,Buff.CM!$A:$O,15,FALSE),"")</f>
        <v>Buff.Desc.Def.Down.00</v>
      </c>
      <c r="Q666" s="24" t="b">
        <v>0</v>
      </c>
      <c r="R666" s="24" t="b">
        <v>0</v>
      </c>
    </row>
    <row r="667" spans="1:18" s="150" customFormat="1">
      <c r="A667" s="108" t="s">
        <v>3780</v>
      </c>
      <c r="B667" s="24"/>
      <c r="C667" s="24"/>
      <c r="D667" s="24">
        <v>6000</v>
      </c>
      <c r="E667" s="24">
        <v>2</v>
      </c>
      <c r="F667" s="24">
        <v>1</v>
      </c>
      <c r="G667" s="38" t="s">
        <v>3787</v>
      </c>
      <c r="H667" s="24"/>
      <c r="I667" s="24" t="b">
        <v>0</v>
      </c>
      <c r="J667" s="24" t="b">
        <v>0</v>
      </c>
      <c r="K667" s="23" t="b">
        <v>0</v>
      </c>
      <c r="L667" s="24" t="s">
        <v>175</v>
      </c>
      <c r="M667" s="24" t="s">
        <v>5574</v>
      </c>
      <c r="N667" s="24" t="str">
        <f>_xlfn.IFNA(VLOOKUP($M667,Buff.CM!$A:$O,13,FALSE),"")</f>
        <v>icon_battle_defense</v>
      </c>
      <c r="O667" s="24" t="str">
        <f>_xlfn.IFNA(VLOOKUP($M667,Buff.CM!$A:$O,14,FALSE),"")</f>
        <v>Buff.Name.Def.Down.00</v>
      </c>
      <c r="P667" s="24" t="str">
        <f>_xlfn.IFNA(VLOOKUP($M667,Buff.CM!$A:$O,15,FALSE),"")</f>
        <v>Buff.Desc.Def.Down.00</v>
      </c>
      <c r="Q667" s="24" t="b">
        <v>0</v>
      </c>
      <c r="R667" s="24" t="b">
        <v>0</v>
      </c>
    </row>
    <row r="668" spans="1:18" s="150" customFormat="1">
      <c r="A668" s="108" t="s">
        <v>3781</v>
      </c>
      <c r="B668" s="24"/>
      <c r="C668" s="24"/>
      <c r="D668" s="24">
        <v>6000</v>
      </c>
      <c r="E668" s="24">
        <v>2</v>
      </c>
      <c r="F668" s="24">
        <v>1</v>
      </c>
      <c r="G668" s="38" t="s">
        <v>3788</v>
      </c>
      <c r="H668" s="24"/>
      <c r="I668" s="24" t="b">
        <v>0</v>
      </c>
      <c r="J668" s="24" t="b">
        <v>0</v>
      </c>
      <c r="K668" s="23" t="b">
        <v>0</v>
      </c>
      <c r="L668" s="24" t="s">
        <v>175</v>
      </c>
      <c r="M668" s="24" t="s">
        <v>5574</v>
      </c>
      <c r="N668" s="24" t="str">
        <f>_xlfn.IFNA(VLOOKUP($M668,Buff.CM!$A:$O,13,FALSE),"")</f>
        <v>icon_battle_defense</v>
      </c>
      <c r="O668" s="24" t="str">
        <f>_xlfn.IFNA(VLOOKUP($M668,Buff.CM!$A:$O,14,FALSE),"")</f>
        <v>Buff.Name.Def.Down.00</v>
      </c>
      <c r="P668" s="24" t="str">
        <f>_xlfn.IFNA(VLOOKUP($M668,Buff.CM!$A:$O,15,FALSE),"")</f>
        <v>Buff.Desc.Def.Down.00</v>
      </c>
      <c r="Q668" s="24" t="b">
        <v>0</v>
      </c>
      <c r="R668" s="24" t="b">
        <v>0</v>
      </c>
    </row>
    <row r="669" spans="1:18" s="150" customFormat="1">
      <c r="A669" s="108" t="s">
        <v>3782</v>
      </c>
      <c r="B669" s="24"/>
      <c r="C669" s="24"/>
      <c r="D669" s="24">
        <v>6000</v>
      </c>
      <c r="E669" s="24">
        <v>2</v>
      </c>
      <c r="F669" s="24">
        <v>1</v>
      </c>
      <c r="G669" s="38" t="s">
        <v>3789</v>
      </c>
      <c r="H669" s="24"/>
      <c r="I669" s="24" t="b">
        <v>0</v>
      </c>
      <c r="J669" s="24" t="b">
        <v>0</v>
      </c>
      <c r="K669" s="23" t="b">
        <v>0</v>
      </c>
      <c r="L669" s="24" t="s">
        <v>175</v>
      </c>
      <c r="M669" s="24" t="s">
        <v>5574</v>
      </c>
      <c r="N669" s="24" t="str">
        <f>_xlfn.IFNA(VLOOKUP($M669,Buff.CM!$A:$O,13,FALSE),"")</f>
        <v>icon_battle_defense</v>
      </c>
      <c r="O669" s="24" t="str">
        <f>_xlfn.IFNA(VLOOKUP($M669,Buff.CM!$A:$O,14,FALSE),"")</f>
        <v>Buff.Name.Def.Down.00</v>
      </c>
      <c r="P669" s="24" t="str">
        <f>_xlfn.IFNA(VLOOKUP($M669,Buff.CM!$A:$O,15,FALSE),"")</f>
        <v>Buff.Desc.Def.Down.00</v>
      </c>
      <c r="Q669" s="24" t="b">
        <v>0</v>
      </c>
      <c r="R669" s="24" t="b">
        <v>0</v>
      </c>
    </row>
    <row r="670" spans="1:18" s="150" customFormat="1">
      <c r="A670" s="108" t="s">
        <v>3783</v>
      </c>
      <c r="B670" s="24"/>
      <c r="C670" s="24"/>
      <c r="D670" s="24">
        <v>6000</v>
      </c>
      <c r="E670" s="24">
        <v>2</v>
      </c>
      <c r="F670" s="24">
        <v>1</v>
      </c>
      <c r="G670" s="38" t="s">
        <v>3790</v>
      </c>
      <c r="H670" s="24"/>
      <c r="I670" s="24" t="b">
        <v>0</v>
      </c>
      <c r="J670" s="24" t="b">
        <v>0</v>
      </c>
      <c r="K670" s="23" t="b">
        <v>0</v>
      </c>
      <c r="L670" s="24" t="s">
        <v>175</v>
      </c>
      <c r="M670" s="24" t="s">
        <v>5574</v>
      </c>
      <c r="N670" s="24" t="str">
        <f>_xlfn.IFNA(VLOOKUP($M670,Buff.CM!$A:$O,13,FALSE),"")</f>
        <v>icon_battle_defense</v>
      </c>
      <c r="O670" s="24" t="str">
        <f>_xlfn.IFNA(VLOOKUP($M670,Buff.CM!$A:$O,14,FALSE),"")</f>
        <v>Buff.Name.Def.Down.00</v>
      </c>
      <c r="P670" s="24" t="str">
        <f>_xlfn.IFNA(VLOOKUP($M670,Buff.CM!$A:$O,15,FALSE),"")</f>
        <v>Buff.Desc.Def.Down.00</v>
      </c>
      <c r="Q670" s="24" t="b">
        <v>0</v>
      </c>
      <c r="R670" s="24" t="b">
        <v>0</v>
      </c>
    </row>
    <row r="671" spans="1:18" s="150" customFormat="1">
      <c r="A671" s="108" t="s">
        <v>3784</v>
      </c>
      <c r="B671" s="24"/>
      <c r="C671" s="24"/>
      <c r="D671" s="24">
        <v>6000</v>
      </c>
      <c r="E671" s="24">
        <v>2</v>
      </c>
      <c r="F671" s="24">
        <v>1</v>
      </c>
      <c r="G671" s="38" t="s">
        <v>3791</v>
      </c>
      <c r="H671" s="24"/>
      <c r="I671" s="24" t="b">
        <v>0</v>
      </c>
      <c r="J671" s="24" t="b">
        <v>0</v>
      </c>
      <c r="K671" s="23" t="b">
        <v>0</v>
      </c>
      <c r="L671" s="24" t="s">
        <v>175</v>
      </c>
      <c r="M671" s="24" t="s">
        <v>5574</v>
      </c>
      <c r="N671" s="24" t="str">
        <f>_xlfn.IFNA(VLOOKUP($M671,Buff.CM!$A:$O,13,FALSE),"")</f>
        <v>icon_battle_defense</v>
      </c>
      <c r="O671" s="24" t="str">
        <f>_xlfn.IFNA(VLOOKUP($M671,Buff.CM!$A:$O,14,FALSE),"")</f>
        <v>Buff.Name.Def.Down.00</v>
      </c>
      <c r="P671" s="24" t="str">
        <f>_xlfn.IFNA(VLOOKUP($M671,Buff.CM!$A:$O,15,FALSE),"")</f>
        <v>Buff.Desc.Def.Down.00</v>
      </c>
      <c r="Q671" s="24" t="b">
        <v>0</v>
      </c>
      <c r="R671" s="24" t="b">
        <v>0</v>
      </c>
    </row>
    <row r="672" spans="1:18" s="150" customFormat="1" ht="82.5">
      <c r="A672" s="108" t="s">
        <v>3434</v>
      </c>
      <c r="B672" s="24"/>
      <c r="C672" s="24"/>
      <c r="D672" s="24">
        <v>8000</v>
      </c>
      <c r="E672" s="24">
        <v>0</v>
      </c>
      <c r="F672" s="24">
        <v>0</v>
      </c>
      <c r="G672" s="38" t="s">
        <v>7036</v>
      </c>
      <c r="H672" s="24"/>
      <c r="I672" s="24" t="b">
        <v>1</v>
      </c>
      <c r="J672" s="24" t="b">
        <v>0</v>
      </c>
      <c r="K672" s="23" t="b">
        <v>1</v>
      </c>
      <c r="L672" s="24" t="s">
        <v>66</v>
      </c>
      <c r="M672" s="24" t="s">
        <v>5642</v>
      </c>
      <c r="N672" s="24" t="str">
        <f>_xlfn.IFNA(VLOOKUP($M672,Buff.CM!$A:$O,13,FALSE),"")</f>
        <v>icon_battle_ino_invention</v>
      </c>
      <c r="O672" s="24" t="str">
        <f>_xlfn.IFNA(VLOOKUP($M672,Buff.CM!$A:$O,14,FALSE),"")</f>
        <v>info.ino.buff.inovation</v>
      </c>
      <c r="P672" s="24" t="str">
        <f>_xlfn.IFNA(VLOOKUP($M672,Buff.CM!$A:$O,15,FALSE),"")</f>
        <v>Desc.info.ino.buff.inovation</v>
      </c>
      <c r="Q672" s="24" t="b">
        <v>0</v>
      </c>
      <c r="R672" s="24" t="b">
        <v>0</v>
      </c>
    </row>
    <row r="673" spans="1:18" s="160" customFormat="1" ht="82.5">
      <c r="A673" s="65" t="s">
        <v>3428</v>
      </c>
      <c r="B673" s="65"/>
      <c r="C673" s="65"/>
      <c r="D673" s="65">
        <v>8000</v>
      </c>
      <c r="E673" s="65">
        <v>0</v>
      </c>
      <c r="F673" s="65">
        <v>0</v>
      </c>
      <c r="G673" s="67" t="s">
        <v>7037</v>
      </c>
      <c r="H673" s="65"/>
      <c r="I673" s="65" t="b">
        <v>1</v>
      </c>
      <c r="J673" s="65" t="b">
        <v>0</v>
      </c>
      <c r="K673" s="65" t="b">
        <v>1</v>
      </c>
      <c r="L673" s="65" t="s">
        <v>66</v>
      </c>
      <c r="M673" s="65" t="s">
        <v>5642</v>
      </c>
      <c r="N673" s="65" t="str">
        <f>_xlfn.IFNA(VLOOKUP($M673,Buff.CM!$A:$O,13,FALSE),"")</f>
        <v>icon_battle_ino_invention</v>
      </c>
      <c r="O673" s="65" t="str">
        <f>_xlfn.IFNA(VLOOKUP($M673,Buff.CM!$A:$O,14,FALSE),"")</f>
        <v>info.ino.buff.inovation</v>
      </c>
      <c r="P673" s="65" t="str">
        <f>_xlfn.IFNA(VLOOKUP($M673,Buff.CM!$A:$O,15,FALSE),"")</f>
        <v>Desc.info.ino.buff.inovation</v>
      </c>
      <c r="Q673" s="65" t="b">
        <v>0</v>
      </c>
      <c r="R673" s="65" t="b">
        <v>0</v>
      </c>
    </row>
    <row r="674" spans="1:18" s="160" customFormat="1" ht="82.5">
      <c r="A674" s="65" t="s">
        <v>3429</v>
      </c>
      <c r="B674" s="65"/>
      <c r="C674" s="65"/>
      <c r="D674" s="65">
        <v>8000</v>
      </c>
      <c r="E674" s="65">
        <v>0</v>
      </c>
      <c r="F674" s="65">
        <v>0</v>
      </c>
      <c r="G674" s="67" t="s">
        <v>7038</v>
      </c>
      <c r="H674" s="65"/>
      <c r="I674" s="65" t="b">
        <v>1</v>
      </c>
      <c r="J674" s="65" t="b">
        <v>0</v>
      </c>
      <c r="K674" s="65" t="b">
        <v>1</v>
      </c>
      <c r="L674" s="65" t="s">
        <v>66</v>
      </c>
      <c r="M674" s="65" t="s">
        <v>5642</v>
      </c>
      <c r="N674" s="65" t="str">
        <f>_xlfn.IFNA(VLOOKUP($M674,Buff.CM!$A:$O,13,FALSE),"")</f>
        <v>icon_battle_ino_invention</v>
      </c>
      <c r="O674" s="65" t="str">
        <f>_xlfn.IFNA(VLOOKUP($M674,Buff.CM!$A:$O,14,FALSE),"")</f>
        <v>info.ino.buff.inovation</v>
      </c>
      <c r="P674" s="65" t="str">
        <f>_xlfn.IFNA(VLOOKUP($M674,Buff.CM!$A:$O,15,FALSE),"")</f>
        <v>Desc.info.ino.buff.inovation</v>
      </c>
      <c r="Q674" s="65" t="b">
        <v>0</v>
      </c>
      <c r="R674" s="65" t="b">
        <v>0</v>
      </c>
    </row>
    <row r="675" spans="1:18" s="160" customFormat="1" ht="82.5">
      <c r="A675" s="65" t="s">
        <v>3430</v>
      </c>
      <c r="B675" s="65"/>
      <c r="C675" s="65"/>
      <c r="D675" s="65">
        <v>8000</v>
      </c>
      <c r="E675" s="65">
        <v>0</v>
      </c>
      <c r="F675" s="65">
        <v>0</v>
      </c>
      <c r="G675" s="67" t="s">
        <v>7039</v>
      </c>
      <c r="H675" s="65"/>
      <c r="I675" s="65" t="b">
        <v>1</v>
      </c>
      <c r="J675" s="65" t="b">
        <v>0</v>
      </c>
      <c r="K675" s="65" t="b">
        <v>1</v>
      </c>
      <c r="L675" s="65" t="s">
        <v>66</v>
      </c>
      <c r="M675" s="65" t="s">
        <v>5642</v>
      </c>
      <c r="N675" s="65" t="str">
        <f>_xlfn.IFNA(VLOOKUP($M675,Buff.CM!$A:$O,13,FALSE),"")</f>
        <v>icon_battle_ino_invention</v>
      </c>
      <c r="O675" s="65" t="str">
        <f>_xlfn.IFNA(VLOOKUP($M675,Buff.CM!$A:$O,14,FALSE),"")</f>
        <v>info.ino.buff.inovation</v>
      </c>
      <c r="P675" s="65" t="str">
        <f>_xlfn.IFNA(VLOOKUP($M675,Buff.CM!$A:$O,15,FALSE),"")</f>
        <v>Desc.info.ino.buff.inovation</v>
      </c>
      <c r="Q675" s="65" t="b">
        <v>0</v>
      </c>
      <c r="R675" s="65" t="b">
        <v>0</v>
      </c>
    </row>
    <row r="676" spans="1:18" s="160" customFormat="1" ht="82.5">
      <c r="A676" s="65" t="s">
        <v>3431</v>
      </c>
      <c r="B676" s="65"/>
      <c r="C676" s="65"/>
      <c r="D676" s="65">
        <v>8000</v>
      </c>
      <c r="E676" s="65">
        <v>0</v>
      </c>
      <c r="F676" s="65">
        <v>0</v>
      </c>
      <c r="G676" s="67" t="s">
        <v>7040</v>
      </c>
      <c r="H676" s="65"/>
      <c r="I676" s="65" t="b">
        <v>1</v>
      </c>
      <c r="J676" s="65" t="b">
        <v>0</v>
      </c>
      <c r="K676" s="65" t="b">
        <v>1</v>
      </c>
      <c r="L676" s="65" t="s">
        <v>66</v>
      </c>
      <c r="M676" s="65" t="s">
        <v>5642</v>
      </c>
      <c r="N676" s="65" t="str">
        <f>_xlfn.IFNA(VLOOKUP($M676,Buff.CM!$A:$O,13,FALSE),"")</f>
        <v>icon_battle_ino_invention</v>
      </c>
      <c r="O676" s="65" t="str">
        <f>_xlfn.IFNA(VLOOKUP($M676,Buff.CM!$A:$O,14,FALSE),"")</f>
        <v>info.ino.buff.inovation</v>
      </c>
      <c r="P676" s="65" t="str">
        <f>_xlfn.IFNA(VLOOKUP($M676,Buff.CM!$A:$O,15,FALSE),"")</f>
        <v>Desc.info.ino.buff.inovation</v>
      </c>
      <c r="Q676" s="65" t="b">
        <v>0</v>
      </c>
      <c r="R676" s="65" t="b">
        <v>0</v>
      </c>
    </row>
    <row r="677" spans="1:18" s="160" customFormat="1" ht="82.5">
      <c r="A677" s="65" t="s">
        <v>3432</v>
      </c>
      <c r="B677" s="65"/>
      <c r="C677" s="65"/>
      <c r="D677" s="65">
        <v>8000</v>
      </c>
      <c r="E677" s="65">
        <v>0</v>
      </c>
      <c r="F677" s="65">
        <v>0</v>
      </c>
      <c r="G677" s="67" t="s">
        <v>7041</v>
      </c>
      <c r="H677" s="65"/>
      <c r="I677" s="65" t="b">
        <v>1</v>
      </c>
      <c r="J677" s="65" t="b">
        <v>0</v>
      </c>
      <c r="K677" s="65" t="b">
        <v>1</v>
      </c>
      <c r="L677" s="65" t="s">
        <v>66</v>
      </c>
      <c r="M677" s="65" t="s">
        <v>5642</v>
      </c>
      <c r="N677" s="65" t="str">
        <f>_xlfn.IFNA(VLOOKUP($M677,Buff.CM!$A:$O,13,FALSE),"")</f>
        <v>icon_battle_ino_invention</v>
      </c>
      <c r="O677" s="65" t="str">
        <f>_xlfn.IFNA(VLOOKUP($M677,Buff.CM!$A:$O,14,FALSE),"")</f>
        <v>info.ino.buff.inovation</v>
      </c>
      <c r="P677" s="65" t="str">
        <f>_xlfn.IFNA(VLOOKUP($M677,Buff.CM!$A:$O,15,FALSE),"")</f>
        <v>Desc.info.ino.buff.inovation</v>
      </c>
      <c r="Q677" s="65" t="b">
        <v>0</v>
      </c>
      <c r="R677" s="65" t="b">
        <v>0</v>
      </c>
    </row>
    <row r="678" spans="1:18" s="160" customFormat="1" ht="82.5">
      <c r="A678" s="65" t="s">
        <v>3433</v>
      </c>
      <c r="B678" s="65"/>
      <c r="C678" s="65"/>
      <c r="D678" s="65">
        <v>8000</v>
      </c>
      <c r="E678" s="65">
        <v>0</v>
      </c>
      <c r="F678" s="65">
        <v>0</v>
      </c>
      <c r="G678" s="67" t="s">
        <v>7042</v>
      </c>
      <c r="H678" s="65"/>
      <c r="I678" s="65" t="b">
        <v>1</v>
      </c>
      <c r="J678" s="65" t="b">
        <v>0</v>
      </c>
      <c r="K678" s="65" t="b">
        <v>1</v>
      </c>
      <c r="L678" s="65" t="s">
        <v>66</v>
      </c>
      <c r="M678" s="65" t="s">
        <v>5642</v>
      </c>
      <c r="N678" s="65" t="str">
        <f>_xlfn.IFNA(VLOOKUP($M678,Buff.CM!$A:$O,13,FALSE),"")</f>
        <v>icon_battle_ino_invention</v>
      </c>
      <c r="O678" s="65" t="str">
        <f>_xlfn.IFNA(VLOOKUP($M678,Buff.CM!$A:$O,14,FALSE),"")</f>
        <v>info.ino.buff.inovation</v>
      </c>
      <c r="P678" s="65" t="str">
        <f>_xlfn.IFNA(VLOOKUP($M678,Buff.CM!$A:$O,15,FALSE),"")</f>
        <v>Desc.info.ino.buff.inovation</v>
      </c>
      <c r="Q678" s="65" t="b">
        <v>0</v>
      </c>
      <c r="R678" s="65" t="b">
        <v>0</v>
      </c>
    </row>
    <row r="679" spans="1:18" s="160" customFormat="1">
      <c r="A679" s="65" t="s">
        <v>7043</v>
      </c>
      <c r="B679" s="65"/>
      <c r="C679" s="65"/>
      <c r="D679" s="65">
        <v>4000</v>
      </c>
      <c r="E679" s="65">
        <v>0</v>
      </c>
      <c r="F679" s="65">
        <v>0</v>
      </c>
      <c r="G679" s="67" t="s">
        <v>1540</v>
      </c>
      <c r="H679" s="65"/>
      <c r="I679" s="65" t="b">
        <v>0</v>
      </c>
      <c r="J679" s="65" t="b">
        <v>0</v>
      </c>
      <c r="K679" s="65" t="b">
        <v>0</v>
      </c>
      <c r="L679" s="65" t="s">
        <v>175</v>
      </c>
      <c r="M679" s="65" t="s">
        <v>1540</v>
      </c>
      <c r="N679" s="65" t="str">
        <f>_xlfn.IFNA(VLOOKUP($M679,Buff.CM!$A:$O,13,FALSE),"")</f>
        <v>icon_battle_evasion</v>
      </c>
      <c r="O679" s="65" t="str">
        <f>_xlfn.IFNA(VLOOKUP($M679,Buff.CM!$A:$O,14,FALSE),"")</f>
        <v>Buff.Name.Evasion.Down.03</v>
      </c>
      <c r="P679" s="65" t="str">
        <f>_xlfn.IFNA(VLOOKUP($M679,Buff.CM!$A:$O,15,FALSE),"")</f>
        <v>Buff.Desc.Evasion.Down.03</v>
      </c>
      <c r="Q679" s="65" t="b">
        <v>0</v>
      </c>
      <c r="R679" s="65" t="b">
        <v>0</v>
      </c>
    </row>
    <row r="680" spans="1:18">
      <c r="A680" s="24" t="s">
        <v>2624</v>
      </c>
      <c r="B680" s="24"/>
      <c r="C680" s="24"/>
      <c r="D680" s="24">
        <v>5000</v>
      </c>
      <c r="E680" s="24">
        <v>0</v>
      </c>
      <c r="F680" s="24">
        <v>0</v>
      </c>
      <c r="G680" s="24" t="s">
        <v>1540</v>
      </c>
      <c r="H680" s="24"/>
      <c r="I680" s="24" t="b">
        <v>0</v>
      </c>
      <c r="J680" s="24" t="b">
        <v>0</v>
      </c>
      <c r="K680" s="25" t="b">
        <v>0</v>
      </c>
      <c r="L680" s="26" t="s">
        <v>175</v>
      </c>
      <c r="M680" s="24" t="s">
        <v>1540</v>
      </c>
      <c r="N680" s="24" t="str">
        <f>_xlfn.IFNA(VLOOKUP($M680,Buff.CM!$A:$O,13,FALSE),"")</f>
        <v>icon_battle_evasion</v>
      </c>
      <c r="O680" s="24" t="str">
        <f>_xlfn.IFNA(VLOOKUP($M680,Buff.CM!$A:$O,14,FALSE),"")</f>
        <v>Buff.Name.Evasion.Down.03</v>
      </c>
      <c r="P680" s="24" t="str">
        <f>_xlfn.IFNA(VLOOKUP($M680,Buff.CM!$A:$O,15,FALSE),"")</f>
        <v>Buff.Desc.Evasion.Down.03</v>
      </c>
      <c r="Q680" s="24" t="b">
        <v>0</v>
      </c>
      <c r="R680" s="24" t="b">
        <v>0</v>
      </c>
    </row>
    <row r="681" spans="1:18">
      <c r="A681" s="24" t="s">
        <v>2625</v>
      </c>
      <c r="B681" s="24"/>
      <c r="C681" s="24"/>
      <c r="D681" s="24">
        <v>5000</v>
      </c>
      <c r="E681" s="24">
        <v>0</v>
      </c>
      <c r="F681" s="24">
        <v>0</v>
      </c>
      <c r="G681" s="24" t="s">
        <v>1541</v>
      </c>
      <c r="H681" s="24"/>
      <c r="I681" s="24" t="b">
        <v>0</v>
      </c>
      <c r="J681" s="24" t="b">
        <v>0</v>
      </c>
      <c r="K681" s="25" t="b">
        <v>0</v>
      </c>
      <c r="L681" s="26" t="s">
        <v>175</v>
      </c>
      <c r="M681" s="24" t="s">
        <v>1541</v>
      </c>
      <c r="N681" s="24" t="str">
        <f>_xlfn.IFNA(VLOOKUP($M681,Buff.CM!$A:$O,13,FALSE),"")</f>
        <v>icon_battle_evasion</v>
      </c>
      <c r="O681" s="24" t="str">
        <f>_xlfn.IFNA(VLOOKUP($M681,Buff.CM!$A:$O,14,FALSE),"")</f>
        <v>Buff.Name.Evasion.Down.04</v>
      </c>
      <c r="P681" s="24" t="str">
        <f>_xlfn.IFNA(VLOOKUP($M681,Buff.CM!$A:$O,15,FALSE),"")</f>
        <v>Buff.Desc.Evasion.Down.04</v>
      </c>
      <c r="Q681" s="24" t="b">
        <v>0</v>
      </c>
      <c r="R681" s="24" t="b">
        <v>0</v>
      </c>
    </row>
    <row r="682" spans="1:18">
      <c r="A682" s="24" t="s">
        <v>7044</v>
      </c>
      <c r="B682" s="24"/>
      <c r="C682" s="24"/>
      <c r="D682" s="24">
        <v>6000</v>
      </c>
      <c r="E682" s="24">
        <v>0</v>
      </c>
      <c r="F682" s="24">
        <v>0</v>
      </c>
      <c r="G682" s="24" t="s">
        <v>1541</v>
      </c>
      <c r="H682" s="24"/>
      <c r="I682" s="24" t="b">
        <v>0</v>
      </c>
      <c r="J682" s="24" t="b">
        <v>0</v>
      </c>
      <c r="K682" s="25" t="b">
        <v>0</v>
      </c>
      <c r="L682" s="26" t="s">
        <v>175</v>
      </c>
      <c r="M682" s="24" t="s">
        <v>1541</v>
      </c>
      <c r="N682" s="24" t="str">
        <f>_xlfn.IFNA(VLOOKUP($M682,Buff.CM!$A:$O,13,FALSE),"")</f>
        <v>icon_battle_evasion</v>
      </c>
      <c r="O682" s="24" t="str">
        <f>_xlfn.IFNA(VLOOKUP($M682,Buff.CM!$A:$O,14,FALSE),"")</f>
        <v>Buff.Name.Evasion.Down.04</v>
      </c>
      <c r="P682" s="24" t="str">
        <f>_xlfn.IFNA(VLOOKUP($M682,Buff.CM!$A:$O,15,FALSE),"")</f>
        <v>Buff.Desc.Evasion.Down.04</v>
      </c>
      <c r="Q682" s="24" t="b">
        <v>0</v>
      </c>
      <c r="R682" s="24" t="b">
        <v>0</v>
      </c>
    </row>
    <row r="683" spans="1:18">
      <c r="A683" s="34" t="s">
        <v>2626</v>
      </c>
      <c r="B683" s="34"/>
      <c r="C683" s="34"/>
      <c r="D683" s="34">
        <v>10000</v>
      </c>
      <c r="E683" s="34">
        <v>0</v>
      </c>
      <c r="F683" s="34">
        <v>0</v>
      </c>
      <c r="G683" s="34" t="s">
        <v>1542</v>
      </c>
      <c r="H683" s="34"/>
      <c r="I683" s="34" t="b">
        <v>0</v>
      </c>
      <c r="J683" s="34" t="b">
        <v>0</v>
      </c>
      <c r="K683" s="34" t="b">
        <v>0</v>
      </c>
      <c r="L683" s="34" t="s">
        <v>175</v>
      </c>
      <c r="M683" s="34" t="s">
        <v>1542</v>
      </c>
      <c r="N683" s="34" t="str">
        <f>_xlfn.IFNA(VLOOKUP($M683,Buff.CM!$A:$O,13,FALSE),"")</f>
        <v>icon_battle_evasion</v>
      </c>
      <c r="O683" s="34" t="str">
        <f>_xlfn.IFNA(VLOOKUP($M683,Buff.CM!$A:$O,14,FALSE),"")</f>
        <v>Buff.Name.Evasion.Down.05</v>
      </c>
      <c r="P683" s="34" t="str">
        <f>_xlfn.IFNA(VLOOKUP($M683,Buff.CM!$A:$O,15,FALSE),"")</f>
        <v>Buff.Desc.Evasion.Down.05</v>
      </c>
      <c r="Q683" s="34" t="b">
        <v>0</v>
      </c>
      <c r="R683" s="34" t="b">
        <v>0</v>
      </c>
    </row>
    <row r="684" spans="1:18">
      <c r="A684" s="34" t="s">
        <v>2627</v>
      </c>
      <c r="B684" s="34"/>
      <c r="C684" s="34"/>
      <c r="D684" s="34">
        <v>10000</v>
      </c>
      <c r="E684" s="34">
        <v>0</v>
      </c>
      <c r="F684" s="34">
        <v>0</v>
      </c>
      <c r="G684" s="34" t="s">
        <v>1542</v>
      </c>
      <c r="H684" s="34"/>
      <c r="I684" s="34" t="b">
        <v>0</v>
      </c>
      <c r="J684" s="34" t="b">
        <v>0</v>
      </c>
      <c r="K684" s="34" t="b">
        <v>0</v>
      </c>
      <c r="L684" s="34" t="s">
        <v>175</v>
      </c>
      <c r="M684" s="34" t="s">
        <v>1542</v>
      </c>
      <c r="N684" s="34" t="str">
        <f>_xlfn.IFNA(VLOOKUP($M684,Buff.CM!$A:$O,13,FALSE),"")</f>
        <v>icon_battle_evasion</v>
      </c>
      <c r="O684" s="34" t="str">
        <f>_xlfn.IFNA(VLOOKUP($M684,Buff.CM!$A:$O,14,FALSE),"")</f>
        <v>Buff.Name.Evasion.Down.05</v>
      </c>
      <c r="P684" s="34" t="str">
        <f>_xlfn.IFNA(VLOOKUP($M684,Buff.CM!$A:$O,15,FALSE),"")</f>
        <v>Buff.Desc.Evasion.Down.05</v>
      </c>
      <c r="Q684" s="34" t="b">
        <v>0</v>
      </c>
      <c r="R684" s="34" t="b">
        <v>0</v>
      </c>
    </row>
    <row r="685" spans="1:18">
      <c r="A685" s="34" t="s">
        <v>7045</v>
      </c>
      <c r="B685" s="34"/>
      <c r="C685" s="34"/>
      <c r="D685" s="34">
        <v>6000</v>
      </c>
      <c r="E685" s="34">
        <v>0</v>
      </c>
      <c r="F685" s="34">
        <v>0</v>
      </c>
      <c r="G685" s="34" t="s">
        <v>7046</v>
      </c>
      <c r="H685" s="34"/>
      <c r="I685" s="34" t="b">
        <v>0</v>
      </c>
      <c r="J685" s="34" t="b">
        <v>0</v>
      </c>
      <c r="K685" s="34" t="b">
        <v>0</v>
      </c>
      <c r="L685" s="34" t="s">
        <v>175</v>
      </c>
      <c r="M685" s="34" t="s">
        <v>7046</v>
      </c>
      <c r="N685" s="34" t="str">
        <f>_xlfn.IFNA(VLOOKUP($M685,Buff.CM!$A:$O,13,FALSE),"")</f>
        <v>icon_battle_damageimmune</v>
      </c>
      <c r="O685" s="34" t="str">
        <f>_xlfn.IFNA(VLOOKUP($M685,Buff.CM!$A:$O,14,FALSE),"")</f>
        <v>Buff.Name.Reduce.SingleDamage.Down.01</v>
      </c>
      <c r="P685" s="34" t="str">
        <f>_xlfn.IFNA(VLOOKUP($M685,Buff.CM!$A:$O,15,FALSE),"")</f>
        <v>Buff.Desc.Reduce.SingleDamage.Down.01</v>
      </c>
      <c r="Q685" s="34" t="b">
        <v>0</v>
      </c>
      <c r="R685" s="34" t="b">
        <v>0</v>
      </c>
    </row>
    <row r="686" spans="1:18">
      <c r="A686" s="108" t="s">
        <v>4227</v>
      </c>
      <c r="B686" s="24"/>
      <c r="C686" s="24"/>
      <c r="D686" s="24">
        <v>7000</v>
      </c>
      <c r="E686" s="24">
        <v>0</v>
      </c>
      <c r="F686" s="24">
        <v>0</v>
      </c>
      <c r="G686" s="24" t="s">
        <v>7046</v>
      </c>
      <c r="H686" s="24"/>
      <c r="I686" s="24" t="b">
        <v>0</v>
      </c>
      <c r="J686" s="24" t="b">
        <v>0</v>
      </c>
      <c r="K686" s="25" t="b">
        <v>0</v>
      </c>
      <c r="L686" s="26" t="s">
        <v>175</v>
      </c>
      <c r="M686" s="24" t="s">
        <v>7046</v>
      </c>
      <c r="N686" s="24" t="str">
        <f>_xlfn.IFNA(VLOOKUP($M686,Buff.CM!$A:$O,13,FALSE),"")</f>
        <v>icon_battle_damageimmune</v>
      </c>
      <c r="O686" s="24" t="str">
        <f>_xlfn.IFNA(VLOOKUP($M686,Buff.CM!$A:$O,14,FALSE),"")</f>
        <v>Buff.Name.Reduce.SingleDamage.Down.01</v>
      </c>
      <c r="P686" s="24" t="str">
        <f>_xlfn.IFNA(VLOOKUP($M686,Buff.CM!$A:$O,15,FALSE),"")</f>
        <v>Buff.Desc.Reduce.SingleDamage.Down.01</v>
      </c>
      <c r="Q686" s="24" t="b">
        <v>0</v>
      </c>
      <c r="R686" s="24" t="b">
        <v>0</v>
      </c>
    </row>
    <row r="687" spans="1:18">
      <c r="A687" s="108" t="s">
        <v>4228</v>
      </c>
      <c r="B687" s="24"/>
      <c r="C687" s="24"/>
      <c r="D687" s="24">
        <v>7000</v>
      </c>
      <c r="E687" s="24">
        <v>0</v>
      </c>
      <c r="F687" s="24">
        <v>0</v>
      </c>
      <c r="G687" s="24" t="s">
        <v>1571</v>
      </c>
      <c r="H687" s="24"/>
      <c r="I687" s="24" t="b">
        <v>0</v>
      </c>
      <c r="J687" s="24" t="b">
        <v>0</v>
      </c>
      <c r="K687" s="25" t="b">
        <v>0</v>
      </c>
      <c r="L687" s="26" t="s">
        <v>175</v>
      </c>
      <c r="M687" s="24" t="s">
        <v>1571</v>
      </c>
      <c r="N687" s="24" t="str">
        <f>_xlfn.IFNA(VLOOKUP($M687,Buff.CM!$A:$O,13,FALSE),"")</f>
        <v>icon_battle_damageimmune</v>
      </c>
      <c r="O687" s="24" t="str">
        <f>_xlfn.IFNA(VLOOKUP($M687,Buff.CM!$A:$O,14,FALSE),"")</f>
        <v>Buff.Name.Reduce.SingleDamage.Down.02</v>
      </c>
      <c r="P687" s="24" t="str">
        <f>_xlfn.IFNA(VLOOKUP($M687,Buff.CM!$A:$O,15,FALSE),"")</f>
        <v>Buff.Desc.Reduce.SingleDamage.Down.02</v>
      </c>
      <c r="Q687" s="24" t="b">
        <v>0</v>
      </c>
      <c r="R687" s="24" t="b">
        <v>0</v>
      </c>
    </row>
    <row r="688" spans="1:18">
      <c r="A688" s="108" t="s">
        <v>4229</v>
      </c>
      <c r="B688" s="24"/>
      <c r="C688" s="24"/>
      <c r="D688" s="24">
        <v>8000</v>
      </c>
      <c r="E688" s="24">
        <v>0</v>
      </c>
      <c r="F688" s="24">
        <v>0</v>
      </c>
      <c r="G688" s="24" t="s">
        <v>1571</v>
      </c>
      <c r="H688" s="24"/>
      <c r="I688" s="24" t="b">
        <v>0</v>
      </c>
      <c r="J688" s="24" t="b">
        <v>0</v>
      </c>
      <c r="K688" s="25" t="b">
        <v>0</v>
      </c>
      <c r="L688" s="26" t="s">
        <v>175</v>
      </c>
      <c r="M688" s="24" t="s">
        <v>1571</v>
      </c>
      <c r="N688" s="24" t="str">
        <f>_xlfn.IFNA(VLOOKUP($M688,Buff.CM!$A:$O,13,FALSE),"")</f>
        <v>icon_battle_damageimmune</v>
      </c>
      <c r="O688" s="24" t="str">
        <f>_xlfn.IFNA(VLOOKUP($M688,Buff.CM!$A:$O,14,FALSE),"")</f>
        <v>Buff.Name.Reduce.SingleDamage.Down.02</v>
      </c>
      <c r="P688" s="24" t="str">
        <f>_xlfn.IFNA(VLOOKUP($M688,Buff.CM!$A:$O,15,FALSE),"")</f>
        <v>Buff.Desc.Reduce.SingleDamage.Down.02</v>
      </c>
      <c r="Q688" s="24" t="b">
        <v>0</v>
      </c>
      <c r="R688" s="24" t="b">
        <v>0</v>
      </c>
    </row>
    <row r="689" spans="1:18">
      <c r="A689" s="37" t="s">
        <v>4230</v>
      </c>
      <c r="B689" s="34"/>
      <c r="C689" s="34"/>
      <c r="D689" s="34">
        <v>10000</v>
      </c>
      <c r="E689" s="34">
        <v>0</v>
      </c>
      <c r="F689" s="34">
        <v>0</v>
      </c>
      <c r="G689" s="34" t="s">
        <v>1572</v>
      </c>
      <c r="H689" s="34"/>
      <c r="I689" s="34" t="b">
        <v>0</v>
      </c>
      <c r="J689" s="34" t="b">
        <v>0</v>
      </c>
      <c r="K689" s="34" t="b">
        <v>0</v>
      </c>
      <c r="L689" s="34" t="s">
        <v>175</v>
      </c>
      <c r="M689" s="34" t="s">
        <v>1572</v>
      </c>
      <c r="N689" s="34" t="str">
        <f>_xlfn.IFNA(VLOOKUP($M689,Buff.CM!$A:$O,13,FALSE),"")</f>
        <v>icon_battle_damageimmune</v>
      </c>
      <c r="O689" s="34" t="str">
        <f>_xlfn.IFNA(VLOOKUP($M689,Buff.CM!$A:$O,14,FALSE),"")</f>
        <v>Buff.Name.Reduce.SingleDamage.Down.03</v>
      </c>
      <c r="P689" s="34" t="str">
        <f>_xlfn.IFNA(VLOOKUP($M689,Buff.CM!$A:$O,15,FALSE),"")</f>
        <v>Buff.Desc.Reduce.SingleDamage.Down.03</v>
      </c>
      <c r="Q689" s="34" t="b">
        <v>0</v>
      </c>
      <c r="R689" s="34" t="b">
        <v>0</v>
      </c>
    </row>
    <row r="690" spans="1:18">
      <c r="A690" s="37" t="s">
        <v>4231</v>
      </c>
      <c r="B690" s="34"/>
      <c r="C690" s="34"/>
      <c r="D690" s="34">
        <v>10000</v>
      </c>
      <c r="E690" s="34">
        <v>0</v>
      </c>
      <c r="F690" s="34">
        <v>0</v>
      </c>
      <c r="G690" s="34" t="s">
        <v>1572</v>
      </c>
      <c r="H690" s="34"/>
      <c r="I690" s="34" t="b">
        <v>0</v>
      </c>
      <c r="J690" s="34" t="b">
        <v>0</v>
      </c>
      <c r="K690" s="34" t="b">
        <v>0</v>
      </c>
      <c r="L690" s="34" t="s">
        <v>175</v>
      </c>
      <c r="M690" s="34" t="s">
        <v>1572</v>
      </c>
      <c r="N690" s="34" t="str">
        <f>_xlfn.IFNA(VLOOKUP($M690,Buff.CM!$A:$O,13,FALSE),"")</f>
        <v>icon_battle_damageimmune</v>
      </c>
      <c r="O690" s="34" t="str">
        <f>_xlfn.IFNA(VLOOKUP($M690,Buff.CM!$A:$O,14,FALSE),"")</f>
        <v>Buff.Name.Reduce.SingleDamage.Down.03</v>
      </c>
      <c r="P690" s="34" t="str">
        <f>_xlfn.IFNA(VLOOKUP($M690,Buff.CM!$A:$O,15,FALSE),"")</f>
        <v>Buff.Desc.Reduce.SingleDamage.Down.03</v>
      </c>
      <c r="Q690" s="34" t="b">
        <v>0</v>
      </c>
      <c r="R690" s="34" t="b">
        <v>0</v>
      </c>
    </row>
    <row r="691" spans="1:18">
      <c r="A691" s="37" t="s">
        <v>723</v>
      </c>
      <c r="B691" s="34"/>
      <c r="C691" s="34"/>
      <c r="D691" s="34">
        <v>0</v>
      </c>
      <c r="E691" s="34">
        <v>0</v>
      </c>
      <c r="F691" s="34">
        <v>0</v>
      </c>
      <c r="G691" s="34" t="s">
        <v>7047</v>
      </c>
      <c r="H691" s="34"/>
      <c r="I691" s="34" t="b">
        <v>0</v>
      </c>
      <c r="J691" s="34" t="b">
        <v>1</v>
      </c>
      <c r="K691" s="34" t="b">
        <v>1</v>
      </c>
      <c r="L691" s="34"/>
      <c r="M691" s="34"/>
      <c r="N691" s="34" t="str">
        <f>_xlfn.IFNA(VLOOKUP($M691,Buff.CM!$A:$O,13,FALSE),"")</f>
        <v/>
      </c>
      <c r="O691" s="34" t="str">
        <f>_xlfn.IFNA(VLOOKUP($M691,Buff.CM!$A:$O,14,FALSE),"")</f>
        <v/>
      </c>
      <c r="P691" s="34" t="str">
        <f>_xlfn.IFNA(VLOOKUP($M691,Buff.CM!$A:$O,15,FALSE),"")</f>
        <v/>
      </c>
      <c r="Q691" s="34" t="b">
        <v>0</v>
      </c>
      <c r="R691" s="34" t="b">
        <v>0</v>
      </c>
    </row>
    <row r="692" spans="1:18" ht="33">
      <c r="A692" s="23" t="s">
        <v>724</v>
      </c>
      <c r="B692" s="23"/>
      <c r="C692" s="23"/>
      <c r="D692" s="23">
        <v>0</v>
      </c>
      <c r="E692" s="23">
        <v>0</v>
      </c>
      <c r="F692" s="23">
        <v>0</v>
      </c>
      <c r="G692" s="39" t="s">
        <v>7048</v>
      </c>
      <c r="H692" s="23"/>
      <c r="I692" s="23" t="b">
        <v>0</v>
      </c>
      <c r="J692" s="23" t="b">
        <v>1</v>
      </c>
      <c r="K692" s="23" t="b">
        <v>1</v>
      </c>
      <c r="L692" s="23"/>
      <c r="M692" s="23"/>
      <c r="N692" s="34" t="str">
        <f>_xlfn.IFNA(VLOOKUP($M692,Buff.CM!$A:$O,13,FALSE),"")</f>
        <v/>
      </c>
      <c r="O692" s="34" t="str">
        <f>_xlfn.IFNA(VLOOKUP($M692,Buff.CM!$A:$O,14,FALSE),"")</f>
        <v/>
      </c>
      <c r="P692" s="23" t="str">
        <f>_xlfn.IFNA(VLOOKUP($M692,Buff.CM!$A:$O,15,FALSE),"")</f>
        <v/>
      </c>
      <c r="Q692" s="23" t="b">
        <v>0</v>
      </c>
      <c r="R692" s="23" t="b">
        <v>0</v>
      </c>
    </row>
    <row r="693" spans="1:18" ht="33">
      <c r="A693" s="23" t="s">
        <v>725</v>
      </c>
      <c r="B693" s="23"/>
      <c r="C693" s="23"/>
      <c r="D693" s="23">
        <v>0</v>
      </c>
      <c r="E693" s="23">
        <v>0</v>
      </c>
      <c r="F693" s="23">
        <v>0</v>
      </c>
      <c r="G693" s="39" t="s">
        <v>7049</v>
      </c>
      <c r="H693" s="23"/>
      <c r="I693" s="23" t="b">
        <v>0</v>
      </c>
      <c r="J693" s="23" t="b">
        <v>1</v>
      </c>
      <c r="K693" s="23" t="b">
        <v>1</v>
      </c>
      <c r="L693" s="23"/>
      <c r="M693" s="23"/>
      <c r="N693" s="34" t="str">
        <f>_xlfn.IFNA(VLOOKUP($M693,Buff.CM!$A:$O,13,FALSE),"")</f>
        <v/>
      </c>
      <c r="O693" s="34" t="str">
        <f>_xlfn.IFNA(VLOOKUP($M693,Buff.CM!$A:$O,14,FALSE),"")</f>
        <v/>
      </c>
      <c r="P693" s="23" t="str">
        <f>_xlfn.IFNA(VLOOKUP($M693,Buff.CM!$A:$O,15,FALSE),"")</f>
        <v/>
      </c>
      <c r="Q693" s="23" t="b">
        <v>0</v>
      </c>
      <c r="R693" s="23" t="b">
        <v>0</v>
      </c>
    </row>
    <row r="694" spans="1:18" ht="33">
      <c r="A694" s="23" t="s">
        <v>726</v>
      </c>
      <c r="B694" s="23"/>
      <c r="C694" s="23"/>
      <c r="D694" s="23">
        <v>0</v>
      </c>
      <c r="E694" s="23">
        <v>0</v>
      </c>
      <c r="F694" s="23">
        <v>0</v>
      </c>
      <c r="G694" s="39" t="s">
        <v>7050</v>
      </c>
      <c r="H694" s="23"/>
      <c r="I694" s="23" t="b">
        <v>0</v>
      </c>
      <c r="J694" s="23" t="b">
        <v>1</v>
      </c>
      <c r="K694" s="23" t="b">
        <v>1</v>
      </c>
      <c r="L694" s="23"/>
      <c r="M694" s="23"/>
      <c r="N694" s="34" t="str">
        <f>_xlfn.IFNA(VLOOKUP($M694,Buff.CM!$A:$O,13,FALSE),"")</f>
        <v/>
      </c>
      <c r="O694" s="34" t="str">
        <f>_xlfn.IFNA(VLOOKUP($M694,Buff.CM!$A:$O,14,FALSE),"")</f>
        <v/>
      </c>
      <c r="P694" s="23" t="str">
        <f>_xlfn.IFNA(VLOOKUP($M694,Buff.CM!$A:$O,15,FALSE),"")</f>
        <v/>
      </c>
      <c r="Q694" s="23" t="b">
        <v>0</v>
      </c>
      <c r="R694" s="23" t="b">
        <v>0</v>
      </c>
    </row>
    <row r="695" spans="1:18" ht="33">
      <c r="A695" s="34" t="s">
        <v>727</v>
      </c>
      <c r="B695" s="34"/>
      <c r="C695" s="34"/>
      <c r="D695" s="34">
        <v>0</v>
      </c>
      <c r="E695" s="34">
        <v>0</v>
      </c>
      <c r="F695" s="34">
        <v>0</v>
      </c>
      <c r="G695" s="40" t="s">
        <v>7051</v>
      </c>
      <c r="H695" s="34"/>
      <c r="I695" s="34" t="b">
        <v>0</v>
      </c>
      <c r="J695" s="23" t="b">
        <v>1</v>
      </c>
      <c r="K695" s="34" t="b">
        <v>1</v>
      </c>
      <c r="L695" s="34"/>
      <c r="M695" s="34"/>
      <c r="N695" s="34" t="str">
        <f>_xlfn.IFNA(VLOOKUP($M695,Buff.CM!$A:$O,13,FALSE),"")</f>
        <v/>
      </c>
      <c r="O695" s="34" t="str">
        <f>_xlfn.IFNA(VLOOKUP($M695,Buff.CM!$A:$O,14,FALSE),"")</f>
        <v/>
      </c>
      <c r="P695" s="34" t="str">
        <f>_xlfn.IFNA(VLOOKUP($M695,Buff.CM!$A:$O,15,FALSE),"")</f>
        <v/>
      </c>
      <c r="Q695" s="34" t="b">
        <v>0</v>
      </c>
      <c r="R695" s="34" t="b">
        <v>0</v>
      </c>
    </row>
    <row r="696" spans="1:18" ht="33">
      <c r="A696" s="34" t="s">
        <v>728</v>
      </c>
      <c r="B696" s="34"/>
      <c r="C696" s="34"/>
      <c r="D696" s="34">
        <v>0</v>
      </c>
      <c r="E696" s="34">
        <v>0</v>
      </c>
      <c r="F696" s="34">
        <v>0</v>
      </c>
      <c r="G696" s="40" t="s">
        <v>7052</v>
      </c>
      <c r="H696" s="34"/>
      <c r="I696" s="34" t="b">
        <v>0</v>
      </c>
      <c r="J696" s="23" t="b">
        <v>1</v>
      </c>
      <c r="K696" s="34" t="b">
        <v>1</v>
      </c>
      <c r="L696" s="34"/>
      <c r="M696" s="34"/>
      <c r="N696" s="34" t="str">
        <f>_xlfn.IFNA(VLOOKUP($M696,Buff.CM!$A:$O,13,FALSE),"")</f>
        <v/>
      </c>
      <c r="O696" s="34" t="str">
        <f>_xlfn.IFNA(VLOOKUP($M696,Buff.CM!$A:$O,14,FALSE),"")</f>
        <v/>
      </c>
      <c r="P696" s="34" t="str">
        <f>_xlfn.IFNA(VLOOKUP($M696,Buff.CM!$A:$O,15,FALSE),"")</f>
        <v/>
      </c>
      <c r="Q696" s="34" t="b">
        <v>0</v>
      </c>
      <c r="R696" s="34" t="b">
        <v>0</v>
      </c>
    </row>
    <row r="697" spans="1:18">
      <c r="A697" s="34" t="s">
        <v>7053</v>
      </c>
      <c r="B697" s="34"/>
      <c r="C697" s="34"/>
      <c r="D697" s="34">
        <v>0</v>
      </c>
      <c r="E697" s="34">
        <v>5</v>
      </c>
      <c r="F697" s="34">
        <v>1</v>
      </c>
      <c r="G697" s="40" t="s">
        <v>122</v>
      </c>
      <c r="H697" s="34"/>
      <c r="I697" s="34" t="b">
        <v>0</v>
      </c>
      <c r="J697" s="23" t="b">
        <v>1</v>
      </c>
      <c r="K697" s="34" t="b">
        <v>1</v>
      </c>
      <c r="L697" s="34"/>
      <c r="M697" s="34"/>
      <c r="N697" s="34" t="str">
        <f>_xlfn.IFNA(VLOOKUP($M697,Buff.CM!$A:$O,13,FALSE),"")</f>
        <v/>
      </c>
      <c r="O697" s="34" t="str">
        <f>_xlfn.IFNA(VLOOKUP($M697,Buff.CM!$A:$O,14,FALSE),"")</f>
        <v/>
      </c>
      <c r="P697" s="34" t="str">
        <f>_xlfn.IFNA(VLOOKUP($M697,Buff.CM!$A:$O,15,FALSE),"")</f>
        <v/>
      </c>
      <c r="Q697" s="34" t="b">
        <v>0</v>
      </c>
      <c r="R697" s="34" t="b">
        <v>0</v>
      </c>
    </row>
    <row r="698" spans="1:18" s="13" customFormat="1">
      <c r="A698" s="26" t="s">
        <v>7054</v>
      </c>
      <c r="B698" s="26"/>
      <c r="C698" s="26"/>
      <c r="D698" s="26">
        <v>0</v>
      </c>
      <c r="E698" s="26">
        <v>0</v>
      </c>
      <c r="F698" s="26">
        <v>0</v>
      </c>
      <c r="G698" s="26" t="s">
        <v>7055</v>
      </c>
      <c r="H698" s="26"/>
      <c r="I698" s="26" t="b">
        <v>0</v>
      </c>
      <c r="J698" s="23" t="b">
        <v>1</v>
      </c>
      <c r="K698" s="26" t="b">
        <v>1</v>
      </c>
      <c r="L698" s="34"/>
      <c r="M698" s="34"/>
      <c r="N698" s="34" t="str">
        <f>_xlfn.IFNA(VLOOKUP($M698,Buff.CM!$A:$O,13,FALSE),"")</f>
        <v/>
      </c>
      <c r="O698" s="26" t="str">
        <f>_xlfn.IFNA(VLOOKUP($M698,Buff.CM!$A:$O,14,FALSE),"")</f>
        <v/>
      </c>
      <c r="P698" s="26" t="str">
        <f>_xlfn.IFNA(VLOOKUP($M698,Buff.CM!$A:$O,15,FALSE),"")</f>
        <v/>
      </c>
      <c r="Q698" s="26" t="b">
        <v>0</v>
      </c>
      <c r="R698" s="26" t="b">
        <v>0</v>
      </c>
    </row>
    <row r="699" spans="1:18" ht="33">
      <c r="A699" s="23" t="s">
        <v>3569</v>
      </c>
      <c r="B699" s="23"/>
      <c r="C699" s="23"/>
      <c r="D699" s="23">
        <v>0</v>
      </c>
      <c r="E699" s="23">
        <v>0</v>
      </c>
      <c r="F699" s="23">
        <v>0</v>
      </c>
      <c r="G699" s="39" t="s">
        <v>7056</v>
      </c>
      <c r="H699" s="23"/>
      <c r="I699" s="23" t="b">
        <v>0</v>
      </c>
      <c r="J699" s="23" t="b">
        <v>1</v>
      </c>
      <c r="K699" s="23" t="b">
        <v>1</v>
      </c>
      <c r="L699" s="34"/>
      <c r="M699" s="34"/>
      <c r="N699" s="34" t="str">
        <f>_xlfn.IFNA(VLOOKUP($M699,Buff.CM!$A:$O,13,FALSE),"")</f>
        <v/>
      </c>
      <c r="O699" s="34" t="str">
        <f>_xlfn.IFNA(VLOOKUP($M699,Buff.CM!$A:$O,14,FALSE),"")</f>
        <v/>
      </c>
      <c r="P699" s="23" t="str">
        <f>_xlfn.IFNA(VLOOKUP($M699,Buff.CM!$A:$O,15,FALSE),"")</f>
        <v/>
      </c>
      <c r="Q699" s="23" t="b">
        <v>0</v>
      </c>
      <c r="R699" s="23" t="b">
        <v>0</v>
      </c>
    </row>
    <row r="700" spans="1:18" ht="33">
      <c r="A700" s="23" t="s">
        <v>3570</v>
      </c>
      <c r="B700" s="23"/>
      <c r="C700" s="23"/>
      <c r="D700" s="23">
        <v>0</v>
      </c>
      <c r="E700" s="23">
        <v>0</v>
      </c>
      <c r="F700" s="23">
        <v>0</v>
      </c>
      <c r="G700" s="39" t="s">
        <v>7057</v>
      </c>
      <c r="H700" s="23"/>
      <c r="I700" s="23" t="b">
        <v>0</v>
      </c>
      <c r="J700" s="23" t="b">
        <v>1</v>
      </c>
      <c r="K700" s="23" t="b">
        <v>1</v>
      </c>
      <c r="L700" s="23"/>
      <c r="M700" s="23"/>
      <c r="N700" s="34" t="str">
        <f>_xlfn.IFNA(VLOOKUP($M700,Buff.CM!$A:$O,13,FALSE),"")</f>
        <v/>
      </c>
      <c r="O700" s="34" t="str">
        <f>_xlfn.IFNA(VLOOKUP($M700,Buff.CM!$A:$O,14,FALSE),"")</f>
        <v/>
      </c>
      <c r="P700" s="23" t="str">
        <f>_xlfn.IFNA(VLOOKUP($M700,Buff.CM!$A:$O,15,FALSE),"")</f>
        <v/>
      </c>
      <c r="Q700" s="23" t="b">
        <v>0</v>
      </c>
      <c r="R700" s="23" t="b">
        <v>0</v>
      </c>
    </row>
    <row r="701" spans="1:18" ht="33">
      <c r="A701" s="23" t="s">
        <v>3571</v>
      </c>
      <c r="B701" s="23"/>
      <c r="C701" s="23"/>
      <c r="D701" s="23">
        <v>0</v>
      </c>
      <c r="E701" s="23">
        <v>0</v>
      </c>
      <c r="F701" s="23">
        <v>0</v>
      </c>
      <c r="G701" s="39" t="s">
        <v>7058</v>
      </c>
      <c r="H701" s="23"/>
      <c r="I701" s="23" t="b">
        <v>0</v>
      </c>
      <c r="J701" s="23" t="b">
        <v>1</v>
      </c>
      <c r="K701" s="23" t="b">
        <v>1</v>
      </c>
      <c r="L701" s="23"/>
      <c r="M701" s="23"/>
      <c r="N701" s="34" t="str">
        <f>_xlfn.IFNA(VLOOKUP($M701,Buff.CM!$A:$O,13,FALSE),"")</f>
        <v/>
      </c>
      <c r="O701" s="34" t="str">
        <f>_xlfn.IFNA(VLOOKUP($M701,Buff.CM!$A:$O,14,FALSE),"")</f>
        <v/>
      </c>
      <c r="P701" s="23" t="str">
        <f>_xlfn.IFNA(VLOOKUP($M701,Buff.CM!$A:$O,15,FALSE),"")</f>
        <v/>
      </c>
      <c r="Q701" s="23" t="b">
        <v>0</v>
      </c>
      <c r="R701" s="23" t="b">
        <v>0</v>
      </c>
    </row>
    <row r="702" spans="1:18" ht="33">
      <c r="A702" s="34" t="s">
        <v>3572</v>
      </c>
      <c r="B702" s="34"/>
      <c r="C702" s="34"/>
      <c r="D702" s="34">
        <v>0</v>
      </c>
      <c r="E702" s="34">
        <v>0</v>
      </c>
      <c r="F702" s="34">
        <v>0</v>
      </c>
      <c r="G702" s="40" t="s">
        <v>7059</v>
      </c>
      <c r="H702" s="34"/>
      <c r="I702" s="34" t="b">
        <v>0</v>
      </c>
      <c r="J702" s="23" t="b">
        <v>1</v>
      </c>
      <c r="K702" s="34" t="b">
        <v>1</v>
      </c>
      <c r="L702" s="34"/>
      <c r="M702" s="34"/>
      <c r="N702" s="34" t="str">
        <f>_xlfn.IFNA(VLOOKUP($M702,Buff.CM!$A:$O,13,FALSE),"")</f>
        <v/>
      </c>
      <c r="O702" s="34" t="str">
        <f>_xlfn.IFNA(VLOOKUP($M702,Buff.CM!$A:$O,14,FALSE),"")</f>
        <v/>
      </c>
      <c r="P702" s="34" t="str">
        <f>_xlfn.IFNA(VLOOKUP($M702,Buff.CM!$A:$O,15,FALSE),"")</f>
        <v/>
      </c>
      <c r="Q702" s="34" t="b">
        <v>0</v>
      </c>
      <c r="R702" s="34" t="b">
        <v>0</v>
      </c>
    </row>
    <row r="703" spans="1:18" ht="33">
      <c r="A703" s="34" t="s">
        <v>3573</v>
      </c>
      <c r="B703" s="34"/>
      <c r="C703" s="34"/>
      <c r="D703" s="34">
        <v>0</v>
      </c>
      <c r="E703" s="34">
        <v>0</v>
      </c>
      <c r="F703" s="34">
        <v>0</v>
      </c>
      <c r="G703" s="40" t="s">
        <v>7060</v>
      </c>
      <c r="H703" s="34"/>
      <c r="I703" s="34" t="b">
        <v>0</v>
      </c>
      <c r="J703" s="23" t="b">
        <v>1</v>
      </c>
      <c r="K703" s="34" t="b">
        <v>1</v>
      </c>
      <c r="L703" s="34"/>
      <c r="M703" s="34"/>
      <c r="N703" s="34" t="str">
        <f>_xlfn.IFNA(VLOOKUP($M703,Buff.CM!$A:$O,13,FALSE),"")</f>
        <v/>
      </c>
      <c r="O703" s="34" t="str">
        <f>_xlfn.IFNA(VLOOKUP($M703,Buff.CM!$A:$O,14,FALSE),"")</f>
        <v/>
      </c>
      <c r="P703" s="34" t="str">
        <f>_xlfn.IFNA(VLOOKUP($M703,Buff.CM!$A:$O,15,FALSE),"")</f>
        <v/>
      </c>
      <c r="Q703" s="34" t="b">
        <v>0</v>
      </c>
      <c r="R703" s="34" t="b">
        <v>0</v>
      </c>
    </row>
    <row r="704" spans="1:18" ht="33">
      <c r="A704" s="34" t="s">
        <v>7061</v>
      </c>
      <c r="B704" s="34"/>
      <c r="C704" s="34"/>
      <c r="D704" s="34">
        <v>12000</v>
      </c>
      <c r="E704" s="34">
        <v>0</v>
      </c>
      <c r="F704" s="34">
        <v>0</v>
      </c>
      <c r="G704" s="40" t="s">
        <v>7062</v>
      </c>
      <c r="H704" s="34"/>
      <c r="I704" s="34" t="b">
        <v>0</v>
      </c>
      <c r="J704" s="23" t="b">
        <v>0</v>
      </c>
      <c r="K704" s="34" t="b">
        <v>0</v>
      </c>
      <c r="L704" s="34"/>
      <c r="M704" s="34" t="s">
        <v>5697</v>
      </c>
      <c r="N704" s="34" t="str">
        <f>_xlfn.IFNA(VLOOKUP($M704,Buff.CM!$A:$O,13,FALSE),"")</f>
        <v>icon_battle_ino_target</v>
      </c>
      <c r="O704" s="34" t="str">
        <f>_xlfn.IFNA(VLOOKUP($M704,Buff.CM!$A:$O,14,FALSE),"")</f>
        <v>info.ino.debuff.target</v>
      </c>
      <c r="P704" s="34" t="str">
        <f>_xlfn.IFNA(VLOOKUP($M704,Buff.CM!$A:$O,15,FALSE),"")</f>
        <v>Desc.info.ino.debuff.target</v>
      </c>
      <c r="Q704" s="34" t="b">
        <v>0</v>
      </c>
      <c r="R704" s="34" t="b">
        <v>0</v>
      </c>
    </row>
    <row r="705" spans="1:18" ht="33">
      <c r="A705" s="23" t="s">
        <v>4141</v>
      </c>
      <c r="B705" s="23"/>
      <c r="C705" s="23"/>
      <c r="D705" s="23">
        <v>12000</v>
      </c>
      <c r="E705" s="23">
        <v>0</v>
      </c>
      <c r="F705" s="23">
        <v>0</v>
      </c>
      <c r="G705" s="39" t="s">
        <v>7063</v>
      </c>
      <c r="H705" s="23"/>
      <c r="I705" s="23" t="b">
        <v>0</v>
      </c>
      <c r="J705" s="23" t="b">
        <v>0</v>
      </c>
      <c r="K705" s="23" t="b">
        <v>0</v>
      </c>
      <c r="L705" s="26"/>
      <c r="M705" s="26" t="s">
        <v>5697</v>
      </c>
      <c r="N705" s="34" t="str">
        <f>_xlfn.IFNA(VLOOKUP($M705,Buff.CM!$A:$O,13,FALSE),"")</f>
        <v>icon_battle_ino_target</v>
      </c>
      <c r="O705" s="34" t="str">
        <f>_xlfn.IFNA(VLOOKUP($M705,Buff.CM!$A:$O,14,FALSE),"")</f>
        <v>info.ino.debuff.target</v>
      </c>
      <c r="P705" s="23" t="str">
        <f>_xlfn.IFNA(VLOOKUP($M705,Buff.CM!$A:$O,15,FALSE),"")</f>
        <v>Desc.info.ino.debuff.target</v>
      </c>
      <c r="Q705" s="23" t="b">
        <v>0</v>
      </c>
      <c r="R705" s="23" t="b">
        <v>0</v>
      </c>
    </row>
    <row r="706" spans="1:18" ht="33">
      <c r="A706" s="23" t="s">
        <v>4142</v>
      </c>
      <c r="B706" s="23"/>
      <c r="C706" s="23"/>
      <c r="D706" s="23">
        <v>12000</v>
      </c>
      <c r="E706" s="23">
        <v>0</v>
      </c>
      <c r="F706" s="23">
        <v>0</v>
      </c>
      <c r="G706" s="39" t="s">
        <v>7064</v>
      </c>
      <c r="H706" s="23"/>
      <c r="I706" s="23" t="b">
        <v>0</v>
      </c>
      <c r="J706" s="23" t="b">
        <v>0</v>
      </c>
      <c r="K706" s="23" t="b">
        <v>0</v>
      </c>
      <c r="L706" s="26"/>
      <c r="M706" s="26" t="s">
        <v>5697</v>
      </c>
      <c r="N706" s="34" t="str">
        <f>_xlfn.IFNA(VLOOKUP($M706,Buff.CM!$A:$O,13,FALSE),"")</f>
        <v>icon_battle_ino_target</v>
      </c>
      <c r="O706" s="34" t="str">
        <f>_xlfn.IFNA(VLOOKUP($M706,Buff.CM!$A:$O,14,FALSE),"")</f>
        <v>info.ino.debuff.target</v>
      </c>
      <c r="P706" s="23" t="str">
        <f>_xlfn.IFNA(VLOOKUP($M706,Buff.CM!$A:$O,15,FALSE),"")</f>
        <v>Desc.info.ino.debuff.target</v>
      </c>
      <c r="Q706" s="23" t="b">
        <v>0</v>
      </c>
      <c r="R706" s="23" t="b">
        <v>0</v>
      </c>
    </row>
    <row r="707" spans="1:18" ht="33">
      <c r="A707" s="23" t="s">
        <v>4143</v>
      </c>
      <c r="B707" s="23"/>
      <c r="C707" s="23"/>
      <c r="D707" s="23">
        <v>12000</v>
      </c>
      <c r="E707" s="23">
        <v>0</v>
      </c>
      <c r="F707" s="23">
        <v>0</v>
      </c>
      <c r="G707" s="39" t="s">
        <v>7065</v>
      </c>
      <c r="H707" s="23"/>
      <c r="I707" s="23" t="b">
        <v>0</v>
      </c>
      <c r="J707" s="23" t="b">
        <v>0</v>
      </c>
      <c r="K707" s="23" t="b">
        <v>0</v>
      </c>
      <c r="L707" s="26"/>
      <c r="M707" s="26" t="s">
        <v>5697</v>
      </c>
      <c r="N707" s="34" t="str">
        <f>_xlfn.IFNA(VLOOKUP($M707,Buff.CM!$A:$O,13,FALSE),"")</f>
        <v>icon_battle_ino_target</v>
      </c>
      <c r="O707" s="34" t="str">
        <f>_xlfn.IFNA(VLOOKUP($M707,Buff.CM!$A:$O,14,FALSE),"")</f>
        <v>info.ino.debuff.target</v>
      </c>
      <c r="P707" s="23" t="str">
        <f>_xlfn.IFNA(VLOOKUP($M707,Buff.CM!$A:$O,15,FALSE),"")</f>
        <v>Desc.info.ino.debuff.target</v>
      </c>
      <c r="Q707" s="23" t="b">
        <v>0</v>
      </c>
      <c r="R707" s="23" t="b">
        <v>0</v>
      </c>
    </row>
    <row r="708" spans="1:18">
      <c r="A708" s="34" t="s">
        <v>4144</v>
      </c>
      <c r="B708" s="34"/>
      <c r="C708" s="34"/>
      <c r="D708" s="34">
        <v>12000</v>
      </c>
      <c r="E708" s="34">
        <v>0</v>
      </c>
      <c r="F708" s="34">
        <v>0</v>
      </c>
      <c r="G708" s="40" t="s">
        <v>122</v>
      </c>
      <c r="H708" s="34"/>
      <c r="I708" s="34" t="b">
        <v>0</v>
      </c>
      <c r="J708" s="23" t="b">
        <v>0</v>
      </c>
      <c r="K708" s="23" t="b">
        <v>0</v>
      </c>
      <c r="L708" s="26"/>
      <c r="M708" s="26" t="s">
        <v>5697</v>
      </c>
      <c r="N708" s="34" t="str">
        <f>_xlfn.IFNA(VLOOKUP($M708,Buff.CM!$A:$O,13,FALSE),"")</f>
        <v>icon_battle_ino_target</v>
      </c>
      <c r="O708" s="34" t="str">
        <f>_xlfn.IFNA(VLOOKUP($M708,Buff.CM!$A:$O,14,FALSE),"")</f>
        <v>info.ino.debuff.target</v>
      </c>
      <c r="P708" s="34" t="str">
        <f>_xlfn.IFNA(VLOOKUP($M708,Buff.CM!$A:$O,15,FALSE),"")</f>
        <v>Desc.info.ino.debuff.target</v>
      </c>
      <c r="Q708" s="34" t="b">
        <v>0</v>
      </c>
      <c r="R708" s="34" t="b">
        <v>0</v>
      </c>
    </row>
    <row r="709" spans="1:18">
      <c r="A709" s="34" t="s">
        <v>4145</v>
      </c>
      <c r="B709" s="34"/>
      <c r="C709" s="34"/>
      <c r="D709" s="34">
        <v>12000</v>
      </c>
      <c r="E709" s="34">
        <v>0</v>
      </c>
      <c r="F709" s="34">
        <v>0</v>
      </c>
      <c r="G709" s="40" t="s">
        <v>122</v>
      </c>
      <c r="H709" s="34"/>
      <c r="I709" s="34" t="b">
        <v>0</v>
      </c>
      <c r="J709" s="23" t="b">
        <v>0</v>
      </c>
      <c r="K709" s="23" t="b">
        <v>0</v>
      </c>
      <c r="L709" s="26"/>
      <c r="M709" s="26" t="s">
        <v>5697</v>
      </c>
      <c r="N709" s="34" t="str">
        <f>_xlfn.IFNA(VLOOKUP($M709,Buff.CM!$A:$O,13,FALSE),"")</f>
        <v>icon_battle_ino_target</v>
      </c>
      <c r="O709" s="34" t="str">
        <f>_xlfn.IFNA(VLOOKUP($M709,Buff.CM!$A:$O,14,FALSE),"")</f>
        <v>info.ino.debuff.target</v>
      </c>
      <c r="P709" s="34" t="str">
        <f>_xlfn.IFNA(VLOOKUP($M709,Buff.CM!$A:$O,15,FALSE),"")</f>
        <v>Desc.info.ino.debuff.target</v>
      </c>
      <c r="Q709" s="34" t="b">
        <v>0</v>
      </c>
      <c r="R709" s="34" t="b">
        <v>0</v>
      </c>
    </row>
    <row r="710" spans="1:18">
      <c r="A710" s="34" t="s">
        <v>7066</v>
      </c>
      <c r="B710" s="34"/>
      <c r="C710" s="34"/>
      <c r="D710" s="34">
        <v>4000</v>
      </c>
      <c r="E710" s="34">
        <v>0</v>
      </c>
      <c r="F710" s="34">
        <v>0</v>
      </c>
      <c r="G710" s="40" t="s">
        <v>4397</v>
      </c>
      <c r="H710" s="34"/>
      <c r="I710" s="34" t="b">
        <v>0</v>
      </c>
      <c r="J710" s="23" t="b">
        <v>0</v>
      </c>
      <c r="K710" s="23" t="b">
        <v>0</v>
      </c>
      <c r="L710" s="26" t="s">
        <v>5476</v>
      </c>
      <c r="M710" s="26" t="s">
        <v>4397</v>
      </c>
      <c r="N710" s="34" t="str">
        <f>_xlfn.IFNA(VLOOKUP($M710,Buff.CM!$A:$O,13,FALSE),"")</f>
        <v>icon_battle_defense</v>
      </c>
      <c r="O710" s="34" t="str">
        <f>_xlfn.IFNA(VLOOKUP($M710,Buff.CM!$A:$O,14,FALSE),"")</f>
        <v>Buff.Name.Def.Down.01</v>
      </c>
      <c r="P710" s="34" t="str">
        <f>_xlfn.IFNA(VLOOKUP($M710,Buff.CM!$A:$O,15,FALSE),"")</f>
        <v>Buff.Desc.Def.Down.01</v>
      </c>
      <c r="Q710" s="34" t="b">
        <v>0</v>
      </c>
      <c r="R710" s="34" t="b">
        <v>0</v>
      </c>
    </row>
    <row r="711" spans="1:18">
      <c r="A711" s="26" t="s">
        <v>729</v>
      </c>
      <c r="B711" s="26"/>
      <c r="C711" s="26"/>
      <c r="D711" s="26">
        <v>4000</v>
      </c>
      <c r="E711" s="26">
        <v>0</v>
      </c>
      <c r="F711" s="26">
        <v>0</v>
      </c>
      <c r="G711" s="26" t="s">
        <v>1519</v>
      </c>
      <c r="H711" s="26"/>
      <c r="I711" s="26" t="b">
        <v>0</v>
      </c>
      <c r="J711" s="26" t="b">
        <v>0</v>
      </c>
      <c r="K711" s="26" t="b">
        <v>0</v>
      </c>
      <c r="L711" s="53" t="s">
        <v>5476</v>
      </c>
      <c r="M711" s="26" t="s">
        <v>1519</v>
      </c>
      <c r="N711" s="26" t="str">
        <f>_xlfn.IFNA(VLOOKUP($M711,Buff.CM!$A:$O,13,FALSE),"")</f>
        <v>icon_battle_defense</v>
      </c>
      <c r="O711" s="26" t="str">
        <f>_xlfn.IFNA(VLOOKUP($M711,Buff.CM!$A:$O,14,FALSE),"")</f>
        <v>Buff.Name.Def.Down.02</v>
      </c>
      <c r="P711" s="26" t="str">
        <f>_xlfn.IFNA(VLOOKUP($M711,Buff.CM!$A:$O,15,FALSE),"")</f>
        <v>Buff.Desc.Def.Down.02</v>
      </c>
      <c r="Q711" s="26" t="b">
        <v>0</v>
      </c>
      <c r="R711" s="26" t="b">
        <v>0</v>
      </c>
    </row>
    <row r="712" spans="1:18">
      <c r="A712" s="26" t="s">
        <v>2567</v>
      </c>
      <c r="B712" s="26"/>
      <c r="C712" s="26"/>
      <c r="D712" s="26">
        <v>4000</v>
      </c>
      <c r="E712" s="26">
        <v>0</v>
      </c>
      <c r="F712" s="26">
        <v>0</v>
      </c>
      <c r="G712" s="26" t="s">
        <v>1520</v>
      </c>
      <c r="H712" s="26"/>
      <c r="I712" s="26" t="b">
        <v>0</v>
      </c>
      <c r="J712" s="26" t="b">
        <v>0</v>
      </c>
      <c r="K712" s="26" t="b">
        <v>0</v>
      </c>
      <c r="L712" s="53" t="s">
        <v>5476</v>
      </c>
      <c r="M712" s="26" t="s">
        <v>1520</v>
      </c>
      <c r="N712" s="26" t="str">
        <f>_xlfn.IFNA(VLOOKUP($M712,Buff.CM!$A:$O,13,FALSE),"")</f>
        <v>icon_battle_defense</v>
      </c>
      <c r="O712" s="26" t="str">
        <f>_xlfn.IFNA(VLOOKUP($M712,Buff.CM!$A:$O,14,FALSE),"")</f>
        <v>Buff.Name.Def.Down.03</v>
      </c>
      <c r="P712" s="26" t="str">
        <f>_xlfn.IFNA(VLOOKUP($M712,Buff.CM!$A:$O,15,FALSE),"")</f>
        <v>Buff.Desc.Def.Down.03</v>
      </c>
      <c r="Q712" s="26" t="b">
        <v>0</v>
      </c>
      <c r="R712" s="26" t="b">
        <v>0</v>
      </c>
    </row>
    <row r="713" spans="1:18">
      <c r="A713" s="26" t="s">
        <v>2568</v>
      </c>
      <c r="B713" s="26"/>
      <c r="C713" s="26"/>
      <c r="D713" s="26">
        <v>5000</v>
      </c>
      <c r="E713" s="26">
        <v>0</v>
      </c>
      <c r="F713" s="26">
        <v>0</v>
      </c>
      <c r="G713" s="26" t="s">
        <v>1520</v>
      </c>
      <c r="H713" s="26"/>
      <c r="I713" s="26" t="b">
        <v>0</v>
      </c>
      <c r="J713" s="26" t="b">
        <v>0</v>
      </c>
      <c r="K713" s="26" t="b">
        <v>0</v>
      </c>
      <c r="L713" s="53" t="s">
        <v>5476</v>
      </c>
      <c r="M713" s="26" t="s">
        <v>1520</v>
      </c>
      <c r="N713" s="26" t="str">
        <f>_xlfn.IFNA(VLOOKUP($M713,Buff.CM!$A:$O,13,FALSE),"")</f>
        <v>icon_battle_defense</v>
      </c>
      <c r="O713" s="26" t="str">
        <f>_xlfn.IFNA(VLOOKUP($M713,Buff.CM!$A:$O,14,FALSE),"")</f>
        <v>Buff.Name.Def.Down.03</v>
      </c>
      <c r="P713" s="26" t="str">
        <f>_xlfn.IFNA(VLOOKUP($M713,Buff.CM!$A:$O,15,FALSE),"")</f>
        <v>Buff.Desc.Def.Down.03</v>
      </c>
      <c r="Q713" s="26" t="b">
        <v>0</v>
      </c>
      <c r="R713" s="26" t="b">
        <v>0</v>
      </c>
    </row>
    <row r="714" spans="1:18">
      <c r="A714" s="34" t="s">
        <v>2569</v>
      </c>
      <c r="B714" s="34"/>
      <c r="C714" s="34"/>
      <c r="D714" s="34">
        <v>5000</v>
      </c>
      <c r="E714" s="34">
        <v>0</v>
      </c>
      <c r="F714" s="34">
        <v>0</v>
      </c>
      <c r="G714" s="34" t="s">
        <v>1520</v>
      </c>
      <c r="H714" s="34"/>
      <c r="I714" s="34" t="b">
        <v>0</v>
      </c>
      <c r="J714" s="34" t="b">
        <v>0</v>
      </c>
      <c r="K714" s="34" t="b">
        <v>0</v>
      </c>
      <c r="L714" s="53" t="s">
        <v>5476</v>
      </c>
      <c r="M714" s="34" t="s">
        <v>1520</v>
      </c>
      <c r="N714" s="34" t="str">
        <f>_xlfn.IFNA(VLOOKUP($M714,Buff.CM!$A:$O,13,FALSE),"")</f>
        <v>icon_battle_defense</v>
      </c>
      <c r="O714" s="34" t="str">
        <f>_xlfn.IFNA(VLOOKUP($M714,Buff.CM!$A:$O,14,FALSE),"")</f>
        <v>Buff.Name.Def.Down.03</v>
      </c>
      <c r="P714" s="34" t="str">
        <f>_xlfn.IFNA(VLOOKUP($M714,Buff.CM!$A:$O,15,FALSE),"")</f>
        <v>Buff.Desc.Def.Down.03</v>
      </c>
      <c r="Q714" s="34" t="b">
        <v>0</v>
      </c>
      <c r="R714" s="34" t="b">
        <v>0</v>
      </c>
    </row>
    <row r="715" spans="1:18">
      <c r="A715" s="34" t="s">
        <v>2570</v>
      </c>
      <c r="B715" s="34"/>
      <c r="C715" s="34"/>
      <c r="D715" s="34">
        <v>5000</v>
      </c>
      <c r="E715" s="34">
        <v>0</v>
      </c>
      <c r="F715" s="34">
        <v>0</v>
      </c>
      <c r="G715" s="34" t="s">
        <v>1520</v>
      </c>
      <c r="H715" s="34"/>
      <c r="I715" s="34" t="b">
        <v>0</v>
      </c>
      <c r="J715" s="34" t="b">
        <v>0</v>
      </c>
      <c r="K715" s="34" t="b">
        <v>0</v>
      </c>
      <c r="L715" s="53" t="s">
        <v>5476</v>
      </c>
      <c r="M715" s="34" t="s">
        <v>1520</v>
      </c>
      <c r="N715" s="34" t="str">
        <f>_xlfn.IFNA(VLOOKUP($M715,Buff.CM!$A:$O,13,FALSE),"")</f>
        <v>icon_battle_defense</v>
      </c>
      <c r="O715" s="34" t="str">
        <f>_xlfn.IFNA(VLOOKUP($M715,Buff.CM!$A:$O,14,FALSE),"")</f>
        <v>Buff.Name.Def.Down.03</v>
      </c>
      <c r="P715" s="34" t="str">
        <f>_xlfn.IFNA(VLOOKUP($M715,Buff.CM!$A:$O,15,FALSE),"")</f>
        <v>Buff.Desc.Def.Down.03</v>
      </c>
      <c r="Q715" s="34" t="b">
        <v>0</v>
      </c>
      <c r="R715" s="34" t="b">
        <v>0</v>
      </c>
    </row>
    <row r="716" spans="1:18">
      <c r="A716" s="34" t="s">
        <v>7067</v>
      </c>
      <c r="B716" s="34"/>
      <c r="C716" s="34"/>
      <c r="D716" s="34">
        <v>0</v>
      </c>
      <c r="E716" s="34">
        <v>0</v>
      </c>
      <c r="F716" s="34">
        <v>0</v>
      </c>
      <c r="G716" s="34" t="s">
        <v>730</v>
      </c>
      <c r="H716" s="34"/>
      <c r="I716" s="34" t="b">
        <v>0</v>
      </c>
      <c r="J716" s="34" t="b">
        <v>1</v>
      </c>
      <c r="K716" s="34" t="b">
        <v>1</v>
      </c>
      <c r="L716" s="53"/>
      <c r="M716" s="34"/>
      <c r="N716" s="34" t="str">
        <f>_xlfn.IFNA(VLOOKUP($M716,Buff.CM!$A:$O,13,FALSE),"")</f>
        <v/>
      </c>
      <c r="O716" s="34" t="str">
        <f>_xlfn.IFNA(VLOOKUP($M716,Buff.CM!$A:$O,14,FALSE),"")</f>
        <v/>
      </c>
      <c r="P716" s="34" t="str">
        <f>_xlfn.IFNA(VLOOKUP($M716,Buff.CM!$A:$O,15,FALSE),"")</f>
        <v/>
      </c>
      <c r="Q716" s="34" t="b">
        <v>0</v>
      </c>
      <c r="R716" s="34" t="b">
        <v>0</v>
      </c>
    </row>
    <row r="717" spans="1:18">
      <c r="A717" s="25" t="s">
        <v>731</v>
      </c>
      <c r="B717" s="25"/>
      <c r="C717" s="25"/>
      <c r="D717" s="25">
        <v>0</v>
      </c>
      <c r="E717" s="25">
        <v>0</v>
      </c>
      <c r="F717" s="25">
        <v>0</v>
      </c>
      <c r="G717" s="25" t="s">
        <v>732</v>
      </c>
      <c r="H717" s="25"/>
      <c r="I717" s="25" t="b">
        <v>0</v>
      </c>
      <c r="J717" s="23" t="b">
        <v>1</v>
      </c>
      <c r="K717" s="25" t="b">
        <v>1</v>
      </c>
      <c r="L717" s="25"/>
      <c r="M717" s="25"/>
      <c r="N717" s="25" t="str">
        <f>_xlfn.IFNA(VLOOKUP($M717,Buff.CM!$A:$O,13,FALSE),"")</f>
        <v/>
      </c>
      <c r="O717" s="25" t="str">
        <f>_xlfn.IFNA(VLOOKUP($M717,Buff.CM!$A:$O,14,FALSE),"")</f>
        <v/>
      </c>
      <c r="P717" s="34" t="str">
        <f>_xlfn.IFNA(VLOOKUP($M717,Buff.CM!$A:$O,15,FALSE),"")</f>
        <v/>
      </c>
      <c r="Q717" s="34" t="b">
        <v>0</v>
      </c>
      <c r="R717" s="25" t="b">
        <v>0</v>
      </c>
    </row>
    <row r="718" spans="1:18">
      <c r="A718" s="25" t="s">
        <v>733</v>
      </c>
      <c r="B718" s="25"/>
      <c r="C718" s="25"/>
      <c r="D718" s="25">
        <v>0</v>
      </c>
      <c r="E718" s="25">
        <v>0</v>
      </c>
      <c r="F718" s="25">
        <v>0</v>
      </c>
      <c r="G718" s="25" t="s">
        <v>734</v>
      </c>
      <c r="H718" s="25"/>
      <c r="I718" s="25" t="b">
        <v>0</v>
      </c>
      <c r="J718" s="23" t="b">
        <v>1</v>
      </c>
      <c r="K718" s="25" t="b">
        <v>1</v>
      </c>
      <c r="L718" s="25"/>
      <c r="M718" s="25"/>
      <c r="N718" s="25" t="str">
        <f>_xlfn.IFNA(VLOOKUP($M718,Buff.CM!$A:$O,13,FALSE),"")</f>
        <v/>
      </c>
      <c r="O718" s="25" t="str">
        <f>_xlfn.IFNA(VLOOKUP($M718,Buff.CM!$A:$O,14,FALSE),"")</f>
        <v/>
      </c>
      <c r="P718" s="34" t="str">
        <f>_xlfn.IFNA(VLOOKUP($M718,Buff.CM!$A:$O,15,FALSE),"")</f>
        <v/>
      </c>
      <c r="Q718" s="34" t="b">
        <v>0</v>
      </c>
      <c r="R718" s="25" t="b">
        <v>0</v>
      </c>
    </row>
    <row r="719" spans="1:18">
      <c r="A719" s="25" t="s">
        <v>735</v>
      </c>
      <c r="B719" s="25"/>
      <c r="C719" s="25"/>
      <c r="D719" s="25">
        <v>0</v>
      </c>
      <c r="E719" s="25">
        <v>0</v>
      </c>
      <c r="F719" s="25">
        <v>0</v>
      </c>
      <c r="G719" s="25" t="s">
        <v>736</v>
      </c>
      <c r="H719" s="25"/>
      <c r="I719" s="25" t="b">
        <v>0</v>
      </c>
      <c r="J719" s="23" t="b">
        <v>1</v>
      </c>
      <c r="K719" s="25" t="b">
        <v>1</v>
      </c>
      <c r="L719" s="25"/>
      <c r="M719" s="25"/>
      <c r="N719" s="25" t="str">
        <f>_xlfn.IFNA(VLOOKUP($M719,Buff.CM!$A:$O,13,FALSE),"")</f>
        <v/>
      </c>
      <c r="O719" s="25" t="str">
        <f>_xlfn.IFNA(VLOOKUP($M719,Buff.CM!$A:$O,14,FALSE),"")</f>
        <v/>
      </c>
      <c r="P719" s="34" t="str">
        <f>_xlfn.IFNA(VLOOKUP($M719,Buff.CM!$A:$O,15,FALSE),"")</f>
        <v/>
      </c>
      <c r="Q719" s="34" t="b">
        <v>0</v>
      </c>
      <c r="R719" s="25" t="b">
        <v>0</v>
      </c>
    </row>
    <row r="720" spans="1:18">
      <c r="A720" s="34" t="s">
        <v>737</v>
      </c>
      <c r="B720" s="34"/>
      <c r="C720" s="34"/>
      <c r="D720" s="34">
        <v>0</v>
      </c>
      <c r="E720" s="34">
        <v>0</v>
      </c>
      <c r="F720" s="34">
        <v>0</v>
      </c>
      <c r="G720" s="34" t="s">
        <v>738</v>
      </c>
      <c r="H720" s="34"/>
      <c r="I720" s="34" t="b">
        <v>0</v>
      </c>
      <c r="J720" s="23" t="b">
        <v>1</v>
      </c>
      <c r="K720" s="34" t="b">
        <v>1</v>
      </c>
      <c r="L720" s="34"/>
      <c r="M720" s="34"/>
      <c r="N720" s="34" t="str">
        <f>_xlfn.IFNA(VLOOKUP($M720,Buff.CM!$A:$O,13,FALSE),"")</f>
        <v/>
      </c>
      <c r="O720" s="34" t="str">
        <f>_xlfn.IFNA(VLOOKUP($M720,Buff.CM!$A:$O,14,FALSE),"")</f>
        <v/>
      </c>
      <c r="P720" s="34" t="str">
        <f>_xlfn.IFNA(VLOOKUP($M720,Buff.CM!$A:$O,15,FALSE),"")</f>
        <v/>
      </c>
      <c r="Q720" s="34" t="b">
        <v>0</v>
      </c>
      <c r="R720" s="34" t="b">
        <v>0</v>
      </c>
    </row>
    <row r="721" spans="1:18">
      <c r="A721" s="34" t="s">
        <v>739</v>
      </c>
      <c r="B721" s="34"/>
      <c r="C721" s="34"/>
      <c r="D721" s="34">
        <v>0</v>
      </c>
      <c r="E721" s="34">
        <v>0</v>
      </c>
      <c r="F721" s="34">
        <v>0</v>
      </c>
      <c r="G721" s="34" t="s">
        <v>740</v>
      </c>
      <c r="H721" s="34"/>
      <c r="I721" s="34" t="b">
        <v>0</v>
      </c>
      <c r="J721" s="23" t="b">
        <v>1</v>
      </c>
      <c r="K721" s="34" t="b">
        <v>1</v>
      </c>
      <c r="L721" s="34"/>
      <c r="M721" s="34"/>
      <c r="N721" s="34" t="str">
        <f>_xlfn.IFNA(VLOOKUP($M721,Buff.CM!$A:$O,13,FALSE),"")</f>
        <v/>
      </c>
      <c r="O721" s="34" t="str">
        <f>_xlfn.IFNA(VLOOKUP($M721,Buff.CM!$A:$O,14,FALSE),"")</f>
        <v/>
      </c>
      <c r="P721" s="34" t="str">
        <f>_xlfn.IFNA(VLOOKUP($M721,Buff.CM!$A:$O,15,FALSE),"")</f>
        <v/>
      </c>
      <c r="Q721" s="34" t="b">
        <v>0</v>
      </c>
      <c r="R721" s="34" t="b">
        <v>0</v>
      </c>
    </row>
    <row r="722" spans="1:18" s="13" customFormat="1">
      <c r="A722" s="34" t="s">
        <v>7068</v>
      </c>
      <c r="B722" s="34"/>
      <c r="C722" s="34"/>
      <c r="D722" s="34">
        <v>4000</v>
      </c>
      <c r="E722" s="34">
        <v>0</v>
      </c>
      <c r="F722" s="34">
        <v>0</v>
      </c>
      <c r="G722" s="34" t="s">
        <v>1600</v>
      </c>
      <c r="H722" s="34"/>
      <c r="I722" s="34" t="b">
        <v>0</v>
      </c>
      <c r="J722" s="23" t="b">
        <v>0</v>
      </c>
      <c r="K722" s="34" t="b">
        <v>0</v>
      </c>
      <c r="L722" s="34" t="s">
        <v>175</v>
      </c>
      <c r="M722" s="34" t="s">
        <v>1600</v>
      </c>
      <c r="N722" s="34" t="str">
        <f>_xlfn.IFNA(VLOOKUP($M722,Buff.CM!$A:$O,13,FALSE),"")</f>
        <v>icon_battle_critical</v>
      </c>
      <c r="O722" s="34" t="str">
        <f>_xlfn.IFNA(VLOOKUP($M722,Buff.CM!$A:$O,14,FALSE),"")</f>
        <v>Buff.Name.CriticalResist.Down.03</v>
      </c>
      <c r="P722" s="34" t="str">
        <f>_xlfn.IFNA(VLOOKUP($M722,Buff.CM!$A:$O,15,FALSE),"")</f>
        <v>Buff.Desc.CriticalResist.Down.03</v>
      </c>
      <c r="Q722" s="34" t="b">
        <v>0</v>
      </c>
      <c r="R722" s="34" t="b">
        <v>0</v>
      </c>
    </row>
    <row r="723" spans="1:18">
      <c r="A723" s="26" t="s">
        <v>1839</v>
      </c>
      <c r="B723" s="26"/>
      <c r="C723" s="26"/>
      <c r="D723" s="26">
        <v>5000</v>
      </c>
      <c r="E723" s="26">
        <v>0</v>
      </c>
      <c r="F723" s="26">
        <v>0</v>
      </c>
      <c r="G723" s="26" t="s">
        <v>1600</v>
      </c>
      <c r="H723" s="26"/>
      <c r="I723" s="26" t="b">
        <v>0</v>
      </c>
      <c r="J723" s="26" t="b">
        <v>0</v>
      </c>
      <c r="K723" s="26" t="b">
        <v>0</v>
      </c>
      <c r="L723" s="26" t="s">
        <v>175</v>
      </c>
      <c r="M723" s="26" t="s">
        <v>1600</v>
      </c>
      <c r="N723" s="26" t="str">
        <f>_xlfn.IFNA(VLOOKUP($M723,Buff.CM!$A:$O,13,FALSE),"")</f>
        <v>icon_battle_critical</v>
      </c>
      <c r="O723" s="26" t="str">
        <f>_xlfn.IFNA(VLOOKUP($M723,Buff.CM!$A:$O,14,FALSE),"")</f>
        <v>Buff.Name.CriticalResist.Down.03</v>
      </c>
      <c r="P723" s="26" t="str">
        <f>_xlfn.IFNA(VLOOKUP($M723,Buff.CM!$A:$O,15,FALSE),"")</f>
        <v>Buff.Desc.CriticalResist.Down.03</v>
      </c>
      <c r="Q723" s="26" t="b">
        <v>0</v>
      </c>
      <c r="R723" s="26" t="b">
        <v>0</v>
      </c>
    </row>
    <row r="724" spans="1:18">
      <c r="A724" s="26" t="s">
        <v>1840</v>
      </c>
      <c r="B724" s="26"/>
      <c r="C724" s="26"/>
      <c r="D724" s="26">
        <v>5000</v>
      </c>
      <c r="E724" s="26">
        <v>0</v>
      </c>
      <c r="F724" s="26">
        <v>0</v>
      </c>
      <c r="G724" s="26" t="s">
        <v>1601</v>
      </c>
      <c r="H724" s="26"/>
      <c r="I724" s="26" t="b">
        <v>0</v>
      </c>
      <c r="J724" s="26" t="b">
        <v>0</v>
      </c>
      <c r="K724" s="26" t="b">
        <v>0</v>
      </c>
      <c r="L724" s="26" t="s">
        <v>175</v>
      </c>
      <c r="M724" s="26" t="s">
        <v>1601</v>
      </c>
      <c r="N724" s="26" t="str">
        <f>_xlfn.IFNA(VLOOKUP($M724,Buff.CM!$A:$O,13,FALSE),"")</f>
        <v>icon_battle_critical</v>
      </c>
      <c r="O724" s="26" t="str">
        <f>_xlfn.IFNA(VLOOKUP($M724,Buff.CM!$A:$O,14,FALSE),"")</f>
        <v>Buff.Name.CriticalResist.Down.04</v>
      </c>
      <c r="P724" s="26" t="str">
        <f>_xlfn.IFNA(VLOOKUP($M724,Buff.CM!$A:$O,15,FALSE),"")</f>
        <v>Buff.Desc.CriticalResist.Down.04</v>
      </c>
      <c r="Q724" s="26" t="b">
        <v>0</v>
      </c>
      <c r="R724" s="26" t="b">
        <v>0</v>
      </c>
    </row>
    <row r="725" spans="1:18">
      <c r="A725" s="26" t="s">
        <v>7069</v>
      </c>
      <c r="B725" s="26"/>
      <c r="C725" s="26"/>
      <c r="D725" s="26">
        <v>6000</v>
      </c>
      <c r="E725" s="26">
        <v>0</v>
      </c>
      <c r="F725" s="26">
        <v>0</v>
      </c>
      <c r="G725" s="26" t="s">
        <v>1601</v>
      </c>
      <c r="H725" s="26"/>
      <c r="I725" s="26" t="b">
        <v>0</v>
      </c>
      <c r="J725" s="26" t="b">
        <v>0</v>
      </c>
      <c r="K725" s="26" t="b">
        <v>0</v>
      </c>
      <c r="L725" s="26" t="s">
        <v>175</v>
      </c>
      <c r="M725" s="26" t="s">
        <v>1601</v>
      </c>
      <c r="N725" s="26" t="str">
        <f>_xlfn.IFNA(VLOOKUP($M725,Buff.CM!$A:$O,13,FALSE),"")</f>
        <v>icon_battle_critical</v>
      </c>
      <c r="O725" s="26" t="str">
        <f>_xlfn.IFNA(VLOOKUP($M725,Buff.CM!$A:$O,14,FALSE),"")</f>
        <v>Buff.Name.CriticalResist.Down.04</v>
      </c>
      <c r="P725" s="26" t="str">
        <f>_xlfn.IFNA(VLOOKUP($M725,Buff.CM!$A:$O,15,FALSE),"")</f>
        <v>Buff.Desc.CriticalResist.Down.04</v>
      </c>
      <c r="Q725" s="26" t="b">
        <v>0</v>
      </c>
      <c r="R725" s="26" t="b">
        <v>0</v>
      </c>
    </row>
    <row r="726" spans="1:18">
      <c r="A726" s="34" t="s">
        <v>1841</v>
      </c>
      <c r="B726" s="34"/>
      <c r="C726" s="34"/>
      <c r="D726" s="34">
        <v>5000</v>
      </c>
      <c r="E726" s="34">
        <v>0</v>
      </c>
      <c r="F726" s="34">
        <v>0</v>
      </c>
      <c r="G726" s="34" t="s">
        <v>1601</v>
      </c>
      <c r="H726" s="34"/>
      <c r="I726" s="34" t="b">
        <v>0</v>
      </c>
      <c r="J726" s="34" t="b">
        <v>0</v>
      </c>
      <c r="K726" s="34" t="b">
        <v>0</v>
      </c>
      <c r="L726" s="34" t="s">
        <v>175</v>
      </c>
      <c r="M726" s="34" t="s">
        <v>1601</v>
      </c>
      <c r="N726" s="34" t="str">
        <f>_xlfn.IFNA(VLOOKUP($M726,Buff.CM!$A:$O,13,FALSE),"")</f>
        <v>icon_battle_critical</v>
      </c>
      <c r="O726" s="34" t="str">
        <f>_xlfn.IFNA(VLOOKUP($M726,Buff.CM!$A:$O,14,FALSE),"")</f>
        <v>Buff.Name.CriticalResist.Down.04</v>
      </c>
      <c r="P726" s="34" t="str">
        <f>_xlfn.IFNA(VLOOKUP($M726,Buff.CM!$A:$O,15,FALSE),"")</f>
        <v>Buff.Desc.CriticalResist.Down.04</v>
      </c>
      <c r="Q726" s="34" t="b">
        <v>0</v>
      </c>
      <c r="R726" s="34" t="b">
        <v>0</v>
      </c>
    </row>
    <row r="727" spans="1:18">
      <c r="A727" s="34" t="s">
        <v>1842</v>
      </c>
      <c r="B727" s="34"/>
      <c r="C727" s="34"/>
      <c r="D727" s="34">
        <v>5000</v>
      </c>
      <c r="E727" s="34">
        <v>0</v>
      </c>
      <c r="F727" s="34">
        <v>0</v>
      </c>
      <c r="G727" s="34" t="s">
        <v>1601</v>
      </c>
      <c r="H727" s="34"/>
      <c r="I727" s="34" t="b">
        <v>0</v>
      </c>
      <c r="J727" s="34" t="b">
        <v>0</v>
      </c>
      <c r="K727" s="34" t="b">
        <v>0</v>
      </c>
      <c r="L727" s="34" t="s">
        <v>175</v>
      </c>
      <c r="M727" s="34" t="s">
        <v>1601</v>
      </c>
      <c r="N727" s="34" t="str">
        <f>_xlfn.IFNA(VLOOKUP($M727,Buff.CM!$A:$O,13,FALSE),"")</f>
        <v>icon_battle_critical</v>
      </c>
      <c r="O727" s="34" t="str">
        <f>_xlfn.IFNA(VLOOKUP($M727,Buff.CM!$A:$O,14,FALSE),"")</f>
        <v>Buff.Name.CriticalResist.Down.04</v>
      </c>
      <c r="P727" s="34" t="str">
        <f>_xlfn.IFNA(VLOOKUP($M727,Buff.CM!$A:$O,15,FALSE),"")</f>
        <v>Buff.Desc.CriticalResist.Down.04</v>
      </c>
      <c r="Q727" s="34" t="b">
        <v>0</v>
      </c>
      <c r="R727" s="34" t="b">
        <v>0</v>
      </c>
    </row>
    <row r="728" spans="1:18" s="13" customFormat="1">
      <c r="A728" s="34" t="s">
        <v>741</v>
      </c>
      <c r="B728" s="34"/>
      <c r="C728" s="34"/>
      <c r="D728" s="34">
        <v>8000</v>
      </c>
      <c r="E728" s="34">
        <v>0</v>
      </c>
      <c r="F728" s="34">
        <v>0</v>
      </c>
      <c r="G728" s="34" t="s">
        <v>742</v>
      </c>
      <c r="H728" s="34"/>
      <c r="I728" s="34" t="b">
        <v>0</v>
      </c>
      <c r="J728" s="34" t="b">
        <v>0</v>
      </c>
      <c r="K728" s="34" t="b">
        <v>1</v>
      </c>
      <c r="L728" s="34" t="s">
        <v>66</v>
      </c>
      <c r="M728" s="34" t="s">
        <v>5543</v>
      </c>
      <c r="N728" s="34" t="str">
        <f>_xlfn.IFNA(VLOOKUP($M728,Buff.CM!$A:$O,13,FALSE),"")</f>
        <v>icon_battle_attack</v>
      </c>
      <c r="O728" s="34" t="str">
        <f>_xlfn.IFNA(VLOOKUP($M728,Buff.CM!$A:$O,14,FALSE),"")</f>
        <v>Buff.Name.Atk.Up.00</v>
      </c>
      <c r="P728" s="34" t="str">
        <f>_xlfn.IFNA(VLOOKUP($M728,Buff.CM!$A:$O,15,FALSE),"")</f>
        <v>Buff.Desc.Atk.Up.00</v>
      </c>
      <c r="Q728" s="34" t="b">
        <v>0</v>
      </c>
      <c r="R728" s="34" t="b">
        <v>0</v>
      </c>
    </row>
    <row r="729" spans="1:18">
      <c r="A729" s="23" t="s">
        <v>743</v>
      </c>
      <c r="B729" s="23"/>
      <c r="C729" s="23"/>
      <c r="D729" s="23">
        <v>8000</v>
      </c>
      <c r="E729" s="23">
        <v>0</v>
      </c>
      <c r="F729" s="23">
        <v>0</v>
      </c>
      <c r="G729" s="23" t="s">
        <v>744</v>
      </c>
      <c r="H729" s="23"/>
      <c r="I729" s="23" t="b">
        <v>0</v>
      </c>
      <c r="J729" s="23" t="b">
        <v>0</v>
      </c>
      <c r="K729" s="23" t="b">
        <v>1</v>
      </c>
      <c r="L729" s="23" t="s">
        <v>66</v>
      </c>
      <c r="M729" s="23" t="s">
        <v>5543</v>
      </c>
      <c r="N729" s="23" t="str">
        <f>_xlfn.IFNA(VLOOKUP($M729,Buff.CM!$A:$O,13,FALSE),"")</f>
        <v>icon_battle_attack</v>
      </c>
      <c r="O729" s="23" t="str">
        <f>_xlfn.IFNA(VLOOKUP($M729,Buff.CM!$A:$O,14,FALSE),"")</f>
        <v>Buff.Name.Atk.Up.00</v>
      </c>
      <c r="P729" s="23" t="str">
        <f>_xlfn.IFNA(VLOOKUP($M729,Buff.CM!$A:$O,15,FALSE),"")</f>
        <v>Buff.Desc.Atk.Up.00</v>
      </c>
      <c r="Q729" s="23" t="b">
        <v>0</v>
      </c>
      <c r="R729" s="23" t="b">
        <v>0</v>
      </c>
    </row>
    <row r="730" spans="1:18">
      <c r="A730" s="23" t="s">
        <v>745</v>
      </c>
      <c r="B730" s="23"/>
      <c r="C730" s="23"/>
      <c r="D730" s="23">
        <v>8000</v>
      </c>
      <c r="E730" s="23">
        <v>0</v>
      </c>
      <c r="F730" s="23">
        <v>0</v>
      </c>
      <c r="G730" s="23" t="s">
        <v>746</v>
      </c>
      <c r="H730" s="23"/>
      <c r="I730" s="23" t="b">
        <v>0</v>
      </c>
      <c r="J730" s="23" t="b">
        <v>0</v>
      </c>
      <c r="K730" s="23" t="b">
        <v>1</v>
      </c>
      <c r="L730" s="23" t="s">
        <v>66</v>
      </c>
      <c r="M730" s="23" t="s">
        <v>5543</v>
      </c>
      <c r="N730" s="23" t="str">
        <f>_xlfn.IFNA(VLOOKUP($M730,Buff.CM!$A:$O,13,FALSE),"")</f>
        <v>icon_battle_attack</v>
      </c>
      <c r="O730" s="23" t="str">
        <f>_xlfn.IFNA(VLOOKUP($M730,Buff.CM!$A:$O,14,FALSE),"")</f>
        <v>Buff.Name.Atk.Up.00</v>
      </c>
      <c r="P730" s="23" t="str">
        <f>_xlfn.IFNA(VLOOKUP($M730,Buff.CM!$A:$O,15,FALSE),"")</f>
        <v>Buff.Desc.Atk.Up.00</v>
      </c>
      <c r="Q730" s="23" t="b">
        <v>0</v>
      </c>
      <c r="R730" s="23" t="b">
        <v>0</v>
      </c>
    </row>
    <row r="731" spans="1:18">
      <c r="A731" s="23" t="s">
        <v>747</v>
      </c>
      <c r="B731" s="23"/>
      <c r="C731" s="23"/>
      <c r="D731" s="23">
        <v>8000</v>
      </c>
      <c r="E731" s="23">
        <v>0</v>
      </c>
      <c r="F731" s="23">
        <v>0</v>
      </c>
      <c r="G731" s="23" t="s">
        <v>748</v>
      </c>
      <c r="H731" s="23"/>
      <c r="I731" s="23" t="b">
        <v>0</v>
      </c>
      <c r="J731" s="23" t="b">
        <v>0</v>
      </c>
      <c r="K731" s="23" t="b">
        <v>1</v>
      </c>
      <c r="L731" s="23" t="s">
        <v>66</v>
      </c>
      <c r="M731" s="23" t="s">
        <v>5543</v>
      </c>
      <c r="N731" s="23" t="str">
        <f>_xlfn.IFNA(VLOOKUP($M731,Buff.CM!$A:$O,13,FALSE),"")</f>
        <v>icon_battle_attack</v>
      </c>
      <c r="O731" s="23" t="str">
        <f>_xlfn.IFNA(VLOOKUP($M731,Buff.CM!$A:$O,14,FALSE),"")</f>
        <v>Buff.Name.Atk.Up.00</v>
      </c>
      <c r="P731" s="23" t="str">
        <f>_xlfn.IFNA(VLOOKUP($M731,Buff.CM!$A:$O,15,FALSE),"")</f>
        <v>Buff.Desc.Atk.Up.00</v>
      </c>
      <c r="Q731" s="23" t="b">
        <v>0</v>
      </c>
      <c r="R731" s="23" t="b">
        <v>0</v>
      </c>
    </row>
    <row r="732" spans="1:18">
      <c r="A732" s="34" t="s">
        <v>749</v>
      </c>
      <c r="B732" s="34"/>
      <c r="C732" s="34"/>
      <c r="D732" s="34">
        <v>10000</v>
      </c>
      <c r="E732" s="34">
        <v>0</v>
      </c>
      <c r="F732" s="34">
        <v>0</v>
      </c>
      <c r="G732" s="34" t="s">
        <v>750</v>
      </c>
      <c r="H732" s="34"/>
      <c r="I732" s="34" t="b">
        <v>0</v>
      </c>
      <c r="J732" s="34" t="b">
        <v>0</v>
      </c>
      <c r="K732" s="34" t="b">
        <v>1</v>
      </c>
      <c r="L732" s="34" t="s">
        <v>66</v>
      </c>
      <c r="M732" s="34" t="s">
        <v>5543</v>
      </c>
      <c r="N732" s="34" t="str">
        <f>_xlfn.IFNA(VLOOKUP($M732,Buff.CM!$A:$O,13,FALSE),"")</f>
        <v>icon_battle_attack</v>
      </c>
      <c r="O732" s="34" t="str">
        <f>_xlfn.IFNA(VLOOKUP($M732,Buff.CM!$A:$O,14,FALSE),"")</f>
        <v>Buff.Name.Atk.Up.00</v>
      </c>
      <c r="P732" s="34" t="str">
        <f>_xlfn.IFNA(VLOOKUP($M732,Buff.CM!$A:$O,15,FALSE),"")</f>
        <v>Buff.Desc.Atk.Up.00</v>
      </c>
      <c r="Q732" s="34" t="b">
        <v>0</v>
      </c>
      <c r="R732" s="34" t="b">
        <v>0</v>
      </c>
    </row>
    <row r="733" spans="1:18">
      <c r="A733" s="34" t="s">
        <v>751</v>
      </c>
      <c r="B733" s="34"/>
      <c r="C733" s="34"/>
      <c r="D733" s="34">
        <v>10000</v>
      </c>
      <c r="E733" s="34">
        <v>0</v>
      </c>
      <c r="F733" s="34">
        <v>0</v>
      </c>
      <c r="G733" s="34" t="s">
        <v>752</v>
      </c>
      <c r="H733" s="34"/>
      <c r="I733" s="34" t="b">
        <v>0</v>
      </c>
      <c r="J733" s="34" t="b">
        <v>0</v>
      </c>
      <c r="K733" s="34" t="b">
        <v>1</v>
      </c>
      <c r="L733" s="34" t="s">
        <v>66</v>
      </c>
      <c r="M733" s="34" t="s">
        <v>5543</v>
      </c>
      <c r="N733" s="34" t="str">
        <f>_xlfn.IFNA(VLOOKUP($M733,Buff.CM!$A:$O,13,FALSE),"")</f>
        <v>icon_battle_attack</v>
      </c>
      <c r="O733" s="34" t="str">
        <f>_xlfn.IFNA(VLOOKUP($M733,Buff.CM!$A:$O,14,FALSE),"")</f>
        <v>Buff.Name.Atk.Up.00</v>
      </c>
      <c r="P733" s="34" t="str">
        <f>_xlfn.IFNA(VLOOKUP($M733,Buff.CM!$A:$O,15,FALSE),"")</f>
        <v>Buff.Desc.Atk.Up.00</v>
      </c>
      <c r="Q733" s="34" t="b">
        <v>0</v>
      </c>
      <c r="R733" s="34" t="b">
        <v>0</v>
      </c>
    </row>
    <row r="734" spans="1:18" s="13" customFormat="1">
      <c r="A734" s="34" t="s">
        <v>753</v>
      </c>
      <c r="B734" s="34"/>
      <c r="C734" s="34"/>
      <c r="D734" s="34">
        <v>0</v>
      </c>
      <c r="E734" s="34">
        <v>0</v>
      </c>
      <c r="F734" s="34">
        <v>0</v>
      </c>
      <c r="G734" s="34" t="s">
        <v>754</v>
      </c>
      <c r="H734" s="34"/>
      <c r="I734" s="34" t="b">
        <v>0</v>
      </c>
      <c r="J734" s="34" t="b">
        <v>1</v>
      </c>
      <c r="K734" s="34" t="b">
        <v>1</v>
      </c>
      <c r="L734" s="34"/>
      <c r="M734" s="34"/>
      <c r="N734" s="34" t="str">
        <f>_xlfn.IFNA(VLOOKUP($M734,Buff.CM!$A:$O,13,FALSE),"")</f>
        <v/>
      </c>
      <c r="O734" s="34" t="str">
        <f>_xlfn.IFNA(VLOOKUP($M734,Buff.CM!$A:$O,14,FALSE),"")</f>
        <v/>
      </c>
      <c r="P734" s="34" t="str">
        <f>_xlfn.IFNA(VLOOKUP($M734,Buff.CM!$A:$O,15,FALSE),"")</f>
        <v/>
      </c>
      <c r="Q734" s="34" t="b">
        <v>0</v>
      </c>
      <c r="R734" s="34" t="b">
        <v>0</v>
      </c>
    </row>
    <row r="735" spans="1:18">
      <c r="A735" s="24" t="s">
        <v>755</v>
      </c>
      <c r="B735" s="24"/>
      <c r="C735" s="24"/>
      <c r="D735" s="24">
        <v>0</v>
      </c>
      <c r="E735" s="24">
        <v>0</v>
      </c>
      <c r="F735" s="24">
        <v>0</v>
      </c>
      <c r="G735" s="24" t="s">
        <v>756</v>
      </c>
      <c r="H735" s="24"/>
      <c r="I735" s="24" t="b">
        <v>0</v>
      </c>
      <c r="J735" s="23" t="b">
        <v>1</v>
      </c>
      <c r="K735" s="24" t="b">
        <v>1</v>
      </c>
      <c r="L735" s="24"/>
      <c r="M735" s="24"/>
      <c r="N735" s="24" t="str">
        <f>_xlfn.IFNA(VLOOKUP($M735,Buff.CM!$A:$O,13,FALSE),"")</f>
        <v/>
      </c>
      <c r="O735" s="24" t="str">
        <f>_xlfn.IFNA(VLOOKUP($M735,Buff.CM!$A:$O,14,FALSE),"")</f>
        <v/>
      </c>
      <c r="P735" s="24" t="str">
        <f>_xlfn.IFNA(VLOOKUP($M735,Buff.CM!$A:$O,15,FALSE),"")</f>
        <v/>
      </c>
      <c r="Q735" s="24" t="b">
        <v>0</v>
      </c>
      <c r="R735" s="24" t="b">
        <v>0</v>
      </c>
    </row>
    <row r="736" spans="1:18">
      <c r="A736" s="24" t="s">
        <v>757</v>
      </c>
      <c r="B736" s="24"/>
      <c r="C736" s="24"/>
      <c r="D736" s="24">
        <v>0</v>
      </c>
      <c r="E736" s="24">
        <v>0</v>
      </c>
      <c r="F736" s="24">
        <v>0</v>
      </c>
      <c r="G736" s="24" t="s">
        <v>758</v>
      </c>
      <c r="H736" s="24"/>
      <c r="I736" s="24" t="b">
        <v>0</v>
      </c>
      <c r="J736" s="23" t="b">
        <v>1</v>
      </c>
      <c r="K736" s="24" t="b">
        <v>1</v>
      </c>
      <c r="L736" s="24"/>
      <c r="M736" s="24"/>
      <c r="N736" s="24" t="str">
        <f>_xlfn.IFNA(VLOOKUP($M736,Buff.CM!$A:$O,13,FALSE),"")</f>
        <v/>
      </c>
      <c r="O736" s="24" t="str">
        <f>_xlfn.IFNA(VLOOKUP($M736,Buff.CM!$A:$O,14,FALSE),"")</f>
        <v/>
      </c>
      <c r="P736" s="24" t="str">
        <f>_xlfn.IFNA(VLOOKUP($M736,Buff.CM!$A:$O,15,FALSE),"")</f>
        <v/>
      </c>
      <c r="Q736" s="24" t="b">
        <v>0</v>
      </c>
      <c r="R736" s="24" t="b">
        <v>0</v>
      </c>
    </row>
    <row r="737" spans="1:18">
      <c r="A737" s="24" t="s">
        <v>759</v>
      </c>
      <c r="B737" s="24"/>
      <c r="C737" s="24"/>
      <c r="D737" s="24">
        <v>0</v>
      </c>
      <c r="E737" s="24">
        <v>0</v>
      </c>
      <c r="F737" s="24">
        <v>0</v>
      </c>
      <c r="G737" s="24" t="s">
        <v>760</v>
      </c>
      <c r="H737" s="24"/>
      <c r="I737" s="24" t="b">
        <v>0</v>
      </c>
      <c r="J737" s="23" t="b">
        <v>1</v>
      </c>
      <c r="K737" s="24" t="b">
        <v>1</v>
      </c>
      <c r="L737" s="24"/>
      <c r="M737" s="24"/>
      <c r="N737" s="24" t="str">
        <f>_xlfn.IFNA(VLOOKUP($M737,Buff.CM!$A:$O,13,FALSE),"")</f>
        <v/>
      </c>
      <c r="O737" s="24" t="str">
        <f>_xlfn.IFNA(VLOOKUP($M737,Buff.CM!$A:$O,14,FALSE),"")</f>
        <v/>
      </c>
      <c r="P737" s="24" t="str">
        <f>_xlfn.IFNA(VLOOKUP($M737,Buff.CM!$A:$O,15,FALSE),"")</f>
        <v/>
      </c>
      <c r="Q737" s="24" t="b">
        <v>0</v>
      </c>
      <c r="R737" s="24" t="b">
        <v>0</v>
      </c>
    </row>
    <row r="738" spans="1:18">
      <c r="A738" s="34" t="s">
        <v>761</v>
      </c>
      <c r="B738" s="34"/>
      <c r="C738" s="34"/>
      <c r="D738" s="34">
        <v>0</v>
      </c>
      <c r="E738" s="34">
        <v>0</v>
      </c>
      <c r="F738" s="34">
        <v>0</v>
      </c>
      <c r="G738" s="34" t="s">
        <v>762</v>
      </c>
      <c r="H738" s="34"/>
      <c r="I738" s="34" t="b">
        <v>0</v>
      </c>
      <c r="J738" s="23" t="b">
        <v>1</v>
      </c>
      <c r="K738" s="34" t="b">
        <v>1</v>
      </c>
      <c r="L738" s="34"/>
      <c r="M738" s="34"/>
      <c r="N738" s="34" t="str">
        <f>_xlfn.IFNA(VLOOKUP($M738,Buff.CM!$A:$O,13,FALSE),"")</f>
        <v/>
      </c>
      <c r="O738" s="34" t="str">
        <f>_xlfn.IFNA(VLOOKUP($M738,Buff.CM!$A:$O,14,FALSE),"")</f>
        <v/>
      </c>
      <c r="P738" s="34" t="str">
        <f>_xlfn.IFNA(VLOOKUP($M738,Buff.CM!$A:$O,15,FALSE),"")</f>
        <v/>
      </c>
      <c r="Q738" s="34" t="b">
        <v>0</v>
      </c>
      <c r="R738" s="34" t="b">
        <v>0</v>
      </c>
    </row>
    <row r="739" spans="1:18">
      <c r="A739" s="34" t="s">
        <v>763</v>
      </c>
      <c r="B739" s="34"/>
      <c r="C739" s="34"/>
      <c r="D739" s="34">
        <v>0</v>
      </c>
      <c r="E739" s="34">
        <v>0</v>
      </c>
      <c r="F739" s="34">
        <v>0</v>
      </c>
      <c r="G739" s="34" t="s">
        <v>764</v>
      </c>
      <c r="H739" s="34"/>
      <c r="I739" s="34" t="b">
        <v>0</v>
      </c>
      <c r="J739" s="23" t="b">
        <v>1</v>
      </c>
      <c r="K739" s="34" t="b">
        <v>1</v>
      </c>
      <c r="L739" s="34"/>
      <c r="M739" s="34"/>
      <c r="N739" s="34" t="str">
        <f>_xlfn.IFNA(VLOOKUP($M739,Buff.CM!$A:$O,13,FALSE),"")</f>
        <v/>
      </c>
      <c r="O739" s="34" t="str">
        <f>_xlfn.IFNA(VLOOKUP($M739,Buff.CM!$A:$O,14,FALSE),"")</f>
        <v/>
      </c>
      <c r="P739" s="34" t="str">
        <f>_xlfn.IFNA(VLOOKUP($M739,Buff.CM!$A:$O,15,FALSE),"")</f>
        <v/>
      </c>
      <c r="Q739" s="34" t="b">
        <v>0</v>
      </c>
      <c r="R739" s="34" t="b">
        <v>0</v>
      </c>
    </row>
    <row r="740" spans="1:18">
      <c r="A740" s="34" t="s">
        <v>1014</v>
      </c>
      <c r="B740" s="34"/>
      <c r="C740" s="34"/>
      <c r="D740" s="34">
        <v>4000</v>
      </c>
      <c r="E740" s="34">
        <v>0</v>
      </c>
      <c r="F740" s="34">
        <v>0</v>
      </c>
      <c r="G740" s="34" t="s">
        <v>4397</v>
      </c>
      <c r="H740" s="34"/>
      <c r="I740" s="34" t="b">
        <v>0</v>
      </c>
      <c r="J740" s="23" t="b">
        <v>0</v>
      </c>
      <c r="K740" s="34" t="b">
        <v>0</v>
      </c>
      <c r="L740" s="34" t="s">
        <v>175</v>
      </c>
      <c r="M740" s="34"/>
      <c r="N740" s="34" t="str">
        <f>_xlfn.IFNA(VLOOKUP($M740,Buff.CM!$A:$O,13,FALSE),"")</f>
        <v/>
      </c>
      <c r="O740" s="34" t="str">
        <f>_xlfn.IFNA(VLOOKUP($M740,Buff.CM!$A:$O,14,FALSE),"")</f>
        <v/>
      </c>
      <c r="P740" s="34" t="str">
        <f>_xlfn.IFNA(VLOOKUP($M740,Buff.CM!$A:$O,15,FALSE),"")</f>
        <v/>
      </c>
      <c r="Q740" s="34" t="b">
        <v>0</v>
      </c>
      <c r="R740" s="34" t="b">
        <v>0</v>
      </c>
    </row>
    <row r="741" spans="1:18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</row>
  </sheetData>
  <phoneticPr fontId="3" type="noConversion"/>
  <conditionalFormatting sqref="A1:A1048576">
    <cfRule type="duplicateValues" dxfId="162" priority="109"/>
  </conditionalFormatting>
  <conditionalFormatting sqref="A1:XFD4 S177:XFD188 S190:XFD195 S199:XFD224 A741:XFD1048576 S226:XFD740 S5:XFD170">
    <cfRule type="containsText" dxfId="161" priority="104" operator="containsText" text="debuff">
      <formula>NOT(ISERROR(SEARCH("debuff",A1)))</formula>
    </cfRule>
  </conditionalFormatting>
  <conditionalFormatting sqref="A1:XFD1048576">
    <cfRule type="cellIs" dxfId="160" priority="102" operator="equal">
      <formula>"Single"</formula>
    </cfRule>
    <cfRule type="cellIs" dxfId="159" priority="103" operator="equal">
      <formula>"Self"</formula>
    </cfRule>
    <cfRule type="cellIs" dxfId="158" priority="105" operator="equal">
      <formula>FALSE</formula>
    </cfRule>
    <cfRule type="cellIs" dxfId="157" priority="106" operator="equal">
      <formula>TRUE</formula>
    </cfRule>
    <cfRule type="cellIs" dxfId="156" priority="107" operator="equal">
      <formula>0</formula>
    </cfRule>
    <cfRule type="containsBlanks" dxfId="155" priority="108">
      <formula>LEN(TRIM(A1))=0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>
          <x14:formula1>
            <xm:f>'C:\Users\sukhoonsuh\Desktop\기획\서석훈\1.29 라이브 시작!!\[202_Buff_Character_.xlsx]Buff.CM'!#REF!</xm:f>
          </x14:formula1>
          <xm:sqref>M68:M73</xm:sqref>
        </x14:dataValidation>
        <x14:dataValidation type="list" showInputMessage="1" showErrorMessage="1">
          <x14:formula1>
            <xm:f>Buff.CM!$A:$A</xm:f>
          </x14:formula1>
          <xm:sqref>M5:M67 M74:M1048576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74"/>
  <sheetViews>
    <sheetView zoomScale="85" zoomScaleNormal="85" workbookViewId="0">
      <pane xSplit="1" ySplit="4" topLeftCell="L509" activePane="bottomRight" state="frozen"/>
      <selection pane="topRight" activeCell="B1" sqref="B1"/>
      <selection pane="bottomLeft" activeCell="A4" sqref="A4"/>
      <selection pane="bottomRight" activeCell="M525" sqref="M525"/>
    </sheetView>
  </sheetViews>
  <sheetFormatPr defaultColWidth="79.625" defaultRowHeight="16.5"/>
  <cols>
    <col min="1" max="1" width="60.25" bestFit="1" customWidth="1"/>
    <col min="2" max="2" width="16.625" bestFit="1" customWidth="1"/>
    <col min="3" max="3" width="52.375" bestFit="1" customWidth="1"/>
    <col min="4" max="4" width="10.125" bestFit="1" customWidth="1"/>
    <col min="5" max="5" width="18.125" bestFit="1" customWidth="1"/>
    <col min="6" max="6" width="15.5" bestFit="1" customWidth="1"/>
    <col min="7" max="7" width="9.375" bestFit="1" customWidth="1"/>
    <col min="8" max="8" width="10.25" bestFit="1" customWidth="1"/>
    <col min="9" max="9" width="12.375" bestFit="1" customWidth="1"/>
    <col min="10" max="10" width="21.375" bestFit="1" customWidth="1"/>
    <col min="11" max="11" width="51.5" bestFit="1" customWidth="1"/>
    <col min="12" max="12" width="57.75" bestFit="1" customWidth="1"/>
    <col min="13" max="13" width="22.75" bestFit="1" customWidth="1"/>
    <col min="14" max="14" width="81.375" bestFit="1" customWidth="1"/>
    <col min="15" max="15" width="9.125" bestFit="1" customWidth="1"/>
    <col min="16" max="16" width="9" bestFit="1" customWidth="1"/>
    <col min="17" max="17" width="18.875" bestFit="1" customWidth="1"/>
    <col min="18" max="18" width="9" bestFit="1" customWidth="1"/>
  </cols>
  <sheetData>
    <row r="1" spans="1:18" ht="33">
      <c r="A1" s="1" t="s">
        <v>0</v>
      </c>
      <c r="B1" s="3" t="s">
        <v>1</v>
      </c>
      <c r="C1" s="3" t="s">
        <v>2</v>
      </c>
      <c r="D1" s="3" t="s">
        <v>1322</v>
      </c>
      <c r="E1" s="3" t="s">
        <v>1326</v>
      </c>
      <c r="F1" s="4" t="s">
        <v>178</v>
      </c>
      <c r="G1" s="4" t="s">
        <v>765</v>
      </c>
      <c r="H1" s="4" t="s">
        <v>180</v>
      </c>
      <c r="I1" s="4" t="s">
        <v>181</v>
      </c>
      <c r="J1" s="63" t="s">
        <v>834</v>
      </c>
      <c r="K1" s="63" t="s">
        <v>180</v>
      </c>
      <c r="L1" s="63" t="s">
        <v>835</v>
      </c>
      <c r="M1" s="63" t="s">
        <v>836</v>
      </c>
      <c r="N1" s="8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>
      <c r="A2" s="1" t="s">
        <v>17</v>
      </c>
      <c r="B2" s="3" t="s">
        <v>18</v>
      </c>
      <c r="C2" s="3" t="s">
        <v>19</v>
      </c>
      <c r="D2" s="3" t="s">
        <v>1320</v>
      </c>
      <c r="E2" s="3" t="s">
        <v>1318</v>
      </c>
      <c r="F2" s="4" t="s">
        <v>187</v>
      </c>
      <c r="G2" s="4" t="s">
        <v>188</v>
      </c>
      <c r="H2" s="4" t="s">
        <v>189</v>
      </c>
      <c r="I2" s="4" t="s">
        <v>190</v>
      </c>
      <c r="J2" s="63" t="s">
        <v>6814</v>
      </c>
      <c r="K2" s="63" t="s">
        <v>6815</v>
      </c>
      <c r="L2" s="63" t="s">
        <v>6816</v>
      </c>
      <c r="M2" s="63" t="s">
        <v>6817</v>
      </c>
      <c r="N2" s="8" t="s">
        <v>191</v>
      </c>
      <c r="O2" s="1" t="s">
        <v>192</v>
      </c>
      <c r="P2" s="1" t="s">
        <v>193</v>
      </c>
      <c r="Q2" s="1" t="s">
        <v>30</v>
      </c>
      <c r="R2" s="1" t="s">
        <v>194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3" t="s">
        <v>1324</v>
      </c>
      <c r="F3" s="4" t="s">
        <v>187</v>
      </c>
      <c r="G3" s="4" t="s">
        <v>188</v>
      </c>
      <c r="H3" s="4" t="s">
        <v>195</v>
      </c>
      <c r="I3" s="4" t="s">
        <v>37</v>
      </c>
      <c r="J3" s="63" t="s">
        <v>6818</v>
      </c>
      <c r="K3" s="63" t="s">
        <v>6819</v>
      </c>
      <c r="L3" s="63" t="s">
        <v>6819</v>
      </c>
      <c r="M3" s="63" t="s">
        <v>6819</v>
      </c>
      <c r="N3" s="8" t="s">
        <v>196</v>
      </c>
      <c r="O3" s="1" t="s">
        <v>37</v>
      </c>
      <c r="P3" s="1" t="s">
        <v>37</v>
      </c>
      <c r="Q3" s="1" t="s">
        <v>36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3" t="s">
        <v>42</v>
      </c>
      <c r="F4" s="4" t="s">
        <v>42</v>
      </c>
      <c r="G4" s="4" t="s">
        <v>42</v>
      </c>
      <c r="H4" s="4" t="s">
        <v>42</v>
      </c>
      <c r="I4" s="4" t="s">
        <v>42</v>
      </c>
      <c r="J4" s="63" t="s">
        <v>883</v>
      </c>
      <c r="K4" s="63" t="s">
        <v>883</v>
      </c>
      <c r="L4" s="63" t="s">
        <v>883</v>
      </c>
      <c r="M4" s="63" t="s">
        <v>883</v>
      </c>
      <c r="N4" s="8" t="s">
        <v>42</v>
      </c>
      <c r="O4" s="1" t="s">
        <v>42</v>
      </c>
      <c r="P4" s="1" t="s">
        <v>42</v>
      </c>
      <c r="Q4" s="1" t="s">
        <v>43</v>
      </c>
      <c r="R4" s="1" t="s">
        <v>42</v>
      </c>
    </row>
    <row r="5" spans="1:18" s="155" customFormat="1">
      <c r="A5" s="6" t="s">
        <v>8408</v>
      </c>
      <c r="B5" s="6"/>
      <c r="C5" s="6"/>
      <c r="D5" s="6">
        <v>0</v>
      </c>
      <c r="E5" s="6">
        <v>1</v>
      </c>
      <c r="F5" s="6" t="s">
        <v>197</v>
      </c>
      <c r="G5" s="6" t="s">
        <v>198</v>
      </c>
      <c r="H5" s="6"/>
      <c r="I5" s="6">
        <v>0</v>
      </c>
      <c r="J5" s="41" t="s">
        <v>838</v>
      </c>
      <c r="K5" s="127" t="s">
        <v>839</v>
      </c>
      <c r="L5" s="6">
        <v>-10</v>
      </c>
      <c r="M5" s="6"/>
      <c r="N5" s="6" t="str">
        <f t="shared" ref="N5:N45" si="0">J5&amp;"("&amp;IF(K5="","",K5)&amp;IF(L5="","",", "&amp;L5)&amp;IF(M5="","",", "&amp;M5)&amp;")"</f>
        <v>Status(DamageDerate, -10)</v>
      </c>
      <c r="O5" s="6">
        <v>0</v>
      </c>
      <c r="P5" s="6">
        <v>0</v>
      </c>
      <c r="Q5" s="6"/>
      <c r="R5" s="6" t="b">
        <v>1</v>
      </c>
    </row>
    <row r="6" spans="1:18" s="155" customFormat="1">
      <c r="A6" s="6" t="s">
        <v>7886</v>
      </c>
      <c r="B6" s="6"/>
      <c r="C6" s="6"/>
      <c r="D6" s="6">
        <v>0</v>
      </c>
      <c r="E6" s="6">
        <v>1</v>
      </c>
      <c r="F6" s="6" t="s">
        <v>197</v>
      </c>
      <c r="G6" s="6" t="s">
        <v>198</v>
      </c>
      <c r="H6" s="6"/>
      <c r="I6" s="6">
        <v>0</v>
      </c>
      <c r="J6" s="41" t="s">
        <v>838</v>
      </c>
      <c r="K6" s="127" t="s">
        <v>839</v>
      </c>
      <c r="L6" s="6">
        <v>-15</v>
      </c>
      <c r="M6" s="6"/>
      <c r="N6" s="6" t="str">
        <f t="shared" si="0"/>
        <v>Status(DamageDerate, -15)</v>
      </c>
      <c r="O6" s="6">
        <v>0</v>
      </c>
      <c r="P6" s="6">
        <v>0</v>
      </c>
      <c r="Q6" s="6"/>
      <c r="R6" s="6" t="b">
        <v>1</v>
      </c>
    </row>
    <row r="7" spans="1:18" s="155" customFormat="1">
      <c r="A7" s="6" t="s">
        <v>7887</v>
      </c>
      <c r="B7" s="6"/>
      <c r="C7" s="6"/>
      <c r="D7" s="6">
        <v>0</v>
      </c>
      <c r="E7" s="6">
        <v>1</v>
      </c>
      <c r="F7" s="6" t="s">
        <v>197</v>
      </c>
      <c r="G7" s="6" t="s">
        <v>198</v>
      </c>
      <c r="H7" s="6"/>
      <c r="I7" s="6">
        <v>0</v>
      </c>
      <c r="J7" s="41" t="s">
        <v>838</v>
      </c>
      <c r="K7" s="127" t="s">
        <v>839</v>
      </c>
      <c r="L7" s="6">
        <v>-20</v>
      </c>
      <c r="M7" s="6"/>
      <c r="N7" s="6" t="str">
        <f t="shared" si="0"/>
        <v>Status(DamageDerate, -20)</v>
      </c>
      <c r="O7" s="6">
        <v>0</v>
      </c>
      <c r="P7" s="6">
        <v>0</v>
      </c>
      <c r="Q7" s="6"/>
      <c r="R7" s="6" t="b">
        <v>1</v>
      </c>
    </row>
    <row r="8" spans="1:18" s="155" customFormat="1">
      <c r="A8" s="6" t="s">
        <v>7888</v>
      </c>
      <c r="B8" s="6"/>
      <c r="C8" s="6"/>
      <c r="D8" s="6">
        <v>0</v>
      </c>
      <c r="E8" s="6">
        <v>1</v>
      </c>
      <c r="F8" s="6" t="s">
        <v>197</v>
      </c>
      <c r="G8" s="6" t="s">
        <v>198</v>
      </c>
      <c r="H8" s="6"/>
      <c r="I8" s="6">
        <v>0</v>
      </c>
      <c r="J8" s="41" t="s">
        <v>838</v>
      </c>
      <c r="K8" s="127" t="s">
        <v>839</v>
      </c>
      <c r="L8" s="6">
        <v>-25</v>
      </c>
      <c r="M8" s="6"/>
      <c r="N8" s="6" t="str">
        <f t="shared" si="0"/>
        <v>Status(DamageDerate, -25)</v>
      </c>
      <c r="O8" s="6">
        <v>0</v>
      </c>
      <c r="P8" s="6">
        <v>0</v>
      </c>
      <c r="Q8" s="6"/>
      <c r="R8" s="6" t="b">
        <v>1</v>
      </c>
    </row>
    <row r="9" spans="1:18" s="155" customFormat="1">
      <c r="A9" s="6" t="s">
        <v>7889</v>
      </c>
      <c r="B9" s="6"/>
      <c r="C9" s="6"/>
      <c r="D9" s="6">
        <v>0</v>
      </c>
      <c r="E9" s="6">
        <v>1</v>
      </c>
      <c r="F9" s="6" t="s">
        <v>197</v>
      </c>
      <c r="G9" s="6" t="s">
        <v>198</v>
      </c>
      <c r="H9" s="6"/>
      <c r="I9" s="6">
        <v>0</v>
      </c>
      <c r="J9" s="41" t="s">
        <v>838</v>
      </c>
      <c r="K9" s="127" t="s">
        <v>839</v>
      </c>
      <c r="L9" s="6">
        <v>-30</v>
      </c>
      <c r="M9" s="6"/>
      <c r="N9" s="6" t="str">
        <f t="shared" si="0"/>
        <v>Status(DamageDerate, -30)</v>
      </c>
      <c r="O9" s="6">
        <v>0</v>
      </c>
      <c r="P9" s="6">
        <v>0</v>
      </c>
      <c r="Q9" s="6"/>
      <c r="R9" s="6" t="b">
        <v>1</v>
      </c>
    </row>
    <row r="10" spans="1:18" s="155" customFormat="1">
      <c r="A10" s="6" t="s">
        <v>7890</v>
      </c>
      <c r="B10" s="6"/>
      <c r="C10" s="6"/>
      <c r="D10" s="6">
        <v>0</v>
      </c>
      <c r="E10" s="6">
        <v>1</v>
      </c>
      <c r="F10" s="6" t="s">
        <v>197</v>
      </c>
      <c r="G10" s="6" t="s">
        <v>198</v>
      </c>
      <c r="H10" s="6"/>
      <c r="I10" s="6">
        <v>0</v>
      </c>
      <c r="J10" s="41" t="s">
        <v>838</v>
      </c>
      <c r="K10" s="127" t="s">
        <v>839</v>
      </c>
      <c r="L10" s="6">
        <v>-30</v>
      </c>
      <c r="M10" s="6"/>
      <c r="N10" s="6" t="str">
        <f t="shared" si="0"/>
        <v>Status(DamageDerate, -30)</v>
      </c>
      <c r="O10" s="6">
        <v>0</v>
      </c>
      <c r="P10" s="6">
        <v>0</v>
      </c>
      <c r="Q10" s="6"/>
      <c r="R10" s="6" t="b">
        <v>1</v>
      </c>
    </row>
    <row r="11" spans="1:18" s="155" customFormat="1">
      <c r="A11" s="6" t="s">
        <v>7891</v>
      </c>
      <c r="B11" s="6"/>
      <c r="C11" s="6"/>
      <c r="D11" s="6">
        <v>0</v>
      </c>
      <c r="E11" s="6">
        <v>1</v>
      </c>
      <c r="F11" s="6" t="s">
        <v>197</v>
      </c>
      <c r="G11" s="6" t="s">
        <v>198</v>
      </c>
      <c r="H11" s="6"/>
      <c r="I11" s="6">
        <v>0</v>
      </c>
      <c r="J11" s="41" t="s">
        <v>838</v>
      </c>
      <c r="K11" s="127" t="s">
        <v>839</v>
      </c>
      <c r="L11" s="6">
        <v>-30</v>
      </c>
      <c r="M11" s="6"/>
      <c r="N11" s="6" t="str">
        <f t="shared" si="0"/>
        <v>Status(DamageDerate, -30)</v>
      </c>
      <c r="O11" s="6">
        <v>0</v>
      </c>
      <c r="P11" s="6">
        <v>0</v>
      </c>
      <c r="Q11" s="6"/>
      <c r="R11" s="6" t="b">
        <v>1</v>
      </c>
    </row>
    <row r="12" spans="1:18" s="155" customFormat="1">
      <c r="A12" s="23" t="s">
        <v>8409</v>
      </c>
      <c r="B12" s="6"/>
      <c r="C12" s="6"/>
      <c r="D12" s="6">
        <v>0</v>
      </c>
      <c r="E12" s="6">
        <v>1</v>
      </c>
      <c r="F12" s="6" t="s">
        <v>197</v>
      </c>
      <c r="G12" s="6" t="s">
        <v>198</v>
      </c>
      <c r="H12" s="6"/>
      <c r="I12" s="6">
        <v>0</v>
      </c>
      <c r="J12" s="41" t="s">
        <v>838</v>
      </c>
      <c r="K12" s="130" t="s">
        <v>871</v>
      </c>
      <c r="L12" s="6">
        <v>-20</v>
      </c>
      <c r="M12" s="6"/>
      <c r="N12" s="6" t="str">
        <f t="shared" si="0"/>
        <v>Status(GuardRate, -20)</v>
      </c>
      <c r="O12" s="6">
        <v>0</v>
      </c>
      <c r="P12" s="6">
        <v>0</v>
      </c>
      <c r="Q12" s="6"/>
      <c r="R12" s="6" t="b">
        <v>1</v>
      </c>
    </row>
    <row r="13" spans="1:18" s="155" customFormat="1">
      <c r="A13" s="23" t="s">
        <v>7892</v>
      </c>
      <c r="B13" s="6"/>
      <c r="C13" s="6"/>
      <c r="D13" s="6">
        <v>0</v>
      </c>
      <c r="E13" s="6">
        <v>1</v>
      </c>
      <c r="F13" s="6" t="s">
        <v>197</v>
      </c>
      <c r="G13" s="6" t="s">
        <v>198</v>
      </c>
      <c r="H13" s="6"/>
      <c r="I13" s="6">
        <v>0</v>
      </c>
      <c r="J13" s="41" t="s">
        <v>838</v>
      </c>
      <c r="K13" s="130" t="s">
        <v>871</v>
      </c>
      <c r="L13" s="6">
        <v>-25</v>
      </c>
      <c r="M13" s="6"/>
      <c r="N13" s="6" t="str">
        <f t="shared" si="0"/>
        <v>Status(GuardRate, -25)</v>
      </c>
      <c r="O13" s="6">
        <v>0</v>
      </c>
      <c r="P13" s="6">
        <v>0</v>
      </c>
      <c r="Q13" s="6"/>
      <c r="R13" s="6" t="b">
        <v>1</v>
      </c>
    </row>
    <row r="14" spans="1:18" s="155" customFormat="1">
      <c r="A14" s="23" t="s">
        <v>7893</v>
      </c>
      <c r="B14" s="6"/>
      <c r="C14" s="6"/>
      <c r="D14" s="6">
        <v>0</v>
      </c>
      <c r="E14" s="6">
        <v>1</v>
      </c>
      <c r="F14" s="6" t="s">
        <v>197</v>
      </c>
      <c r="G14" s="6" t="s">
        <v>198</v>
      </c>
      <c r="H14" s="6"/>
      <c r="I14" s="6">
        <v>0</v>
      </c>
      <c r="J14" s="41" t="s">
        <v>838</v>
      </c>
      <c r="K14" s="130" t="s">
        <v>871</v>
      </c>
      <c r="L14" s="6">
        <v>-30</v>
      </c>
      <c r="M14" s="6"/>
      <c r="N14" s="6" t="str">
        <f t="shared" si="0"/>
        <v>Status(GuardRate, -30)</v>
      </c>
      <c r="O14" s="6">
        <v>0</v>
      </c>
      <c r="P14" s="6">
        <v>0</v>
      </c>
      <c r="Q14" s="6"/>
      <c r="R14" s="6" t="b">
        <v>1</v>
      </c>
    </row>
    <row r="15" spans="1:18" s="155" customFormat="1">
      <c r="A15" s="23" t="s">
        <v>7894</v>
      </c>
      <c r="B15" s="6"/>
      <c r="C15" s="6"/>
      <c r="D15" s="6">
        <v>0</v>
      </c>
      <c r="E15" s="6">
        <v>1</v>
      </c>
      <c r="F15" s="6" t="s">
        <v>197</v>
      </c>
      <c r="G15" s="6" t="s">
        <v>198</v>
      </c>
      <c r="H15" s="6"/>
      <c r="I15" s="6">
        <v>0</v>
      </c>
      <c r="J15" s="41" t="s">
        <v>838</v>
      </c>
      <c r="K15" s="130" t="s">
        <v>871</v>
      </c>
      <c r="L15" s="6">
        <v>-40</v>
      </c>
      <c r="M15" s="6"/>
      <c r="N15" s="6" t="str">
        <f t="shared" si="0"/>
        <v>Status(GuardRate, -40)</v>
      </c>
      <c r="O15" s="6">
        <v>0</v>
      </c>
      <c r="P15" s="6">
        <v>0</v>
      </c>
      <c r="Q15" s="6"/>
      <c r="R15" s="6" t="b">
        <v>1</v>
      </c>
    </row>
    <row r="16" spans="1:18" s="155" customFormat="1">
      <c r="A16" s="23" t="s">
        <v>7895</v>
      </c>
      <c r="B16" s="6"/>
      <c r="C16" s="6"/>
      <c r="D16" s="6">
        <v>0</v>
      </c>
      <c r="E16" s="6">
        <v>1</v>
      </c>
      <c r="F16" s="6" t="s">
        <v>197</v>
      </c>
      <c r="G16" s="6" t="s">
        <v>198</v>
      </c>
      <c r="H16" s="6"/>
      <c r="I16" s="6">
        <v>0</v>
      </c>
      <c r="J16" s="41" t="s">
        <v>838</v>
      </c>
      <c r="K16" s="130" t="s">
        <v>871</v>
      </c>
      <c r="L16" s="6">
        <v>-50</v>
      </c>
      <c r="M16" s="6"/>
      <c r="N16" s="6" t="str">
        <f t="shared" si="0"/>
        <v>Status(GuardRate, -50)</v>
      </c>
      <c r="O16" s="6">
        <v>0</v>
      </c>
      <c r="P16" s="6">
        <v>0</v>
      </c>
      <c r="Q16" s="6"/>
      <c r="R16" s="6" t="b">
        <v>1</v>
      </c>
    </row>
    <row r="17" spans="1:18" s="155" customFormat="1">
      <c r="A17" s="23" t="s">
        <v>7896</v>
      </c>
      <c r="B17" s="6"/>
      <c r="C17" s="6"/>
      <c r="D17" s="6">
        <v>0</v>
      </c>
      <c r="E17" s="6">
        <v>1</v>
      </c>
      <c r="F17" s="6" t="s">
        <v>197</v>
      </c>
      <c r="G17" s="6" t="s">
        <v>198</v>
      </c>
      <c r="H17" s="6"/>
      <c r="I17" s="6">
        <v>0</v>
      </c>
      <c r="J17" s="41" t="s">
        <v>838</v>
      </c>
      <c r="K17" s="130" t="s">
        <v>871</v>
      </c>
      <c r="L17" s="6">
        <v>-50</v>
      </c>
      <c r="M17" s="6"/>
      <c r="N17" s="6" t="str">
        <f t="shared" si="0"/>
        <v>Status(GuardRate, -50)</v>
      </c>
      <c r="O17" s="6">
        <v>0</v>
      </c>
      <c r="P17" s="6">
        <v>0</v>
      </c>
      <c r="Q17" s="6"/>
      <c r="R17" s="6" t="b">
        <v>1</v>
      </c>
    </row>
    <row r="18" spans="1:18" s="155" customFormat="1">
      <c r="A18" s="23" t="s">
        <v>7897</v>
      </c>
      <c r="B18" s="6"/>
      <c r="C18" s="6"/>
      <c r="D18" s="6">
        <v>0</v>
      </c>
      <c r="E18" s="6">
        <v>1</v>
      </c>
      <c r="F18" s="6" t="s">
        <v>197</v>
      </c>
      <c r="G18" s="6" t="s">
        <v>198</v>
      </c>
      <c r="H18" s="6"/>
      <c r="I18" s="6">
        <v>0</v>
      </c>
      <c r="J18" s="41" t="s">
        <v>838</v>
      </c>
      <c r="K18" s="130" t="s">
        <v>871</v>
      </c>
      <c r="L18" s="6">
        <v>-50</v>
      </c>
      <c r="M18" s="6"/>
      <c r="N18" s="6" t="str">
        <f t="shared" si="0"/>
        <v>Status(GuardRate, -50)</v>
      </c>
      <c r="O18" s="6">
        <v>0</v>
      </c>
      <c r="P18" s="6">
        <v>0</v>
      </c>
      <c r="Q18" s="6"/>
      <c r="R18" s="6" t="b">
        <v>1</v>
      </c>
    </row>
    <row r="19" spans="1:18" s="12" customFormat="1">
      <c r="A19" s="41" t="s">
        <v>7711</v>
      </c>
      <c r="B19" s="41" t="s">
        <v>8410</v>
      </c>
      <c r="C19" s="190" t="s">
        <v>8303</v>
      </c>
      <c r="D19" s="41">
        <v>0</v>
      </c>
      <c r="E19" s="41">
        <v>1</v>
      </c>
      <c r="F19" s="41" t="s">
        <v>197</v>
      </c>
      <c r="G19" s="41" t="s">
        <v>198</v>
      </c>
      <c r="H19" s="41"/>
      <c r="I19" s="41">
        <v>0</v>
      </c>
      <c r="J19" s="41" t="s">
        <v>838</v>
      </c>
      <c r="K19" s="41" t="s">
        <v>8411</v>
      </c>
      <c r="L19" s="41">
        <v>-500</v>
      </c>
      <c r="M19" s="41"/>
      <c r="N19" s="41" t="str">
        <f t="shared" si="0"/>
        <v>Status(UltimateDamageDerate, -500)</v>
      </c>
      <c r="O19" s="41">
        <v>0</v>
      </c>
      <c r="P19" s="41">
        <v>0</v>
      </c>
      <c r="Q19" s="41"/>
      <c r="R19" s="41" t="b">
        <v>1</v>
      </c>
    </row>
    <row r="20" spans="1:18" s="12" customFormat="1">
      <c r="A20" s="41" t="s">
        <v>7712</v>
      </c>
      <c r="B20" s="41" t="s">
        <v>8410</v>
      </c>
      <c r="C20" s="190" t="s">
        <v>7793</v>
      </c>
      <c r="D20" s="41">
        <v>0</v>
      </c>
      <c r="E20" s="41">
        <v>1</v>
      </c>
      <c r="F20" s="41" t="s">
        <v>197</v>
      </c>
      <c r="G20" s="41" t="s">
        <v>198</v>
      </c>
      <c r="H20" s="41"/>
      <c r="I20" s="41">
        <v>0</v>
      </c>
      <c r="J20" s="41" t="s">
        <v>838</v>
      </c>
      <c r="K20" s="41" t="s">
        <v>8411</v>
      </c>
      <c r="L20" s="41">
        <v>-600</v>
      </c>
      <c r="M20" s="41"/>
      <c r="N20" s="41" t="str">
        <f t="shared" si="0"/>
        <v>Status(UltimateDamageDerate, -600)</v>
      </c>
      <c r="O20" s="41">
        <v>0</v>
      </c>
      <c r="P20" s="41">
        <v>0</v>
      </c>
      <c r="Q20" s="41"/>
      <c r="R20" s="41" t="b">
        <v>1</v>
      </c>
    </row>
    <row r="21" spans="1:18" s="12" customFormat="1">
      <c r="A21" s="41" t="s">
        <v>7713</v>
      </c>
      <c r="B21" s="41" t="s">
        <v>8410</v>
      </c>
      <c r="C21" s="190" t="s">
        <v>7794</v>
      </c>
      <c r="D21" s="41">
        <v>0</v>
      </c>
      <c r="E21" s="41">
        <v>1</v>
      </c>
      <c r="F21" s="41" t="s">
        <v>197</v>
      </c>
      <c r="G21" s="41" t="s">
        <v>198</v>
      </c>
      <c r="H21" s="41"/>
      <c r="I21" s="41">
        <v>0</v>
      </c>
      <c r="J21" s="41" t="s">
        <v>838</v>
      </c>
      <c r="K21" s="41" t="s">
        <v>8411</v>
      </c>
      <c r="L21" s="41">
        <v>-700</v>
      </c>
      <c r="M21" s="41"/>
      <c r="N21" s="41" t="str">
        <f t="shared" si="0"/>
        <v>Status(UltimateDamageDerate, -700)</v>
      </c>
      <c r="O21" s="41">
        <v>0</v>
      </c>
      <c r="P21" s="41">
        <v>0</v>
      </c>
      <c r="Q21" s="41"/>
      <c r="R21" s="41" t="b">
        <v>1</v>
      </c>
    </row>
    <row r="22" spans="1:18" s="12" customFormat="1">
      <c r="A22" s="41" t="s">
        <v>7714</v>
      </c>
      <c r="B22" s="41" t="s">
        <v>8410</v>
      </c>
      <c r="C22" s="190" t="s">
        <v>7795</v>
      </c>
      <c r="D22" s="41">
        <v>0</v>
      </c>
      <c r="E22" s="41">
        <v>1</v>
      </c>
      <c r="F22" s="41" t="s">
        <v>197</v>
      </c>
      <c r="G22" s="41" t="s">
        <v>198</v>
      </c>
      <c r="H22" s="41"/>
      <c r="I22" s="41">
        <v>0</v>
      </c>
      <c r="J22" s="41" t="s">
        <v>838</v>
      </c>
      <c r="K22" s="41" t="s">
        <v>8411</v>
      </c>
      <c r="L22" s="41">
        <v>-800</v>
      </c>
      <c r="M22" s="41"/>
      <c r="N22" s="41" t="str">
        <f t="shared" si="0"/>
        <v>Status(UltimateDamageDerate, -800)</v>
      </c>
      <c r="O22" s="41">
        <v>0</v>
      </c>
      <c r="P22" s="41">
        <v>0</v>
      </c>
      <c r="Q22" s="41"/>
      <c r="R22" s="41" t="b">
        <v>1</v>
      </c>
    </row>
    <row r="23" spans="1:18" s="12" customFormat="1">
      <c r="A23" s="41" t="s">
        <v>7715</v>
      </c>
      <c r="B23" s="41" t="s">
        <v>8410</v>
      </c>
      <c r="C23" s="190" t="s">
        <v>7796</v>
      </c>
      <c r="D23" s="41">
        <v>0</v>
      </c>
      <c r="E23" s="41">
        <v>1</v>
      </c>
      <c r="F23" s="41" t="s">
        <v>197</v>
      </c>
      <c r="G23" s="41" t="s">
        <v>198</v>
      </c>
      <c r="H23" s="41"/>
      <c r="I23" s="41">
        <v>0</v>
      </c>
      <c r="J23" s="41" t="s">
        <v>838</v>
      </c>
      <c r="K23" s="41" t="s">
        <v>8411</v>
      </c>
      <c r="L23" s="41">
        <v>-900</v>
      </c>
      <c r="M23" s="41"/>
      <c r="N23" s="41" t="str">
        <f t="shared" si="0"/>
        <v>Status(UltimateDamageDerate, -900)</v>
      </c>
      <c r="O23" s="41">
        <v>0</v>
      </c>
      <c r="P23" s="41">
        <v>0</v>
      </c>
      <c r="Q23" s="41"/>
      <c r="R23" s="41" t="b">
        <v>1</v>
      </c>
    </row>
    <row r="24" spans="1:18" s="12" customFormat="1">
      <c r="A24" s="41" t="s">
        <v>7716</v>
      </c>
      <c r="B24" s="41" t="s">
        <v>8410</v>
      </c>
      <c r="C24" s="190" t="s">
        <v>7797</v>
      </c>
      <c r="D24" s="41">
        <v>0</v>
      </c>
      <c r="E24" s="41">
        <v>1</v>
      </c>
      <c r="F24" s="41" t="s">
        <v>197</v>
      </c>
      <c r="G24" s="41" t="s">
        <v>198</v>
      </c>
      <c r="H24" s="41"/>
      <c r="I24" s="41">
        <v>0</v>
      </c>
      <c r="J24" s="41" t="s">
        <v>838</v>
      </c>
      <c r="K24" s="41" t="s">
        <v>8411</v>
      </c>
      <c r="L24" s="41">
        <v>-900</v>
      </c>
      <c r="M24" s="41"/>
      <c r="N24" s="41" t="str">
        <f t="shared" si="0"/>
        <v>Status(UltimateDamageDerate, -900)</v>
      </c>
      <c r="O24" s="41">
        <v>0</v>
      </c>
      <c r="P24" s="41">
        <v>0</v>
      </c>
      <c r="Q24" s="41"/>
      <c r="R24" s="41" t="b">
        <v>1</v>
      </c>
    </row>
    <row r="25" spans="1:18" s="12" customFormat="1">
      <c r="A25" s="41" t="s">
        <v>7717</v>
      </c>
      <c r="B25" s="41" t="s">
        <v>8410</v>
      </c>
      <c r="C25" s="190" t="s">
        <v>7798</v>
      </c>
      <c r="D25" s="41">
        <v>0</v>
      </c>
      <c r="E25" s="41">
        <v>1</v>
      </c>
      <c r="F25" s="41" t="s">
        <v>197</v>
      </c>
      <c r="G25" s="41" t="s">
        <v>198</v>
      </c>
      <c r="H25" s="41"/>
      <c r="I25" s="41">
        <v>0</v>
      </c>
      <c r="J25" s="41" t="s">
        <v>838</v>
      </c>
      <c r="K25" s="41" t="s">
        <v>8411</v>
      </c>
      <c r="L25" s="41">
        <v>-900</v>
      </c>
      <c r="M25" s="41"/>
      <c r="N25" s="41" t="str">
        <f t="shared" si="0"/>
        <v>Status(UltimateDamageDerate, -900)</v>
      </c>
      <c r="O25" s="41">
        <v>0</v>
      </c>
      <c r="P25" s="41">
        <v>0</v>
      </c>
      <c r="Q25" s="41"/>
      <c r="R25" s="41" t="b">
        <v>1</v>
      </c>
    </row>
    <row r="26" spans="1:18" s="191" customFormat="1">
      <c r="A26" s="6" t="s">
        <v>8307</v>
      </c>
      <c r="B26" s="6"/>
      <c r="C26" s="6"/>
      <c r="D26" s="6">
        <v>0</v>
      </c>
      <c r="E26" s="6">
        <v>1</v>
      </c>
      <c r="F26" s="6" t="s">
        <v>8412</v>
      </c>
      <c r="G26" s="6" t="s">
        <v>8413</v>
      </c>
      <c r="H26" s="6"/>
      <c r="I26" s="6">
        <v>0</v>
      </c>
      <c r="J26" s="6" t="s">
        <v>8414</v>
      </c>
      <c r="K26" s="6" t="s">
        <v>7731</v>
      </c>
      <c r="L26" s="6"/>
      <c r="M26" s="6"/>
      <c r="N26" s="6" t="str">
        <f t="shared" si="0"/>
        <v>Passive(freyja.ult.B.passive.buff.buffeffect.buff.01)</v>
      </c>
      <c r="O26" s="6">
        <v>0</v>
      </c>
      <c r="P26" s="6">
        <v>0</v>
      </c>
      <c r="Q26" s="6"/>
      <c r="R26" s="6" t="b">
        <v>1</v>
      </c>
    </row>
    <row r="27" spans="1:18" s="191" customFormat="1">
      <c r="A27" s="6" t="s">
        <v>7725</v>
      </c>
      <c r="B27" s="6"/>
      <c r="C27" s="6"/>
      <c r="D27" s="6">
        <v>0</v>
      </c>
      <c r="E27" s="6">
        <v>1</v>
      </c>
      <c r="F27" s="6" t="s">
        <v>8412</v>
      </c>
      <c r="G27" s="6" t="s">
        <v>8413</v>
      </c>
      <c r="H27" s="6"/>
      <c r="I27" s="6">
        <v>0</v>
      </c>
      <c r="J27" s="6" t="s">
        <v>8414</v>
      </c>
      <c r="K27" s="6" t="s">
        <v>7732</v>
      </c>
      <c r="L27" s="6"/>
      <c r="M27" s="6"/>
      <c r="N27" s="6" t="str">
        <f t="shared" si="0"/>
        <v>Passive(freyja.ult.B.passive.buff.buffeffect.buff.02)</v>
      </c>
      <c r="O27" s="6">
        <v>0</v>
      </c>
      <c r="P27" s="6">
        <v>0</v>
      </c>
      <c r="Q27" s="6"/>
      <c r="R27" s="6" t="b">
        <v>1</v>
      </c>
    </row>
    <row r="28" spans="1:18" s="191" customFormat="1">
      <c r="A28" s="6" t="s">
        <v>7726</v>
      </c>
      <c r="B28" s="6"/>
      <c r="C28" s="6"/>
      <c r="D28" s="6">
        <v>0</v>
      </c>
      <c r="E28" s="6">
        <v>1</v>
      </c>
      <c r="F28" s="6" t="s">
        <v>8412</v>
      </c>
      <c r="G28" s="6" t="s">
        <v>8413</v>
      </c>
      <c r="H28" s="6"/>
      <c r="I28" s="6">
        <v>0</v>
      </c>
      <c r="J28" s="6" t="s">
        <v>8414</v>
      </c>
      <c r="K28" s="6" t="s">
        <v>7733</v>
      </c>
      <c r="L28" s="6"/>
      <c r="M28" s="6"/>
      <c r="N28" s="6" t="str">
        <f t="shared" si="0"/>
        <v>Passive(freyja.ult.B.passive.buff.buffeffect.buff.03)</v>
      </c>
      <c r="O28" s="6">
        <v>0</v>
      </c>
      <c r="P28" s="6">
        <v>0</v>
      </c>
      <c r="Q28" s="6"/>
      <c r="R28" s="6" t="b">
        <v>1</v>
      </c>
    </row>
    <row r="29" spans="1:18" s="191" customFormat="1">
      <c r="A29" s="6" t="s">
        <v>7727</v>
      </c>
      <c r="B29" s="6"/>
      <c r="C29" s="6"/>
      <c r="D29" s="6">
        <v>0</v>
      </c>
      <c r="E29" s="6">
        <v>1</v>
      </c>
      <c r="F29" s="6" t="s">
        <v>8412</v>
      </c>
      <c r="G29" s="6" t="s">
        <v>8413</v>
      </c>
      <c r="H29" s="6"/>
      <c r="I29" s="6">
        <v>0</v>
      </c>
      <c r="J29" s="6" t="s">
        <v>8414</v>
      </c>
      <c r="K29" s="6" t="s">
        <v>7734</v>
      </c>
      <c r="L29" s="6"/>
      <c r="M29" s="6"/>
      <c r="N29" s="6" t="str">
        <f t="shared" si="0"/>
        <v>Passive(freyja.ult.B.passive.buff.buffeffect.buff.04)</v>
      </c>
      <c r="O29" s="6">
        <v>0</v>
      </c>
      <c r="P29" s="6">
        <v>0</v>
      </c>
      <c r="Q29" s="6"/>
      <c r="R29" s="6" t="b">
        <v>1</v>
      </c>
    </row>
    <row r="30" spans="1:18" s="191" customFormat="1">
      <c r="A30" s="6" t="s">
        <v>7728</v>
      </c>
      <c r="B30" s="6"/>
      <c r="C30" s="6"/>
      <c r="D30" s="6">
        <v>0</v>
      </c>
      <c r="E30" s="6">
        <v>1</v>
      </c>
      <c r="F30" s="6" t="s">
        <v>8412</v>
      </c>
      <c r="G30" s="6" t="s">
        <v>8413</v>
      </c>
      <c r="H30" s="6"/>
      <c r="I30" s="6">
        <v>0</v>
      </c>
      <c r="J30" s="6" t="s">
        <v>8414</v>
      </c>
      <c r="K30" s="6" t="s">
        <v>7735</v>
      </c>
      <c r="L30" s="6"/>
      <c r="M30" s="6"/>
      <c r="N30" s="6" t="str">
        <f t="shared" si="0"/>
        <v>Passive(freyja.ult.B.passive.buff.buffeffect.buff.05)</v>
      </c>
      <c r="O30" s="6">
        <v>0</v>
      </c>
      <c r="P30" s="6">
        <v>0</v>
      </c>
      <c r="Q30" s="6"/>
      <c r="R30" s="6" t="b">
        <v>1</v>
      </c>
    </row>
    <row r="31" spans="1:18" s="191" customFormat="1">
      <c r="A31" s="6" t="s">
        <v>7729</v>
      </c>
      <c r="B31" s="6"/>
      <c r="C31" s="6"/>
      <c r="D31" s="6">
        <v>0</v>
      </c>
      <c r="E31" s="6">
        <v>1</v>
      </c>
      <c r="F31" s="6" t="s">
        <v>8412</v>
      </c>
      <c r="G31" s="6" t="s">
        <v>8413</v>
      </c>
      <c r="H31" s="6"/>
      <c r="I31" s="6">
        <v>0</v>
      </c>
      <c r="J31" s="6" t="s">
        <v>8414</v>
      </c>
      <c r="K31" s="6" t="s">
        <v>7736</v>
      </c>
      <c r="L31" s="6"/>
      <c r="M31" s="6"/>
      <c r="N31" s="6" t="str">
        <f t="shared" si="0"/>
        <v>Passive(freyja.ult.B.passive.buff.buffeffect.buff.06)</v>
      </c>
      <c r="O31" s="6">
        <v>0</v>
      </c>
      <c r="P31" s="6">
        <v>0</v>
      </c>
      <c r="Q31" s="6"/>
      <c r="R31" s="6" t="b">
        <v>1</v>
      </c>
    </row>
    <row r="32" spans="1:18" s="191" customFormat="1">
      <c r="A32" s="6" t="s">
        <v>7730</v>
      </c>
      <c r="B32" s="6"/>
      <c r="C32" s="6"/>
      <c r="D32" s="6">
        <v>0</v>
      </c>
      <c r="E32" s="6">
        <v>1</v>
      </c>
      <c r="F32" s="6" t="s">
        <v>8412</v>
      </c>
      <c r="G32" s="6" t="s">
        <v>8413</v>
      </c>
      <c r="H32" s="6"/>
      <c r="I32" s="6">
        <v>0</v>
      </c>
      <c r="J32" s="6" t="s">
        <v>8414</v>
      </c>
      <c r="K32" s="6" t="s">
        <v>7737</v>
      </c>
      <c r="L32" s="6"/>
      <c r="M32" s="6"/>
      <c r="N32" s="6" t="str">
        <f t="shared" si="0"/>
        <v>Passive(freyja.ult.B.passive.buff.buffeffect.buff.07)</v>
      </c>
      <c r="O32" s="6">
        <v>0</v>
      </c>
      <c r="P32" s="6">
        <v>0</v>
      </c>
      <c r="Q32" s="6"/>
      <c r="R32" s="6" t="b">
        <v>1</v>
      </c>
    </row>
    <row r="33" spans="1:18" s="155" customFormat="1">
      <c r="A33" s="190" t="s">
        <v>8309</v>
      </c>
      <c r="B33" s="41"/>
      <c r="C33" s="41"/>
      <c r="D33" s="41">
        <v>0</v>
      </c>
      <c r="E33" s="41">
        <v>1</v>
      </c>
      <c r="F33" s="41" t="s">
        <v>197</v>
      </c>
      <c r="G33" s="41" t="s">
        <v>198</v>
      </c>
      <c r="H33" s="41"/>
      <c r="I33" s="41">
        <v>0</v>
      </c>
      <c r="J33" s="41" t="s">
        <v>8415</v>
      </c>
      <c r="K33" s="41" t="s">
        <v>8416</v>
      </c>
      <c r="L33" s="41" t="s">
        <v>8417</v>
      </c>
      <c r="M33" s="41"/>
      <c r="N33" s="41" t="str">
        <f t="shared" si="0"/>
        <v>Effect(OnHitUltimate, freyja.ult.B.passive.buff.skilleffect.01)</v>
      </c>
      <c r="O33" s="41">
        <v>0</v>
      </c>
      <c r="P33" s="41">
        <v>0</v>
      </c>
      <c r="Q33" s="41"/>
      <c r="R33" s="41" t="b">
        <v>1</v>
      </c>
    </row>
    <row r="34" spans="1:18" s="155" customFormat="1">
      <c r="A34" s="190" t="s">
        <v>7738</v>
      </c>
      <c r="B34" s="41"/>
      <c r="C34" s="41"/>
      <c r="D34" s="41">
        <v>0</v>
      </c>
      <c r="E34" s="41">
        <v>1</v>
      </c>
      <c r="F34" s="41" t="s">
        <v>197</v>
      </c>
      <c r="G34" s="41" t="s">
        <v>198</v>
      </c>
      <c r="H34" s="41"/>
      <c r="I34" s="41">
        <v>0</v>
      </c>
      <c r="J34" s="41" t="s">
        <v>8415</v>
      </c>
      <c r="K34" s="41" t="s">
        <v>8416</v>
      </c>
      <c r="L34" s="41" t="s">
        <v>7744</v>
      </c>
      <c r="M34" s="41"/>
      <c r="N34" s="41" t="str">
        <f t="shared" si="0"/>
        <v>Effect(OnHitUltimate, freyja.ult.B.passive.buff.skilleffect.02)</v>
      </c>
      <c r="O34" s="41">
        <v>0</v>
      </c>
      <c r="P34" s="41">
        <v>0</v>
      </c>
      <c r="Q34" s="41"/>
      <c r="R34" s="41" t="b">
        <v>1</v>
      </c>
    </row>
    <row r="35" spans="1:18" s="155" customFormat="1">
      <c r="A35" s="190" t="s">
        <v>7739</v>
      </c>
      <c r="B35" s="41"/>
      <c r="C35" s="41"/>
      <c r="D35" s="41">
        <v>0</v>
      </c>
      <c r="E35" s="41">
        <v>1</v>
      </c>
      <c r="F35" s="41" t="s">
        <v>197</v>
      </c>
      <c r="G35" s="41" t="s">
        <v>198</v>
      </c>
      <c r="H35" s="41"/>
      <c r="I35" s="41">
        <v>0</v>
      </c>
      <c r="J35" s="41" t="s">
        <v>8415</v>
      </c>
      <c r="K35" s="41" t="s">
        <v>8416</v>
      </c>
      <c r="L35" s="41" t="s">
        <v>7745</v>
      </c>
      <c r="M35" s="41"/>
      <c r="N35" s="41" t="str">
        <f t="shared" si="0"/>
        <v>Effect(OnHitUltimate, freyja.ult.B.passive.buff.skilleffect.03)</v>
      </c>
      <c r="O35" s="41">
        <v>0</v>
      </c>
      <c r="P35" s="41">
        <v>0</v>
      </c>
      <c r="Q35" s="41"/>
      <c r="R35" s="41" t="b">
        <v>1</v>
      </c>
    </row>
    <row r="36" spans="1:18" s="155" customFormat="1">
      <c r="A36" s="190" t="s">
        <v>7740</v>
      </c>
      <c r="B36" s="41"/>
      <c r="C36" s="41"/>
      <c r="D36" s="41">
        <v>0</v>
      </c>
      <c r="E36" s="41">
        <v>1</v>
      </c>
      <c r="F36" s="41" t="s">
        <v>197</v>
      </c>
      <c r="G36" s="41" t="s">
        <v>198</v>
      </c>
      <c r="H36" s="41"/>
      <c r="I36" s="41">
        <v>0</v>
      </c>
      <c r="J36" s="41" t="s">
        <v>8415</v>
      </c>
      <c r="K36" s="41" t="s">
        <v>8416</v>
      </c>
      <c r="L36" s="41" t="s">
        <v>7746</v>
      </c>
      <c r="M36" s="41"/>
      <c r="N36" s="41" t="str">
        <f t="shared" si="0"/>
        <v>Effect(OnHitUltimate, freyja.ult.B.passive.buff.skilleffect.04)</v>
      </c>
      <c r="O36" s="41">
        <v>0</v>
      </c>
      <c r="P36" s="41">
        <v>0</v>
      </c>
      <c r="Q36" s="41"/>
      <c r="R36" s="41" t="b">
        <v>1</v>
      </c>
    </row>
    <row r="37" spans="1:18" s="155" customFormat="1">
      <c r="A37" s="190" t="s">
        <v>7741</v>
      </c>
      <c r="B37" s="41"/>
      <c r="C37" s="41"/>
      <c r="D37" s="41">
        <v>0</v>
      </c>
      <c r="E37" s="41">
        <v>1</v>
      </c>
      <c r="F37" s="41" t="s">
        <v>197</v>
      </c>
      <c r="G37" s="41" t="s">
        <v>198</v>
      </c>
      <c r="H37" s="41"/>
      <c r="I37" s="41">
        <v>0</v>
      </c>
      <c r="J37" s="41" t="s">
        <v>8415</v>
      </c>
      <c r="K37" s="41" t="s">
        <v>8416</v>
      </c>
      <c r="L37" s="41" t="s">
        <v>7747</v>
      </c>
      <c r="M37" s="41"/>
      <c r="N37" s="41" t="str">
        <f t="shared" si="0"/>
        <v>Effect(OnHitUltimate, freyja.ult.B.passive.buff.skilleffect.05)</v>
      </c>
      <c r="O37" s="41">
        <v>0</v>
      </c>
      <c r="P37" s="41">
        <v>0</v>
      </c>
      <c r="Q37" s="41"/>
      <c r="R37" s="41" t="b">
        <v>1</v>
      </c>
    </row>
    <row r="38" spans="1:18" s="155" customFormat="1">
      <c r="A38" s="190" t="s">
        <v>7742</v>
      </c>
      <c r="B38" s="41"/>
      <c r="C38" s="41"/>
      <c r="D38" s="41">
        <v>0</v>
      </c>
      <c r="E38" s="41">
        <v>1</v>
      </c>
      <c r="F38" s="41" t="s">
        <v>197</v>
      </c>
      <c r="G38" s="41" t="s">
        <v>198</v>
      </c>
      <c r="H38" s="41"/>
      <c r="I38" s="41">
        <v>0</v>
      </c>
      <c r="J38" s="41" t="s">
        <v>8415</v>
      </c>
      <c r="K38" s="41" t="s">
        <v>8416</v>
      </c>
      <c r="L38" s="41" t="s">
        <v>7748</v>
      </c>
      <c r="M38" s="41"/>
      <c r="N38" s="41" t="str">
        <f t="shared" si="0"/>
        <v>Effect(OnHitUltimate, freyja.ult.B.passive.buff.skilleffect.06)</v>
      </c>
      <c r="O38" s="41">
        <v>0</v>
      </c>
      <c r="P38" s="41">
        <v>0</v>
      </c>
      <c r="Q38" s="41"/>
      <c r="R38" s="41" t="b">
        <v>1</v>
      </c>
    </row>
    <row r="39" spans="1:18" s="155" customFormat="1">
      <c r="A39" s="190" t="s">
        <v>7743</v>
      </c>
      <c r="B39" s="41"/>
      <c r="C39" s="41"/>
      <c r="D39" s="41">
        <v>0</v>
      </c>
      <c r="E39" s="41">
        <v>1</v>
      </c>
      <c r="F39" s="41" t="s">
        <v>197</v>
      </c>
      <c r="G39" s="41" t="s">
        <v>198</v>
      </c>
      <c r="H39" s="41"/>
      <c r="I39" s="41">
        <v>0</v>
      </c>
      <c r="J39" s="41" t="s">
        <v>8415</v>
      </c>
      <c r="K39" s="41" t="s">
        <v>8416</v>
      </c>
      <c r="L39" s="41" t="s">
        <v>7749</v>
      </c>
      <c r="M39" s="41"/>
      <c r="N39" s="41" t="str">
        <f t="shared" si="0"/>
        <v>Effect(OnHitUltimate, freyja.ult.B.passive.buff.skilleffect.07)</v>
      </c>
      <c r="O39" s="41">
        <v>0</v>
      </c>
      <c r="P39" s="41">
        <v>0</v>
      </c>
      <c r="Q39" s="41"/>
      <c r="R39" s="41" t="b">
        <v>1</v>
      </c>
    </row>
    <row r="40" spans="1:18" s="155" customFormat="1">
      <c r="A40" s="6" t="s">
        <v>7766</v>
      </c>
      <c r="B40" s="6"/>
      <c r="C40" s="6"/>
      <c r="D40" s="6">
        <v>0</v>
      </c>
      <c r="E40" s="6">
        <v>1</v>
      </c>
      <c r="F40" s="6" t="s">
        <v>197</v>
      </c>
      <c r="G40" s="6" t="s">
        <v>198</v>
      </c>
      <c r="H40" s="6"/>
      <c r="I40" s="6">
        <v>0</v>
      </c>
      <c r="J40" s="6" t="s">
        <v>889</v>
      </c>
      <c r="K40" s="6" t="s">
        <v>8418</v>
      </c>
      <c r="L40" s="6">
        <v>3000</v>
      </c>
      <c r="M40" s="6"/>
      <c r="N40" s="6" t="str">
        <f t="shared" si="0"/>
        <v>Shield(Attack, 3000)</v>
      </c>
      <c r="O40" s="6">
        <v>0</v>
      </c>
      <c r="P40" s="6">
        <v>0</v>
      </c>
      <c r="Q40" s="6"/>
      <c r="R40" s="6" t="b">
        <v>1</v>
      </c>
    </row>
    <row r="41" spans="1:18" s="155" customFormat="1">
      <c r="A41" s="6" t="s">
        <v>7767</v>
      </c>
      <c r="B41" s="6"/>
      <c r="C41" s="6"/>
      <c r="D41" s="6">
        <v>0</v>
      </c>
      <c r="E41" s="6">
        <v>1</v>
      </c>
      <c r="F41" s="6" t="s">
        <v>197</v>
      </c>
      <c r="G41" s="6" t="s">
        <v>198</v>
      </c>
      <c r="H41" s="6"/>
      <c r="I41" s="6">
        <v>0</v>
      </c>
      <c r="J41" s="6" t="s">
        <v>889</v>
      </c>
      <c r="K41" s="6" t="s">
        <v>8418</v>
      </c>
      <c r="L41" s="6">
        <v>3300</v>
      </c>
      <c r="M41" s="6"/>
      <c r="N41" s="6" t="str">
        <f t="shared" si="0"/>
        <v>Shield(Attack, 3300)</v>
      </c>
      <c r="O41" s="6">
        <v>0</v>
      </c>
      <c r="P41" s="6">
        <v>0</v>
      </c>
      <c r="Q41" s="6"/>
      <c r="R41" s="6" t="b">
        <v>1</v>
      </c>
    </row>
    <row r="42" spans="1:18" s="155" customFormat="1">
      <c r="A42" s="6" t="s">
        <v>7768</v>
      </c>
      <c r="B42" s="6"/>
      <c r="C42" s="6"/>
      <c r="D42" s="6">
        <v>0</v>
      </c>
      <c r="E42" s="6">
        <v>1</v>
      </c>
      <c r="F42" s="6" t="s">
        <v>197</v>
      </c>
      <c r="G42" s="6" t="s">
        <v>198</v>
      </c>
      <c r="H42" s="6"/>
      <c r="I42" s="6">
        <v>0</v>
      </c>
      <c r="J42" s="6" t="s">
        <v>889</v>
      </c>
      <c r="K42" s="6" t="s">
        <v>8418</v>
      </c>
      <c r="L42" s="6">
        <v>3600</v>
      </c>
      <c r="M42" s="6"/>
      <c r="N42" s="6" t="str">
        <f t="shared" si="0"/>
        <v>Shield(Attack, 3600)</v>
      </c>
      <c r="O42" s="6">
        <v>0</v>
      </c>
      <c r="P42" s="6">
        <v>0</v>
      </c>
      <c r="Q42" s="6"/>
      <c r="R42" s="6" t="b">
        <v>1</v>
      </c>
    </row>
    <row r="43" spans="1:18" s="155" customFormat="1">
      <c r="A43" s="6" t="s">
        <v>7769</v>
      </c>
      <c r="B43" s="6"/>
      <c r="C43" s="6"/>
      <c r="D43" s="6">
        <v>0</v>
      </c>
      <c r="E43" s="6">
        <v>1</v>
      </c>
      <c r="F43" s="6" t="s">
        <v>197</v>
      </c>
      <c r="G43" s="6" t="s">
        <v>198</v>
      </c>
      <c r="H43" s="6"/>
      <c r="I43" s="6">
        <v>0</v>
      </c>
      <c r="J43" s="6" t="s">
        <v>889</v>
      </c>
      <c r="K43" s="6" t="s">
        <v>8418</v>
      </c>
      <c r="L43" s="6">
        <v>4000</v>
      </c>
      <c r="M43" s="6"/>
      <c r="N43" s="6" t="str">
        <f t="shared" si="0"/>
        <v>Shield(Attack, 4000)</v>
      </c>
      <c r="O43" s="6">
        <v>0</v>
      </c>
      <c r="P43" s="6">
        <v>0</v>
      </c>
      <c r="Q43" s="6"/>
      <c r="R43" s="6" t="b">
        <v>1</v>
      </c>
    </row>
    <row r="44" spans="1:18" s="155" customFormat="1">
      <c r="A44" s="6" t="s">
        <v>7770</v>
      </c>
      <c r="B44" s="6"/>
      <c r="C44" s="6"/>
      <c r="D44" s="6">
        <v>0</v>
      </c>
      <c r="E44" s="6">
        <v>1</v>
      </c>
      <c r="F44" s="6" t="s">
        <v>197</v>
      </c>
      <c r="G44" s="6" t="s">
        <v>198</v>
      </c>
      <c r="H44" s="6"/>
      <c r="I44" s="6">
        <v>0</v>
      </c>
      <c r="J44" s="6" t="s">
        <v>889</v>
      </c>
      <c r="K44" s="6" t="s">
        <v>8418</v>
      </c>
      <c r="L44" s="6">
        <v>4000</v>
      </c>
      <c r="M44" s="6"/>
      <c r="N44" s="6" t="str">
        <f t="shared" si="0"/>
        <v>Shield(Attack, 4000)</v>
      </c>
      <c r="O44" s="6">
        <v>0</v>
      </c>
      <c r="P44" s="6">
        <v>0</v>
      </c>
      <c r="Q44" s="6"/>
      <c r="R44" s="6" t="b">
        <v>1</v>
      </c>
    </row>
    <row r="45" spans="1:18" s="155" customFormat="1">
      <c r="A45" s="6" t="s">
        <v>7771</v>
      </c>
      <c r="B45" s="6"/>
      <c r="C45" s="6"/>
      <c r="D45" s="6">
        <v>0</v>
      </c>
      <c r="E45" s="6">
        <v>1</v>
      </c>
      <c r="F45" s="6" t="s">
        <v>197</v>
      </c>
      <c r="G45" s="6" t="s">
        <v>198</v>
      </c>
      <c r="H45" s="6"/>
      <c r="I45" s="6">
        <v>0</v>
      </c>
      <c r="J45" s="6" t="s">
        <v>889</v>
      </c>
      <c r="K45" s="6" t="s">
        <v>8418</v>
      </c>
      <c r="L45" s="6">
        <v>4000</v>
      </c>
      <c r="M45" s="6"/>
      <c r="N45" s="6" t="str">
        <f t="shared" si="0"/>
        <v>Shield(Attack, 4000)</v>
      </c>
      <c r="O45" s="6">
        <v>0</v>
      </c>
      <c r="P45" s="6">
        <v>0</v>
      </c>
      <c r="Q45" s="6"/>
      <c r="R45" s="6" t="b">
        <v>1</v>
      </c>
    </row>
    <row r="46" spans="1:18" s="155" customFormat="1">
      <c r="A46" s="41" t="s">
        <v>7857</v>
      </c>
      <c r="B46" s="41"/>
      <c r="C46" s="41"/>
      <c r="D46" s="41">
        <v>0</v>
      </c>
      <c r="E46" s="41">
        <v>1</v>
      </c>
      <c r="F46" s="41" t="s">
        <v>417</v>
      </c>
      <c r="G46" s="41" t="s">
        <v>418</v>
      </c>
      <c r="H46" s="41"/>
      <c r="I46" s="41">
        <v>0</v>
      </c>
      <c r="J46" s="41" t="s">
        <v>8414</v>
      </c>
      <c r="K46" s="41" t="s">
        <v>7822</v>
      </c>
      <c r="L46" s="41"/>
      <c r="M46" s="41"/>
      <c r="N46" s="41" t="str">
        <f>J46&amp;"("&amp;IF(K46="","",K46)&amp;IF(L46="","",", "&amp;L46)&amp;IF(M46="","",", "&amp;M46)&amp;")"</f>
        <v>Passive(freyja.passive.criticalnone.buff.01)</v>
      </c>
      <c r="O46" s="41">
        <v>0</v>
      </c>
      <c r="P46" s="41">
        <v>0</v>
      </c>
      <c r="Q46" s="41"/>
      <c r="R46" s="41" t="b">
        <v>1</v>
      </c>
    </row>
    <row r="47" spans="1:18" s="155" customFormat="1">
      <c r="A47" s="41" t="s">
        <v>7817</v>
      </c>
      <c r="B47" s="41"/>
      <c r="C47" s="41"/>
      <c r="D47" s="41">
        <v>0</v>
      </c>
      <c r="E47" s="41">
        <v>1</v>
      </c>
      <c r="F47" s="41" t="s">
        <v>417</v>
      </c>
      <c r="G47" s="41" t="s">
        <v>418</v>
      </c>
      <c r="H47" s="41"/>
      <c r="I47" s="41">
        <v>0</v>
      </c>
      <c r="J47" s="41" t="s">
        <v>1254</v>
      </c>
      <c r="K47" s="41" t="s">
        <v>7824</v>
      </c>
      <c r="L47" s="41"/>
      <c r="M47" s="41"/>
      <c r="N47" s="41" t="str">
        <f t="shared" ref="N47:N51" si="1">J47&amp;"("&amp;IF(K47="","",K47)&amp;IF(L47="","",", "&amp;L47)&amp;IF(M47="","",", "&amp;M47)&amp;")"</f>
        <v>Passive(freyja.passive.criticalnone.buff.02)</v>
      </c>
      <c r="O47" s="41">
        <v>0</v>
      </c>
      <c r="P47" s="41">
        <v>0</v>
      </c>
      <c r="Q47" s="41"/>
      <c r="R47" s="41" t="b">
        <v>1</v>
      </c>
    </row>
    <row r="48" spans="1:18" s="155" customFormat="1">
      <c r="A48" s="41" t="s">
        <v>7818</v>
      </c>
      <c r="B48" s="41"/>
      <c r="C48" s="41"/>
      <c r="D48" s="41">
        <v>0</v>
      </c>
      <c r="E48" s="41">
        <v>1</v>
      </c>
      <c r="F48" s="41" t="s">
        <v>417</v>
      </c>
      <c r="G48" s="41" t="s">
        <v>418</v>
      </c>
      <c r="H48" s="41"/>
      <c r="I48" s="41">
        <v>0</v>
      </c>
      <c r="J48" s="41" t="s">
        <v>1254</v>
      </c>
      <c r="K48" s="41" t="s">
        <v>7826</v>
      </c>
      <c r="L48" s="41"/>
      <c r="M48" s="41"/>
      <c r="N48" s="41" t="str">
        <f t="shared" si="1"/>
        <v>Passive(freyja.passive.criticalnone.buff.03)</v>
      </c>
      <c r="O48" s="41">
        <v>0</v>
      </c>
      <c r="P48" s="41">
        <v>0</v>
      </c>
      <c r="Q48" s="41"/>
      <c r="R48" s="41" t="b">
        <v>1</v>
      </c>
    </row>
    <row r="49" spans="1:18" s="155" customFormat="1">
      <c r="A49" s="41" t="s">
        <v>7819</v>
      </c>
      <c r="B49" s="41"/>
      <c r="C49" s="41"/>
      <c r="D49" s="41">
        <v>0</v>
      </c>
      <c r="E49" s="41">
        <v>1</v>
      </c>
      <c r="F49" s="41" t="s">
        <v>417</v>
      </c>
      <c r="G49" s="41" t="s">
        <v>418</v>
      </c>
      <c r="H49" s="41"/>
      <c r="I49" s="41">
        <v>0</v>
      </c>
      <c r="J49" s="41" t="s">
        <v>1254</v>
      </c>
      <c r="K49" s="41" t="s">
        <v>7828</v>
      </c>
      <c r="L49" s="41"/>
      <c r="M49" s="41"/>
      <c r="N49" s="41" t="str">
        <f t="shared" si="1"/>
        <v>Passive(freyja.passive.criticalnone.buff.04)</v>
      </c>
      <c r="O49" s="41">
        <v>0</v>
      </c>
      <c r="P49" s="41">
        <v>0</v>
      </c>
      <c r="Q49" s="41"/>
      <c r="R49" s="41" t="b">
        <v>1</v>
      </c>
    </row>
    <row r="50" spans="1:18" s="155" customFormat="1">
      <c r="A50" s="41" t="s">
        <v>7820</v>
      </c>
      <c r="B50" s="41"/>
      <c r="C50" s="41"/>
      <c r="D50" s="41">
        <v>0</v>
      </c>
      <c r="E50" s="41">
        <v>1</v>
      </c>
      <c r="F50" s="41" t="s">
        <v>417</v>
      </c>
      <c r="G50" s="41" t="s">
        <v>418</v>
      </c>
      <c r="H50" s="41"/>
      <c r="I50" s="41">
        <v>0</v>
      </c>
      <c r="J50" s="41" t="s">
        <v>1254</v>
      </c>
      <c r="K50" s="41" t="s">
        <v>7830</v>
      </c>
      <c r="L50" s="41"/>
      <c r="M50" s="41"/>
      <c r="N50" s="41" t="str">
        <f t="shared" si="1"/>
        <v>Passive(freyja.passive.criticalnone.buff.05)</v>
      </c>
      <c r="O50" s="41">
        <v>0</v>
      </c>
      <c r="P50" s="41">
        <v>0</v>
      </c>
      <c r="Q50" s="41"/>
      <c r="R50" s="41" t="b">
        <v>1</v>
      </c>
    </row>
    <row r="51" spans="1:18" s="155" customFormat="1">
      <c r="A51" s="41" t="s">
        <v>7821</v>
      </c>
      <c r="B51" s="41"/>
      <c r="C51" s="41"/>
      <c r="D51" s="41">
        <v>0</v>
      </c>
      <c r="E51" s="41">
        <v>1</v>
      </c>
      <c r="F51" s="41" t="s">
        <v>417</v>
      </c>
      <c r="G51" s="41" t="s">
        <v>418</v>
      </c>
      <c r="H51" s="41"/>
      <c r="I51" s="41">
        <v>0</v>
      </c>
      <c r="J51" s="41" t="s">
        <v>1254</v>
      </c>
      <c r="K51" s="41" t="s">
        <v>7832</v>
      </c>
      <c r="L51" s="41"/>
      <c r="M51" s="41"/>
      <c r="N51" s="41" t="str">
        <f t="shared" si="1"/>
        <v>Passive(freyja.passive.criticalnone.buff.06)</v>
      </c>
      <c r="O51" s="41">
        <v>0</v>
      </c>
      <c r="P51" s="41">
        <v>0</v>
      </c>
      <c r="Q51" s="41"/>
      <c r="R51" s="41" t="b">
        <v>1</v>
      </c>
    </row>
    <row r="52" spans="1:18" s="155" customFormat="1">
      <c r="A52" s="6" t="s">
        <v>7856</v>
      </c>
      <c r="B52" s="6"/>
      <c r="C52" s="6"/>
      <c r="D52" s="6">
        <v>0</v>
      </c>
      <c r="E52" s="6">
        <v>1</v>
      </c>
      <c r="F52" s="6" t="s">
        <v>417</v>
      </c>
      <c r="G52" s="6" t="s">
        <v>418</v>
      </c>
      <c r="H52" s="6"/>
      <c r="I52" s="6">
        <v>0</v>
      </c>
      <c r="J52" s="6" t="s">
        <v>1254</v>
      </c>
      <c r="K52" s="6" t="s">
        <v>7863</v>
      </c>
      <c r="L52" s="6"/>
      <c r="M52" s="6"/>
      <c r="N52" s="6" t="str">
        <f>J52&amp;"("&amp;IF(K52="","",K52)&amp;IF(L52="","",", "&amp;L52)&amp;IF(M52="","",", "&amp;M52)&amp;")"</f>
        <v>Passive(freyja.passive.uatk.buff.01)</v>
      </c>
      <c r="O52" s="6">
        <v>0</v>
      </c>
      <c r="P52" s="6">
        <v>0</v>
      </c>
      <c r="Q52" s="6"/>
      <c r="R52" s="6" t="b">
        <v>1</v>
      </c>
    </row>
    <row r="53" spans="1:18" s="155" customFormat="1">
      <c r="A53" s="6" t="s">
        <v>7823</v>
      </c>
      <c r="B53" s="6"/>
      <c r="C53" s="6"/>
      <c r="D53" s="6">
        <v>0</v>
      </c>
      <c r="E53" s="6">
        <v>1</v>
      </c>
      <c r="F53" s="6" t="s">
        <v>417</v>
      </c>
      <c r="G53" s="6" t="s">
        <v>418</v>
      </c>
      <c r="H53" s="6"/>
      <c r="I53" s="6">
        <v>0</v>
      </c>
      <c r="J53" s="6" t="s">
        <v>1254</v>
      </c>
      <c r="K53" s="6" t="s">
        <v>7708</v>
      </c>
      <c r="L53" s="6"/>
      <c r="M53" s="6"/>
      <c r="N53" s="6" t="str">
        <f t="shared" ref="N53:N57" si="2">J53&amp;"("&amp;IF(K53="","",K53)&amp;IF(L53="","",", "&amp;L53)&amp;IF(M53="","",", "&amp;M53)&amp;")"</f>
        <v>Passive(freyja.passive.uatk.buff.02)</v>
      </c>
      <c r="O53" s="6">
        <v>0</v>
      </c>
      <c r="P53" s="6">
        <v>0</v>
      </c>
      <c r="Q53" s="6"/>
      <c r="R53" s="6" t="b">
        <v>1</v>
      </c>
    </row>
    <row r="54" spans="1:18" s="155" customFormat="1">
      <c r="A54" s="6" t="s">
        <v>7825</v>
      </c>
      <c r="B54" s="6"/>
      <c r="C54" s="6"/>
      <c r="D54" s="6">
        <v>0</v>
      </c>
      <c r="E54" s="6">
        <v>1</v>
      </c>
      <c r="F54" s="6" t="s">
        <v>417</v>
      </c>
      <c r="G54" s="6" t="s">
        <v>418</v>
      </c>
      <c r="H54" s="6"/>
      <c r="I54" s="6">
        <v>0</v>
      </c>
      <c r="J54" s="6" t="s">
        <v>1254</v>
      </c>
      <c r="K54" s="6" t="s">
        <v>7864</v>
      </c>
      <c r="L54" s="6"/>
      <c r="M54" s="6"/>
      <c r="N54" s="6" t="str">
        <f t="shared" si="2"/>
        <v>Passive(freyja.passive.uatk.buff.03)</v>
      </c>
      <c r="O54" s="6">
        <v>0</v>
      </c>
      <c r="P54" s="6">
        <v>0</v>
      </c>
      <c r="Q54" s="6"/>
      <c r="R54" s="6" t="b">
        <v>1</v>
      </c>
    </row>
    <row r="55" spans="1:18" s="155" customFormat="1">
      <c r="A55" s="6" t="s">
        <v>7827</v>
      </c>
      <c r="B55" s="6"/>
      <c r="C55" s="6"/>
      <c r="D55" s="6">
        <v>0</v>
      </c>
      <c r="E55" s="6">
        <v>1</v>
      </c>
      <c r="F55" s="6" t="s">
        <v>417</v>
      </c>
      <c r="G55" s="6" t="s">
        <v>418</v>
      </c>
      <c r="H55" s="6"/>
      <c r="I55" s="6">
        <v>0</v>
      </c>
      <c r="J55" s="6" t="s">
        <v>1254</v>
      </c>
      <c r="K55" s="6" t="s">
        <v>7865</v>
      </c>
      <c r="L55" s="6"/>
      <c r="M55" s="6"/>
      <c r="N55" s="6" t="str">
        <f t="shared" si="2"/>
        <v>Passive(freyja.passive.uatk.buff.04)</v>
      </c>
      <c r="O55" s="6">
        <v>0</v>
      </c>
      <c r="P55" s="6">
        <v>0</v>
      </c>
      <c r="Q55" s="6"/>
      <c r="R55" s="6" t="b">
        <v>1</v>
      </c>
    </row>
    <row r="56" spans="1:18" s="155" customFormat="1">
      <c r="A56" s="6" t="s">
        <v>7829</v>
      </c>
      <c r="B56" s="6"/>
      <c r="C56" s="6"/>
      <c r="D56" s="6">
        <v>0</v>
      </c>
      <c r="E56" s="6">
        <v>1</v>
      </c>
      <c r="F56" s="6" t="s">
        <v>417</v>
      </c>
      <c r="G56" s="6" t="s">
        <v>418</v>
      </c>
      <c r="H56" s="6"/>
      <c r="I56" s="6">
        <v>0</v>
      </c>
      <c r="J56" s="6" t="s">
        <v>1254</v>
      </c>
      <c r="K56" s="6" t="s">
        <v>7709</v>
      </c>
      <c r="L56" s="6"/>
      <c r="M56" s="6"/>
      <c r="N56" s="6" t="str">
        <f t="shared" si="2"/>
        <v>Passive(freyja.passive.uatk.buff.05)</v>
      </c>
      <c r="O56" s="6">
        <v>0</v>
      </c>
      <c r="P56" s="6">
        <v>0</v>
      </c>
      <c r="Q56" s="6"/>
      <c r="R56" s="6" t="b">
        <v>1</v>
      </c>
    </row>
    <row r="57" spans="1:18" s="155" customFormat="1">
      <c r="A57" s="6" t="s">
        <v>7831</v>
      </c>
      <c r="B57" s="6"/>
      <c r="C57" s="6"/>
      <c r="D57" s="6">
        <v>0</v>
      </c>
      <c r="E57" s="6">
        <v>1</v>
      </c>
      <c r="F57" s="6" t="s">
        <v>417</v>
      </c>
      <c r="G57" s="6" t="s">
        <v>418</v>
      </c>
      <c r="H57" s="6"/>
      <c r="I57" s="6">
        <v>0</v>
      </c>
      <c r="J57" s="6" t="s">
        <v>1254</v>
      </c>
      <c r="K57" s="6" t="s">
        <v>7710</v>
      </c>
      <c r="L57" s="6"/>
      <c r="M57" s="6"/>
      <c r="N57" s="6" t="str">
        <f t="shared" si="2"/>
        <v>Passive(freyja.passive.uatk.buff.06)</v>
      </c>
      <c r="O57" s="6">
        <v>0</v>
      </c>
      <c r="P57" s="6">
        <v>0</v>
      </c>
      <c r="Q57" s="6"/>
      <c r="R57" s="6" t="b">
        <v>1</v>
      </c>
    </row>
    <row r="58" spans="1:18" s="12" customFormat="1">
      <c r="A58" s="41" t="s">
        <v>7833</v>
      </c>
      <c r="B58" s="41"/>
      <c r="C58" s="41"/>
      <c r="D58" s="41">
        <v>0</v>
      </c>
      <c r="E58" s="41">
        <v>1</v>
      </c>
      <c r="F58" s="41" t="s">
        <v>197</v>
      </c>
      <c r="G58" s="41" t="s">
        <v>198</v>
      </c>
      <c r="H58" s="41"/>
      <c r="I58" s="41">
        <v>0</v>
      </c>
      <c r="J58" s="41" t="s">
        <v>838</v>
      </c>
      <c r="K58" s="41" t="s">
        <v>867</v>
      </c>
      <c r="L58" s="41">
        <v>-9999</v>
      </c>
      <c r="M58" s="41"/>
      <c r="N58" s="41" t="s">
        <v>7834</v>
      </c>
      <c r="O58" s="41">
        <v>0</v>
      </c>
      <c r="P58" s="41">
        <v>0</v>
      </c>
      <c r="Q58" s="41"/>
      <c r="R58" s="41" t="b">
        <v>0</v>
      </c>
    </row>
    <row r="59" spans="1:18" s="12" customFormat="1">
      <c r="A59" s="41" t="s">
        <v>7835</v>
      </c>
      <c r="B59" s="41"/>
      <c r="C59" s="41"/>
      <c r="D59" s="41">
        <v>0</v>
      </c>
      <c r="E59" s="41">
        <v>1</v>
      </c>
      <c r="F59" s="41" t="s">
        <v>197</v>
      </c>
      <c r="G59" s="41" t="s">
        <v>198</v>
      </c>
      <c r="H59" s="41"/>
      <c r="I59" s="41">
        <v>0</v>
      </c>
      <c r="J59" s="41" t="s">
        <v>838</v>
      </c>
      <c r="K59" s="41" t="s">
        <v>867</v>
      </c>
      <c r="L59" s="41">
        <v>-9999</v>
      </c>
      <c r="M59" s="41"/>
      <c r="N59" s="41" t="s">
        <v>7834</v>
      </c>
      <c r="O59" s="41">
        <v>0</v>
      </c>
      <c r="P59" s="41">
        <v>0</v>
      </c>
      <c r="Q59" s="41"/>
      <c r="R59" s="41" t="b">
        <v>0</v>
      </c>
    </row>
    <row r="60" spans="1:18" s="12" customFormat="1">
      <c r="A60" s="41" t="s">
        <v>7836</v>
      </c>
      <c r="B60" s="41"/>
      <c r="C60" s="41"/>
      <c r="D60" s="41">
        <v>0</v>
      </c>
      <c r="E60" s="41">
        <v>1</v>
      </c>
      <c r="F60" s="41" t="s">
        <v>197</v>
      </c>
      <c r="G60" s="41" t="s">
        <v>198</v>
      </c>
      <c r="H60" s="41"/>
      <c r="I60" s="41">
        <v>0</v>
      </c>
      <c r="J60" s="41" t="s">
        <v>838</v>
      </c>
      <c r="K60" s="41" t="s">
        <v>867</v>
      </c>
      <c r="L60" s="41">
        <v>-9999</v>
      </c>
      <c r="M60" s="41"/>
      <c r="N60" s="41" t="s">
        <v>7834</v>
      </c>
      <c r="O60" s="41">
        <v>0</v>
      </c>
      <c r="P60" s="41">
        <v>0</v>
      </c>
      <c r="Q60" s="41"/>
      <c r="R60" s="41" t="b">
        <v>0</v>
      </c>
    </row>
    <row r="61" spans="1:18" s="12" customFormat="1">
      <c r="A61" s="41" t="s">
        <v>7837</v>
      </c>
      <c r="B61" s="41"/>
      <c r="C61" s="41"/>
      <c r="D61" s="41">
        <v>0</v>
      </c>
      <c r="E61" s="41">
        <v>1</v>
      </c>
      <c r="F61" s="41" t="s">
        <v>197</v>
      </c>
      <c r="G61" s="41" t="s">
        <v>198</v>
      </c>
      <c r="H61" s="41"/>
      <c r="I61" s="41">
        <v>0</v>
      </c>
      <c r="J61" s="41" t="s">
        <v>838</v>
      </c>
      <c r="K61" s="41" t="s">
        <v>867</v>
      </c>
      <c r="L61" s="41">
        <v>-9999</v>
      </c>
      <c r="M61" s="41"/>
      <c r="N61" s="41" t="s">
        <v>7834</v>
      </c>
      <c r="O61" s="41">
        <v>0</v>
      </c>
      <c r="P61" s="41">
        <v>0</v>
      </c>
      <c r="Q61" s="41"/>
      <c r="R61" s="41" t="b">
        <v>0</v>
      </c>
    </row>
    <row r="62" spans="1:18" s="12" customFormat="1">
      <c r="A62" s="41" t="s">
        <v>7838</v>
      </c>
      <c r="B62" s="41"/>
      <c r="C62" s="41"/>
      <c r="D62" s="41">
        <v>0</v>
      </c>
      <c r="E62" s="41">
        <v>1</v>
      </c>
      <c r="F62" s="41" t="s">
        <v>197</v>
      </c>
      <c r="G62" s="41" t="s">
        <v>198</v>
      </c>
      <c r="H62" s="41"/>
      <c r="I62" s="41">
        <v>0</v>
      </c>
      <c r="J62" s="41" t="s">
        <v>838</v>
      </c>
      <c r="K62" s="41" t="s">
        <v>867</v>
      </c>
      <c r="L62" s="41">
        <v>-9999</v>
      </c>
      <c r="M62" s="41"/>
      <c r="N62" s="41" t="s">
        <v>7834</v>
      </c>
      <c r="O62" s="41">
        <v>0</v>
      </c>
      <c r="P62" s="41">
        <v>0</v>
      </c>
      <c r="Q62" s="41"/>
      <c r="R62" s="41" t="b">
        <v>0</v>
      </c>
    </row>
    <row r="63" spans="1:18" s="12" customFormat="1">
      <c r="A63" s="41" t="s">
        <v>7839</v>
      </c>
      <c r="B63" s="41"/>
      <c r="C63" s="41"/>
      <c r="D63" s="41">
        <v>0</v>
      </c>
      <c r="E63" s="41">
        <v>1</v>
      </c>
      <c r="F63" s="41" t="s">
        <v>197</v>
      </c>
      <c r="G63" s="41" t="s">
        <v>198</v>
      </c>
      <c r="H63" s="41"/>
      <c r="I63" s="41">
        <v>0</v>
      </c>
      <c r="J63" s="41" t="s">
        <v>838</v>
      </c>
      <c r="K63" s="41" t="s">
        <v>867</v>
      </c>
      <c r="L63" s="41">
        <v>-9999</v>
      </c>
      <c r="M63" s="41"/>
      <c r="N63" s="41" t="s">
        <v>7834</v>
      </c>
      <c r="O63" s="41">
        <v>0</v>
      </c>
      <c r="P63" s="41">
        <v>0</v>
      </c>
      <c r="Q63" s="41"/>
      <c r="R63" s="41" t="b">
        <v>0</v>
      </c>
    </row>
    <row r="64" spans="1:18" s="191" customFormat="1">
      <c r="A64" s="6" t="s">
        <v>7866</v>
      </c>
      <c r="B64" s="6"/>
      <c r="C64" s="6"/>
      <c r="D64" s="6">
        <v>0</v>
      </c>
      <c r="E64" s="6">
        <v>1</v>
      </c>
      <c r="F64" s="6" t="s">
        <v>197</v>
      </c>
      <c r="G64" s="6" t="s">
        <v>198</v>
      </c>
      <c r="H64" s="6"/>
      <c r="I64" s="6">
        <v>0</v>
      </c>
      <c r="J64" s="6" t="s">
        <v>838</v>
      </c>
      <c r="K64" s="6" t="s">
        <v>8419</v>
      </c>
      <c r="L64" s="6">
        <v>1800</v>
      </c>
      <c r="M64" s="6"/>
      <c r="N64" s="6" t="str">
        <f t="shared" ref="N64:N69" si="3">J64&amp;"("&amp;IF(K64="","",K64)&amp;IF(L64="","",", "&amp;L64)&amp;IF(M64="","",", "&amp;M64)&amp;")"</f>
        <v>Status(UltimateDamageRate, 1800)</v>
      </c>
      <c r="O64" s="6">
        <v>0</v>
      </c>
      <c r="P64" s="6">
        <v>0</v>
      </c>
      <c r="Q64" s="6"/>
      <c r="R64" s="6" t="b">
        <v>1</v>
      </c>
    </row>
    <row r="65" spans="1:18" s="191" customFormat="1">
      <c r="A65" s="6" t="s">
        <v>7867</v>
      </c>
      <c r="B65" s="6"/>
      <c r="C65" s="6"/>
      <c r="D65" s="6">
        <v>0</v>
      </c>
      <c r="E65" s="6">
        <v>1</v>
      </c>
      <c r="F65" s="6" t="s">
        <v>197</v>
      </c>
      <c r="G65" s="6" t="s">
        <v>198</v>
      </c>
      <c r="H65" s="6"/>
      <c r="I65" s="6">
        <v>0</v>
      </c>
      <c r="J65" s="6" t="s">
        <v>838</v>
      </c>
      <c r="K65" s="6" t="s">
        <v>8419</v>
      </c>
      <c r="L65" s="6">
        <v>1950</v>
      </c>
      <c r="M65" s="6"/>
      <c r="N65" s="6" t="str">
        <f t="shared" si="3"/>
        <v>Status(UltimateDamageRate, 1950)</v>
      </c>
      <c r="O65" s="6">
        <v>0</v>
      </c>
      <c r="P65" s="6">
        <v>0</v>
      </c>
      <c r="Q65" s="6"/>
      <c r="R65" s="6" t="b">
        <v>1</v>
      </c>
    </row>
    <row r="66" spans="1:18" s="191" customFormat="1">
      <c r="A66" s="6" t="s">
        <v>7868</v>
      </c>
      <c r="B66" s="6"/>
      <c r="C66" s="6"/>
      <c r="D66" s="6">
        <v>0</v>
      </c>
      <c r="E66" s="6">
        <v>1</v>
      </c>
      <c r="F66" s="6" t="s">
        <v>197</v>
      </c>
      <c r="G66" s="6" t="s">
        <v>198</v>
      </c>
      <c r="H66" s="6"/>
      <c r="I66" s="6">
        <v>0</v>
      </c>
      <c r="J66" s="6" t="s">
        <v>838</v>
      </c>
      <c r="K66" s="6" t="s">
        <v>8419</v>
      </c>
      <c r="L66" s="6">
        <v>2100</v>
      </c>
      <c r="M66" s="6"/>
      <c r="N66" s="6" t="str">
        <f t="shared" si="3"/>
        <v>Status(UltimateDamageRate, 2100)</v>
      </c>
      <c r="O66" s="6">
        <v>0</v>
      </c>
      <c r="P66" s="6">
        <v>0</v>
      </c>
      <c r="Q66" s="6"/>
      <c r="R66" s="6" t="b">
        <v>1</v>
      </c>
    </row>
    <row r="67" spans="1:18" s="191" customFormat="1">
      <c r="A67" s="6" t="s">
        <v>7869</v>
      </c>
      <c r="B67" s="6"/>
      <c r="C67" s="6"/>
      <c r="D67" s="6">
        <v>0</v>
      </c>
      <c r="E67" s="6">
        <v>1</v>
      </c>
      <c r="F67" s="6" t="s">
        <v>197</v>
      </c>
      <c r="G67" s="6" t="s">
        <v>198</v>
      </c>
      <c r="H67" s="6"/>
      <c r="I67" s="6">
        <v>0</v>
      </c>
      <c r="J67" s="6" t="s">
        <v>838</v>
      </c>
      <c r="K67" s="6" t="s">
        <v>8419</v>
      </c>
      <c r="L67" s="6">
        <v>2350</v>
      </c>
      <c r="M67" s="6"/>
      <c r="N67" s="6" t="str">
        <f t="shared" si="3"/>
        <v>Status(UltimateDamageRate, 2350)</v>
      </c>
      <c r="O67" s="6">
        <v>0</v>
      </c>
      <c r="P67" s="6">
        <v>0</v>
      </c>
      <c r="Q67" s="6"/>
      <c r="R67" s="6" t="b">
        <v>1</v>
      </c>
    </row>
    <row r="68" spans="1:18" s="191" customFormat="1">
      <c r="A68" s="6" t="s">
        <v>7870</v>
      </c>
      <c r="B68" s="6"/>
      <c r="C68" s="6"/>
      <c r="D68" s="6">
        <v>0</v>
      </c>
      <c r="E68" s="6">
        <v>1</v>
      </c>
      <c r="F68" s="6" t="s">
        <v>197</v>
      </c>
      <c r="G68" s="6" t="s">
        <v>198</v>
      </c>
      <c r="H68" s="6"/>
      <c r="I68" s="6">
        <v>0</v>
      </c>
      <c r="J68" s="6" t="s">
        <v>838</v>
      </c>
      <c r="K68" s="6" t="s">
        <v>8419</v>
      </c>
      <c r="L68" s="6">
        <v>2700</v>
      </c>
      <c r="M68" s="6"/>
      <c r="N68" s="6" t="str">
        <f t="shared" si="3"/>
        <v>Status(UltimateDamageRate, 2700)</v>
      </c>
      <c r="O68" s="6">
        <v>0</v>
      </c>
      <c r="P68" s="6">
        <v>0</v>
      </c>
      <c r="Q68" s="6"/>
      <c r="R68" s="6" t="b">
        <v>1</v>
      </c>
    </row>
    <row r="69" spans="1:18" s="191" customFormat="1">
      <c r="A69" s="6" t="s">
        <v>7871</v>
      </c>
      <c r="B69" s="6"/>
      <c r="C69" s="6"/>
      <c r="D69" s="6">
        <v>0</v>
      </c>
      <c r="E69" s="6">
        <v>1</v>
      </c>
      <c r="F69" s="6" t="s">
        <v>197</v>
      </c>
      <c r="G69" s="6" t="s">
        <v>198</v>
      </c>
      <c r="H69" s="6"/>
      <c r="I69" s="6">
        <v>0</v>
      </c>
      <c r="J69" s="6" t="s">
        <v>838</v>
      </c>
      <c r="K69" s="6" t="s">
        <v>8419</v>
      </c>
      <c r="L69" s="6">
        <v>2700</v>
      </c>
      <c r="M69" s="6"/>
      <c r="N69" s="6" t="str">
        <f t="shared" si="3"/>
        <v>Status(UltimateDamageRate, 2700)</v>
      </c>
      <c r="O69" s="6">
        <v>0</v>
      </c>
      <c r="P69" s="6">
        <v>0</v>
      </c>
      <c r="Q69" s="6"/>
      <c r="R69" s="6" t="b">
        <v>1</v>
      </c>
    </row>
    <row r="70" spans="1:18" s="12" customFormat="1">
      <c r="A70" s="41" t="s">
        <v>8420</v>
      </c>
      <c r="B70" s="41"/>
      <c r="C70" s="41"/>
      <c r="D70" s="41">
        <v>0</v>
      </c>
      <c r="E70" s="41">
        <v>1</v>
      </c>
      <c r="F70" s="41" t="s">
        <v>197</v>
      </c>
      <c r="G70" s="41" t="s">
        <v>198</v>
      </c>
      <c r="H70" s="41"/>
      <c r="I70" s="41">
        <v>0</v>
      </c>
      <c r="J70" s="41" t="s">
        <v>893</v>
      </c>
      <c r="K70" s="41" t="s">
        <v>8421</v>
      </c>
      <c r="L70" s="41"/>
      <c r="M70" s="41"/>
      <c r="N70" s="41" t="str">
        <f>J70&amp;"("&amp;IF(K70="","",K70)&amp;IF(L70="","",", "&amp;L70)&amp;IF(M70="","",", "&amp;M70)&amp;")"</f>
        <v>Active(freyja.passive.buff.buffeffect.skilleffect.01)</v>
      </c>
      <c r="O70" s="41">
        <v>0</v>
      </c>
      <c r="P70" s="41">
        <v>0</v>
      </c>
      <c r="Q70" s="41"/>
      <c r="R70" s="41" t="b">
        <v>1</v>
      </c>
    </row>
    <row r="71" spans="1:18" s="12" customFormat="1">
      <c r="A71" s="41" t="s">
        <v>7858</v>
      </c>
      <c r="B71" s="41"/>
      <c r="C71" s="41"/>
      <c r="D71" s="41">
        <v>0</v>
      </c>
      <c r="E71" s="41">
        <v>1</v>
      </c>
      <c r="F71" s="41" t="s">
        <v>197</v>
      </c>
      <c r="G71" s="41" t="s">
        <v>198</v>
      </c>
      <c r="H71" s="41"/>
      <c r="I71" s="41">
        <v>0</v>
      </c>
      <c r="J71" s="41" t="s">
        <v>893</v>
      </c>
      <c r="K71" s="41" t="s">
        <v>7841</v>
      </c>
      <c r="L71" s="41"/>
      <c r="M71" s="41"/>
      <c r="N71" s="41" t="str">
        <f t="shared" ref="N71:N75" si="4">J71&amp;"("&amp;IF(K71="","",K71)&amp;IF(L71="","",", "&amp;L71)&amp;IF(M71="","",", "&amp;M71)&amp;")"</f>
        <v>Active(freyja.passive.buff.buffeffect.skilleffect.02)</v>
      </c>
      <c r="O71" s="41">
        <v>0</v>
      </c>
      <c r="P71" s="41">
        <v>0</v>
      </c>
      <c r="Q71" s="41"/>
      <c r="R71" s="41" t="b">
        <v>1</v>
      </c>
    </row>
    <row r="72" spans="1:18" s="12" customFormat="1">
      <c r="A72" s="41" t="s">
        <v>7859</v>
      </c>
      <c r="B72" s="41"/>
      <c r="C72" s="41"/>
      <c r="D72" s="41">
        <v>0</v>
      </c>
      <c r="E72" s="41">
        <v>1</v>
      </c>
      <c r="F72" s="41" t="s">
        <v>197</v>
      </c>
      <c r="G72" s="41" t="s">
        <v>198</v>
      </c>
      <c r="H72" s="41"/>
      <c r="I72" s="41">
        <v>0</v>
      </c>
      <c r="J72" s="41" t="s">
        <v>893</v>
      </c>
      <c r="K72" s="41" t="s">
        <v>7842</v>
      </c>
      <c r="L72" s="41"/>
      <c r="M72" s="41"/>
      <c r="N72" s="41" t="str">
        <f t="shared" si="4"/>
        <v>Active(freyja.passive.buff.buffeffect.skilleffect.03)</v>
      </c>
      <c r="O72" s="41">
        <v>0</v>
      </c>
      <c r="P72" s="41">
        <v>0</v>
      </c>
      <c r="Q72" s="41"/>
      <c r="R72" s="41" t="b">
        <v>1</v>
      </c>
    </row>
    <row r="73" spans="1:18" s="12" customFormat="1">
      <c r="A73" s="41" t="s">
        <v>7860</v>
      </c>
      <c r="B73" s="41"/>
      <c r="C73" s="41"/>
      <c r="D73" s="41">
        <v>0</v>
      </c>
      <c r="E73" s="41">
        <v>1</v>
      </c>
      <c r="F73" s="41" t="s">
        <v>197</v>
      </c>
      <c r="G73" s="41" t="s">
        <v>198</v>
      </c>
      <c r="H73" s="41"/>
      <c r="I73" s="41">
        <v>0</v>
      </c>
      <c r="J73" s="41" t="s">
        <v>893</v>
      </c>
      <c r="K73" s="41" t="s">
        <v>7843</v>
      </c>
      <c r="L73" s="41"/>
      <c r="M73" s="41"/>
      <c r="N73" s="41" t="str">
        <f t="shared" si="4"/>
        <v>Active(freyja.passive.buff.buffeffect.skilleffect.04)</v>
      </c>
      <c r="O73" s="41">
        <v>0</v>
      </c>
      <c r="P73" s="41">
        <v>0</v>
      </c>
      <c r="Q73" s="41"/>
      <c r="R73" s="41" t="b">
        <v>1</v>
      </c>
    </row>
    <row r="74" spans="1:18" s="12" customFormat="1">
      <c r="A74" s="41" t="s">
        <v>7861</v>
      </c>
      <c r="B74" s="41"/>
      <c r="C74" s="41"/>
      <c r="D74" s="41">
        <v>0</v>
      </c>
      <c r="E74" s="41">
        <v>1</v>
      </c>
      <c r="F74" s="41" t="s">
        <v>197</v>
      </c>
      <c r="G74" s="41" t="s">
        <v>198</v>
      </c>
      <c r="H74" s="41"/>
      <c r="I74" s="41">
        <v>0</v>
      </c>
      <c r="J74" s="41" t="s">
        <v>893</v>
      </c>
      <c r="K74" s="41" t="s">
        <v>7844</v>
      </c>
      <c r="L74" s="41"/>
      <c r="M74" s="41"/>
      <c r="N74" s="41" t="str">
        <f t="shared" si="4"/>
        <v>Active(freyja.passive.buff.buffeffect.skilleffect.05)</v>
      </c>
      <c r="O74" s="41">
        <v>0</v>
      </c>
      <c r="P74" s="41">
        <v>0</v>
      </c>
      <c r="Q74" s="41"/>
      <c r="R74" s="41" t="b">
        <v>1</v>
      </c>
    </row>
    <row r="75" spans="1:18" s="12" customFormat="1">
      <c r="A75" s="41" t="s">
        <v>7862</v>
      </c>
      <c r="B75" s="41"/>
      <c r="C75" s="41"/>
      <c r="D75" s="41">
        <v>0</v>
      </c>
      <c r="E75" s="41">
        <v>1</v>
      </c>
      <c r="F75" s="41" t="s">
        <v>197</v>
      </c>
      <c r="G75" s="41" t="s">
        <v>198</v>
      </c>
      <c r="H75" s="41"/>
      <c r="I75" s="41">
        <v>0</v>
      </c>
      <c r="J75" s="41" t="s">
        <v>893</v>
      </c>
      <c r="K75" s="41" t="s">
        <v>7845</v>
      </c>
      <c r="L75" s="41"/>
      <c r="M75" s="41"/>
      <c r="N75" s="41" t="str">
        <f t="shared" si="4"/>
        <v>Active(freyja.passive.buff.buffeffect.skilleffect.06)</v>
      </c>
      <c r="O75" s="41">
        <v>0</v>
      </c>
      <c r="P75" s="41">
        <v>0</v>
      </c>
      <c r="Q75" s="41"/>
      <c r="R75" s="41" t="b">
        <v>1</v>
      </c>
    </row>
    <row r="76" spans="1:18" s="12" customFormat="1">
      <c r="A76" s="6" t="s">
        <v>8422</v>
      </c>
      <c r="B76" s="6"/>
      <c r="C76" s="6"/>
      <c r="D76" s="6">
        <v>0</v>
      </c>
      <c r="E76" s="6">
        <v>1</v>
      </c>
      <c r="F76" s="6" t="s">
        <v>197</v>
      </c>
      <c r="G76" s="6" t="s">
        <v>198</v>
      </c>
      <c r="H76" s="6"/>
      <c r="I76" s="6">
        <v>0</v>
      </c>
      <c r="J76" s="6" t="s">
        <v>893</v>
      </c>
      <c r="K76" s="6" t="s">
        <v>8423</v>
      </c>
      <c r="L76" s="6"/>
      <c r="M76" s="6"/>
      <c r="N76" s="6" t="str">
        <f>J76&amp;"("&amp;IF(K76="","",K76)&amp;IF(L76="","",", "&amp;L76)&amp;IF(M76="","",", "&amp;M76)&amp;")"</f>
        <v>Active(freyja.passive.buff.buffeffect.skilleffect.private.01)</v>
      </c>
      <c r="O76" s="6">
        <v>0</v>
      </c>
      <c r="P76" s="6">
        <v>0</v>
      </c>
      <c r="Q76" s="6"/>
      <c r="R76" s="6" t="b">
        <v>1</v>
      </c>
    </row>
    <row r="77" spans="1:18" s="12" customFormat="1">
      <c r="A77" s="6" t="s">
        <v>7878</v>
      </c>
      <c r="B77" s="6"/>
      <c r="C77" s="6"/>
      <c r="D77" s="6">
        <v>0</v>
      </c>
      <c r="E77" s="6">
        <v>1</v>
      </c>
      <c r="F77" s="6" t="s">
        <v>197</v>
      </c>
      <c r="G77" s="6" t="s">
        <v>198</v>
      </c>
      <c r="H77" s="6"/>
      <c r="I77" s="6">
        <v>0</v>
      </c>
      <c r="J77" s="6" t="s">
        <v>893</v>
      </c>
      <c r="K77" s="6" t="s">
        <v>7851</v>
      </c>
      <c r="L77" s="6"/>
      <c r="M77" s="6"/>
      <c r="N77" s="6" t="str">
        <f t="shared" ref="N77:N140" si="5">J77&amp;"("&amp;IF(K77="","",K77)&amp;IF(L77="","",", "&amp;L77)&amp;IF(M77="","",", "&amp;M77)&amp;")"</f>
        <v>Active(freyja.passive.buff.buffeffect.skilleffect.private.02)</v>
      </c>
      <c r="O77" s="6">
        <v>0</v>
      </c>
      <c r="P77" s="6">
        <v>0</v>
      </c>
      <c r="Q77" s="6"/>
      <c r="R77" s="6" t="b">
        <v>1</v>
      </c>
    </row>
    <row r="78" spans="1:18" s="12" customFormat="1">
      <c r="A78" s="6" t="s">
        <v>7879</v>
      </c>
      <c r="B78" s="6"/>
      <c r="C78" s="6"/>
      <c r="D78" s="6">
        <v>0</v>
      </c>
      <c r="E78" s="6">
        <v>1</v>
      </c>
      <c r="F78" s="6" t="s">
        <v>197</v>
      </c>
      <c r="G78" s="6" t="s">
        <v>198</v>
      </c>
      <c r="H78" s="6"/>
      <c r="I78" s="6">
        <v>0</v>
      </c>
      <c r="J78" s="6" t="s">
        <v>893</v>
      </c>
      <c r="K78" s="6" t="s">
        <v>7852</v>
      </c>
      <c r="L78" s="6"/>
      <c r="M78" s="6"/>
      <c r="N78" s="6" t="str">
        <f t="shared" si="5"/>
        <v>Active(freyja.passive.buff.buffeffect.skilleffect.private.03)</v>
      </c>
      <c r="O78" s="6">
        <v>0</v>
      </c>
      <c r="P78" s="6">
        <v>0</v>
      </c>
      <c r="Q78" s="6"/>
      <c r="R78" s="6" t="b">
        <v>1</v>
      </c>
    </row>
    <row r="79" spans="1:18" s="12" customFormat="1">
      <c r="A79" s="6" t="s">
        <v>7880</v>
      </c>
      <c r="B79" s="6"/>
      <c r="C79" s="6"/>
      <c r="D79" s="6">
        <v>0</v>
      </c>
      <c r="E79" s="6">
        <v>1</v>
      </c>
      <c r="F79" s="6" t="s">
        <v>197</v>
      </c>
      <c r="G79" s="6" t="s">
        <v>198</v>
      </c>
      <c r="H79" s="6"/>
      <c r="I79" s="6">
        <v>0</v>
      </c>
      <c r="J79" s="6" t="s">
        <v>893</v>
      </c>
      <c r="K79" s="6" t="s">
        <v>7853</v>
      </c>
      <c r="L79" s="6"/>
      <c r="M79" s="6"/>
      <c r="N79" s="6" t="str">
        <f t="shared" si="5"/>
        <v>Active(freyja.passive.buff.buffeffect.skilleffect.private.04)</v>
      </c>
      <c r="O79" s="6">
        <v>0</v>
      </c>
      <c r="P79" s="6">
        <v>0</v>
      </c>
      <c r="Q79" s="6"/>
      <c r="R79" s="6" t="b">
        <v>1</v>
      </c>
    </row>
    <row r="80" spans="1:18" s="12" customFormat="1">
      <c r="A80" s="6" t="s">
        <v>7881</v>
      </c>
      <c r="B80" s="6"/>
      <c r="C80" s="6"/>
      <c r="D80" s="6">
        <v>0</v>
      </c>
      <c r="E80" s="6">
        <v>1</v>
      </c>
      <c r="F80" s="6" t="s">
        <v>197</v>
      </c>
      <c r="G80" s="6" t="s">
        <v>198</v>
      </c>
      <c r="H80" s="6"/>
      <c r="I80" s="6">
        <v>0</v>
      </c>
      <c r="J80" s="6" t="s">
        <v>893</v>
      </c>
      <c r="K80" s="6" t="s">
        <v>7854</v>
      </c>
      <c r="L80" s="6"/>
      <c r="M80" s="6"/>
      <c r="N80" s="6" t="str">
        <f t="shared" si="5"/>
        <v>Active(freyja.passive.buff.buffeffect.skilleffect.private.05)</v>
      </c>
      <c r="O80" s="6">
        <v>0</v>
      </c>
      <c r="P80" s="6">
        <v>0</v>
      </c>
      <c r="Q80" s="6"/>
      <c r="R80" s="6" t="b">
        <v>1</v>
      </c>
    </row>
    <row r="81" spans="1:18" s="12" customFormat="1">
      <c r="A81" s="6" t="s">
        <v>7882</v>
      </c>
      <c r="B81" s="6"/>
      <c r="C81" s="6"/>
      <c r="D81" s="6">
        <v>0</v>
      </c>
      <c r="E81" s="6">
        <v>1</v>
      </c>
      <c r="F81" s="6" t="s">
        <v>197</v>
      </c>
      <c r="G81" s="6" t="s">
        <v>198</v>
      </c>
      <c r="H81" s="6"/>
      <c r="I81" s="6">
        <v>0</v>
      </c>
      <c r="J81" s="6" t="s">
        <v>893</v>
      </c>
      <c r="K81" s="6" t="s">
        <v>7855</v>
      </c>
      <c r="L81" s="6"/>
      <c r="M81" s="6"/>
      <c r="N81" s="6" t="str">
        <f t="shared" si="5"/>
        <v>Active(freyja.passive.buff.buffeffect.skilleffect.private.06)</v>
      </c>
      <c r="O81" s="6">
        <v>0</v>
      </c>
      <c r="P81" s="6">
        <v>0</v>
      </c>
      <c r="Q81" s="6"/>
      <c r="R81" s="6" t="b">
        <v>1</v>
      </c>
    </row>
    <row r="82" spans="1:18" s="155" customFormat="1">
      <c r="A82" s="41" t="s">
        <v>8424</v>
      </c>
      <c r="B82" s="41"/>
      <c r="C82" s="41"/>
      <c r="D82" s="41">
        <v>0</v>
      </c>
      <c r="E82" s="41">
        <v>1</v>
      </c>
      <c r="F82" s="41" t="s">
        <v>8425</v>
      </c>
      <c r="G82" s="41" t="s">
        <v>8413</v>
      </c>
      <c r="H82" s="41"/>
      <c r="I82" s="41">
        <v>0</v>
      </c>
      <c r="J82" s="41" t="s">
        <v>8414</v>
      </c>
      <c r="K82" s="41" t="s">
        <v>8331</v>
      </c>
      <c r="L82" s="41"/>
      <c r="M82" s="41"/>
      <c r="N82" s="41" t="str">
        <f t="shared" si="5"/>
        <v>Passive(freyja.passive.ex.passive.buff.01)</v>
      </c>
      <c r="O82" s="41">
        <v>0</v>
      </c>
      <c r="P82" s="41">
        <v>0</v>
      </c>
      <c r="Q82" s="41"/>
      <c r="R82" s="41" t="b">
        <v>1</v>
      </c>
    </row>
    <row r="83" spans="1:18" s="12" customFormat="1">
      <c r="A83" s="41" t="s">
        <v>8426</v>
      </c>
      <c r="B83" s="41" t="s">
        <v>1234</v>
      </c>
      <c r="C83" s="41" t="s">
        <v>1236</v>
      </c>
      <c r="D83" s="41">
        <v>0</v>
      </c>
      <c r="E83" s="41">
        <v>1</v>
      </c>
      <c r="F83" s="41" t="s">
        <v>197</v>
      </c>
      <c r="G83" s="41" t="s">
        <v>198</v>
      </c>
      <c r="H83" s="41"/>
      <c r="I83" s="41">
        <v>0</v>
      </c>
      <c r="J83" s="41" t="s">
        <v>8427</v>
      </c>
      <c r="K83" s="41"/>
      <c r="L83" s="41"/>
      <c r="M83" s="41"/>
      <c r="N83" s="41" t="str">
        <f t="shared" si="5"/>
        <v>None()</v>
      </c>
      <c r="O83" s="41">
        <v>0</v>
      </c>
      <c r="P83" s="41">
        <v>0</v>
      </c>
      <c r="Q83" s="41"/>
      <c r="R83" s="41" t="b">
        <v>1</v>
      </c>
    </row>
    <row r="84" spans="1:18" s="155" customFormat="1">
      <c r="A84" s="6" t="s">
        <v>8332</v>
      </c>
      <c r="B84" s="41" t="s">
        <v>1234</v>
      </c>
      <c r="C84" s="41" t="s">
        <v>1236</v>
      </c>
      <c r="D84" s="6">
        <v>0</v>
      </c>
      <c r="E84" s="6">
        <v>1</v>
      </c>
      <c r="F84" s="6" t="s">
        <v>197</v>
      </c>
      <c r="G84" s="6" t="s">
        <v>198</v>
      </c>
      <c r="H84" s="6"/>
      <c r="I84" s="6">
        <v>0</v>
      </c>
      <c r="J84" s="6" t="s">
        <v>8415</v>
      </c>
      <c r="K84" s="6" t="s">
        <v>8428</v>
      </c>
      <c r="L84" s="6" t="s">
        <v>8429</v>
      </c>
      <c r="M84" s="6"/>
      <c r="N84" s="6" t="str">
        <f t="shared" si="5"/>
        <v>Effect(OnKill, freyja.passive.ex.passive.buff.skilleffect.01)</v>
      </c>
      <c r="O84" s="6">
        <v>0</v>
      </c>
      <c r="P84" s="6">
        <v>0</v>
      </c>
      <c r="Q84" s="6"/>
      <c r="R84" s="6" t="b">
        <v>1</v>
      </c>
    </row>
    <row r="85" spans="1:18" s="12" customFormat="1">
      <c r="A85" s="41" t="s">
        <v>8430</v>
      </c>
      <c r="B85" s="41"/>
      <c r="C85" s="41"/>
      <c r="D85" s="41">
        <v>0</v>
      </c>
      <c r="E85" s="41">
        <v>1</v>
      </c>
      <c r="F85" s="41" t="s">
        <v>197</v>
      </c>
      <c r="G85" s="41" t="s">
        <v>198</v>
      </c>
      <c r="H85" s="41"/>
      <c r="I85" s="41">
        <v>0</v>
      </c>
      <c r="J85" s="41" t="s">
        <v>8431</v>
      </c>
      <c r="K85" s="192" t="s">
        <v>8432</v>
      </c>
      <c r="L85" s="41"/>
      <c r="M85" s="41"/>
      <c r="N85" s="41" t="str">
        <f t="shared" si="5"/>
        <v>Active(freyja.passive.ex.buff.skilleffect.01.01)</v>
      </c>
      <c r="O85" s="41">
        <v>0</v>
      </c>
      <c r="P85" s="41">
        <v>1000</v>
      </c>
      <c r="Q85" s="41"/>
      <c r="R85" s="41" t="b">
        <v>1</v>
      </c>
    </row>
    <row r="86" spans="1:18" s="12" customFormat="1">
      <c r="A86" s="41" t="s">
        <v>7782</v>
      </c>
      <c r="B86" s="41"/>
      <c r="C86" s="41"/>
      <c r="D86" s="41">
        <v>0</v>
      </c>
      <c r="E86" s="41">
        <v>1</v>
      </c>
      <c r="F86" s="41" t="s">
        <v>197</v>
      </c>
      <c r="G86" s="41" t="s">
        <v>198</v>
      </c>
      <c r="H86" s="41"/>
      <c r="I86" s="41">
        <v>0</v>
      </c>
      <c r="J86" s="41" t="s">
        <v>8431</v>
      </c>
      <c r="K86" s="192" t="s">
        <v>7787</v>
      </c>
      <c r="L86" s="41"/>
      <c r="M86" s="41"/>
      <c r="N86" s="41" t="str">
        <f t="shared" si="5"/>
        <v>Active(freyja.passive.ex.buff.skilleffect.01.02)</v>
      </c>
      <c r="O86" s="41">
        <v>0</v>
      </c>
      <c r="P86" s="41">
        <v>1000</v>
      </c>
      <c r="Q86" s="41"/>
      <c r="R86" s="41" t="b">
        <v>1</v>
      </c>
    </row>
    <row r="87" spans="1:18" s="12" customFormat="1">
      <c r="A87" s="41" t="s">
        <v>7783</v>
      </c>
      <c r="B87" s="41"/>
      <c r="C87" s="41"/>
      <c r="D87" s="41">
        <v>0</v>
      </c>
      <c r="E87" s="41">
        <v>1</v>
      </c>
      <c r="F87" s="41" t="s">
        <v>197</v>
      </c>
      <c r="G87" s="41" t="s">
        <v>198</v>
      </c>
      <c r="H87" s="41"/>
      <c r="I87" s="41">
        <v>0</v>
      </c>
      <c r="J87" s="41" t="s">
        <v>8431</v>
      </c>
      <c r="K87" s="192" t="s">
        <v>7788</v>
      </c>
      <c r="L87" s="41"/>
      <c r="M87" s="41"/>
      <c r="N87" s="41" t="str">
        <f t="shared" si="5"/>
        <v>Active(freyja.passive.ex.buff.skilleffect.01.03)</v>
      </c>
      <c r="O87" s="41">
        <v>0</v>
      </c>
      <c r="P87" s="41">
        <v>1000</v>
      </c>
      <c r="Q87" s="41"/>
      <c r="R87" s="41" t="b">
        <v>1</v>
      </c>
    </row>
    <row r="88" spans="1:18" s="12" customFormat="1">
      <c r="A88" s="41" t="s">
        <v>7784</v>
      </c>
      <c r="B88" s="41"/>
      <c r="C88" s="41"/>
      <c r="D88" s="41">
        <v>0</v>
      </c>
      <c r="E88" s="41">
        <v>1</v>
      </c>
      <c r="F88" s="41" t="s">
        <v>197</v>
      </c>
      <c r="G88" s="41" t="s">
        <v>198</v>
      </c>
      <c r="H88" s="41"/>
      <c r="I88" s="41">
        <v>0</v>
      </c>
      <c r="J88" s="41" t="s">
        <v>8431</v>
      </c>
      <c r="K88" s="192" t="s">
        <v>7789</v>
      </c>
      <c r="L88" s="41"/>
      <c r="M88" s="41"/>
      <c r="N88" s="41" t="str">
        <f t="shared" si="5"/>
        <v>Active(freyja.passive.ex.buff.skilleffect.01.04)</v>
      </c>
      <c r="O88" s="41">
        <v>0</v>
      </c>
      <c r="P88" s="41">
        <v>1000</v>
      </c>
      <c r="Q88" s="41"/>
      <c r="R88" s="41" t="b">
        <v>1</v>
      </c>
    </row>
    <row r="89" spans="1:18" s="12" customFormat="1">
      <c r="A89" s="41" t="s">
        <v>7785</v>
      </c>
      <c r="B89" s="41"/>
      <c r="C89" s="41"/>
      <c r="D89" s="41">
        <v>0</v>
      </c>
      <c r="E89" s="41">
        <v>1</v>
      </c>
      <c r="F89" s="41" t="s">
        <v>197</v>
      </c>
      <c r="G89" s="41" t="s">
        <v>198</v>
      </c>
      <c r="H89" s="41"/>
      <c r="I89" s="41">
        <v>0</v>
      </c>
      <c r="J89" s="41" t="s">
        <v>8431</v>
      </c>
      <c r="K89" s="192" t="s">
        <v>7790</v>
      </c>
      <c r="L89" s="41"/>
      <c r="M89" s="41"/>
      <c r="N89" s="41" t="str">
        <f t="shared" si="5"/>
        <v>Active(freyja.passive.ex.buff.skilleffect.01.05)</v>
      </c>
      <c r="O89" s="41">
        <v>0</v>
      </c>
      <c r="P89" s="41">
        <v>1000</v>
      </c>
      <c r="Q89" s="41"/>
      <c r="R89" s="41" t="b">
        <v>1</v>
      </c>
    </row>
    <row r="90" spans="1:18" s="12" customFormat="1">
      <c r="A90" s="41" t="s">
        <v>7786</v>
      </c>
      <c r="B90" s="41"/>
      <c r="C90" s="41"/>
      <c r="D90" s="41">
        <v>0</v>
      </c>
      <c r="E90" s="41">
        <v>1</v>
      </c>
      <c r="F90" s="41" t="s">
        <v>197</v>
      </c>
      <c r="G90" s="41" t="s">
        <v>198</v>
      </c>
      <c r="H90" s="41"/>
      <c r="I90" s="41">
        <v>0</v>
      </c>
      <c r="J90" s="41" t="s">
        <v>8431</v>
      </c>
      <c r="K90" s="192" t="s">
        <v>7791</v>
      </c>
      <c r="L90" s="41"/>
      <c r="M90" s="41"/>
      <c r="N90" s="41" t="str">
        <f t="shared" si="5"/>
        <v>Active(freyja.passive.ex.buff.skilleffect.01.06)</v>
      </c>
      <c r="O90" s="41">
        <v>0</v>
      </c>
      <c r="P90" s="41">
        <v>1000</v>
      </c>
      <c r="Q90" s="41"/>
      <c r="R90" s="41" t="b">
        <v>1</v>
      </c>
    </row>
    <row r="91" spans="1:18" s="142" customFormat="1">
      <c r="A91" s="39" t="s">
        <v>8433</v>
      </c>
      <c r="B91" s="23"/>
      <c r="C91" s="23"/>
      <c r="D91" s="23">
        <v>0</v>
      </c>
      <c r="E91" s="23">
        <v>1</v>
      </c>
      <c r="F91" s="23" t="s">
        <v>8434</v>
      </c>
      <c r="G91" s="23" t="s">
        <v>8435</v>
      </c>
      <c r="H91" s="23"/>
      <c r="I91" s="23">
        <v>0</v>
      </c>
      <c r="J91" s="23" t="s">
        <v>8436</v>
      </c>
      <c r="K91" s="23" t="s">
        <v>999</v>
      </c>
      <c r="L91" s="23">
        <v>1000</v>
      </c>
      <c r="M91" s="23"/>
      <c r="N91" s="23" t="str">
        <f t="shared" si="5"/>
        <v>Status(UltimateDamageRate, 1000)</v>
      </c>
      <c r="O91" s="23">
        <v>0</v>
      </c>
      <c r="P91" s="23">
        <v>0</v>
      </c>
      <c r="Q91" s="23"/>
      <c r="R91" s="23" t="b">
        <v>1</v>
      </c>
    </row>
    <row r="92" spans="1:18" s="150" customFormat="1">
      <c r="A92" s="38" t="s">
        <v>7664</v>
      </c>
      <c r="B92" s="24" t="s">
        <v>8366</v>
      </c>
      <c r="C92" s="24" t="s">
        <v>8437</v>
      </c>
      <c r="D92" s="24">
        <v>0</v>
      </c>
      <c r="E92" s="24">
        <v>1</v>
      </c>
      <c r="F92" s="24" t="s">
        <v>8434</v>
      </c>
      <c r="G92" s="24" t="s">
        <v>8435</v>
      </c>
      <c r="H92" s="24"/>
      <c r="I92" s="24">
        <v>0</v>
      </c>
      <c r="J92" s="24" t="s">
        <v>8436</v>
      </c>
      <c r="K92" s="24" t="s">
        <v>999</v>
      </c>
      <c r="L92" s="24">
        <v>-300</v>
      </c>
      <c r="M92" s="24"/>
      <c r="N92" s="24" t="str">
        <f t="shared" si="5"/>
        <v>Status(UltimateDamageRate, -300)</v>
      </c>
      <c r="O92" s="24">
        <v>0</v>
      </c>
      <c r="P92" s="24">
        <v>0</v>
      </c>
      <c r="Q92" s="24"/>
      <c r="R92" s="24" t="b">
        <v>0</v>
      </c>
    </row>
    <row r="93" spans="1:18" s="160" customFormat="1">
      <c r="A93" s="67" t="s">
        <v>7665</v>
      </c>
      <c r="B93" s="65" t="s">
        <v>8366</v>
      </c>
      <c r="C93" s="65" t="s">
        <v>8438</v>
      </c>
      <c r="D93" s="65">
        <v>0</v>
      </c>
      <c r="E93" s="65">
        <v>1</v>
      </c>
      <c r="F93" s="65" t="s">
        <v>8434</v>
      </c>
      <c r="G93" s="65" t="s">
        <v>8435</v>
      </c>
      <c r="H93" s="65"/>
      <c r="I93" s="65">
        <v>0</v>
      </c>
      <c r="J93" s="65" t="s">
        <v>8436</v>
      </c>
      <c r="K93" s="65" t="s">
        <v>999</v>
      </c>
      <c r="L93" s="65">
        <v>-400</v>
      </c>
      <c r="M93" s="65"/>
      <c r="N93" s="65" t="str">
        <f t="shared" si="5"/>
        <v>Status(UltimateDamageRate, -400)</v>
      </c>
      <c r="O93" s="65">
        <v>0</v>
      </c>
      <c r="P93" s="65">
        <v>0</v>
      </c>
      <c r="Q93" s="65"/>
      <c r="R93" s="24" t="b">
        <v>0</v>
      </c>
    </row>
    <row r="94" spans="1:18" s="189" customFormat="1">
      <c r="A94" s="165" t="s">
        <v>7666</v>
      </c>
      <c r="B94" s="141" t="s">
        <v>8366</v>
      </c>
      <c r="C94" s="141" t="s">
        <v>8439</v>
      </c>
      <c r="D94" s="141">
        <v>0</v>
      </c>
      <c r="E94" s="141">
        <v>1</v>
      </c>
      <c r="F94" s="141" t="s">
        <v>8434</v>
      </c>
      <c r="G94" s="141" t="s">
        <v>8435</v>
      </c>
      <c r="H94" s="141"/>
      <c r="I94" s="141">
        <v>0</v>
      </c>
      <c r="J94" s="141" t="s">
        <v>8436</v>
      </c>
      <c r="K94" s="141" t="s">
        <v>999</v>
      </c>
      <c r="L94" s="141">
        <v>-300</v>
      </c>
      <c r="M94" s="141"/>
      <c r="N94" s="141" t="str">
        <f t="shared" si="5"/>
        <v>Status(UltimateDamageRate, -300)</v>
      </c>
      <c r="O94" s="141">
        <v>0</v>
      </c>
      <c r="P94" s="141">
        <v>0</v>
      </c>
      <c r="Q94" s="141"/>
      <c r="R94" s="24" t="b">
        <v>0</v>
      </c>
    </row>
    <row r="95" spans="1:18" s="142" customFormat="1">
      <c r="A95" s="39" t="s">
        <v>8337</v>
      </c>
      <c r="B95" s="23"/>
      <c r="C95" s="23"/>
      <c r="D95" s="23">
        <v>0</v>
      </c>
      <c r="E95" s="23">
        <v>1</v>
      </c>
      <c r="F95" s="23" t="s">
        <v>8434</v>
      </c>
      <c r="G95" s="23" t="s">
        <v>8435</v>
      </c>
      <c r="H95" s="23"/>
      <c r="I95" s="23">
        <v>0</v>
      </c>
      <c r="J95" s="23" t="s">
        <v>8436</v>
      </c>
      <c r="K95" s="23" t="s">
        <v>8440</v>
      </c>
      <c r="L95" s="23">
        <v>2000</v>
      </c>
      <c r="M95" s="23"/>
      <c r="N95" s="23" t="str">
        <f t="shared" si="5"/>
        <v>Status(CriticalRate, 2000)</v>
      </c>
      <c r="O95" s="23">
        <v>0</v>
      </c>
      <c r="P95" s="23">
        <v>0</v>
      </c>
      <c r="Q95" s="23"/>
      <c r="R95" s="23" t="b">
        <v>1</v>
      </c>
    </row>
    <row r="96" spans="1:18" s="150" customFormat="1">
      <c r="A96" s="38" t="s">
        <v>7670</v>
      </c>
      <c r="B96" s="24" t="s">
        <v>8366</v>
      </c>
      <c r="C96" s="24" t="s">
        <v>8437</v>
      </c>
      <c r="D96" s="24">
        <v>0</v>
      </c>
      <c r="E96" s="24">
        <v>1</v>
      </c>
      <c r="F96" s="24" t="s">
        <v>8434</v>
      </c>
      <c r="G96" s="24" t="s">
        <v>8435</v>
      </c>
      <c r="H96" s="24"/>
      <c r="I96" s="24">
        <v>0</v>
      </c>
      <c r="J96" s="24" t="s">
        <v>8431</v>
      </c>
      <c r="K96" s="24" t="s">
        <v>8441</v>
      </c>
      <c r="L96" s="24"/>
      <c r="M96" s="24"/>
      <c r="N96" s="24" t="str">
        <f t="shared" si="5"/>
        <v>Active(eradica.ult.B.buff.buffeffect.skilleffect.01)</v>
      </c>
      <c r="O96" s="24">
        <v>0</v>
      </c>
      <c r="P96" s="24">
        <v>500</v>
      </c>
      <c r="Q96" s="24"/>
      <c r="R96" s="24" t="b">
        <v>1</v>
      </c>
    </row>
    <row r="97" spans="1:18" s="150" customFormat="1">
      <c r="A97" s="38" t="s">
        <v>7638</v>
      </c>
      <c r="B97" s="24"/>
      <c r="C97" s="24"/>
      <c r="D97" s="24">
        <v>0</v>
      </c>
      <c r="E97" s="24">
        <v>1</v>
      </c>
      <c r="F97" s="24" t="s">
        <v>8434</v>
      </c>
      <c r="G97" s="24" t="s">
        <v>8435</v>
      </c>
      <c r="H97" s="24"/>
      <c r="I97" s="24">
        <v>0</v>
      </c>
      <c r="J97" s="24" t="s">
        <v>8431</v>
      </c>
      <c r="K97" s="24" t="s">
        <v>8442</v>
      </c>
      <c r="L97" s="24"/>
      <c r="M97" s="24"/>
      <c r="N97" s="24" t="str">
        <f t="shared" si="5"/>
        <v>Active(eradica.ult.B.post.buff.buffeffect.skilleffect.01)</v>
      </c>
      <c r="O97" s="24">
        <v>0</v>
      </c>
      <c r="P97" s="24">
        <v>0</v>
      </c>
      <c r="Q97" s="24"/>
      <c r="R97" s="24" t="b">
        <v>1</v>
      </c>
    </row>
    <row r="98" spans="1:18" s="150" customFormat="1">
      <c r="A98" s="38" t="s">
        <v>7639</v>
      </c>
      <c r="B98" s="24"/>
      <c r="C98" s="24"/>
      <c r="D98" s="24">
        <v>0</v>
      </c>
      <c r="E98" s="24">
        <v>1</v>
      </c>
      <c r="F98" s="24" t="s">
        <v>197</v>
      </c>
      <c r="G98" s="24" t="s">
        <v>198</v>
      </c>
      <c r="H98" s="24"/>
      <c r="I98" s="24">
        <v>0</v>
      </c>
      <c r="J98" s="24" t="s">
        <v>8431</v>
      </c>
      <c r="K98" s="24" t="s">
        <v>7645</v>
      </c>
      <c r="L98" s="24"/>
      <c r="M98" s="24"/>
      <c r="N98" s="24" t="str">
        <f t="shared" si="5"/>
        <v>Active(eradica.ult.B.post.buff.buffeffect.skilleffect.02)</v>
      </c>
      <c r="O98" s="24">
        <v>0</v>
      </c>
      <c r="P98" s="24">
        <v>0</v>
      </c>
      <c r="Q98" s="24"/>
      <c r="R98" s="24" t="b">
        <v>1</v>
      </c>
    </row>
    <row r="99" spans="1:18" s="150" customFormat="1">
      <c r="A99" s="38" t="s">
        <v>7640</v>
      </c>
      <c r="B99" s="24"/>
      <c r="C99" s="24"/>
      <c r="D99" s="24">
        <v>0</v>
      </c>
      <c r="E99" s="24">
        <v>1</v>
      </c>
      <c r="F99" s="24" t="s">
        <v>197</v>
      </c>
      <c r="G99" s="24" t="s">
        <v>198</v>
      </c>
      <c r="H99" s="24"/>
      <c r="I99" s="24">
        <v>0</v>
      </c>
      <c r="J99" s="24" t="s">
        <v>8431</v>
      </c>
      <c r="K99" s="24" t="s">
        <v>7646</v>
      </c>
      <c r="L99" s="24"/>
      <c r="M99" s="24"/>
      <c r="N99" s="24" t="str">
        <f t="shared" si="5"/>
        <v>Active(eradica.ult.B.post.buff.buffeffect.skilleffect.03)</v>
      </c>
      <c r="O99" s="24">
        <v>0</v>
      </c>
      <c r="P99" s="24">
        <v>0</v>
      </c>
      <c r="Q99" s="24"/>
      <c r="R99" s="24" t="b">
        <v>1</v>
      </c>
    </row>
    <row r="100" spans="1:18" s="150" customFormat="1">
      <c r="A100" s="38" t="s">
        <v>7641</v>
      </c>
      <c r="B100" s="24"/>
      <c r="C100" s="24"/>
      <c r="D100" s="24">
        <v>0</v>
      </c>
      <c r="E100" s="24">
        <v>1</v>
      </c>
      <c r="F100" s="24" t="s">
        <v>197</v>
      </c>
      <c r="G100" s="24" t="s">
        <v>198</v>
      </c>
      <c r="H100" s="24"/>
      <c r="I100" s="24">
        <v>0</v>
      </c>
      <c r="J100" s="24" t="s">
        <v>8431</v>
      </c>
      <c r="K100" s="24" t="s">
        <v>7647</v>
      </c>
      <c r="L100" s="24"/>
      <c r="M100" s="24"/>
      <c r="N100" s="24" t="str">
        <f t="shared" si="5"/>
        <v>Active(eradica.ult.B.post.buff.buffeffect.skilleffect.04)</v>
      </c>
      <c r="O100" s="24">
        <v>0</v>
      </c>
      <c r="P100" s="24">
        <v>0</v>
      </c>
      <c r="Q100" s="24"/>
      <c r="R100" s="24" t="b">
        <v>1</v>
      </c>
    </row>
    <row r="101" spans="1:18" s="150" customFormat="1">
      <c r="A101" s="38" t="s">
        <v>7642</v>
      </c>
      <c r="B101" s="24"/>
      <c r="C101" s="24"/>
      <c r="D101" s="24">
        <v>0</v>
      </c>
      <c r="E101" s="24">
        <v>1</v>
      </c>
      <c r="F101" s="24" t="s">
        <v>197</v>
      </c>
      <c r="G101" s="24" t="s">
        <v>198</v>
      </c>
      <c r="H101" s="24"/>
      <c r="I101" s="24">
        <v>0</v>
      </c>
      <c r="J101" s="24" t="s">
        <v>8431</v>
      </c>
      <c r="K101" s="24" t="s">
        <v>7648</v>
      </c>
      <c r="L101" s="24"/>
      <c r="M101" s="24"/>
      <c r="N101" s="24" t="str">
        <f t="shared" si="5"/>
        <v>Active(eradica.ult.B.post.buff.buffeffect.skilleffect.05)</v>
      </c>
      <c r="O101" s="24">
        <v>0</v>
      </c>
      <c r="P101" s="24">
        <v>0</v>
      </c>
      <c r="Q101" s="24"/>
      <c r="R101" s="24" t="b">
        <v>1</v>
      </c>
    </row>
    <row r="102" spans="1:18" s="150" customFormat="1">
      <c r="A102" s="38" t="s">
        <v>7643</v>
      </c>
      <c r="B102" s="24"/>
      <c r="C102" s="24"/>
      <c r="D102" s="24">
        <v>0</v>
      </c>
      <c r="E102" s="24">
        <v>1</v>
      </c>
      <c r="F102" s="24" t="s">
        <v>197</v>
      </c>
      <c r="G102" s="24" t="s">
        <v>198</v>
      </c>
      <c r="H102" s="24"/>
      <c r="I102" s="24">
        <v>0</v>
      </c>
      <c r="J102" s="24" t="s">
        <v>8431</v>
      </c>
      <c r="K102" s="24" t="s">
        <v>7649</v>
      </c>
      <c r="L102" s="24"/>
      <c r="M102" s="24"/>
      <c r="N102" s="24" t="str">
        <f t="shared" si="5"/>
        <v>Active(eradica.ult.B.post.buff.buffeffect.skilleffect.06)</v>
      </c>
      <c r="O102" s="24">
        <v>0</v>
      </c>
      <c r="P102" s="24">
        <v>0</v>
      </c>
      <c r="Q102" s="24"/>
      <c r="R102" s="24" t="b">
        <v>1</v>
      </c>
    </row>
    <row r="103" spans="1:18" s="150" customFormat="1">
      <c r="A103" s="38" t="s">
        <v>7644</v>
      </c>
      <c r="B103" s="24"/>
      <c r="C103" s="24"/>
      <c r="D103" s="24">
        <v>0</v>
      </c>
      <c r="E103" s="24">
        <v>1</v>
      </c>
      <c r="F103" s="24" t="s">
        <v>197</v>
      </c>
      <c r="G103" s="24" t="s">
        <v>198</v>
      </c>
      <c r="H103" s="24"/>
      <c r="I103" s="24">
        <v>0</v>
      </c>
      <c r="J103" s="24" t="s">
        <v>8431</v>
      </c>
      <c r="K103" s="24" t="s">
        <v>7650</v>
      </c>
      <c r="L103" s="24"/>
      <c r="M103" s="24"/>
      <c r="N103" s="24" t="str">
        <f t="shared" si="5"/>
        <v>Active(eradica.ult.B.post.buff.buffeffect.skilleffect.07)</v>
      </c>
      <c r="O103" s="24">
        <v>0</v>
      </c>
      <c r="P103" s="24">
        <v>0</v>
      </c>
      <c r="Q103" s="24"/>
      <c r="R103" s="24" t="b">
        <v>1</v>
      </c>
    </row>
    <row r="104" spans="1:18" s="142" customFormat="1">
      <c r="A104" s="39" t="s">
        <v>8443</v>
      </c>
      <c r="B104" s="23"/>
      <c r="C104" s="23"/>
      <c r="D104" s="23">
        <v>0</v>
      </c>
      <c r="E104" s="23">
        <v>1</v>
      </c>
      <c r="F104" s="23" t="s">
        <v>197</v>
      </c>
      <c r="G104" s="23" t="s">
        <v>198</v>
      </c>
      <c r="H104" s="23"/>
      <c r="I104" s="23">
        <v>0</v>
      </c>
      <c r="J104" s="23" t="s">
        <v>8436</v>
      </c>
      <c r="K104" s="23" t="s">
        <v>8444</v>
      </c>
      <c r="L104" s="23">
        <v>-150</v>
      </c>
      <c r="M104" s="23"/>
      <c r="N104" s="23" t="str">
        <f t="shared" si="5"/>
        <v>Status(AccuracyDerate, -150)</v>
      </c>
      <c r="O104" s="23">
        <v>0</v>
      </c>
      <c r="P104" s="23">
        <v>0</v>
      </c>
      <c r="Q104" s="23"/>
      <c r="R104" s="23" t="b">
        <v>1</v>
      </c>
    </row>
    <row r="105" spans="1:18" s="142" customFormat="1">
      <c r="A105" s="39" t="s">
        <v>7566</v>
      </c>
      <c r="B105" s="23"/>
      <c r="C105" s="23"/>
      <c r="D105" s="23">
        <v>0</v>
      </c>
      <c r="E105" s="23">
        <v>1</v>
      </c>
      <c r="F105" s="23" t="s">
        <v>197</v>
      </c>
      <c r="G105" s="23" t="s">
        <v>198</v>
      </c>
      <c r="H105" s="23"/>
      <c r="I105" s="23">
        <v>0</v>
      </c>
      <c r="J105" s="23" t="s">
        <v>8436</v>
      </c>
      <c r="K105" s="23" t="s">
        <v>8444</v>
      </c>
      <c r="L105" s="23">
        <v>-175</v>
      </c>
      <c r="M105" s="23"/>
      <c r="N105" s="23" t="str">
        <f t="shared" si="5"/>
        <v>Status(AccuracyDerate, -175)</v>
      </c>
      <c r="O105" s="23">
        <v>0</v>
      </c>
      <c r="P105" s="23">
        <v>0</v>
      </c>
      <c r="Q105" s="23"/>
      <c r="R105" s="23" t="b">
        <v>1</v>
      </c>
    </row>
    <row r="106" spans="1:18" s="142" customFormat="1">
      <c r="A106" s="39" t="s">
        <v>7567</v>
      </c>
      <c r="B106" s="23"/>
      <c r="C106" s="23"/>
      <c r="D106" s="23">
        <v>0</v>
      </c>
      <c r="E106" s="23">
        <v>1</v>
      </c>
      <c r="F106" s="23" t="s">
        <v>197</v>
      </c>
      <c r="G106" s="23" t="s">
        <v>198</v>
      </c>
      <c r="H106" s="23"/>
      <c r="I106" s="23">
        <v>0</v>
      </c>
      <c r="J106" s="23" t="s">
        <v>8436</v>
      </c>
      <c r="K106" s="23" t="s">
        <v>8444</v>
      </c>
      <c r="L106" s="23">
        <v>-200</v>
      </c>
      <c r="M106" s="23"/>
      <c r="N106" s="23" t="str">
        <f t="shared" si="5"/>
        <v>Status(AccuracyDerate, -200)</v>
      </c>
      <c r="O106" s="23">
        <v>0</v>
      </c>
      <c r="P106" s="23">
        <v>0</v>
      </c>
      <c r="Q106" s="23"/>
      <c r="R106" s="23" t="b">
        <v>1</v>
      </c>
    </row>
    <row r="107" spans="1:18" s="142" customFormat="1">
      <c r="A107" s="39" t="s">
        <v>7568</v>
      </c>
      <c r="B107" s="23"/>
      <c r="C107" s="23"/>
      <c r="D107" s="23">
        <v>0</v>
      </c>
      <c r="E107" s="23">
        <v>1</v>
      </c>
      <c r="F107" s="23" t="s">
        <v>197</v>
      </c>
      <c r="G107" s="23" t="s">
        <v>198</v>
      </c>
      <c r="H107" s="23"/>
      <c r="I107" s="23">
        <v>0</v>
      </c>
      <c r="J107" s="23" t="s">
        <v>8436</v>
      </c>
      <c r="K107" s="23" t="s">
        <v>8444</v>
      </c>
      <c r="L107" s="23">
        <v>-225</v>
      </c>
      <c r="M107" s="23"/>
      <c r="N107" s="23" t="str">
        <f t="shared" si="5"/>
        <v>Status(AccuracyDerate, -225)</v>
      </c>
      <c r="O107" s="23">
        <v>0</v>
      </c>
      <c r="P107" s="23">
        <v>0</v>
      </c>
      <c r="Q107" s="23"/>
      <c r="R107" s="23" t="b">
        <v>1</v>
      </c>
    </row>
    <row r="108" spans="1:18" s="142" customFormat="1">
      <c r="A108" s="39" t="s">
        <v>7569</v>
      </c>
      <c r="B108" s="23"/>
      <c r="C108" s="23"/>
      <c r="D108" s="23">
        <v>0</v>
      </c>
      <c r="E108" s="23">
        <v>1</v>
      </c>
      <c r="F108" s="23" t="s">
        <v>197</v>
      </c>
      <c r="G108" s="23" t="s">
        <v>198</v>
      </c>
      <c r="H108" s="23"/>
      <c r="I108" s="23">
        <v>0</v>
      </c>
      <c r="J108" s="23" t="s">
        <v>8436</v>
      </c>
      <c r="K108" s="23" t="s">
        <v>8444</v>
      </c>
      <c r="L108" s="23">
        <v>-225</v>
      </c>
      <c r="M108" s="23"/>
      <c r="N108" s="23" t="str">
        <f t="shared" si="5"/>
        <v>Status(AccuracyDerate, -225)</v>
      </c>
      <c r="O108" s="23">
        <v>0</v>
      </c>
      <c r="P108" s="23">
        <v>0</v>
      </c>
      <c r="Q108" s="23"/>
      <c r="R108" s="23" t="b">
        <v>1</v>
      </c>
    </row>
    <row r="109" spans="1:18" s="142" customFormat="1">
      <c r="A109" s="39" t="s">
        <v>7570</v>
      </c>
      <c r="B109" s="23"/>
      <c r="C109" s="23"/>
      <c r="D109" s="23">
        <v>0</v>
      </c>
      <c r="E109" s="23">
        <v>1</v>
      </c>
      <c r="F109" s="23" t="s">
        <v>197</v>
      </c>
      <c r="G109" s="23" t="s">
        <v>198</v>
      </c>
      <c r="H109" s="23"/>
      <c r="I109" s="23">
        <v>0</v>
      </c>
      <c r="J109" s="23" t="s">
        <v>8436</v>
      </c>
      <c r="K109" s="23" t="s">
        <v>8444</v>
      </c>
      <c r="L109" s="23">
        <v>-225</v>
      </c>
      <c r="M109" s="23"/>
      <c r="N109" s="23" t="str">
        <f t="shared" si="5"/>
        <v>Status(AccuracyDerate, -225)</v>
      </c>
      <c r="O109" s="23">
        <v>0</v>
      </c>
      <c r="P109" s="23">
        <v>0</v>
      </c>
      <c r="Q109" s="23"/>
      <c r="R109" s="23" t="b">
        <v>1</v>
      </c>
    </row>
    <row r="110" spans="1:18" s="150" customFormat="1">
      <c r="A110" s="38" t="s">
        <v>8445</v>
      </c>
      <c r="B110" s="24"/>
      <c r="C110" s="24"/>
      <c r="D110" s="24">
        <v>0</v>
      </c>
      <c r="E110" s="24">
        <v>1</v>
      </c>
      <c r="F110" s="24" t="s">
        <v>197</v>
      </c>
      <c r="G110" s="24" t="s">
        <v>198</v>
      </c>
      <c r="H110" s="24"/>
      <c r="I110" s="24">
        <v>0</v>
      </c>
      <c r="J110" s="24" t="s">
        <v>8436</v>
      </c>
      <c r="K110" s="24" t="s">
        <v>8446</v>
      </c>
      <c r="L110" s="24">
        <v>-150</v>
      </c>
      <c r="M110" s="24"/>
      <c r="N110" s="24" t="str">
        <f t="shared" si="5"/>
        <v>Status(AttackRatio, -150)</v>
      </c>
      <c r="O110" s="24">
        <v>0</v>
      </c>
      <c r="P110" s="24">
        <v>0</v>
      </c>
      <c r="Q110" s="24"/>
      <c r="R110" s="24" t="b">
        <v>1</v>
      </c>
    </row>
    <row r="111" spans="1:18" s="150" customFormat="1">
      <c r="A111" s="38" t="s">
        <v>7556</v>
      </c>
      <c r="B111" s="24"/>
      <c r="C111" s="24"/>
      <c r="D111" s="24">
        <v>0</v>
      </c>
      <c r="E111" s="24">
        <v>1</v>
      </c>
      <c r="F111" s="24" t="s">
        <v>197</v>
      </c>
      <c r="G111" s="24" t="s">
        <v>198</v>
      </c>
      <c r="H111" s="24"/>
      <c r="I111" s="24">
        <v>0</v>
      </c>
      <c r="J111" s="24" t="s">
        <v>8436</v>
      </c>
      <c r="K111" s="24" t="s">
        <v>8446</v>
      </c>
      <c r="L111" s="24">
        <v>-175</v>
      </c>
      <c r="M111" s="24"/>
      <c r="N111" s="24" t="str">
        <f t="shared" si="5"/>
        <v>Status(AttackRatio, -175)</v>
      </c>
      <c r="O111" s="24">
        <v>0</v>
      </c>
      <c r="P111" s="24">
        <v>0</v>
      </c>
      <c r="Q111" s="24"/>
      <c r="R111" s="24" t="b">
        <v>1</v>
      </c>
    </row>
    <row r="112" spans="1:18" s="150" customFormat="1">
      <c r="A112" s="38" t="s">
        <v>7557</v>
      </c>
      <c r="B112" s="24"/>
      <c r="C112" s="24"/>
      <c r="D112" s="24">
        <v>0</v>
      </c>
      <c r="E112" s="24">
        <v>1</v>
      </c>
      <c r="F112" s="24" t="s">
        <v>197</v>
      </c>
      <c r="G112" s="24" t="s">
        <v>198</v>
      </c>
      <c r="H112" s="24"/>
      <c r="I112" s="24">
        <v>0</v>
      </c>
      <c r="J112" s="24" t="s">
        <v>8436</v>
      </c>
      <c r="K112" s="24" t="s">
        <v>8446</v>
      </c>
      <c r="L112" s="24">
        <v>-200</v>
      </c>
      <c r="M112" s="24"/>
      <c r="N112" s="24" t="str">
        <f t="shared" si="5"/>
        <v>Status(AttackRatio, -200)</v>
      </c>
      <c r="O112" s="24">
        <v>0</v>
      </c>
      <c r="P112" s="24">
        <v>0</v>
      </c>
      <c r="Q112" s="24"/>
      <c r="R112" s="24" t="b">
        <v>1</v>
      </c>
    </row>
    <row r="113" spans="1:18" s="150" customFormat="1">
      <c r="A113" s="38" t="s">
        <v>7558</v>
      </c>
      <c r="B113" s="24"/>
      <c r="C113" s="24"/>
      <c r="D113" s="24">
        <v>0</v>
      </c>
      <c r="E113" s="24">
        <v>1</v>
      </c>
      <c r="F113" s="24" t="s">
        <v>197</v>
      </c>
      <c r="G113" s="24" t="s">
        <v>198</v>
      </c>
      <c r="H113" s="24"/>
      <c r="I113" s="24">
        <v>0</v>
      </c>
      <c r="J113" s="24" t="s">
        <v>8436</v>
      </c>
      <c r="K113" s="24" t="s">
        <v>8446</v>
      </c>
      <c r="L113" s="24">
        <v>-225</v>
      </c>
      <c r="M113" s="24"/>
      <c r="N113" s="24" t="str">
        <f t="shared" si="5"/>
        <v>Status(AttackRatio, -225)</v>
      </c>
      <c r="O113" s="24">
        <v>0</v>
      </c>
      <c r="P113" s="24">
        <v>0</v>
      </c>
      <c r="Q113" s="24"/>
      <c r="R113" s="24" t="b">
        <v>1</v>
      </c>
    </row>
    <row r="114" spans="1:18" s="150" customFormat="1">
      <c r="A114" s="38" t="s">
        <v>7559</v>
      </c>
      <c r="B114" s="24"/>
      <c r="C114" s="24"/>
      <c r="D114" s="24">
        <v>0</v>
      </c>
      <c r="E114" s="24">
        <v>1</v>
      </c>
      <c r="F114" s="24" t="s">
        <v>197</v>
      </c>
      <c r="G114" s="24" t="s">
        <v>198</v>
      </c>
      <c r="H114" s="24"/>
      <c r="I114" s="24">
        <v>0</v>
      </c>
      <c r="J114" s="24" t="s">
        <v>8436</v>
      </c>
      <c r="K114" s="24" t="s">
        <v>8446</v>
      </c>
      <c r="L114" s="24">
        <v>-225</v>
      </c>
      <c r="M114" s="24"/>
      <c r="N114" s="24" t="str">
        <f t="shared" si="5"/>
        <v>Status(AttackRatio, -225)</v>
      </c>
      <c r="O114" s="24">
        <v>0</v>
      </c>
      <c r="P114" s="24">
        <v>0</v>
      </c>
      <c r="Q114" s="24"/>
      <c r="R114" s="24" t="b">
        <v>1</v>
      </c>
    </row>
    <row r="115" spans="1:18" s="150" customFormat="1">
      <c r="A115" s="38" t="s">
        <v>7560</v>
      </c>
      <c r="B115" s="24"/>
      <c r="C115" s="24"/>
      <c r="D115" s="24">
        <v>0</v>
      </c>
      <c r="E115" s="24">
        <v>1</v>
      </c>
      <c r="F115" s="24" t="s">
        <v>197</v>
      </c>
      <c r="G115" s="24" t="s">
        <v>198</v>
      </c>
      <c r="H115" s="24"/>
      <c r="I115" s="24">
        <v>0</v>
      </c>
      <c r="J115" s="24" t="s">
        <v>8436</v>
      </c>
      <c r="K115" s="24" t="s">
        <v>8446</v>
      </c>
      <c r="L115" s="24">
        <v>-225</v>
      </c>
      <c r="M115" s="24"/>
      <c r="N115" s="24" t="str">
        <f t="shared" si="5"/>
        <v>Status(AttackRatio, -225)</v>
      </c>
      <c r="O115" s="24">
        <v>0</v>
      </c>
      <c r="P115" s="24">
        <v>0</v>
      </c>
      <c r="Q115" s="24"/>
      <c r="R115" s="24" t="b">
        <v>1</v>
      </c>
    </row>
    <row r="116" spans="1:18" s="142" customFormat="1">
      <c r="A116" s="39" t="s">
        <v>8447</v>
      </c>
      <c r="B116" s="23"/>
      <c r="C116" s="23"/>
      <c r="D116" s="23">
        <v>0</v>
      </c>
      <c r="E116" s="23">
        <v>1</v>
      </c>
      <c r="F116" s="23" t="s">
        <v>197</v>
      </c>
      <c r="G116" s="23" t="s">
        <v>198</v>
      </c>
      <c r="H116" s="23"/>
      <c r="I116" s="23">
        <v>0</v>
      </c>
      <c r="J116" s="23" t="s">
        <v>8431</v>
      </c>
      <c r="K116" s="23" t="s">
        <v>8448</v>
      </c>
      <c r="L116" s="23"/>
      <c r="M116" s="23"/>
      <c r="N116" s="23" t="str">
        <f t="shared" si="5"/>
        <v>Active(eradica.passive.buff.buffeffect.01.skilleffect.01)</v>
      </c>
      <c r="O116" s="23">
        <v>0</v>
      </c>
      <c r="P116" s="23">
        <v>0</v>
      </c>
      <c r="Q116" s="23"/>
      <c r="R116" s="23" t="b">
        <v>1</v>
      </c>
    </row>
    <row r="117" spans="1:18" s="150" customFormat="1">
      <c r="A117" s="38" t="s">
        <v>8449</v>
      </c>
      <c r="B117" s="24"/>
      <c r="C117" s="24"/>
      <c r="D117" s="24">
        <v>0</v>
      </c>
      <c r="E117" s="24">
        <v>1</v>
      </c>
      <c r="F117" s="24" t="s">
        <v>197</v>
      </c>
      <c r="G117" s="24" t="s">
        <v>198</v>
      </c>
      <c r="H117" s="24"/>
      <c r="I117" s="24">
        <v>0</v>
      </c>
      <c r="J117" s="24" t="s">
        <v>8431</v>
      </c>
      <c r="K117" s="24" t="s">
        <v>8450</v>
      </c>
      <c r="L117" s="24"/>
      <c r="M117" s="24"/>
      <c r="N117" s="24" t="str">
        <f t="shared" si="5"/>
        <v>Active(eradica.passive.buff.buffeffect.02.skilleffect.01)</v>
      </c>
      <c r="O117" s="24">
        <v>0</v>
      </c>
      <c r="P117" s="24">
        <v>1000</v>
      </c>
      <c r="Q117" s="24"/>
      <c r="R117" s="24" t="b">
        <v>1</v>
      </c>
    </row>
    <row r="118" spans="1:18" s="160" customFormat="1">
      <c r="A118" s="67" t="s">
        <v>7572</v>
      </c>
      <c r="B118" s="65" t="s">
        <v>8366</v>
      </c>
      <c r="C118" s="65" t="s">
        <v>7571</v>
      </c>
      <c r="D118" s="65">
        <v>0</v>
      </c>
      <c r="E118" s="65">
        <v>1</v>
      </c>
      <c r="F118" s="65" t="s">
        <v>197</v>
      </c>
      <c r="G118" s="65" t="s">
        <v>198</v>
      </c>
      <c r="H118" s="65"/>
      <c r="I118" s="65">
        <v>0</v>
      </c>
      <c r="J118" s="65" t="s">
        <v>8436</v>
      </c>
      <c r="K118" s="65" t="s">
        <v>8451</v>
      </c>
      <c r="L118" s="65">
        <v>150</v>
      </c>
      <c r="M118" s="65"/>
      <c r="N118" s="65" t="str">
        <f t="shared" si="5"/>
        <v>Status(IgnoreDefenseRate, 150)</v>
      </c>
      <c r="O118" s="65">
        <v>0</v>
      </c>
      <c r="P118" s="65">
        <v>0</v>
      </c>
      <c r="Q118" s="65"/>
      <c r="R118" s="24" t="b">
        <v>1</v>
      </c>
    </row>
    <row r="119" spans="1:18" s="160" customFormat="1">
      <c r="A119" s="67" t="s">
        <v>7573</v>
      </c>
      <c r="B119" s="65" t="s">
        <v>8366</v>
      </c>
      <c r="C119" s="65" t="s">
        <v>7571</v>
      </c>
      <c r="D119" s="65">
        <v>0</v>
      </c>
      <c r="E119" s="65">
        <v>1</v>
      </c>
      <c r="F119" s="65" t="s">
        <v>197</v>
      </c>
      <c r="G119" s="65" t="s">
        <v>198</v>
      </c>
      <c r="H119" s="65"/>
      <c r="I119" s="65">
        <v>0</v>
      </c>
      <c r="J119" s="65" t="s">
        <v>8436</v>
      </c>
      <c r="K119" s="65" t="s">
        <v>8451</v>
      </c>
      <c r="L119" s="65">
        <v>175</v>
      </c>
      <c r="M119" s="65"/>
      <c r="N119" s="65" t="str">
        <f t="shared" si="5"/>
        <v>Status(IgnoreDefenseRate, 175)</v>
      </c>
      <c r="O119" s="65">
        <v>0</v>
      </c>
      <c r="P119" s="65">
        <v>0</v>
      </c>
      <c r="Q119" s="65"/>
      <c r="R119" s="24" t="b">
        <v>1</v>
      </c>
    </row>
    <row r="120" spans="1:18" s="160" customFormat="1">
      <c r="A120" s="67" t="s">
        <v>7574</v>
      </c>
      <c r="B120" s="65" t="s">
        <v>8366</v>
      </c>
      <c r="C120" s="65" t="s">
        <v>7571</v>
      </c>
      <c r="D120" s="65">
        <v>0</v>
      </c>
      <c r="E120" s="65">
        <v>1</v>
      </c>
      <c r="F120" s="65" t="s">
        <v>197</v>
      </c>
      <c r="G120" s="65" t="s">
        <v>198</v>
      </c>
      <c r="H120" s="65"/>
      <c r="I120" s="65">
        <v>0</v>
      </c>
      <c r="J120" s="65" t="s">
        <v>8436</v>
      </c>
      <c r="K120" s="65" t="s">
        <v>8451</v>
      </c>
      <c r="L120" s="65">
        <v>200</v>
      </c>
      <c r="M120" s="65"/>
      <c r="N120" s="65" t="str">
        <f t="shared" si="5"/>
        <v>Status(IgnoreDefenseRate, 200)</v>
      </c>
      <c r="O120" s="65">
        <v>0</v>
      </c>
      <c r="P120" s="65">
        <v>0</v>
      </c>
      <c r="Q120" s="65"/>
      <c r="R120" s="24" t="b">
        <v>1</v>
      </c>
    </row>
    <row r="121" spans="1:18" s="160" customFormat="1">
      <c r="A121" s="67" t="s">
        <v>7575</v>
      </c>
      <c r="B121" s="65" t="s">
        <v>8366</v>
      </c>
      <c r="C121" s="65" t="s">
        <v>7571</v>
      </c>
      <c r="D121" s="65">
        <v>0</v>
      </c>
      <c r="E121" s="65">
        <v>1</v>
      </c>
      <c r="F121" s="65" t="s">
        <v>197</v>
      </c>
      <c r="G121" s="65" t="s">
        <v>198</v>
      </c>
      <c r="H121" s="65"/>
      <c r="I121" s="65">
        <v>0</v>
      </c>
      <c r="J121" s="65" t="s">
        <v>8436</v>
      </c>
      <c r="K121" s="65" t="s">
        <v>8451</v>
      </c>
      <c r="L121" s="65">
        <v>225</v>
      </c>
      <c r="M121" s="65"/>
      <c r="N121" s="65" t="str">
        <f t="shared" si="5"/>
        <v>Status(IgnoreDefenseRate, 225)</v>
      </c>
      <c r="O121" s="65">
        <v>0</v>
      </c>
      <c r="P121" s="65">
        <v>0</v>
      </c>
      <c r="Q121" s="65"/>
      <c r="R121" s="24" t="b">
        <v>1</v>
      </c>
    </row>
    <row r="122" spans="1:18" s="160" customFormat="1">
      <c r="A122" s="67" t="s">
        <v>7576</v>
      </c>
      <c r="B122" s="65" t="s">
        <v>8366</v>
      </c>
      <c r="C122" s="65" t="s">
        <v>7571</v>
      </c>
      <c r="D122" s="65">
        <v>0</v>
      </c>
      <c r="E122" s="65">
        <v>1</v>
      </c>
      <c r="F122" s="65" t="s">
        <v>197</v>
      </c>
      <c r="G122" s="65" t="s">
        <v>198</v>
      </c>
      <c r="H122" s="65"/>
      <c r="I122" s="65">
        <v>0</v>
      </c>
      <c r="J122" s="65" t="s">
        <v>8436</v>
      </c>
      <c r="K122" s="65" t="s">
        <v>8451</v>
      </c>
      <c r="L122" s="65">
        <v>250</v>
      </c>
      <c r="M122" s="65"/>
      <c r="N122" s="65" t="str">
        <f t="shared" si="5"/>
        <v>Status(IgnoreDefenseRate, 250)</v>
      </c>
      <c r="O122" s="65">
        <v>0</v>
      </c>
      <c r="P122" s="65">
        <v>0</v>
      </c>
      <c r="Q122" s="65"/>
      <c r="R122" s="24" t="b">
        <v>1</v>
      </c>
    </row>
    <row r="123" spans="1:18" s="160" customFormat="1">
      <c r="A123" s="67" t="s">
        <v>7577</v>
      </c>
      <c r="B123" s="65" t="s">
        <v>8366</v>
      </c>
      <c r="C123" s="65" t="s">
        <v>7571</v>
      </c>
      <c r="D123" s="65">
        <v>0</v>
      </c>
      <c r="E123" s="65">
        <v>1</v>
      </c>
      <c r="F123" s="65" t="s">
        <v>197</v>
      </c>
      <c r="G123" s="65" t="s">
        <v>198</v>
      </c>
      <c r="H123" s="65"/>
      <c r="I123" s="65">
        <v>0</v>
      </c>
      <c r="J123" s="65" t="s">
        <v>8436</v>
      </c>
      <c r="K123" s="65" t="s">
        <v>8451</v>
      </c>
      <c r="L123" s="65">
        <v>250</v>
      </c>
      <c r="M123" s="65"/>
      <c r="N123" s="65" t="str">
        <f t="shared" si="5"/>
        <v>Status(IgnoreDefenseRate, 250)</v>
      </c>
      <c r="O123" s="65">
        <v>0</v>
      </c>
      <c r="P123" s="65">
        <v>0</v>
      </c>
      <c r="Q123" s="65"/>
      <c r="R123" s="24" t="b">
        <v>1</v>
      </c>
    </row>
    <row r="124" spans="1:18" s="189" customFormat="1">
      <c r="A124" s="165" t="s">
        <v>8452</v>
      </c>
      <c r="B124" s="141" t="s">
        <v>8366</v>
      </c>
      <c r="C124" s="141" t="s">
        <v>8453</v>
      </c>
      <c r="D124" s="141">
        <v>0</v>
      </c>
      <c r="E124" s="141">
        <v>1</v>
      </c>
      <c r="F124" s="141" t="s">
        <v>417</v>
      </c>
      <c r="G124" s="141" t="s">
        <v>418</v>
      </c>
      <c r="H124" s="141"/>
      <c r="I124" s="141">
        <v>0</v>
      </c>
      <c r="J124" s="141" t="s">
        <v>1254</v>
      </c>
      <c r="K124" s="141" t="s">
        <v>7682</v>
      </c>
      <c r="L124" s="141"/>
      <c r="M124" s="141"/>
      <c r="N124" s="141" t="str">
        <f t="shared" si="5"/>
        <v>Passive(eradica.passive.not.maindealer.defup.buff.01)</v>
      </c>
      <c r="O124" s="141">
        <v>0</v>
      </c>
      <c r="P124" s="141">
        <v>0</v>
      </c>
      <c r="Q124" s="141"/>
      <c r="R124" s="141" t="b">
        <v>0</v>
      </c>
    </row>
    <row r="125" spans="1:18" s="189" customFormat="1">
      <c r="A125" s="165" t="s">
        <v>7578</v>
      </c>
      <c r="B125" s="141" t="s">
        <v>8366</v>
      </c>
      <c r="C125" s="141" t="s">
        <v>8453</v>
      </c>
      <c r="D125" s="141">
        <v>0</v>
      </c>
      <c r="E125" s="141">
        <v>1</v>
      </c>
      <c r="F125" s="141" t="s">
        <v>417</v>
      </c>
      <c r="G125" s="141" t="s">
        <v>418</v>
      </c>
      <c r="H125" s="141"/>
      <c r="I125" s="141">
        <v>0</v>
      </c>
      <c r="J125" s="141" t="s">
        <v>1254</v>
      </c>
      <c r="K125" s="141" t="s">
        <v>7683</v>
      </c>
      <c r="L125" s="141"/>
      <c r="M125" s="141"/>
      <c r="N125" s="141" t="str">
        <f t="shared" si="5"/>
        <v>Passive(eradica.passive.not.maindealer.defup.buff.02)</v>
      </c>
      <c r="O125" s="141">
        <v>0</v>
      </c>
      <c r="P125" s="141">
        <v>0</v>
      </c>
      <c r="Q125" s="141"/>
      <c r="R125" s="141" t="b">
        <v>0</v>
      </c>
    </row>
    <row r="126" spans="1:18" s="189" customFormat="1">
      <c r="A126" s="165" t="s">
        <v>7579</v>
      </c>
      <c r="B126" s="141" t="s">
        <v>8366</v>
      </c>
      <c r="C126" s="141" t="s">
        <v>8453</v>
      </c>
      <c r="D126" s="141">
        <v>0</v>
      </c>
      <c r="E126" s="141">
        <v>1</v>
      </c>
      <c r="F126" s="141" t="s">
        <v>417</v>
      </c>
      <c r="G126" s="141" t="s">
        <v>418</v>
      </c>
      <c r="H126" s="141"/>
      <c r="I126" s="141">
        <v>0</v>
      </c>
      <c r="J126" s="141" t="s">
        <v>1254</v>
      </c>
      <c r="K126" s="141" t="s">
        <v>7684</v>
      </c>
      <c r="L126" s="141"/>
      <c r="M126" s="141"/>
      <c r="N126" s="141" t="str">
        <f t="shared" si="5"/>
        <v>Passive(eradica.passive.not.maindealer.defup.buff.03)</v>
      </c>
      <c r="O126" s="141">
        <v>0</v>
      </c>
      <c r="P126" s="141">
        <v>0</v>
      </c>
      <c r="Q126" s="141"/>
      <c r="R126" s="141" t="b">
        <v>0</v>
      </c>
    </row>
    <row r="127" spans="1:18" s="189" customFormat="1">
      <c r="A127" s="165" t="s">
        <v>7580</v>
      </c>
      <c r="B127" s="141" t="s">
        <v>8366</v>
      </c>
      <c r="C127" s="141" t="s">
        <v>8453</v>
      </c>
      <c r="D127" s="141">
        <v>0</v>
      </c>
      <c r="E127" s="141">
        <v>1</v>
      </c>
      <c r="F127" s="141" t="s">
        <v>417</v>
      </c>
      <c r="G127" s="141" t="s">
        <v>418</v>
      </c>
      <c r="H127" s="141"/>
      <c r="I127" s="141">
        <v>0</v>
      </c>
      <c r="J127" s="141" t="s">
        <v>1254</v>
      </c>
      <c r="K127" s="141" t="s">
        <v>7685</v>
      </c>
      <c r="L127" s="141"/>
      <c r="M127" s="141"/>
      <c r="N127" s="141" t="str">
        <f t="shared" si="5"/>
        <v>Passive(eradica.passive.not.maindealer.defup.buff.04)</v>
      </c>
      <c r="O127" s="141">
        <v>0</v>
      </c>
      <c r="P127" s="141">
        <v>0</v>
      </c>
      <c r="Q127" s="141"/>
      <c r="R127" s="141" t="b">
        <v>0</v>
      </c>
    </row>
    <row r="128" spans="1:18" s="189" customFormat="1">
      <c r="A128" s="165" t="s">
        <v>7581</v>
      </c>
      <c r="B128" s="141" t="s">
        <v>8366</v>
      </c>
      <c r="C128" s="141" t="s">
        <v>8453</v>
      </c>
      <c r="D128" s="141">
        <v>0</v>
      </c>
      <c r="E128" s="141">
        <v>1</v>
      </c>
      <c r="F128" s="141" t="s">
        <v>417</v>
      </c>
      <c r="G128" s="141" t="s">
        <v>418</v>
      </c>
      <c r="H128" s="141"/>
      <c r="I128" s="141">
        <v>0</v>
      </c>
      <c r="J128" s="141" t="s">
        <v>1254</v>
      </c>
      <c r="K128" s="141" t="s">
        <v>7686</v>
      </c>
      <c r="L128" s="141"/>
      <c r="M128" s="141"/>
      <c r="N128" s="141" t="str">
        <f t="shared" si="5"/>
        <v>Passive(eradica.passive.not.maindealer.defup.buff.05)</v>
      </c>
      <c r="O128" s="141">
        <v>0</v>
      </c>
      <c r="P128" s="141">
        <v>0</v>
      </c>
      <c r="Q128" s="141"/>
      <c r="R128" s="141" t="b">
        <v>0</v>
      </c>
    </row>
    <row r="129" spans="1:18" s="189" customFormat="1">
      <c r="A129" s="165" t="s">
        <v>7582</v>
      </c>
      <c r="B129" s="141" t="s">
        <v>8366</v>
      </c>
      <c r="C129" s="141" t="s">
        <v>8453</v>
      </c>
      <c r="D129" s="141">
        <v>0</v>
      </c>
      <c r="E129" s="141">
        <v>1</v>
      </c>
      <c r="F129" s="141" t="s">
        <v>417</v>
      </c>
      <c r="G129" s="141" t="s">
        <v>418</v>
      </c>
      <c r="H129" s="141"/>
      <c r="I129" s="141">
        <v>0</v>
      </c>
      <c r="J129" s="141" t="s">
        <v>1254</v>
      </c>
      <c r="K129" s="141" t="s">
        <v>7687</v>
      </c>
      <c r="L129" s="141"/>
      <c r="M129" s="141"/>
      <c r="N129" s="141" t="str">
        <f t="shared" si="5"/>
        <v>Passive(eradica.passive.not.maindealer.defup.buff.06)</v>
      </c>
      <c r="O129" s="141">
        <v>0</v>
      </c>
      <c r="P129" s="141">
        <v>0</v>
      </c>
      <c r="Q129" s="141"/>
      <c r="R129" s="141" t="b">
        <v>0</v>
      </c>
    </row>
    <row r="130" spans="1:18" s="142" customFormat="1">
      <c r="A130" s="39" t="s">
        <v>8454</v>
      </c>
      <c r="B130" s="23"/>
      <c r="C130" s="23"/>
      <c r="D130" s="23">
        <v>0</v>
      </c>
      <c r="E130" s="23">
        <v>1</v>
      </c>
      <c r="F130" s="23" t="s">
        <v>8425</v>
      </c>
      <c r="G130" s="23" t="s">
        <v>418</v>
      </c>
      <c r="H130" s="23"/>
      <c r="I130" s="23">
        <v>0</v>
      </c>
      <c r="J130" s="23" t="s">
        <v>8414</v>
      </c>
      <c r="K130" s="23" t="s">
        <v>8365</v>
      </c>
      <c r="L130" s="23"/>
      <c r="M130" s="23"/>
      <c r="N130" s="23" t="str">
        <f t="shared" si="5"/>
        <v>Passive(eradica.passive.maindealer.passive.buff.01)</v>
      </c>
      <c r="O130" s="23">
        <v>0</v>
      </c>
      <c r="P130" s="23">
        <v>0</v>
      </c>
      <c r="Q130" s="23"/>
      <c r="R130" s="23" t="b">
        <v>1</v>
      </c>
    </row>
    <row r="131" spans="1:18" s="142" customFormat="1">
      <c r="A131" s="39" t="s">
        <v>7583</v>
      </c>
      <c r="B131" s="23"/>
      <c r="C131" s="23"/>
      <c r="D131" s="23">
        <v>0</v>
      </c>
      <c r="E131" s="23">
        <v>1</v>
      </c>
      <c r="F131" s="23" t="s">
        <v>8425</v>
      </c>
      <c r="G131" s="23" t="s">
        <v>418</v>
      </c>
      <c r="H131" s="23"/>
      <c r="I131" s="23">
        <v>0</v>
      </c>
      <c r="J131" s="23" t="s">
        <v>8414</v>
      </c>
      <c r="K131" s="23" t="s">
        <v>7588</v>
      </c>
      <c r="L131" s="23"/>
      <c r="M131" s="23"/>
      <c r="N131" s="23" t="str">
        <f t="shared" si="5"/>
        <v>Passive(eradica.passive.maindealer.passive.buff.02)</v>
      </c>
      <c r="O131" s="23">
        <v>0</v>
      </c>
      <c r="P131" s="23">
        <v>0</v>
      </c>
      <c r="Q131" s="23"/>
      <c r="R131" s="23" t="b">
        <v>1</v>
      </c>
    </row>
    <row r="132" spans="1:18" s="142" customFormat="1">
      <c r="A132" s="39" t="s">
        <v>7584</v>
      </c>
      <c r="B132" s="23"/>
      <c r="C132" s="23"/>
      <c r="D132" s="23">
        <v>0</v>
      </c>
      <c r="E132" s="23">
        <v>1</v>
      </c>
      <c r="F132" s="23" t="s">
        <v>8425</v>
      </c>
      <c r="G132" s="23" t="s">
        <v>418</v>
      </c>
      <c r="H132" s="23"/>
      <c r="I132" s="23">
        <v>0</v>
      </c>
      <c r="J132" s="23" t="s">
        <v>8414</v>
      </c>
      <c r="K132" s="23" t="s">
        <v>7589</v>
      </c>
      <c r="L132" s="23"/>
      <c r="M132" s="23"/>
      <c r="N132" s="23" t="str">
        <f t="shared" si="5"/>
        <v>Passive(eradica.passive.maindealer.passive.buff.03)</v>
      </c>
      <c r="O132" s="23">
        <v>0</v>
      </c>
      <c r="P132" s="23">
        <v>0</v>
      </c>
      <c r="Q132" s="23"/>
      <c r="R132" s="23" t="b">
        <v>1</v>
      </c>
    </row>
    <row r="133" spans="1:18" s="142" customFormat="1">
      <c r="A133" s="39" t="s">
        <v>7585</v>
      </c>
      <c r="B133" s="23"/>
      <c r="C133" s="23"/>
      <c r="D133" s="23">
        <v>0</v>
      </c>
      <c r="E133" s="23">
        <v>1</v>
      </c>
      <c r="F133" s="23" t="s">
        <v>8425</v>
      </c>
      <c r="G133" s="23" t="s">
        <v>418</v>
      </c>
      <c r="H133" s="23"/>
      <c r="I133" s="23">
        <v>0</v>
      </c>
      <c r="J133" s="23" t="s">
        <v>8414</v>
      </c>
      <c r="K133" s="23" t="s">
        <v>7590</v>
      </c>
      <c r="L133" s="23"/>
      <c r="M133" s="23"/>
      <c r="N133" s="23" t="str">
        <f t="shared" si="5"/>
        <v>Passive(eradica.passive.maindealer.passive.buff.04)</v>
      </c>
      <c r="O133" s="23">
        <v>0</v>
      </c>
      <c r="P133" s="23">
        <v>0</v>
      </c>
      <c r="Q133" s="23"/>
      <c r="R133" s="23" t="b">
        <v>1</v>
      </c>
    </row>
    <row r="134" spans="1:18" s="142" customFormat="1">
      <c r="A134" s="39" t="s">
        <v>7586</v>
      </c>
      <c r="B134" s="23"/>
      <c r="C134" s="23"/>
      <c r="D134" s="23">
        <v>0</v>
      </c>
      <c r="E134" s="23">
        <v>1</v>
      </c>
      <c r="F134" s="23" t="s">
        <v>8425</v>
      </c>
      <c r="G134" s="23" t="s">
        <v>418</v>
      </c>
      <c r="H134" s="23"/>
      <c r="I134" s="23">
        <v>0</v>
      </c>
      <c r="J134" s="23" t="s">
        <v>8414</v>
      </c>
      <c r="K134" s="23" t="s">
        <v>7591</v>
      </c>
      <c r="L134" s="23"/>
      <c r="M134" s="23"/>
      <c r="N134" s="23" t="str">
        <f t="shared" si="5"/>
        <v>Passive(eradica.passive.maindealer.passive.buff.05)</v>
      </c>
      <c r="O134" s="23">
        <v>0</v>
      </c>
      <c r="P134" s="23">
        <v>0</v>
      </c>
      <c r="Q134" s="23"/>
      <c r="R134" s="23" t="b">
        <v>1</v>
      </c>
    </row>
    <row r="135" spans="1:18" s="142" customFormat="1">
      <c r="A135" s="39" t="s">
        <v>7587</v>
      </c>
      <c r="B135" s="23"/>
      <c r="C135" s="23"/>
      <c r="D135" s="23">
        <v>0</v>
      </c>
      <c r="E135" s="23">
        <v>1</v>
      </c>
      <c r="F135" s="23" t="s">
        <v>8425</v>
      </c>
      <c r="G135" s="23" t="s">
        <v>418</v>
      </c>
      <c r="H135" s="23"/>
      <c r="I135" s="23">
        <v>0</v>
      </c>
      <c r="J135" s="23" t="s">
        <v>8414</v>
      </c>
      <c r="K135" s="23" t="s">
        <v>7592</v>
      </c>
      <c r="L135" s="23"/>
      <c r="M135" s="23"/>
      <c r="N135" s="23" t="str">
        <f t="shared" si="5"/>
        <v>Passive(eradica.passive.maindealer.passive.buff.06)</v>
      </c>
      <c r="O135" s="23">
        <v>0</v>
      </c>
      <c r="P135" s="23">
        <v>0</v>
      </c>
      <c r="Q135" s="23"/>
      <c r="R135" s="23" t="b">
        <v>1</v>
      </c>
    </row>
    <row r="136" spans="1:18" s="142" customFormat="1">
      <c r="A136" s="38" t="s">
        <v>8455</v>
      </c>
      <c r="B136" s="24"/>
      <c r="C136" s="24"/>
      <c r="D136" s="24">
        <v>0</v>
      </c>
      <c r="E136" s="24">
        <v>1</v>
      </c>
      <c r="F136" s="24" t="s">
        <v>197</v>
      </c>
      <c r="G136" s="24" t="s">
        <v>198</v>
      </c>
      <c r="H136" s="24"/>
      <c r="I136" s="24">
        <v>0</v>
      </c>
      <c r="J136" s="24" t="s">
        <v>8436</v>
      </c>
      <c r="K136" s="24" t="s">
        <v>8440</v>
      </c>
      <c r="L136" s="24">
        <v>150</v>
      </c>
      <c r="M136" s="24"/>
      <c r="N136" s="24" t="str">
        <f t="shared" si="5"/>
        <v>Status(CriticalRate, 150)</v>
      </c>
      <c r="O136" s="24">
        <v>0</v>
      </c>
      <c r="P136" s="24">
        <v>0</v>
      </c>
      <c r="Q136" s="24"/>
      <c r="R136" s="24" t="b">
        <v>1</v>
      </c>
    </row>
    <row r="137" spans="1:18" s="142" customFormat="1">
      <c r="A137" s="38" t="s">
        <v>7594</v>
      </c>
      <c r="B137" s="24"/>
      <c r="C137" s="24"/>
      <c r="D137" s="24">
        <v>0</v>
      </c>
      <c r="E137" s="24">
        <v>1</v>
      </c>
      <c r="F137" s="24" t="s">
        <v>197</v>
      </c>
      <c r="G137" s="24" t="s">
        <v>198</v>
      </c>
      <c r="H137" s="24"/>
      <c r="I137" s="24">
        <v>0</v>
      </c>
      <c r="J137" s="24" t="s">
        <v>8436</v>
      </c>
      <c r="K137" s="24" t="s">
        <v>8440</v>
      </c>
      <c r="L137" s="24">
        <v>175</v>
      </c>
      <c r="M137" s="24"/>
      <c r="N137" s="24" t="str">
        <f t="shared" si="5"/>
        <v>Status(CriticalRate, 175)</v>
      </c>
      <c r="O137" s="24">
        <v>0</v>
      </c>
      <c r="P137" s="24">
        <v>0</v>
      </c>
      <c r="Q137" s="24"/>
      <c r="R137" s="24" t="b">
        <v>1</v>
      </c>
    </row>
    <row r="138" spans="1:18" s="142" customFormat="1">
      <c r="A138" s="38" t="s">
        <v>7595</v>
      </c>
      <c r="B138" s="24"/>
      <c r="C138" s="24"/>
      <c r="D138" s="24">
        <v>0</v>
      </c>
      <c r="E138" s="24">
        <v>1</v>
      </c>
      <c r="F138" s="24" t="s">
        <v>197</v>
      </c>
      <c r="G138" s="24" t="s">
        <v>198</v>
      </c>
      <c r="H138" s="24"/>
      <c r="I138" s="24">
        <v>0</v>
      </c>
      <c r="J138" s="24" t="s">
        <v>8436</v>
      </c>
      <c r="K138" s="24" t="s">
        <v>8440</v>
      </c>
      <c r="L138" s="24">
        <v>200</v>
      </c>
      <c r="M138" s="24"/>
      <c r="N138" s="24" t="str">
        <f t="shared" si="5"/>
        <v>Status(CriticalRate, 200)</v>
      </c>
      <c r="O138" s="24">
        <v>0</v>
      </c>
      <c r="P138" s="24">
        <v>0</v>
      </c>
      <c r="Q138" s="24"/>
      <c r="R138" s="24" t="b">
        <v>1</v>
      </c>
    </row>
    <row r="139" spans="1:18" s="142" customFormat="1">
      <c r="A139" s="38" t="s">
        <v>7596</v>
      </c>
      <c r="B139" s="24"/>
      <c r="C139" s="24"/>
      <c r="D139" s="24">
        <v>0</v>
      </c>
      <c r="E139" s="24">
        <v>1</v>
      </c>
      <c r="F139" s="24" t="s">
        <v>197</v>
      </c>
      <c r="G139" s="24" t="s">
        <v>198</v>
      </c>
      <c r="H139" s="24"/>
      <c r="I139" s="24">
        <v>0</v>
      </c>
      <c r="J139" s="24" t="s">
        <v>8436</v>
      </c>
      <c r="K139" s="24" t="s">
        <v>8440</v>
      </c>
      <c r="L139" s="24">
        <v>225</v>
      </c>
      <c r="M139" s="24"/>
      <c r="N139" s="24" t="str">
        <f t="shared" si="5"/>
        <v>Status(CriticalRate, 225)</v>
      </c>
      <c r="O139" s="24">
        <v>0</v>
      </c>
      <c r="P139" s="24">
        <v>0</v>
      </c>
      <c r="Q139" s="24"/>
      <c r="R139" s="24" t="b">
        <v>1</v>
      </c>
    </row>
    <row r="140" spans="1:18" s="142" customFormat="1">
      <c r="A140" s="38" t="s">
        <v>7597</v>
      </c>
      <c r="B140" s="24"/>
      <c r="C140" s="24"/>
      <c r="D140" s="24">
        <v>0</v>
      </c>
      <c r="E140" s="24">
        <v>1</v>
      </c>
      <c r="F140" s="24" t="s">
        <v>197</v>
      </c>
      <c r="G140" s="24" t="s">
        <v>198</v>
      </c>
      <c r="H140" s="24"/>
      <c r="I140" s="24">
        <v>0</v>
      </c>
      <c r="J140" s="24" t="s">
        <v>8436</v>
      </c>
      <c r="K140" s="24" t="s">
        <v>8440</v>
      </c>
      <c r="L140" s="24">
        <v>250</v>
      </c>
      <c r="M140" s="24"/>
      <c r="N140" s="24" t="str">
        <f t="shared" si="5"/>
        <v>Status(CriticalRate, 250)</v>
      </c>
      <c r="O140" s="24">
        <v>0</v>
      </c>
      <c r="P140" s="24">
        <v>0</v>
      </c>
      <c r="Q140" s="24"/>
      <c r="R140" s="24" t="b">
        <v>1</v>
      </c>
    </row>
    <row r="141" spans="1:18" s="142" customFormat="1">
      <c r="A141" s="38" t="s">
        <v>7598</v>
      </c>
      <c r="B141" s="24"/>
      <c r="C141" s="24"/>
      <c r="D141" s="24">
        <v>0</v>
      </c>
      <c r="E141" s="24">
        <v>1</v>
      </c>
      <c r="F141" s="24" t="s">
        <v>197</v>
      </c>
      <c r="G141" s="24" t="s">
        <v>198</v>
      </c>
      <c r="H141" s="24"/>
      <c r="I141" s="24">
        <v>0</v>
      </c>
      <c r="J141" s="24" t="s">
        <v>8436</v>
      </c>
      <c r="K141" s="24" t="s">
        <v>8440</v>
      </c>
      <c r="L141" s="24">
        <v>170</v>
      </c>
      <c r="M141" s="24"/>
      <c r="N141" s="24" t="str">
        <f t="shared" ref="N141:N204" si="6">J141&amp;"("&amp;IF(K141="","",K141)&amp;IF(L141="","",", "&amp;L141)&amp;IF(M141="","",", "&amp;M141)&amp;")"</f>
        <v>Status(CriticalRate, 170)</v>
      </c>
      <c r="O141" s="24">
        <v>0</v>
      </c>
      <c r="P141" s="24">
        <v>0</v>
      </c>
      <c r="Q141" s="24"/>
      <c r="R141" s="24" t="b">
        <v>1</v>
      </c>
    </row>
    <row r="142" spans="1:18" s="150" customFormat="1">
      <c r="A142" s="39" t="s">
        <v>8456</v>
      </c>
      <c r="B142" s="23"/>
      <c r="C142" s="23"/>
      <c r="D142" s="23">
        <v>0</v>
      </c>
      <c r="E142" s="23">
        <v>1</v>
      </c>
      <c r="F142" s="23" t="s">
        <v>197</v>
      </c>
      <c r="G142" s="23" t="s">
        <v>198</v>
      </c>
      <c r="H142" s="23"/>
      <c r="I142" s="23">
        <v>0</v>
      </c>
      <c r="J142" s="23" t="s">
        <v>838</v>
      </c>
      <c r="K142" s="23" t="s">
        <v>8457</v>
      </c>
      <c r="L142" s="23">
        <v>150</v>
      </c>
      <c r="M142" s="23"/>
      <c r="N142" s="23" t="str">
        <f t="shared" si="6"/>
        <v>Status(CriticalDamageRate, 150)</v>
      </c>
      <c r="O142" s="23">
        <v>0</v>
      </c>
      <c r="P142" s="23">
        <v>0</v>
      </c>
      <c r="Q142" s="23"/>
      <c r="R142" s="23" t="b">
        <v>1</v>
      </c>
    </row>
    <row r="143" spans="1:18" s="150" customFormat="1">
      <c r="A143" s="39" t="s">
        <v>7593</v>
      </c>
      <c r="B143" s="23"/>
      <c r="C143" s="23"/>
      <c r="D143" s="23">
        <v>0</v>
      </c>
      <c r="E143" s="23">
        <v>1</v>
      </c>
      <c r="F143" s="23" t="s">
        <v>197</v>
      </c>
      <c r="G143" s="23" t="s">
        <v>198</v>
      </c>
      <c r="H143" s="23"/>
      <c r="I143" s="23">
        <v>0</v>
      </c>
      <c r="J143" s="23" t="s">
        <v>838</v>
      </c>
      <c r="K143" s="23" t="s">
        <v>8457</v>
      </c>
      <c r="L143" s="23">
        <v>175</v>
      </c>
      <c r="M143" s="23"/>
      <c r="N143" s="23" t="str">
        <f t="shared" si="6"/>
        <v>Status(CriticalDamageRate, 175)</v>
      </c>
      <c r="O143" s="23">
        <v>0</v>
      </c>
      <c r="P143" s="23">
        <v>0</v>
      </c>
      <c r="Q143" s="23"/>
      <c r="R143" s="23" t="b">
        <v>1</v>
      </c>
    </row>
    <row r="144" spans="1:18" s="150" customFormat="1">
      <c r="A144" s="39" t="s">
        <v>7599</v>
      </c>
      <c r="B144" s="23"/>
      <c r="C144" s="23"/>
      <c r="D144" s="23">
        <v>0</v>
      </c>
      <c r="E144" s="23">
        <v>1</v>
      </c>
      <c r="F144" s="23" t="s">
        <v>197</v>
      </c>
      <c r="G144" s="23" t="s">
        <v>198</v>
      </c>
      <c r="H144" s="23"/>
      <c r="I144" s="23">
        <v>0</v>
      </c>
      <c r="J144" s="23" t="s">
        <v>838</v>
      </c>
      <c r="K144" s="23" t="s">
        <v>8457</v>
      </c>
      <c r="L144" s="23">
        <v>200</v>
      </c>
      <c r="M144" s="23"/>
      <c r="N144" s="23" t="str">
        <f t="shared" si="6"/>
        <v>Status(CriticalDamageRate, 200)</v>
      </c>
      <c r="O144" s="23">
        <v>0</v>
      </c>
      <c r="P144" s="23">
        <v>0</v>
      </c>
      <c r="Q144" s="23"/>
      <c r="R144" s="23" t="b">
        <v>1</v>
      </c>
    </row>
    <row r="145" spans="1:18" s="150" customFormat="1">
      <c r="A145" s="39" t="s">
        <v>7600</v>
      </c>
      <c r="B145" s="23"/>
      <c r="C145" s="23"/>
      <c r="D145" s="23">
        <v>0</v>
      </c>
      <c r="E145" s="23">
        <v>1</v>
      </c>
      <c r="F145" s="23" t="s">
        <v>197</v>
      </c>
      <c r="G145" s="23" t="s">
        <v>198</v>
      </c>
      <c r="H145" s="23"/>
      <c r="I145" s="23">
        <v>0</v>
      </c>
      <c r="J145" s="23" t="s">
        <v>838</v>
      </c>
      <c r="K145" s="23" t="s">
        <v>8457</v>
      </c>
      <c r="L145" s="23">
        <v>225</v>
      </c>
      <c r="M145" s="23"/>
      <c r="N145" s="23" t="str">
        <f t="shared" si="6"/>
        <v>Status(CriticalDamageRate, 225)</v>
      </c>
      <c r="O145" s="23">
        <v>0</v>
      </c>
      <c r="P145" s="23">
        <v>0</v>
      </c>
      <c r="Q145" s="23"/>
      <c r="R145" s="23" t="b">
        <v>1</v>
      </c>
    </row>
    <row r="146" spans="1:18" s="150" customFormat="1">
      <c r="A146" s="39" t="s">
        <v>7601</v>
      </c>
      <c r="B146" s="23"/>
      <c r="C146" s="23"/>
      <c r="D146" s="23">
        <v>0</v>
      </c>
      <c r="E146" s="23">
        <v>1</v>
      </c>
      <c r="F146" s="23" t="s">
        <v>197</v>
      </c>
      <c r="G146" s="23" t="s">
        <v>198</v>
      </c>
      <c r="H146" s="23"/>
      <c r="I146" s="23">
        <v>0</v>
      </c>
      <c r="J146" s="23" t="s">
        <v>838</v>
      </c>
      <c r="K146" s="23" t="s">
        <v>8457</v>
      </c>
      <c r="L146" s="23">
        <v>250</v>
      </c>
      <c r="M146" s="23"/>
      <c r="N146" s="23" t="str">
        <f t="shared" si="6"/>
        <v>Status(CriticalDamageRate, 250)</v>
      </c>
      <c r="O146" s="23">
        <v>0</v>
      </c>
      <c r="P146" s="23">
        <v>0</v>
      </c>
      <c r="Q146" s="23"/>
      <c r="R146" s="23" t="b">
        <v>1</v>
      </c>
    </row>
    <row r="147" spans="1:18" s="150" customFormat="1">
      <c r="A147" s="39" t="s">
        <v>7602</v>
      </c>
      <c r="B147" s="23"/>
      <c r="C147" s="23"/>
      <c r="D147" s="23">
        <v>0</v>
      </c>
      <c r="E147" s="23">
        <v>1</v>
      </c>
      <c r="F147" s="23" t="s">
        <v>197</v>
      </c>
      <c r="G147" s="23" t="s">
        <v>198</v>
      </c>
      <c r="H147" s="23"/>
      <c r="I147" s="23">
        <v>0</v>
      </c>
      <c r="J147" s="23" t="s">
        <v>838</v>
      </c>
      <c r="K147" s="23" t="s">
        <v>8457</v>
      </c>
      <c r="L147" s="23">
        <v>200</v>
      </c>
      <c r="M147" s="23"/>
      <c r="N147" s="23" t="str">
        <f t="shared" si="6"/>
        <v>Status(CriticalDamageRate, 200)</v>
      </c>
      <c r="O147" s="23">
        <v>0</v>
      </c>
      <c r="P147" s="23">
        <v>0</v>
      </c>
      <c r="Q147" s="23"/>
      <c r="R147" s="23" t="b">
        <v>1</v>
      </c>
    </row>
    <row r="148" spans="1:18" s="150" customFormat="1">
      <c r="A148" s="38" t="s">
        <v>7688</v>
      </c>
      <c r="B148" s="24"/>
      <c r="C148" s="24"/>
      <c r="D148" s="24">
        <v>0</v>
      </c>
      <c r="E148" s="24">
        <v>1</v>
      </c>
      <c r="F148" s="24" t="s">
        <v>197</v>
      </c>
      <c r="G148" s="24" t="s">
        <v>198</v>
      </c>
      <c r="H148" s="24"/>
      <c r="I148" s="24">
        <v>0</v>
      </c>
      <c r="J148" s="24" t="s">
        <v>838</v>
      </c>
      <c r="K148" s="24" t="s">
        <v>897</v>
      </c>
      <c r="L148" s="24">
        <v>125</v>
      </c>
      <c r="M148" s="24"/>
      <c r="N148" s="24" t="str">
        <f t="shared" si="6"/>
        <v>Status(DefenseRatio, 125)</v>
      </c>
      <c r="O148" s="24">
        <v>0</v>
      </c>
      <c r="P148" s="24">
        <v>0</v>
      </c>
      <c r="Q148" s="24"/>
      <c r="R148" s="24" t="b">
        <v>0</v>
      </c>
    </row>
    <row r="149" spans="1:18" s="150" customFormat="1">
      <c r="A149" s="38" t="s">
        <v>7689</v>
      </c>
      <c r="B149" s="24"/>
      <c r="C149" s="24"/>
      <c r="D149" s="24">
        <v>0</v>
      </c>
      <c r="E149" s="24">
        <v>1</v>
      </c>
      <c r="F149" s="24" t="s">
        <v>197</v>
      </c>
      <c r="G149" s="24" t="s">
        <v>198</v>
      </c>
      <c r="H149" s="24"/>
      <c r="I149" s="24">
        <v>0</v>
      </c>
      <c r="J149" s="24" t="s">
        <v>838</v>
      </c>
      <c r="K149" s="24" t="s">
        <v>897</v>
      </c>
      <c r="L149" s="24">
        <v>135</v>
      </c>
      <c r="M149" s="24"/>
      <c r="N149" s="24" t="str">
        <f t="shared" si="6"/>
        <v>Status(DefenseRatio, 135)</v>
      </c>
      <c r="O149" s="24">
        <v>0</v>
      </c>
      <c r="P149" s="24">
        <v>0</v>
      </c>
      <c r="Q149" s="24"/>
      <c r="R149" s="24" t="b">
        <v>0</v>
      </c>
    </row>
    <row r="150" spans="1:18" s="150" customFormat="1">
      <c r="A150" s="38" t="s">
        <v>7690</v>
      </c>
      <c r="B150" s="24"/>
      <c r="C150" s="24"/>
      <c r="D150" s="24">
        <v>0</v>
      </c>
      <c r="E150" s="24">
        <v>1</v>
      </c>
      <c r="F150" s="24" t="s">
        <v>197</v>
      </c>
      <c r="G150" s="24" t="s">
        <v>198</v>
      </c>
      <c r="H150" s="24"/>
      <c r="I150" s="24">
        <v>0</v>
      </c>
      <c r="J150" s="24" t="s">
        <v>838</v>
      </c>
      <c r="K150" s="24" t="s">
        <v>897</v>
      </c>
      <c r="L150" s="24">
        <v>150</v>
      </c>
      <c r="M150" s="24"/>
      <c r="N150" s="24" t="str">
        <f t="shared" si="6"/>
        <v>Status(DefenseRatio, 150)</v>
      </c>
      <c r="O150" s="24">
        <v>0</v>
      </c>
      <c r="P150" s="24">
        <v>0</v>
      </c>
      <c r="Q150" s="24"/>
      <c r="R150" s="24" t="b">
        <v>0</v>
      </c>
    </row>
    <row r="151" spans="1:18" s="150" customFormat="1">
      <c r="A151" s="38" t="s">
        <v>7691</v>
      </c>
      <c r="B151" s="24"/>
      <c r="C151" s="24"/>
      <c r="D151" s="24">
        <v>0</v>
      </c>
      <c r="E151" s="24">
        <v>1</v>
      </c>
      <c r="F151" s="24" t="s">
        <v>197</v>
      </c>
      <c r="G151" s="24" t="s">
        <v>198</v>
      </c>
      <c r="H151" s="24"/>
      <c r="I151" s="24">
        <v>0</v>
      </c>
      <c r="J151" s="24" t="s">
        <v>838</v>
      </c>
      <c r="K151" s="24" t="s">
        <v>897</v>
      </c>
      <c r="L151" s="24">
        <v>170</v>
      </c>
      <c r="M151" s="24"/>
      <c r="N151" s="24" t="str">
        <f t="shared" si="6"/>
        <v>Status(DefenseRatio, 170)</v>
      </c>
      <c r="O151" s="24">
        <v>0</v>
      </c>
      <c r="P151" s="24">
        <v>0</v>
      </c>
      <c r="Q151" s="24"/>
      <c r="R151" s="24" t="b">
        <v>0</v>
      </c>
    </row>
    <row r="152" spans="1:18" s="150" customFormat="1">
      <c r="A152" s="38" t="s">
        <v>7692</v>
      </c>
      <c r="B152" s="24"/>
      <c r="C152" s="24"/>
      <c r="D152" s="24">
        <v>0</v>
      </c>
      <c r="E152" s="24">
        <v>1</v>
      </c>
      <c r="F152" s="24" t="s">
        <v>197</v>
      </c>
      <c r="G152" s="24" t="s">
        <v>198</v>
      </c>
      <c r="H152" s="24"/>
      <c r="I152" s="24">
        <v>0</v>
      </c>
      <c r="J152" s="24" t="s">
        <v>838</v>
      </c>
      <c r="K152" s="24" t="s">
        <v>897</v>
      </c>
      <c r="L152" s="24">
        <v>200</v>
      </c>
      <c r="M152" s="24"/>
      <c r="N152" s="24" t="str">
        <f t="shared" si="6"/>
        <v>Status(DefenseRatio, 200)</v>
      </c>
      <c r="O152" s="24">
        <v>0</v>
      </c>
      <c r="P152" s="24">
        <v>0</v>
      </c>
      <c r="Q152" s="24"/>
      <c r="R152" s="24" t="b">
        <v>0</v>
      </c>
    </row>
    <row r="153" spans="1:18" s="150" customFormat="1">
      <c r="A153" s="38" t="s">
        <v>7693</v>
      </c>
      <c r="B153" s="24"/>
      <c r="C153" s="24"/>
      <c r="D153" s="24">
        <v>0</v>
      </c>
      <c r="E153" s="24">
        <v>1</v>
      </c>
      <c r="F153" s="24" t="s">
        <v>197</v>
      </c>
      <c r="G153" s="24" t="s">
        <v>198</v>
      </c>
      <c r="H153" s="24"/>
      <c r="I153" s="24">
        <v>0</v>
      </c>
      <c r="J153" s="24" t="s">
        <v>838</v>
      </c>
      <c r="K153" s="24" t="s">
        <v>897</v>
      </c>
      <c r="L153" s="24">
        <v>200</v>
      </c>
      <c r="M153" s="24"/>
      <c r="N153" s="24" t="str">
        <f t="shared" si="6"/>
        <v>Status(DefenseRatio, 200)</v>
      </c>
      <c r="O153" s="24">
        <v>0</v>
      </c>
      <c r="P153" s="24">
        <v>0</v>
      </c>
      <c r="Q153" s="24"/>
      <c r="R153" s="24" t="b">
        <v>0</v>
      </c>
    </row>
    <row r="154" spans="1:18" s="142" customFormat="1">
      <c r="A154" s="39" t="s">
        <v>7510</v>
      </c>
      <c r="B154" s="23" t="s">
        <v>8366</v>
      </c>
      <c r="C154" s="23" t="s">
        <v>8458</v>
      </c>
      <c r="D154" s="23">
        <v>0</v>
      </c>
      <c r="E154" s="23">
        <v>1</v>
      </c>
      <c r="F154" s="23" t="s">
        <v>197</v>
      </c>
      <c r="G154" s="23" t="s">
        <v>198</v>
      </c>
      <c r="H154" s="23"/>
      <c r="I154" s="23">
        <v>0</v>
      </c>
      <c r="J154" s="23" t="s">
        <v>8431</v>
      </c>
      <c r="K154" s="23" t="s">
        <v>7511</v>
      </c>
      <c r="L154" s="23"/>
      <c r="M154" s="23"/>
      <c r="N154" s="23" t="str">
        <f t="shared" si="6"/>
        <v>Active(eradica.passive.ex.buff.buffeffect.01.01.skilleffect.01)</v>
      </c>
      <c r="O154" s="23">
        <v>0</v>
      </c>
      <c r="P154" s="23">
        <v>0</v>
      </c>
      <c r="Q154" s="23"/>
      <c r="R154" s="23" t="b">
        <v>1</v>
      </c>
    </row>
    <row r="155" spans="1:18" s="142" customFormat="1">
      <c r="A155" s="39" t="s">
        <v>7512</v>
      </c>
      <c r="B155" s="23" t="s">
        <v>1367</v>
      </c>
      <c r="C155" s="23" t="s">
        <v>7898</v>
      </c>
      <c r="D155" s="23">
        <v>0</v>
      </c>
      <c r="E155" s="23">
        <v>1</v>
      </c>
      <c r="F155" s="23" t="s">
        <v>197</v>
      </c>
      <c r="G155" s="23" t="s">
        <v>198</v>
      </c>
      <c r="H155" s="23"/>
      <c r="I155" s="23">
        <v>0</v>
      </c>
      <c r="J155" s="23" t="s">
        <v>8431</v>
      </c>
      <c r="K155" s="23" t="s">
        <v>7513</v>
      </c>
      <c r="L155" s="23"/>
      <c r="M155" s="23"/>
      <c r="N155" s="23" t="str">
        <f t="shared" si="6"/>
        <v>Active(eradica.passive.ex.buff.buffeffect.01.01.skilleffect.02)</v>
      </c>
      <c r="O155" s="23">
        <v>0</v>
      </c>
      <c r="P155" s="23">
        <v>0</v>
      </c>
      <c r="Q155" s="23"/>
      <c r="R155" s="23" t="b">
        <v>1</v>
      </c>
    </row>
    <row r="156" spans="1:18" s="142" customFormat="1">
      <c r="A156" s="39" t="s">
        <v>7514</v>
      </c>
      <c r="B156" s="23" t="s">
        <v>1367</v>
      </c>
      <c r="C156" s="23" t="s">
        <v>7898</v>
      </c>
      <c r="D156" s="23">
        <v>0</v>
      </c>
      <c r="E156" s="23">
        <v>1</v>
      </c>
      <c r="F156" s="23" t="s">
        <v>197</v>
      </c>
      <c r="G156" s="23" t="s">
        <v>198</v>
      </c>
      <c r="H156" s="23"/>
      <c r="I156" s="23">
        <v>0</v>
      </c>
      <c r="J156" s="23" t="s">
        <v>8431</v>
      </c>
      <c r="K156" s="23" t="s">
        <v>7515</v>
      </c>
      <c r="L156" s="23"/>
      <c r="M156" s="23"/>
      <c r="N156" s="23" t="str">
        <f t="shared" si="6"/>
        <v>Active(eradica.passive.ex.buff.buffeffect.01.01.skilleffect.03)</v>
      </c>
      <c r="O156" s="23">
        <v>0</v>
      </c>
      <c r="P156" s="23">
        <v>0</v>
      </c>
      <c r="Q156" s="23"/>
      <c r="R156" s="23" t="b">
        <v>1</v>
      </c>
    </row>
    <row r="157" spans="1:18" s="142" customFormat="1">
      <c r="A157" s="39" t="s">
        <v>7516</v>
      </c>
      <c r="B157" s="23" t="s">
        <v>1367</v>
      </c>
      <c r="C157" s="23" t="s">
        <v>7898</v>
      </c>
      <c r="D157" s="23">
        <v>0</v>
      </c>
      <c r="E157" s="23">
        <v>1</v>
      </c>
      <c r="F157" s="23" t="s">
        <v>197</v>
      </c>
      <c r="G157" s="23" t="s">
        <v>198</v>
      </c>
      <c r="H157" s="23"/>
      <c r="I157" s="23">
        <v>0</v>
      </c>
      <c r="J157" s="23" t="s">
        <v>8431</v>
      </c>
      <c r="K157" s="23" t="s">
        <v>7517</v>
      </c>
      <c r="L157" s="23"/>
      <c r="M157" s="23"/>
      <c r="N157" s="23" t="str">
        <f t="shared" si="6"/>
        <v>Active(eradica.passive.ex.buff.buffeffect.01.01.skilleffect.04)</v>
      </c>
      <c r="O157" s="23">
        <v>0</v>
      </c>
      <c r="P157" s="23">
        <v>0</v>
      </c>
      <c r="Q157" s="23"/>
      <c r="R157" s="23" t="b">
        <v>1</v>
      </c>
    </row>
    <row r="158" spans="1:18" s="142" customFormat="1">
      <c r="A158" s="39" t="s">
        <v>7518</v>
      </c>
      <c r="B158" s="23" t="s">
        <v>1367</v>
      </c>
      <c r="C158" s="23" t="s">
        <v>7898</v>
      </c>
      <c r="D158" s="23">
        <v>0</v>
      </c>
      <c r="E158" s="23">
        <v>1</v>
      </c>
      <c r="F158" s="23" t="s">
        <v>197</v>
      </c>
      <c r="G158" s="23" t="s">
        <v>198</v>
      </c>
      <c r="H158" s="23"/>
      <c r="I158" s="23">
        <v>0</v>
      </c>
      <c r="J158" s="23" t="s">
        <v>8431</v>
      </c>
      <c r="K158" s="23" t="s">
        <v>7519</v>
      </c>
      <c r="L158" s="23"/>
      <c r="M158" s="23"/>
      <c r="N158" s="23" t="str">
        <f t="shared" si="6"/>
        <v>Active(eradica.passive.ex.buff.buffeffect.01.01.skilleffect.05)</v>
      </c>
      <c r="O158" s="23">
        <v>0</v>
      </c>
      <c r="P158" s="23">
        <v>0</v>
      </c>
      <c r="Q158" s="23"/>
      <c r="R158" s="23" t="b">
        <v>1</v>
      </c>
    </row>
    <row r="159" spans="1:18" s="142" customFormat="1">
      <c r="A159" s="39" t="s">
        <v>7520</v>
      </c>
      <c r="B159" s="23" t="s">
        <v>1367</v>
      </c>
      <c r="C159" s="23" t="s">
        <v>7898</v>
      </c>
      <c r="D159" s="23">
        <v>0</v>
      </c>
      <c r="E159" s="23">
        <v>1</v>
      </c>
      <c r="F159" s="23" t="s">
        <v>197</v>
      </c>
      <c r="G159" s="23" t="s">
        <v>198</v>
      </c>
      <c r="H159" s="23"/>
      <c r="I159" s="23">
        <v>0</v>
      </c>
      <c r="J159" s="23" t="s">
        <v>8431</v>
      </c>
      <c r="K159" s="23" t="s">
        <v>7521</v>
      </c>
      <c r="L159" s="23"/>
      <c r="M159" s="23"/>
      <c r="N159" s="23" t="str">
        <f t="shared" si="6"/>
        <v>Active(eradica.passive.ex.buff.buffeffect.01.01.skilleffect.06)</v>
      </c>
      <c r="O159" s="23">
        <v>0</v>
      </c>
      <c r="P159" s="23">
        <v>0</v>
      </c>
      <c r="Q159" s="23"/>
      <c r="R159" s="23" t="b">
        <v>1</v>
      </c>
    </row>
    <row r="160" spans="1:18" s="150" customFormat="1">
      <c r="A160" s="38" t="s">
        <v>7522</v>
      </c>
      <c r="B160" s="24" t="s">
        <v>1367</v>
      </c>
      <c r="C160" s="24" t="s">
        <v>7898</v>
      </c>
      <c r="D160" s="24">
        <v>0</v>
      </c>
      <c r="E160" s="24">
        <v>1</v>
      </c>
      <c r="F160" s="24" t="s">
        <v>197</v>
      </c>
      <c r="G160" s="24" t="s">
        <v>198</v>
      </c>
      <c r="H160" s="24"/>
      <c r="I160" s="24">
        <v>0</v>
      </c>
      <c r="J160" s="24" t="s">
        <v>893</v>
      </c>
      <c r="K160" s="24" t="s">
        <v>8459</v>
      </c>
      <c r="L160" s="24"/>
      <c r="M160" s="24"/>
      <c r="N160" s="24" t="str">
        <f t="shared" si="6"/>
        <v>Active(eradica.passive.ex.buff.buffeffect.02.01.skilleffect.01)</v>
      </c>
      <c r="O160" s="24">
        <v>0</v>
      </c>
      <c r="P160" s="24">
        <v>0</v>
      </c>
      <c r="Q160" s="24"/>
      <c r="R160" s="24" t="b">
        <v>1</v>
      </c>
    </row>
    <row r="161" spans="1:18" s="150" customFormat="1">
      <c r="A161" s="38" t="s">
        <v>7523</v>
      </c>
      <c r="B161" s="24" t="s">
        <v>1367</v>
      </c>
      <c r="C161" s="24" t="s">
        <v>7898</v>
      </c>
      <c r="D161" s="24">
        <v>0</v>
      </c>
      <c r="E161" s="24">
        <v>1</v>
      </c>
      <c r="F161" s="24" t="s">
        <v>197</v>
      </c>
      <c r="G161" s="24" t="s">
        <v>198</v>
      </c>
      <c r="H161" s="24"/>
      <c r="I161" s="24">
        <v>0</v>
      </c>
      <c r="J161" s="24" t="s">
        <v>893</v>
      </c>
      <c r="K161" s="24" t="s">
        <v>7528</v>
      </c>
      <c r="L161" s="24"/>
      <c r="M161" s="24"/>
      <c r="N161" s="24" t="str">
        <f t="shared" si="6"/>
        <v>Active(eradica.passive.ex.buff.buffeffect.02.01.skilleffect.02)</v>
      </c>
      <c r="O161" s="24">
        <v>0</v>
      </c>
      <c r="P161" s="24">
        <v>0</v>
      </c>
      <c r="Q161" s="24"/>
      <c r="R161" s="24" t="b">
        <v>1</v>
      </c>
    </row>
    <row r="162" spans="1:18" s="150" customFormat="1">
      <c r="A162" s="38" t="s">
        <v>7524</v>
      </c>
      <c r="B162" s="24" t="s">
        <v>1367</v>
      </c>
      <c r="C162" s="24" t="s">
        <v>7898</v>
      </c>
      <c r="D162" s="24">
        <v>0</v>
      </c>
      <c r="E162" s="24">
        <v>1</v>
      </c>
      <c r="F162" s="24" t="s">
        <v>197</v>
      </c>
      <c r="G162" s="24" t="s">
        <v>198</v>
      </c>
      <c r="H162" s="24"/>
      <c r="I162" s="24">
        <v>0</v>
      </c>
      <c r="J162" s="24" t="s">
        <v>893</v>
      </c>
      <c r="K162" s="24" t="s">
        <v>7529</v>
      </c>
      <c r="L162" s="24"/>
      <c r="M162" s="24"/>
      <c r="N162" s="24" t="str">
        <f t="shared" si="6"/>
        <v>Active(eradica.passive.ex.buff.buffeffect.02.01.skilleffect.03)</v>
      </c>
      <c r="O162" s="24">
        <v>0</v>
      </c>
      <c r="P162" s="24">
        <v>0</v>
      </c>
      <c r="Q162" s="24"/>
      <c r="R162" s="24" t="b">
        <v>1</v>
      </c>
    </row>
    <row r="163" spans="1:18" s="150" customFormat="1">
      <c r="A163" s="38" t="s">
        <v>7525</v>
      </c>
      <c r="B163" s="24" t="s">
        <v>1367</v>
      </c>
      <c r="C163" s="24" t="s">
        <v>7898</v>
      </c>
      <c r="D163" s="24">
        <v>0</v>
      </c>
      <c r="E163" s="24">
        <v>1</v>
      </c>
      <c r="F163" s="24" t="s">
        <v>197</v>
      </c>
      <c r="G163" s="24" t="s">
        <v>198</v>
      </c>
      <c r="H163" s="24"/>
      <c r="I163" s="24">
        <v>0</v>
      </c>
      <c r="J163" s="24" t="s">
        <v>893</v>
      </c>
      <c r="K163" s="24" t="s">
        <v>7530</v>
      </c>
      <c r="L163" s="24"/>
      <c r="M163" s="24"/>
      <c r="N163" s="24" t="str">
        <f t="shared" si="6"/>
        <v>Active(eradica.passive.ex.buff.buffeffect.02.01.skilleffect.04)</v>
      </c>
      <c r="O163" s="24">
        <v>0</v>
      </c>
      <c r="P163" s="24">
        <v>0</v>
      </c>
      <c r="Q163" s="24"/>
      <c r="R163" s="24" t="b">
        <v>1</v>
      </c>
    </row>
    <row r="164" spans="1:18" s="150" customFormat="1">
      <c r="A164" s="38" t="s">
        <v>7526</v>
      </c>
      <c r="B164" s="24" t="s">
        <v>1367</v>
      </c>
      <c r="C164" s="24" t="s">
        <v>7898</v>
      </c>
      <c r="D164" s="24">
        <v>0</v>
      </c>
      <c r="E164" s="24">
        <v>1</v>
      </c>
      <c r="F164" s="24" t="s">
        <v>197</v>
      </c>
      <c r="G164" s="24" t="s">
        <v>198</v>
      </c>
      <c r="H164" s="24"/>
      <c r="I164" s="24">
        <v>0</v>
      </c>
      <c r="J164" s="24" t="s">
        <v>893</v>
      </c>
      <c r="K164" s="24" t="s">
        <v>7531</v>
      </c>
      <c r="L164" s="24"/>
      <c r="M164" s="24"/>
      <c r="N164" s="24" t="str">
        <f t="shared" si="6"/>
        <v>Active(eradica.passive.ex.buff.buffeffect.02.01.skilleffect.05)</v>
      </c>
      <c r="O164" s="24">
        <v>0</v>
      </c>
      <c r="P164" s="24">
        <v>0</v>
      </c>
      <c r="Q164" s="24"/>
      <c r="R164" s="24" t="b">
        <v>1</v>
      </c>
    </row>
    <row r="165" spans="1:18" s="150" customFormat="1">
      <c r="A165" s="38" t="s">
        <v>7527</v>
      </c>
      <c r="B165" s="24" t="s">
        <v>1367</v>
      </c>
      <c r="C165" s="24" t="s">
        <v>7898</v>
      </c>
      <c r="D165" s="24">
        <v>0</v>
      </c>
      <c r="E165" s="24">
        <v>1</v>
      </c>
      <c r="F165" s="24" t="s">
        <v>197</v>
      </c>
      <c r="G165" s="24" t="s">
        <v>198</v>
      </c>
      <c r="H165" s="24"/>
      <c r="I165" s="24">
        <v>0</v>
      </c>
      <c r="J165" s="24" t="s">
        <v>893</v>
      </c>
      <c r="K165" s="24" t="s">
        <v>7532</v>
      </c>
      <c r="L165" s="24"/>
      <c r="M165" s="24"/>
      <c r="N165" s="24" t="str">
        <f t="shared" si="6"/>
        <v>Active(eradica.passive.ex.buff.buffeffect.02.01.skilleffect.06)</v>
      </c>
      <c r="O165" s="24">
        <v>0</v>
      </c>
      <c r="P165" s="24">
        <v>0</v>
      </c>
      <c r="Q165" s="24"/>
      <c r="R165" s="24" t="b">
        <v>1</v>
      </c>
    </row>
    <row r="166" spans="1:18" s="160" customFormat="1">
      <c r="A166" s="67" t="s">
        <v>8460</v>
      </c>
      <c r="B166" s="65" t="s">
        <v>1367</v>
      </c>
      <c r="C166" s="65" t="s">
        <v>7898</v>
      </c>
      <c r="D166" s="65">
        <v>0</v>
      </c>
      <c r="E166" s="65">
        <v>1</v>
      </c>
      <c r="F166" s="65" t="s">
        <v>197</v>
      </c>
      <c r="G166" s="65" t="s">
        <v>198</v>
      </c>
      <c r="H166" s="65"/>
      <c r="I166" s="65">
        <v>0</v>
      </c>
      <c r="J166" s="65" t="s">
        <v>893</v>
      </c>
      <c r="K166" s="65" t="s">
        <v>8461</v>
      </c>
      <c r="L166" s="65"/>
      <c r="M166" s="65"/>
      <c r="N166" s="65" t="str">
        <f t="shared" si="6"/>
        <v>Active(eradica.passive.ex.buff.buffeffect.03.01.skilleffect.01)</v>
      </c>
      <c r="O166" s="65">
        <v>0</v>
      </c>
      <c r="P166" s="65">
        <v>0</v>
      </c>
      <c r="Q166" s="65"/>
      <c r="R166" s="65" t="b">
        <v>1</v>
      </c>
    </row>
    <row r="167" spans="1:18" s="160" customFormat="1">
      <c r="A167" s="67" t="s">
        <v>7533</v>
      </c>
      <c r="B167" s="65" t="s">
        <v>1367</v>
      </c>
      <c r="C167" s="65" t="s">
        <v>7898</v>
      </c>
      <c r="D167" s="65">
        <v>0</v>
      </c>
      <c r="E167" s="65">
        <v>1</v>
      </c>
      <c r="F167" s="65" t="s">
        <v>197</v>
      </c>
      <c r="G167" s="65" t="s">
        <v>198</v>
      </c>
      <c r="H167" s="65"/>
      <c r="I167" s="65">
        <v>0</v>
      </c>
      <c r="J167" s="65" t="s">
        <v>893</v>
      </c>
      <c r="K167" s="65" t="s">
        <v>7538</v>
      </c>
      <c r="L167" s="65"/>
      <c r="M167" s="65"/>
      <c r="N167" s="65" t="str">
        <f t="shared" si="6"/>
        <v>Active(eradica.passive.ex.buff.buffeffect.03.01.skilleffect.02)</v>
      </c>
      <c r="O167" s="65">
        <v>0</v>
      </c>
      <c r="P167" s="65">
        <v>0</v>
      </c>
      <c r="Q167" s="65"/>
      <c r="R167" s="65" t="b">
        <v>1</v>
      </c>
    </row>
    <row r="168" spans="1:18" s="160" customFormat="1">
      <c r="A168" s="67" t="s">
        <v>7534</v>
      </c>
      <c r="B168" s="65" t="s">
        <v>1367</v>
      </c>
      <c r="C168" s="65" t="s">
        <v>7898</v>
      </c>
      <c r="D168" s="65">
        <v>0</v>
      </c>
      <c r="E168" s="65">
        <v>1</v>
      </c>
      <c r="F168" s="65" t="s">
        <v>197</v>
      </c>
      <c r="G168" s="65" t="s">
        <v>198</v>
      </c>
      <c r="H168" s="65"/>
      <c r="I168" s="65">
        <v>0</v>
      </c>
      <c r="J168" s="65" t="s">
        <v>893</v>
      </c>
      <c r="K168" s="65" t="s">
        <v>7539</v>
      </c>
      <c r="L168" s="65"/>
      <c r="M168" s="65"/>
      <c r="N168" s="65" t="str">
        <f t="shared" si="6"/>
        <v>Active(eradica.passive.ex.buff.buffeffect.03.01.skilleffect.03)</v>
      </c>
      <c r="O168" s="65">
        <v>0</v>
      </c>
      <c r="P168" s="65">
        <v>0</v>
      </c>
      <c r="Q168" s="65"/>
      <c r="R168" s="65" t="b">
        <v>1</v>
      </c>
    </row>
    <row r="169" spans="1:18" s="160" customFormat="1">
      <c r="A169" s="67" t="s">
        <v>7535</v>
      </c>
      <c r="B169" s="65" t="s">
        <v>1367</v>
      </c>
      <c r="C169" s="65" t="s">
        <v>7898</v>
      </c>
      <c r="D169" s="65">
        <v>0</v>
      </c>
      <c r="E169" s="65">
        <v>1</v>
      </c>
      <c r="F169" s="65" t="s">
        <v>197</v>
      </c>
      <c r="G169" s="65" t="s">
        <v>198</v>
      </c>
      <c r="H169" s="65"/>
      <c r="I169" s="65">
        <v>0</v>
      </c>
      <c r="J169" s="65" t="s">
        <v>893</v>
      </c>
      <c r="K169" s="65" t="s">
        <v>7540</v>
      </c>
      <c r="L169" s="65"/>
      <c r="M169" s="65"/>
      <c r="N169" s="65" t="str">
        <f t="shared" si="6"/>
        <v>Active(eradica.passive.ex.buff.buffeffect.03.01.skilleffect.04)</v>
      </c>
      <c r="O169" s="65">
        <v>0</v>
      </c>
      <c r="P169" s="65">
        <v>0</v>
      </c>
      <c r="Q169" s="65"/>
      <c r="R169" s="65" t="b">
        <v>1</v>
      </c>
    </row>
    <row r="170" spans="1:18" s="160" customFormat="1">
      <c r="A170" s="67" t="s">
        <v>7536</v>
      </c>
      <c r="B170" s="65" t="s">
        <v>1367</v>
      </c>
      <c r="C170" s="65" t="s">
        <v>7898</v>
      </c>
      <c r="D170" s="65">
        <v>0</v>
      </c>
      <c r="E170" s="65">
        <v>1</v>
      </c>
      <c r="F170" s="65" t="s">
        <v>197</v>
      </c>
      <c r="G170" s="65" t="s">
        <v>198</v>
      </c>
      <c r="H170" s="65"/>
      <c r="I170" s="65">
        <v>0</v>
      </c>
      <c r="J170" s="65" t="s">
        <v>893</v>
      </c>
      <c r="K170" s="65" t="s">
        <v>7541</v>
      </c>
      <c r="L170" s="65"/>
      <c r="M170" s="65"/>
      <c r="N170" s="65" t="str">
        <f t="shared" si="6"/>
        <v>Active(eradica.passive.ex.buff.buffeffect.03.01.skilleffect.05)</v>
      </c>
      <c r="O170" s="65">
        <v>0</v>
      </c>
      <c r="P170" s="65">
        <v>0</v>
      </c>
      <c r="Q170" s="65"/>
      <c r="R170" s="65" t="b">
        <v>1</v>
      </c>
    </row>
    <row r="171" spans="1:18" s="160" customFormat="1">
      <c r="A171" s="67" t="s">
        <v>7537</v>
      </c>
      <c r="B171" s="65" t="s">
        <v>1367</v>
      </c>
      <c r="C171" s="65" t="s">
        <v>7898</v>
      </c>
      <c r="D171" s="65">
        <v>0</v>
      </c>
      <c r="E171" s="65">
        <v>1</v>
      </c>
      <c r="F171" s="65" t="s">
        <v>197</v>
      </c>
      <c r="G171" s="65" t="s">
        <v>198</v>
      </c>
      <c r="H171" s="65"/>
      <c r="I171" s="65">
        <v>0</v>
      </c>
      <c r="J171" s="65" t="s">
        <v>893</v>
      </c>
      <c r="K171" s="65" t="s">
        <v>7542</v>
      </c>
      <c r="L171" s="65"/>
      <c r="M171" s="65"/>
      <c r="N171" s="65" t="str">
        <f t="shared" si="6"/>
        <v>Active(eradica.passive.ex.buff.buffeffect.03.01.skilleffect.06)</v>
      </c>
      <c r="O171" s="65">
        <v>0</v>
      </c>
      <c r="P171" s="65">
        <v>0</v>
      </c>
      <c r="Q171" s="65"/>
      <c r="R171" s="65" t="b">
        <v>1</v>
      </c>
    </row>
    <row r="172" spans="1:18" s="142" customFormat="1">
      <c r="A172" s="39" t="s">
        <v>8462</v>
      </c>
      <c r="B172" s="23"/>
      <c r="C172" s="23"/>
      <c r="D172" s="23">
        <v>0</v>
      </c>
      <c r="E172" s="23">
        <v>1</v>
      </c>
      <c r="F172" s="23" t="s">
        <v>8425</v>
      </c>
      <c r="G172" s="23" t="s">
        <v>8413</v>
      </c>
      <c r="H172" s="23"/>
      <c r="I172" s="23">
        <v>0</v>
      </c>
      <c r="J172" s="23" t="s">
        <v>8414</v>
      </c>
      <c r="K172" s="23" t="s">
        <v>8381</v>
      </c>
      <c r="L172" s="23"/>
      <c r="M172" s="23"/>
      <c r="N172" s="23" t="str">
        <f t="shared" si="6"/>
        <v>Passive(eradica.passive.maindealer.passive.ex.buff.01)</v>
      </c>
      <c r="O172" s="23">
        <v>0</v>
      </c>
      <c r="P172" s="23">
        <v>0</v>
      </c>
      <c r="Q172" s="23"/>
      <c r="R172" s="23" t="b">
        <v>1</v>
      </c>
    </row>
    <row r="173" spans="1:18" s="142" customFormat="1">
      <c r="A173" s="39" t="s">
        <v>7603</v>
      </c>
      <c r="B173" s="23"/>
      <c r="C173" s="23"/>
      <c r="D173" s="23">
        <v>0</v>
      </c>
      <c r="E173" s="23">
        <v>1</v>
      </c>
      <c r="F173" s="23" t="s">
        <v>8425</v>
      </c>
      <c r="G173" s="23" t="s">
        <v>8413</v>
      </c>
      <c r="H173" s="23"/>
      <c r="I173" s="23">
        <v>0</v>
      </c>
      <c r="J173" s="23" t="s">
        <v>8414</v>
      </c>
      <c r="K173" s="23" t="s">
        <v>7608</v>
      </c>
      <c r="L173" s="23"/>
      <c r="M173" s="23"/>
      <c r="N173" s="23" t="str">
        <f t="shared" si="6"/>
        <v>Passive(eradica.passive.maindealer.passive.ex.buff.02)</v>
      </c>
      <c r="O173" s="23">
        <v>0</v>
      </c>
      <c r="P173" s="23">
        <v>0</v>
      </c>
      <c r="Q173" s="23"/>
      <c r="R173" s="23" t="b">
        <v>1</v>
      </c>
    </row>
    <row r="174" spans="1:18" s="142" customFormat="1">
      <c r="A174" s="39" t="s">
        <v>7604</v>
      </c>
      <c r="B174" s="23"/>
      <c r="C174" s="23"/>
      <c r="D174" s="23">
        <v>0</v>
      </c>
      <c r="E174" s="23">
        <v>1</v>
      </c>
      <c r="F174" s="23" t="s">
        <v>8425</v>
      </c>
      <c r="G174" s="23" t="s">
        <v>8413</v>
      </c>
      <c r="H174" s="23"/>
      <c r="I174" s="23">
        <v>0</v>
      </c>
      <c r="J174" s="23" t="s">
        <v>8414</v>
      </c>
      <c r="K174" s="23" t="s">
        <v>7609</v>
      </c>
      <c r="L174" s="23"/>
      <c r="M174" s="23"/>
      <c r="N174" s="23" t="str">
        <f t="shared" si="6"/>
        <v>Passive(eradica.passive.maindealer.passive.ex.buff.03)</v>
      </c>
      <c r="O174" s="23">
        <v>0</v>
      </c>
      <c r="P174" s="23">
        <v>0</v>
      </c>
      <c r="Q174" s="23"/>
      <c r="R174" s="23" t="b">
        <v>1</v>
      </c>
    </row>
    <row r="175" spans="1:18" s="142" customFormat="1">
      <c r="A175" s="39" t="s">
        <v>7605</v>
      </c>
      <c r="B175" s="23"/>
      <c r="C175" s="23"/>
      <c r="D175" s="23">
        <v>0</v>
      </c>
      <c r="E175" s="23">
        <v>1</v>
      </c>
      <c r="F175" s="23" t="s">
        <v>8425</v>
      </c>
      <c r="G175" s="23" t="s">
        <v>8413</v>
      </c>
      <c r="H175" s="23"/>
      <c r="I175" s="23">
        <v>0</v>
      </c>
      <c r="J175" s="23" t="s">
        <v>8414</v>
      </c>
      <c r="K175" s="23" t="s">
        <v>7610</v>
      </c>
      <c r="L175" s="23"/>
      <c r="M175" s="23"/>
      <c r="N175" s="23" t="str">
        <f t="shared" si="6"/>
        <v>Passive(eradica.passive.maindealer.passive.ex.buff.04)</v>
      </c>
      <c r="O175" s="23">
        <v>0</v>
      </c>
      <c r="P175" s="23">
        <v>0</v>
      </c>
      <c r="Q175" s="23"/>
      <c r="R175" s="23" t="b">
        <v>1</v>
      </c>
    </row>
    <row r="176" spans="1:18" s="142" customFormat="1">
      <c r="A176" s="39" t="s">
        <v>7606</v>
      </c>
      <c r="B176" s="23"/>
      <c r="C176" s="23"/>
      <c r="D176" s="23">
        <v>0</v>
      </c>
      <c r="E176" s="23">
        <v>1</v>
      </c>
      <c r="F176" s="23" t="s">
        <v>8425</v>
      </c>
      <c r="G176" s="23" t="s">
        <v>8413</v>
      </c>
      <c r="H176" s="23"/>
      <c r="I176" s="23">
        <v>0</v>
      </c>
      <c r="J176" s="23" t="s">
        <v>8414</v>
      </c>
      <c r="K176" s="23" t="s">
        <v>7611</v>
      </c>
      <c r="L176" s="23"/>
      <c r="M176" s="23"/>
      <c r="N176" s="23" t="str">
        <f t="shared" si="6"/>
        <v>Passive(eradica.passive.maindealer.passive.ex.buff.05)</v>
      </c>
      <c r="O176" s="23">
        <v>0</v>
      </c>
      <c r="P176" s="23">
        <v>0</v>
      </c>
      <c r="Q176" s="23"/>
      <c r="R176" s="23" t="b">
        <v>1</v>
      </c>
    </row>
    <row r="177" spans="1:18" s="142" customFormat="1">
      <c r="A177" s="39" t="s">
        <v>7607</v>
      </c>
      <c r="B177" s="23"/>
      <c r="C177" s="23"/>
      <c r="D177" s="23">
        <v>0</v>
      </c>
      <c r="E177" s="23">
        <v>1</v>
      </c>
      <c r="F177" s="23" t="s">
        <v>8425</v>
      </c>
      <c r="G177" s="23" t="s">
        <v>8413</v>
      </c>
      <c r="H177" s="23"/>
      <c r="I177" s="23">
        <v>0</v>
      </c>
      <c r="J177" s="23" t="s">
        <v>8414</v>
      </c>
      <c r="K177" s="23" t="s">
        <v>7612</v>
      </c>
      <c r="L177" s="23"/>
      <c r="M177" s="23"/>
      <c r="N177" s="23" t="str">
        <f t="shared" si="6"/>
        <v>Passive(eradica.passive.maindealer.passive.ex.buff.06)</v>
      </c>
      <c r="O177" s="23">
        <v>0</v>
      </c>
      <c r="P177" s="23">
        <v>0</v>
      </c>
      <c r="Q177" s="23"/>
      <c r="R177" s="23" t="b">
        <v>1</v>
      </c>
    </row>
    <row r="178" spans="1:18" s="150" customFormat="1">
      <c r="A178" s="38" t="s">
        <v>8463</v>
      </c>
      <c r="B178" s="24"/>
      <c r="C178" s="24"/>
      <c r="D178" s="24">
        <v>0</v>
      </c>
      <c r="E178" s="24">
        <v>1</v>
      </c>
      <c r="F178" s="24" t="s">
        <v>197</v>
      </c>
      <c r="G178" s="24" t="s">
        <v>198</v>
      </c>
      <c r="H178" s="24"/>
      <c r="I178" s="24">
        <v>0</v>
      </c>
      <c r="J178" s="24" t="s">
        <v>8431</v>
      </c>
      <c r="K178" s="24" t="s">
        <v>8464</v>
      </c>
      <c r="L178" s="24"/>
      <c r="M178" s="24"/>
      <c r="N178" s="24" t="str">
        <f t="shared" si="6"/>
        <v>Active(eradica.passive.ex.buff.buffeffect.05.skilleffect.01)</v>
      </c>
      <c r="O178" s="24">
        <v>0</v>
      </c>
      <c r="P178" s="24">
        <v>0</v>
      </c>
      <c r="Q178" s="24"/>
      <c r="R178" s="24" t="b">
        <v>1</v>
      </c>
    </row>
    <row r="179" spans="1:18" s="142" customFormat="1">
      <c r="A179" s="39" t="s">
        <v>7613</v>
      </c>
      <c r="B179" s="23"/>
      <c r="C179" s="23"/>
      <c r="D179" s="23">
        <v>0</v>
      </c>
      <c r="E179" s="23">
        <v>1</v>
      </c>
      <c r="F179" s="23" t="s">
        <v>197</v>
      </c>
      <c r="G179" s="23" t="s">
        <v>198</v>
      </c>
      <c r="H179" s="23"/>
      <c r="I179" s="23">
        <v>0</v>
      </c>
      <c r="J179" s="23" t="s">
        <v>8436</v>
      </c>
      <c r="K179" s="23" t="s">
        <v>908</v>
      </c>
      <c r="L179" s="23">
        <v>400</v>
      </c>
      <c r="M179" s="23"/>
      <c r="N179" s="23" t="str">
        <f t="shared" si="6"/>
        <v>Status(AttackRatio, 400)</v>
      </c>
      <c r="O179" s="23">
        <v>0</v>
      </c>
      <c r="P179" s="23">
        <v>0</v>
      </c>
      <c r="Q179" s="23"/>
      <c r="R179" s="23" t="b">
        <v>1</v>
      </c>
    </row>
    <row r="180" spans="1:18" s="142" customFormat="1">
      <c r="A180" s="39" t="s">
        <v>7614</v>
      </c>
      <c r="B180" s="23"/>
      <c r="C180" s="23"/>
      <c r="D180" s="23">
        <v>0</v>
      </c>
      <c r="E180" s="23">
        <v>1</v>
      </c>
      <c r="F180" s="23" t="s">
        <v>197</v>
      </c>
      <c r="G180" s="23" t="s">
        <v>198</v>
      </c>
      <c r="H180" s="23"/>
      <c r="I180" s="23">
        <v>0</v>
      </c>
      <c r="J180" s="23" t="s">
        <v>8436</v>
      </c>
      <c r="K180" s="23" t="s">
        <v>908</v>
      </c>
      <c r="L180" s="23">
        <v>500</v>
      </c>
      <c r="M180" s="23"/>
      <c r="N180" s="23" t="str">
        <f t="shared" si="6"/>
        <v>Status(AttackRatio, 500)</v>
      </c>
      <c r="O180" s="23">
        <v>0</v>
      </c>
      <c r="P180" s="23">
        <v>0</v>
      </c>
      <c r="Q180" s="23"/>
      <c r="R180" s="23" t="b">
        <v>1</v>
      </c>
    </row>
    <row r="181" spans="1:18" s="142" customFormat="1">
      <c r="A181" s="39" t="s">
        <v>7615</v>
      </c>
      <c r="B181" s="23"/>
      <c r="C181" s="23"/>
      <c r="D181" s="23">
        <v>0</v>
      </c>
      <c r="E181" s="23">
        <v>1</v>
      </c>
      <c r="F181" s="23" t="s">
        <v>197</v>
      </c>
      <c r="G181" s="23" t="s">
        <v>198</v>
      </c>
      <c r="H181" s="23"/>
      <c r="I181" s="23">
        <v>0</v>
      </c>
      <c r="J181" s="23" t="s">
        <v>8436</v>
      </c>
      <c r="K181" s="23" t="s">
        <v>908</v>
      </c>
      <c r="L181" s="23">
        <v>700</v>
      </c>
      <c r="M181" s="23"/>
      <c r="N181" s="23" t="str">
        <f t="shared" si="6"/>
        <v>Status(AttackRatio, 700)</v>
      </c>
      <c r="O181" s="23">
        <v>0</v>
      </c>
      <c r="P181" s="23">
        <v>0</v>
      </c>
      <c r="Q181" s="23"/>
      <c r="R181" s="23" t="b">
        <v>1</v>
      </c>
    </row>
    <row r="182" spans="1:18" s="142" customFormat="1">
      <c r="A182" s="39" t="s">
        <v>7616</v>
      </c>
      <c r="B182" s="23"/>
      <c r="C182" s="23"/>
      <c r="D182" s="23">
        <v>0</v>
      </c>
      <c r="E182" s="23">
        <v>1</v>
      </c>
      <c r="F182" s="23" t="s">
        <v>197</v>
      </c>
      <c r="G182" s="23" t="s">
        <v>198</v>
      </c>
      <c r="H182" s="23"/>
      <c r="I182" s="23">
        <v>0</v>
      </c>
      <c r="J182" s="23" t="s">
        <v>8436</v>
      </c>
      <c r="K182" s="23" t="s">
        <v>908</v>
      </c>
      <c r="L182" s="23">
        <v>1000</v>
      </c>
      <c r="M182" s="23"/>
      <c r="N182" s="23" t="str">
        <f t="shared" si="6"/>
        <v>Status(AttackRatio, 1000)</v>
      </c>
      <c r="O182" s="23">
        <v>0</v>
      </c>
      <c r="P182" s="23">
        <v>0</v>
      </c>
      <c r="Q182" s="23"/>
      <c r="R182" s="23" t="b">
        <v>1</v>
      </c>
    </row>
    <row r="183" spans="1:18" s="142" customFormat="1">
      <c r="A183" s="39" t="s">
        <v>7617</v>
      </c>
      <c r="B183" s="23"/>
      <c r="C183" s="23"/>
      <c r="D183" s="23">
        <v>0</v>
      </c>
      <c r="E183" s="23">
        <v>1</v>
      </c>
      <c r="F183" s="23" t="s">
        <v>197</v>
      </c>
      <c r="G183" s="23" t="s">
        <v>198</v>
      </c>
      <c r="H183" s="23"/>
      <c r="I183" s="23">
        <v>0</v>
      </c>
      <c r="J183" s="23" t="s">
        <v>8436</v>
      </c>
      <c r="K183" s="23" t="s">
        <v>908</v>
      </c>
      <c r="L183" s="23">
        <v>1000</v>
      </c>
      <c r="M183" s="23"/>
      <c r="N183" s="23" t="str">
        <f t="shared" si="6"/>
        <v>Status(AttackRatio, 1000)</v>
      </c>
      <c r="O183" s="23">
        <v>0</v>
      </c>
      <c r="P183" s="23">
        <v>0</v>
      </c>
      <c r="Q183" s="23"/>
      <c r="R183" s="23" t="b">
        <v>1</v>
      </c>
    </row>
    <row r="184" spans="1:18" s="142" customFormat="1">
      <c r="A184" s="39" t="s">
        <v>7618</v>
      </c>
      <c r="B184" s="23"/>
      <c r="C184" s="23"/>
      <c r="D184" s="23">
        <v>0</v>
      </c>
      <c r="E184" s="23">
        <v>1</v>
      </c>
      <c r="F184" s="23" t="s">
        <v>197</v>
      </c>
      <c r="G184" s="23" t="s">
        <v>198</v>
      </c>
      <c r="H184" s="23"/>
      <c r="I184" s="23">
        <v>0</v>
      </c>
      <c r="J184" s="23" t="s">
        <v>8436</v>
      </c>
      <c r="K184" s="23" t="s">
        <v>908</v>
      </c>
      <c r="L184" s="23">
        <v>1000</v>
      </c>
      <c r="M184" s="23"/>
      <c r="N184" s="23" t="str">
        <f t="shared" si="6"/>
        <v>Status(AttackRatio, 1000)</v>
      </c>
      <c r="O184" s="23">
        <v>0</v>
      </c>
      <c r="P184" s="23">
        <v>0</v>
      </c>
      <c r="Q184" s="23"/>
      <c r="R184" s="23" t="b">
        <v>1</v>
      </c>
    </row>
    <row r="185" spans="1:18" s="150" customFormat="1">
      <c r="A185" s="38" t="s">
        <v>7619</v>
      </c>
      <c r="B185" s="24" t="s">
        <v>8366</v>
      </c>
      <c r="C185" s="24" t="s">
        <v>8437</v>
      </c>
      <c r="D185" s="24">
        <v>0</v>
      </c>
      <c r="E185" s="24">
        <v>1</v>
      </c>
      <c r="F185" s="24" t="s">
        <v>197</v>
      </c>
      <c r="G185" s="24" t="s">
        <v>198</v>
      </c>
      <c r="H185" s="24"/>
      <c r="I185" s="24">
        <v>0</v>
      </c>
      <c r="J185" s="24" t="s">
        <v>838</v>
      </c>
      <c r="K185" s="24" t="s">
        <v>908</v>
      </c>
      <c r="L185" s="24">
        <v>-50</v>
      </c>
      <c r="M185" s="24"/>
      <c r="N185" s="24" t="str">
        <f t="shared" si="6"/>
        <v>Status(AttackRatio, -50)</v>
      </c>
      <c r="O185" s="24">
        <v>0</v>
      </c>
      <c r="P185" s="24">
        <v>0</v>
      </c>
      <c r="Q185" s="24"/>
      <c r="R185" s="24" t="b">
        <v>0</v>
      </c>
    </row>
    <row r="186" spans="1:18" s="150" customFormat="1">
      <c r="A186" s="38" t="s">
        <v>7620</v>
      </c>
      <c r="B186" s="24" t="s">
        <v>1367</v>
      </c>
      <c r="C186" s="24" t="s">
        <v>8437</v>
      </c>
      <c r="D186" s="24">
        <v>0</v>
      </c>
      <c r="E186" s="24">
        <v>1</v>
      </c>
      <c r="F186" s="24" t="s">
        <v>197</v>
      </c>
      <c r="G186" s="24" t="s">
        <v>198</v>
      </c>
      <c r="H186" s="24"/>
      <c r="I186" s="24">
        <v>0</v>
      </c>
      <c r="J186" s="24" t="s">
        <v>838</v>
      </c>
      <c r="K186" s="24" t="s">
        <v>908</v>
      </c>
      <c r="L186" s="24">
        <v>-60</v>
      </c>
      <c r="M186" s="24"/>
      <c r="N186" s="24" t="str">
        <f t="shared" si="6"/>
        <v>Status(AttackRatio, -60)</v>
      </c>
      <c r="O186" s="24">
        <v>0</v>
      </c>
      <c r="P186" s="24">
        <v>0</v>
      </c>
      <c r="Q186" s="24"/>
      <c r="R186" s="24" t="b">
        <v>0</v>
      </c>
    </row>
    <row r="187" spans="1:18" s="150" customFormat="1">
      <c r="A187" s="38" t="s">
        <v>7621</v>
      </c>
      <c r="B187" s="24" t="s">
        <v>1367</v>
      </c>
      <c r="C187" s="24" t="s">
        <v>8437</v>
      </c>
      <c r="D187" s="24">
        <v>0</v>
      </c>
      <c r="E187" s="24">
        <v>1</v>
      </c>
      <c r="F187" s="24" t="s">
        <v>197</v>
      </c>
      <c r="G187" s="24" t="s">
        <v>198</v>
      </c>
      <c r="H187" s="24"/>
      <c r="I187" s="24">
        <v>0</v>
      </c>
      <c r="J187" s="24" t="s">
        <v>838</v>
      </c>
      <c r="K187" s="24" t="s">
        <v>908</v>
      </c>
      <c r="L187" s="24">
        <v>-70</v>
      </c>
      <c r="M187" s="24"/>
      <c r="N187" s="24" t="str">
        <f t="shared" si="6"/>
        <v>Status(AttackRatio, -70)</v>
      </c>
      <c r="O187" s="24">
        <v>0</v>
      </c>
      <c r="P187" s="24">
        <v>0</v>
      </c>
      <c r="Q187" s="24"/>
      <c r="R187" s="24" t="b">
        <v>0</v>
      </c>
    </row>
    <row r="188" spans="1:18" s="150" customFormat="1">
      <c r="A188" s="38" t="s">
        <v>7622</v>
      </c>
      <c r="B188" s="24" t="s">
        <v>1367</v>
      </c>
      <c r="C188" s="24" t="s">
        <v>8437</v>
      </c>
      <c r="D188" s="24">
        <v>0</v>
      </c>
      <c r="E188" s="24">
        <v>1</v>
      </c>
      <c r="F188" s="24" t="s">
        <v>197</v>
      </c>
      <c r="G188" s="24" t="s">
        <v>198</v>
      </c>
      <c r="H188" s="24"/>
      <c r="I188" s="24">
        <v>0</v>
      </c>
      <c r="J188" s="24" t="s">
        <v>838</v>
      </c>
      <c r="K188" s="24" t="s">
        <v>908</v>
      </c>
      <c r="L188" s="24">
        <v>-80</v>
      </c>
      <c r="M188" s="24"/>
      <c r="N188" s="24" t="str">
        <f t="shared" si="6"/>
        <v>Status(AttackRatio, -80)</v>
      </c>
      <c r="O188" s="24">
        <v>0</v>
      </c>
      <c r="P188" s="24">
        <v>0</v>
      </c>
      <c r="Q188" s="24"/>
      <c r="R188" s="24" t="b">
        <v>0</v>
      </c>
    </row>
    <row r="189" spans="1:18" s="150" customFormat="1">
      <c r="A189" s="38" t="s">
        <v>7623</v>
      </c>
      <c r="B189" s="24" t="s">
        <v>1367</v>
      </c>
      <c r="C189" s="24" t="s">
        <v>8437</v>
      </c>
      <c r="D189" s="24">
        <v>0</v>
      </c>
      <c r="E189" s="24">
        <v>1</v>
      </c>
      <c r="F189" s="24" t="s">
        <v>197</v>
      </c>
      <c r="G189" s="24" t="s">
        <v>198</v>
      </c>
      <c r="H189" s="24"/>
      <c r="I189" s="24">
        <v>0</v>
      </c>
      <c r="J189" s="24" t="s">
        <v>838</v>
      </c>
      <c r="K189" s="24" t="s">
        <v>908</v>
      </c>
      <c r="L189" s="24">
        <v>-90</v>
      </c>
      <c r="M189" s="24"/>
      <c r="N189" s="24" t="str">
        <f t="shared" si="6"/>
        <v>Status(AttackRatio, -90)</v>
      </c>
      <c r="O189" s="24">
        <v>0</v>
      </c>
      <c r="P189" s="24">
        <v>0</v>
      </c>
      <c r="Q189" s="24"/>
      <c r="R189" s="24" t="b">
        <v>0</v>
      </c>
    </row>
    <row r="190" spans="1:18" s="150" customFormat="1">
      <c r="A190" s="38" t="s">
        <v>7624</v>
      </c>
      <c r="B190" s="24" t="s">
        <v>1367</v>
      </c>
      <c r="C190" s="24" t="s">
        <v>8437</v>
      </c>
      <c r="D190" s="24">
        <v>0</v>
      </c>
      <c r="E190" s="24">
        <v>1</v>
      </c>
      <c r="F190" s="24" t="s">
        <v>197</v>
      </c>
      <c r="G190" s="24" t="s">
        <v>198</v>
      </c>
      <c r="H190" s="24"/>
      <c r="I190" s="24">
        <v>0</v>
      </c>
      <c r="J190" s="24" t="s">
        <v>838</v>
      </c>
      <c r="K190" s="24" t="s">
        <v>908</v>
      </c>
      <c r="L190" s="24">
        <v>-100</v>
      </c>
      <c r="M190" s="24"/>
      <c r="N190" s="24" t="str">
        <f t="shared" si="6"/>
        <v>Status(AttackRatio, -100)</v>
      </c>
      <c r="O190" s="24">
        <v>0</v>
      </c>
      <c r="P190" s="24">
        <v>0</v>
      </c>
      <c r="Q190" s="24"/>
      <c r="R190" s="24" t="b">
        <v>0</v>
      </c>
    </row>
    <row r="191" spans="1:18" s="160" customFormat="1">
      <c r="A191" s="67" t="s">
        <v>7625</v>
      </c>
      <c r="B191" s="65" t="s">
        <v>1367</v>
      </c>
      <c r="C191" s="65" t="s">
        <v>8438</v>
      </c>
      <c r="D191" s="65">
        <v>0</v>
      </c>
      <c r="E191" s="65">
        <v>1</v>
      </c>
      <c r="F191" s="65" t="s">
        <v>197</v>
      </c>
      <c r="G191" s="65" t="s">
        <v>198</v>
      </c>
      <c r="H191" s="65"/>
      <c r="I191" s="65">
        <v>0</v>
      </c>
      <c r="J191" s="65" t="s">
        <v>838</v>
      </c>
      <c r="K191" s="65" t="s">
        <v>908</v>
      </c>
      <c r="L191" s="65">
        <v>-50</v>
      </c>
      <c r="M191" s="65"/>
      <c r="N191" s="65" t="str">
        <f t="shared" si="6"/>
        <v>Status(AttackRatio, -50)</v>
      </c>
      <c r="O191" s="65">
        <v>0</v>
      </c>
      <c r="P191" s="65">
        <v>0</v>
      </c>
      <c r="Q191" s="65"/>
      <c r="R191" s="65" t="b">
        <v>0</v>
      </c>
    </row>
    <row r="192" spans="1:18" s="160" customFormat="1">
      <c r="A192" s="67" t="s">
        <v>7626</v>
      </c>
      <c r="B192" s="65" t="s">
        <v>1367</v>
      </c>
      <c r="C192" s="65" t="s">
        <v>7631</v>
      </c>
      <c r="D192" s="65">
        <v>0</v>
      </c>
      <c r="E192" s="65">
        <v>1</v>
      </c>
      <c r="F192" s="65" t="s">
        <v>197</v>
      </c>
      <c r="G192" s="65" t="s">
        <v>198</v>
      </c>
      <c r="H192" s="65"/>
      <c r="I192" s="65">
        <v>0</v>
      </c>
      <c r="J192" s="65" t="s">
        <v>838</v>
      </c>
      <c r="K192" s="65" t="s">
        <v>908</v>
      </c>
      <c r="L192" s="65">
        <v>-60</v>
      </c>
      <c r="M192" s="65"/>
      <c r="N192" s="65" t="str">
        <f t="shared" si="6"/>
        <v>Status(AttackRatio, -60)</v>
      </c>
      <c r="O192" s="65">
        <v>0</v>
      </c>
      <c r="P192" s="65">
        <v>0</v>
      </c>
      <c r="Q192" s="65"/>
      <c r="R192" s="65" t="b">
        <v>0</v>
      </c>
    </row>
    <row r="193" spans="1:18" s="160" customFormat="1">
      <c r="A193" s="67" t="s">
        <v>7627</v>
      </c>
      <c r="B193" s="65" t="s">
        <v>1367</v>
      </c>
      <c r="C193" s="65" t="s">
        <v>7631</v>
      </c>
      <c r="D193" s="65">
        <v>0</v>
      </c>
      <c r="E193" s="65">
        <v>1</v>
      </c>
      <c r="F193" s="65" t="s">
        <v>197</v>
      </c>
      <c r="G193" s="65" t="s">
        <v>198</v>
      </c>
      <c r="H193" s="65"/>
      <c r="I193" s="65">
        <v>0</v>
      </c>
      <c r="J193" s="65" t="s">
        <v>838</v>
      </c>
      <c r="K193" s="65" t="s">
        <v>908</v>
      </c>
      <c r="L193" s="65">
        <v>-70</v>
      </c>
      <c r="M193" s="65"/>
      <c r="N193" s="65" t="str">
        <f t="shared" si="6"/>
        <v>Status(AttackRatio, -70)</v>
      </c>
      <c r="O193" s="65">
        <v>0</v>
      </c>
      <c r="P193" s="65">
        <v>0</v>
      </c>
      <c r="Q193" s="65"/>
      <c r="R193" s="65" t="b">
        <v>0</v>
      </c>
    </row>
    <row r="194" spans="1:18" s="160" customFormat="1">
      <c r="A194" s="67" t="s">
        <v>7628</v>
      </c>
      <c r="B194" s="65" t="s">
        <v>1367</v>
      </c>
      <c r="C194" s="65" t="s">
        <v>7631</v>
      </c>
      <c r="D194" s="65">
        <v>0</v>
      </c>
      <c r="E194" s="65">
        <v>1</v>
      </c>
      <c r="F194" s="65" t="s">
        <v>197</v>
      </c>
      <c r="G194" s="65" t="s">
        <v>198</v>
      </c>
      <c r="H194" s="65"/>
      <c r="I194" s="65">
        <v>0</v>
      </c>
      <c r="J194" s="65" t="s">
        <v>838</v>
      </c>
      <c r="K194" s="65" t="s">
        <v>908</v>
      </c>
      <c r="L194" s="65">
        <v>-80</v>
      </c>
      <c r="M194" s="65"/>
      <c r="N194" s="65" t="str">
        <f t="shared" si="6"/>
        <v>Status(AttackRatio, -80)</v>
      </c>
      <c r="O194" s="65">
        <v>0</v>
      </c>
      <c r="P194" s="65">
        <v>0</v>
      </c>
      <c r="Q194" s="65"/>
      <c r="R194" s="65" t="b">
        <v>0</v>
      </c>
    </row>
    <row r="195" spans="1:18" s="160" customFormat="1">
      <c r="A195" s="67" t="s">
        <v>7629</v>
      </c>
      <c r="B195" s="65" t="s">
        <v>1367</v>
      </c>
      <c r="C195" s="65" t="s">
        <v>7631</v>
      </c>
      <c r="D195" s="65">
        <v>0</v>
      </c>
      <c r="E195" s="65">
        <v>1</v>
      </c>
      <c r="F195" s="65" t="s">
        <v>197</v>
      </c>
      <c r="G195" s="65" t="s">
        <v>198</v>
      </c>
      <c r="H195" s="65"/>
      <c r="I195" s="65">
        <v>0</v>
      </c>
      <c r="J195" s="65" t="s">
        <v>838</v>
      </c>
      <c r="K195" s="65" t="s">
        <v>908</v>
      </c>
      <c r="L195" s="65">
        <v>-90</v>
      </c>
      <c r="M195" s="65"/>
      <c r="N195" s="65" t="str">
        <f t="shared" si="6"/>
        <v>Status(AttackRatio, -90)</v>
      </c>
      <c r="O195" s="65">
        <v>0</v>
      </c>
      <c r="P195" s="65">
        <v>0</v>
      </c>
      <c r="Q195" s="65"/>
      <c r="R195" s="65" t="b">
        <v>0</v>
      </c>
    </row>
    <row r="196" spans="1:18" s="160" customFormat="1">
      <c r="A196" s="67" t="s">
        <v>7630</v>
      </c>
      <c r="B196" s="65" t="s">
        <v>1367</v>
      </c>
      <c r="C196" s="65" t="s">
        <v>7631</v>
      </c>
      <c r="D196" s="65">
        <v>0</v>
      </c>
      <c r="E196" s="65">
        <v>1</v>
      </c>
      <c r="F196" s="65" t="s">
        <v>197</v>
      </c>
      <c r="G196" s="65" t="s">
        <v>198</v>
      </c>
      <c r="H196" s="65"/>
      <c r="I196" s="65">
        <v>0</v>
      </c>
      <c r="J196" s="65" t="s">
        <v>838</v>
      </c>
      <c r="K196" s="65" t="s">
        <v>908</v>
      </c>
      <c r="L196" s="65">
        <v>-100</v>
      </c>
      <c r="M196" s="65"/>
      <c r="N196" s="65" t="str">
        <f t="shared" si="6"/>
        <v>Status(AttackRatio, -100)</v>
      </c>
      <c r="O196" s="65">
        <v>0</v>
      </c>
      <c r="P196" s="65">
        <v>0</v>
      </c>
      <c r="Q196" s="65"/>
      <c r="R196" s="65" t="b">
        <v>0</v>
      </c>
    </row>
    <row r="197" spans="1:18" s="189" customFormat="1">
      <c r="A197" s="165" t="s">
        <v>8465</v>
      </c>
      <c r="B197" s="141" t="s">
        <v>1367</v>
      </c>
      <c r="C197" s="141" t="s">
        <v>8439</v>
      </c>
      <c r="D197" s="141">
        <v>0</v>
      </c>
      <c r="E197" s="141">
        <v>1</v>
      </c>
      <c r="F197" s="141" t="s">
        <v>197</v>
      </c>
      <c r="G197" s="141" t="s">
        <v>198</v>
      </c>
      <c r="H197" s="141"/>
      <c r="I197" s="141">
        <v>0</v>
      </c>
      <c r="J197" s="141" t="s">
        <v>838</v>
      </c>
      <c r="K197" s="141" t="s">
        <v>908</v>
      </c>
      <c r="L197" s="141">
        <v>-50</v>
      </c>
      <c r="M197" s="141"/>
      <c r="N197" s="141" t="str">
        <f t="shared" si="6"/>
        <v>Status(AttackRatio, -50)</v>
      </c>
      <c r="O197" s="141">
        <v>0</v>
      </c>
      <c r="P197" s="141">
        <v>0</v>
      </c>
      <c r="Q197" s="141"/>
      <c r="R197" s="141" t="b">
        <v>0</v>
      </c>
    </row>
    <row r="198" spans="1:18" s="189" customFormat="1">
      <c r="A198" s="165" t="s">
        <v>7659</v>
      </c>
      <c r="B198" s="141" t="s">
        <v>1367</v>
      </c>
      <c r="C198" s="141" t="s">
        <v>8439</v>
      </c>
      <c r="D198" s="141">
        <v>0</v>
      </c>
      <c r="E198" s="141">
        <v>1</v>
      </c>
      <c r="F198" s="141" t="s">
        <v>197</v>
      </c>
      <c r="G198" s="141" t="s">
        <v>198</v>
      </c>
      <c r="H198" s="141"/>
      <c r="I198" s="141">
        <v>0</v>
      </c>
      <c r="J198" s="141" t="s">
        <v>838</v>
      </c>
      <c r="K198" s="141" t="s">
        <v>908</v>
      </c>
      <c r="L198" s="141">
        <v>-60</v>
      </c>
      <c r="M198" s="141"/>
      <c r="N198" s="141" t="str">
        <f t="shared" si="6"/>
        <v>Status(AttackRatio, -60)</v>
      </c>
      <c r="O198" s="141">
        <v>0</v>
      </c>
      <c r="P198" s="141">
        <v>0</v>
      </c>
      <c r="Q198" s="141"/>
      <c r="R198" s="141" t="b">
        <v>0</v>
      </c>
    </row>
    <row r="199" spans="1:18" s="189" customFormat="1">
      <c r="A199" s="165" t="s">
        <v>7660</v>
      </c>
      <c r="B199" s="141" t="s">
        <v>1367</v>
      </c>
      <c r="C199" s="141" t="s">
        <v>8439</v>
      </c>
      <c r="D199" s="141">
        <v>0</v>
      </c>
      <c r="E199" s="141">
        <v>1</v>
      </c>
      <c r="F199" s="141" t="s">
        <v>197</v>
      </c>
      <c r="G199" s="141" t="s">
        <v>198</v>
      </c>
      <c r="H199" s="141"/>
      <c r="I199" s="141">
        <v>0</v>
      </c>
      <c r="J199" s="141" t="s">
        <v>838</v>
      </c>
      <c r="K199" s="141" t="s">
        <v>908</v>
      </c>
      <c r="L199" s="141">
        <v>-70</v>
      </c>
      <c r="M199" s="141"/>
      <c r="N199" s="141" t="str">
        <f t="shared" si="6"/>
        <v>Status(AttackRatio, -70)</v>
      </c>
      <c r="O199" s="141">
        <v>0</v>
      </c>
      <c r="P199" s="141">
        <v>0</v>
      </c>
      <c r="Q199" s="141"/>
      <c r="R199" s="141" t="b">
        <v>0</v>
      </c>
    </row>
    <row r="200" spans="1:18" s="189" customFormat="1">
      <c r="A200" s="165" t="s">
        <v>7661</v>
      </c>
      <c r="B200" s="141" t="s">
        <v>1367</v>
      </c>
      <c r="C200" s="141" t="s">
        <v>8439</v>
      </c>
      <c r="D200" s="141">
        <v>0</v>
      </c>
      <c r="E200" s="141">
        <v>1</v>
      </c>
      <c r="F200" s="141" t="s">
        <v>197</v>
      </c>
      <c r="G200" s="141" t="s">
        <v>198</v>
      </c>
      <c r="H200" s="141"/>
      <c r="I200" s="141">
        <v>0</v>
      </c>
      <c r="J200" s="141" t="s">
        <v>838</v>
      </c>
      <c r="K200" s="141" t="s">
        <v>908</v>
      </c>
      <c r="L200" s="141">
        <v>-80</v>
      </c>
      <c r="M200" s="141"/>
      <c r="N200" s="141" t="str">
        <f t="shared" si="6"/>
        <v>Status(AttackRatio, -80)</v>
      </c>
      <c r="O200" s="141">
        <v>0</v>
      </c>
      <c r="P200" s="141">
        <v>0</v>
      </c>
      <c r="Q200" s="141"/>
      <c r="R200" s="141" t="b">
        <v>0</v>
      </c>
    </row>
    <row r="201" spans="1:18" s="189" customFormat="1">
      <c r="A201" s="165" t="s">
        <v>7662</v>
      </c>
      <c r="B201" s="141" t="s">
        <v>1367</v>
      </c>
      <c r="C201" s="141" t="s">
        <v>8439</v>
      </c>
      <c r="D201" s="141">
        <v>0</v>
      </c>
      <c r="E201" s="141">
        <v>1</v>
      </c>
      <c r="F201" s="141" t="s">
        <v>197</v>
      </c>
      <c r="G201" s="141" t="s">
        <v>198</v>
      </c>
      <c r="H201" s="141"/>
      <c r="I201" s="141">
        <v>0</v>
      </c>
      <c r="J201" s="141" t="s">
        <v>838</v>
      </c>
      <c r="K201" s="141" t="s">
        <v>908</v>
      </c>
      <c r="L201" s="141">
        <v>-90</v>
      </c>
      <c r="M201" s="141"/>
      <c r="N201" s="141" t="str">
        <f t="shared" si="6"/>
        <v>Status(AttackRatio, -90)</v>
      </c>
      <c r="O201" s="141">
        <v>0</v>
      </c>
      <c r="P201" s="141">
        <v>0</v>
      </c>
      <c r="Q201" s="141"/>
      <c r="R201" s="141" t="b">
        <v>0</v>
      </c>
    </row>
    <row r="202" spans="1:18" s="189" customFormat="1">
      <c r="A202" s="165" t="s">
        <v>7663</v>
      </c>
      <c r="B202" s="141" t="s">
        <v>1367</v>
      </c>
      <c r="C202" s="141" t="s">
        <v>8439</v>
      </c>
      <c r="D202" s="141">
        <v>0</v>
      </c>
      <c r="E202" s="141">
        <v>1</v>
      </c>
      <c r="F202" s="141" t="s">
        <v>197</v>
      </c>
      <c r="G202" s="141" t="s">
        <v>198</v>
      </c>
      <c r="H202" s="141"/>
      <c r="I202" s="141">
        <v>0</v>
      </c>
      <c r="J202" s="141" t="s">
        <v>838</v>
      </c>
      <c r="K202" s="141" t="s">
        <v>908</v>
      </c>
      <c r="L202" s="141">
        <v>-100</v>
      </c>
      <c r="M202" s="141"/>
      <c r="N202" s="141" t="str">
        <f t="shared" si="6"/>
        <v>Status(AttackRatio, -100)</v>
      </c>
      <c r="O202" s="141">
        <v>0</v>
      </c>
      <c r="P202" s="141">
        <v>0</v>
      </c>
      <c r="Q202" s="141"/>
      <c r="R202" s="141" t="b">
        <v>0</v>
      </c>
    </row>
    <row r="203" spans="1:18" s="13" customFormat="1">
      <c r="A203" s="23" t="s">
        <v>598</v>
      </c>
      <c r="B203" s="23"/>
      <c r="C203" s="23"/>
      <c r="D203" s="23">
        <v>0</v>
      </c>
      <c r="E203" s="23">
        <v>1</v>
      </c>
      <c r="F203" s="23" t="s">
        <v>197</v>
      </c>
      <c r="G203" s="23" t="s">
        <v>198</v>
      </c>
      <c r="H203" s="23"/>
      <c r="I203" s="23">
        <v>0</v>
      </c>
      <c r="J203" s="23" t="s">
        <v>837</v>
      </c>
      <c r="K203" s="23"/>
      <c r="L203" s="23"/>
      <c r="M203" s="23"/>
      <c r="N203" s="23" t="str">
        <f t="shared" si="6"/>
        <v>None()</v>
      </c>
      <c r="O203" s="23">
        <v>0</v>
      </c>
      <c r="P203" s="23">
        <v>0</v>
      </c>
      <c r="Q203" s="23" t="s">
        <v>600</v>
      </c>
      <c r="R203" s="23" t="b">
        <v>1</v>
      </c>
    </row>
    <row r="204" spans="1:18" s="13" customFormat="1">
      <c r="A204" s="65" t="s">
        <v>1006</v>
      </c>
      <c r="B204" s="65"/>
      <c r="C204" s="65"/>
      <c r="D204" s="65">
        <v>0</v>
      </c>
      <c r="E204" s="65">
        <v>1</v>
      </c>
      <c r="F204" s="65" t="s">
        <v>197</v>
      </c>
      <c r="G204" s="23" t="s">
        <v>198</v>
      </c>
      <c r="H204" s="65"/>
      <c r="I204" s="65">
        <v>0</v>
      </c>
      <c r="J204" s="65" t="s">
        <v>895</v>
      </c>
      <c r="K204" s="65" t="s">
        <v>896</v>
      </c>
      <c r="L204" s="65" t="str">
        <f>A204&amp;".skilleffectmodifier"</f>
        <v>kanata.ult.ex.buff.buffeffect.01.skilleffectmodifier</v>
      </c>
      <c r="M204" s="65"/>
      <c r="N204" s="65" t="str">
        <f t="shared" si="6"/>
        <v>SkillEffectModifier(Op, kanata.ult.ex.buff.buffeffect.01.skilleffectmodifier)</v>
      </c>
      <c r="O204" s="65">
        <v>0</v>
      </c>
      <c r="P204" s="65">
        <v>0</v>
      </c>
      <c r="Q204" s="65"/>
      <c r="R204" s="65" t="b">
        <v>0</v>
      </c>
    </row>
    <row r="205" spans="1:18" s="13" customFormat="1">
      <c r="A205" s="65" t="s">
        <v>1007</v>
      </c>
      <c r="B205" s="65"/>
      <c r="C205" s="65"/>
      <c r="D205" s="65">
        <v>0</v>
      </c>
      <c r="E205" s="65">
        <v>1</v>
      </c>
      <c r="F205" s="65" t="s">
        <v>197</v>
      </c>
      <c r="G205" s="65" t="s">
        <v>198</v>
      </c>
      <c r="H205" s="65"/>
      <c r="I205" s="65">
        <v>0</v>
      </c>
      <c r="J205" s="65" t="s">
        <v>838</v>
      </c>
      <c r="K205" s="65" t="s">
        <v>868</v>
      </c>
      <c r="L205" s="65">
        <v>300</v>
      </c>
      <c r="M205" s="65"/>
      <c r="N205" s="65" t="str">
        <f t="shared" ref="N205:N319" si="7">J205&amp;"("&amp;IF(K205="","",K205)&amp;IF(L205="","",", "&amp;L205)&amp;IF(M205="","",", "&amp;M205)&amp;")"</f>
        <v>Status(IgnoreDefenseRate, 300)</v>
      </c>
      <c r="O205" s="65">
        <v>0</v>
      </c>
      <c r="P205" s="65">
        <v>0</v>
      </c>
      <c r="Q205" s="65"/>
      <c r="R205" s="65" t="b">
        <v>0</v>
      </c>
    </row>
    <row r="206" spans="1:18">
      <c r="A206" s="23" t="s">
        <v>606</v>
      </c>
      <c r="B206" s="23"/>
      <c r="C206" s="23"/>
      <c r="D206" s="23">
        <v>0</v>
      </c>
      <c r="E206" s="23">
        <v>1</v>
      </c>
      <c r="F206" s="23" t="s">
        <v>197</v>
      </c>
      <c r="G206" s="23" t="s">
        <v>198</v>
      </c>
      <c r="H206" s="23"/>
      <c r="I206" s="23">
        <v>0</v>
      </c>
      <c r="J206" s="23" t="s">
        <v>191</v>
      </c>
      <c r="K206" s="23" t="s">
        <v>923</v>
      </c>
      <c r="L206" s="23" t="s">
        <v>955</v>
      </c>
      <c r="M206" s="23"/>
      <c r="N206" s="23" t="str">
        <f t="shared" si="7"/>
        <v>Effect(OnHit, kanata.passive.buff.buffeffect.skilleffect.01)</v>
      </c>
      <c r="O206" s="23">
        <v>0</v>
      </c>
      <c r="P206" s="23">
        <v>0</v>
      </c>
      <c r="Q206" s="23"/>
      <c r="R206" s="23" t="b">
        <v>1</v>
      </c>
    </row>
    <row r="207" spans="1:18">
      <c r="A207" s="23" t="s">
        <v>608</v>
      </c>
      <c r="B207" s="23"/>
      <c r="C207" s="23"/>
      <c r="D207" s="23">
        <v>0</v>
      </c>
      <c r="E207" s="23">
        <v>1</v>
      </c>
      <c r="F207" s="23" t="s">
        <v>197</v>
      </c>
      <c r="G207" s="23" t="s">
        <v>198</v>
      </c>
      <c r="H207" s="23"/>
      <c r="I207" s="23">
        <v>0</v>
      </c>
      <c r="J207" s="23" t="s">
        <v>191</v>
      </c>
      <c r="K207" s="23" t="s">
        <v>923</v>
      </c>
      <c r="L207" s="23" t="s">
        <v>956</v>
      </c>
      <c r="M207" s="23"/>
      <c r="N207" s="23" t="str">
        <f t="shared" si="7"/>
        <v>Effect(OnHit, kanata.passive.buff.buffeffect.skilleffect.02)</v>
      </c>
      <c r="O207" s="23">
        <v>0</v>
      </c>
      <c r="P207" s="23">
        <v>0</v>
      </c>
      <c r="Q207" s="23"/>
      <c r="R207" s="23" t="b">
        <v>1</v>
      </c>
    </row>
    <row r="208" spans="1:18">
      <c r="A208" s="23" t="s">
        <v>610</v>
      </c>
      <c r="B208" s="23"/>
      <c r="C208" s="23"/>
      <c r="D208" s="23">
        <v>0</v>
      </c>
      <c r="E208" s="23">
        <v>1</v>
      </c>
      <c r="F208" s="23" t="s">
        <v>197</v>
      </c>
      <c r="G208" s="23" t="s">
        <v>198</v>
      </c>
      <c r="H208" s="23"/>
      <c r="I208" s="23">
        <v>0</v>
      </c>
      <c r="J208" s="23" t="s">
        <v>191</v>
      </c>
      <c r="K208" s="23" t="s">
        <v>923</v>
      </c>
      <c r="L208" s="23" t="s">
        <v>957</v>
      </c>
      <c r="M208" s="23"/>
      <c r="N208" s="23" t="str">
        <f t="shared" si="7"/>
        <v>Effect(OnHit, kanata.passive.buff.buffeffect.skilleffect.03)</v>
      </c>
      <c r="O208" s="23">
        <v>0</v>
      </c>
      <c r="P208" s="23">
        <v>0</v>
      </c>
      <c r="Q208" s="23"/>
      <c r="R208" s="23" t="b">
        <v>1</v>
      </c>
    </row>
    <row r="209" spans="1:18">
      <c r="A209" s="34" t="s">
        <v>612</v>
      </c>
      <c r="B209" s="34"/>
      <c r="C209" s="34"/>
      <c r="D209" s="34">
        <v>0</v>
      </c>
      <c r="E209" s="34">
        <v>1</v>
      </c>
      <c r="F209" s="34" t="s">
        <v>197</v>
      </c>
      <c r="G209" s="34" t="s">
        <v>198</v>
      </c>
      <c r="H209" s="34"/>
      <c r="I209" s="34">
        <v>0</v>
      </c>
      <c r="J209" s="34" t="s">
        <v>191</v>
      </c>
      <c r="K209" s="34" t="s">
        <v>923</v>
      </c>
      <c r="L209" s="34" t="s">
        <v>958</v>
      </c>
      <c r="M209" s="34"/>
      <c r="N209" s="34" t="str">
        <f t="shared" si="7"/>
        <v>Effect(OnHit, kanata.passive.buff.buffeffect.skilleffect.04)</v>
      </c>
      <c r="O209" s="34">
        <v>0</v>
      </c>
      <c r="P209" s="34">
        <v>0</v>
      </c>
      <c r="Q209" s="34"/>
      <c r="R209" s="34" t="b">
        <v>1</v>
      </c>
    </row>
    <row r="210" spans="1:18">
      <c r="A210" s="34" t="s">
        <v>614</v>
      </c>
      <c r="B210" s="34"/>
      <c r="C210" s="34"/>
      <c r="D210" s="34">
        <v>0</v>
      </c>
      <c r="E210" s="34">
        <v>1</v>
      </c>
      <c r="F210" s="34" t="s">
        <v>197</v>
      </c>
      <c r="G210" s="34" t="s">
        <v>198</v>
      </c>
      <c r="H210" s="34"/>
      <c r="I210" s="34">
        <v>0</v>
      </c>
      <c r="J210" s="34" t="s">
        <v>191</v>
      </c>
      <c r="K210" s="34" t="s">
        <v>923</v>
      </c>
      <c r="L210" s="34" t="s">
        <v>959</v>
      </c>
      <c r="M210" s="34"/>
      <c r="N210" s="34" t="str">
        <f t="shared" si="7"/>
        <v>Effect(OnHit, kanata.passive.buff.buffeffect.skilleffect.05)</v>
      </c>
      <c r="O210" s="34">
        <v>0</v>
      </c>
      <c r="P210" s="34">
        <v>0</v>
      </c>
      <c r="Q210" s="34"/>
      <c r="R210" s="34" t="b">
        <v>1</v>
      </c>
    </row>
    <row r="211" spans="1:18">
      <c r="A211" s="34" t="s">
        <v>616</v>
      </c>
      <c r="B211" s="34"/>
      <c r="C211" s="34"/>
      <c r="D211" s="34">
        <v>0</v>
      </c>
      <c r="E211" s="34">
        <v>1</v>
      </c>
      <c r="F211" s="34" t="s">
        <v>197</v>
      </c>
      <c r="G211" s="34" t="s">
        <v>198</v>
      </c>
      <c r="H211" s="34"/>
      <c r="I211" s="34">
        <v>0</v>
      </c>
      <c r="J211" s="34" t="s">
        <v>191</v>
      </c>
      <c r="K211" s="34" t="s">
        <v>923</v>
      </c>
      <c r="L211" s="34" t="s">
        <v>960</v>
      </c>
      <c r="M211" s="34"/>
      <c r="N211" s="34" t="str">
        <f t="shared" si="7"/>
        <v>Effect(OnHit, kanata.passive.buff.buffeffect.skilleffect.06)</v>
      </c>
      <c r="O211" s="34">
        <v>0</v>
      </c>
      <c r="P211" s="34">
        <v>0</v>
      </c>
      <c r="Q211" s="34"/>
      <c r="R211" s="34" t="b">
        <v>1</v>
      </c>
    </row>
    <row r="212" spans="1:18">
      <c r="A212" s="24" t="s">
        <v>618</v>
      </c>
      <c r="B212" s="24"/>
      <c r="C212" s="24"/>
      <c r="D212" s="24">
        <v>0</v>
      </c>
      <c r="E212" s="24">
        <v>1</v>
      </c>
      <c r="F212" s="24" t="s">
        <v>197</v>
      </c>
      <c r="G212" s="24" t="s">
        <v>198</v>
      </c>
      <c r="H212" s="24"/>
      <c r="I212" s="24">
        <v>0</v>
      </c>
      <c r="J212" s="24" t="s">
        <v>838</v>
      </c>
      <c r="K212" s="24" t="s">
        <v>926</v>
      </c>
      <c r="L212" s="24">
        <v>200</v>
      </c>
      <c r="M212" s="24"/>
      <c r="N212" s="24" t="str">
        <f t="shared" si="7"/>
        <v>Status(CriticalDamageRate, 200)</v>
      </c>
      <c r="O212" s="24">
        <v>0</v>
      </c>
      <c r="P212" s="24">
        <v>0</v>
      </c>
      <c r="Q212" s="24"/>
      <c r="R212" s="24" t="b">
        <v>1</v>
      </c>
    </row>
    <row r="213" spans="1:18">
      <c r="A213" s="24" t="s">
        <v>620</v>
      </c>
      <c r="B213" s="24"/>
      <c r="C213" s="24"/>
      <c r="D213" s="24">
        <v>0</v>
      </c>
      <c r="E213" s="24">
        <v>1</v>
      </c>
      <c r="F213" s="24" t="s">
        <v>197</v>
      </c>
      <c r="G213" s="24" t="s">
        <v>198</v>
      </c>
      <c r="H213" s="24"/>
      <c r="I213" s="24">
        <v>0</v>
      </c>
      <c r="J213" s="24" t="s">
        <v>838</v>
      </c>
      <c r="K213" s="24" t="s">
        <v>926</v>
      </c>
      <c r="L213" s="24">
        <v>250</v>
      </c>
      <c r="M213" s="24"/>
      <c r="N213" s="24" t="str">
        <f t="shared" si="7"/>
        <v>Status(CriticalDamageRate, 250)</v>
      </c>
      <c r="O213" s="24">
        <v>0</v>
      </c>
      <c r="P213" s="24">
        <v>0</v>
      </c>
      <c r="Q213" s="24"/>
      <c r="R213" s="24" t="b">
        <v>1</v>
      </c>
    </row>
    <row r="214" spans="1:18">
      <c r="A214" s="24" t="s">
        <v>622</v>
      </c>
      <c r="B214" s="24"/>
      <c r="C214" s="24"/>
      <c r="D214" s="24">
        <v>0</v>
      </c>
      <c r="E214" s="24">
        <v>1</v>
      </c>
      <c r="F214" s="24" t="s">
        <v>197</v>
      </c>
      <c r="G214" s="24" t="s">
        <v>198</v>
      </c>
      <c r="H214" s="24"/>
      <c r="I214" s="24">
        <v>0</v>
      </c>
      <c r="J214" s="24" t="s">
        <v>838</v>
      </c>
      <c r="K214" s="24" t="s">
        <v>926</v>
      </c>
      <c r="L214" s="24">
        <v>300</v>
      </c>
      <c r="M214" s="24"/>
      <c r="N214" s="24" t="str">
        <f t="shared" si="7"/>
        <v>Status(CriticalDamageRate, 300)</v>
      </c>
      <c r="O214" s="24">
        <v>0</v>
      </c>
      <c r="P214" s="24">
        <v>0</v>
      </c>
      <c r="Q214" s="24"/>
      <c r="R214" s="24" t="b">
        <v>1</v>
      </c>
    </row>
    <row r="215" spans="1:18" s="143" customFormat="1">
      <c r="A215" s="25" t="s">
        <v>8388</v>
      </c>
      <c r="B215" s="25" t="s">
        <v>8366</v>
      </c>
      <c r="C215" s="25" t="s">
        <v>8466</v>
      </c>
      <c r="D215" s="25">
        <v>0</v>
      </c>
      <c r="E215" s="25">
        <v>1</v>
      </c>
      <c r="F215" s="25" t="s">
        <v>197</v>
      </c>
      <c r="G215" s="25" t="s">
        <v>198</v>
      </c>
      <c r="H215" s="25"/>
      <c r="I215" s="25">
        <v>0</v>
      </c>
      <c r="J215" s="25" t="s">
        <v>8431</v>
      </c>
      <c r="K215" s="25" t="s">
        <v>8467</v>
      </c>
      <c r="L215" s="25"/>
      <c r="M215" s="25"/>
      <c r="N215" s="25" t="str">
        <f t="shared" si="7"/>
        <v>Active(id.active1.buff.skilleffect.01.01)</v>
      </c>
      <c r="O215" s="25">
        <v>0</v>
      </c>
      <c r="P215" s="25">
        <v>500</v>
      </c>
      <c r="Q215" s="25"/>
      <c r="R215" s="25" t="b">
        <v>1</v>
      </c>
    </row>
    <row r="216" spans="1:18" s="143" customFormat="1">
      <c r="A216" s="25" t="s">
        <v>8234</v>
      </c>
      <c r="B216" s="25" t="s">
        <v>8366</v>
      </c>
      <c r="C216" s="25" t="s">
        <v>8466</v>
      </c>
      <c r="D216" s="25">
        <v>0</v>
      </c>
      <c r="E216" s="25">
        <v>1</v>
      </c>
      <c r="F216" s="25" t="s">
        <v>197</v>
      </c>
      <c r="G216" s="25" t="s">
        <v>198</v>
      </c>
      <c r="H216" s="25"/>
      <c r="I216" s="25">
        <v>0</v>
      </c>
      <c r="J216" s="25" t="s">
        <v>8431</v>
      </c>
      <c r="K216" s="25" t="s">
        <v>8468</v>
      </c>
      <c r="L216" s="25"/>
      <c r="M216" s="25"/>
      <c r="N216" s="25" t="str">
        <f t="shared" si="7"/>
        <v>Active(id.active1.buff.skilleffect.01.02)</v>
      </c>
      <c r="O216" s="25">
        <v>0</v>
      </c>
      <c r="P216" s="25">
        <v>500</v>
      </c>
      <c r="Q216" s="25"/>
      <c r="R216" s="25" t="b">
        <v>1</v>
      </c>
    </row>
    <row r="217" spans="1:18" s="143" customFormat="1">
      <c r="A217" s="25" t="s">
        <v>8236</v>
      </c>
      <c r="B217" s="25" t="s">
        <v>8366</v>
      </c>
      <c r="C217" s="25" t="s">
        <v>8466</v>
      </c>
      <c r="D217" s="25">
        <v>0</v>
      </c>
      <c r="E217" s="25">
        <v>1</v>
      </c>
      <c r="F217" s="25" t="s">
        <v>197</v>
      </c>
      <c r="G217" s="25" t="s">
        <v>198</v>
      </c>
      <c r="H217" s="25"/>
      <c r="I217" s="25">
        <v>0</v>
      </c>
      <c r="J217" s="25" t="s">
        <v>8431</v>
      </c>
      <c r="K217" s="25" t="s">
        <v>8469</v>
      </c>
      <c r="L217" s="25"/>
      <c r="M217" s="25"/>
      <c r="N217" s="25" t="str">
        <f t="shared" si="7"/>
        <v>Active(id.active1.buff.skilleffect.01.03)</v>
      </c>
      <c r="O217" s="25">
        <v>0</v>
      </c>
      <c r="P217" s="25">
        <v>500</v>
      </c>
      <c r="Q217" s="25"/>
      <c r="R217" s="25" t="b">
        <v>1</v>
      </c>
    </row>
    <row r="218" spans="1:18" s="143" customFormat="1">
      <c r="A218" s="25" t="s">
        <v>8238</v>
      </c>
      <c r="B218" s="25" t="s">
        <v>8366</v>
      </c>
      <c r="C218" s="25" t="s">
        <v>8466</v>
      </c>
      <c r="D218" s="25">
        <v>0</v>
      </c>
      <c r="E218" s="25">
        <v>1</v>
      </c>
      <c r="F218" s="25" t="s">
        <v>197</v>
      </c>
      <c r="G218" s="25" t="s">
        <v>198</v>
      </c>
      <c r="H218" s="25"/>
      <c r="I218" s="25">
        <v>0</v>
      </c>
      <c r="J218" s="25" t="s">
        <v>8431</v>
      </c>
      <c r="K218" s="25" t="s">
        <v>8470</v>
      </c>
      <c r="L218" s="25"/>
      <c r="M218" s="25"/>
      <c r="N218" s="25" t="str">
        <f t="shared" si="7"/>
        <v>Active(id.active1.buff.skilleffect.01.04)</v>
      </c>
      <c r="O218" s="25">
        <v>0</v>
      </c>
      <c r="P218" s="25">
        <v>500</v>
      </c>
      <c r="Q218" s="25"/>
      <c r="R218" s="25" t="b">
        <v>1</v>
      </c>
    </row>
    <row r="219" spans="1:18" s="143" customFormat="1">
      <c r="A219" s="25" t="s">
        <v>8240</v>
      </c>
      <c r="B219" s="25" t="s">
        <v>8366</v>
      </c>
      <c r="C219" s="25" t="s">
        <v>8466</v>
      </c>
      <c r="D219" s="25">
        <v>0</v>
      </c>
      <c r="E219" s="25">
        <v>1</v>
      </c>
      <c r="F219" s="25" t="s">
        <v>197</v>
      </c>
      <c r="G219" s="25" t="s">
        <v>198</v>
      </c>
      <c r="H219" s="25"/>
      <c r="I219" s="25">
        <v>0</v>
      </c>
      <c r="J219" s="25" t="s">
        <v>8431</v>
      </c>
      <c r="K219" s="25" t="s">
        <v>8471</v>
      </c>
      <c r="L219" s="25"/>
      <c r="M219" s="25"/>
      <c r="N219" s="25" t="str">
        <f t="shared" si="7"/>
        <v>Active(id.active1.buff.skilleffect.01.05)</v>
      </c>
      <c r="O219" s="25">
        <v>0</v>
      </c>
      <c r="P219" s="25">
        <v>500</v>
      </c>
      <c r="Q219" s="25"/>
      <c r="R219" s="25" t="b">
        <v>1</v>
      </c>
    </row>
    <row r="220" spans="1:18" s="143" customFormat="1">
      <c r="A220" s="25" t="s">
        <v>8242</v>
      </c>
      <c r="B220" s="25" t="s">
        <v>8366</v>
      </c>
      <c r="C220" s="25" t="s">
        <v>8466</v>
      </c>
      <c r="D220" s="25">
        <v>0</v>
      </c>
      <c r="E220" s="25">
        <v>1</v>
      </c>
      <c r="F220" s="25" t="s">
        <v>197</v>
      </c>
      <c r="G220" s="25" t="s">
        <v>198</v>
      </c>
      <c r="H220" s="25"/>
      <c r="I220" s="25">
        <v>0</v>
      </c>
      <c r="J220" s="25" t="s">
        <v>8431</v>
      </c>
      <c r="K220" s="25" t="s">
        <v>8472</v>
      </c>
      <c r="L220" s="25"/>
      <c r="M220" s="25"/>
      <c r="N220" s="25" t="str">
        <f t="shared" si="7"/>
        <v>Active(id.active1.buff.skilleffect.01.06)</v>
      </c>
      <c r="O220" s="25">
        <v>0</v>
      </c>
      <c r="P220" s="25">
        <v>500</v>
      </c>
      <c r="Q220" s="25"/>
      <c r="R220" s="25" t="b">
        <v>1</v>
      </c>
    </row>
    <row r="221" spans="1:18" s="162" customFormat="1">
      <c r="A221" s="44" t="s">
        <v>8390</v>
      </c>
      <c r="B221" s="44"/>
      <c r="C221" s="44"/>
      <c r="D221" s="44">
        <v>0</v>
      </c>
      <c r="E221" s="44">
        <v>1</v>
      </c>
      <c r="F221" s="44" t="s">
        <v>8473</v>
      </c>
      <c r="G221" s="44" t="s">
        <v>8413</v>
      </c>
      <c r="H221" s="44"/>
      <c r="I221" s="44">
        <v>0</v>
      </c>
      <c r="J221" s="44" t="s">
        <v>8414</v>
      </c>
      <c r="K221" s="44" t="s">
        <v>8474</v>
      </c>
      <c r="L221" s="44"/>
      <c r="M221" s="44"/>
      <c r="N221" s="44" t="str">
        <f t="shared" si="7"/>
        <v>Passive(id.active2.buff.passive.buff.01)</v>
      </c>
      <c r="O221" s="44">
        <v>0</v>
      </c>
      <c r="P221" s="44">
        <v>0</v>
      </c>
      <c r="Q221" s="44"/>
      <c r="R221" s="44" t="b">
        <v>1</v>
      </c>
    </row>
    <row r="222" spans="1:18" s="162" customFormat="1">
      <c r="A222" s="44" t="s">
        <v>8244</v>
      </c>
      <c r="B222" s="44"/>
      <c r="C222" s="44"/>
      <c r="D222" s="44">
        <v>0</v>
      </c>
      <c r="E222" s="44">
        <v>1</v>
      </c>
      <c r="F222" s="44" t="s">
        <v>8473</v>
      </c>
      <c r="G222" s="44" t="s">
        <v>8413</v>
      </c>
      <c r="H222" s="44"/>
      <c r="I222" s="44">
        <v>0</v>
      </c>
      <c r="J222" s="44" t="s">
        <v>8414</v>
      </c>
      <c r="K222" s="44" t="s">
        <v>8254</v>
      </c>
      <c r="L222" s="44"/>
      <c r="M222" s="44"/>
      <c r="N222" s="44" t="str">
        <f t="shared" si="7"/>
        <v>Passive(id.active2.buff.passive.buff.02)</v>
      </c>
      <c r="O222" s="44">
        <v>0</v>
      </c>
      <c r="P222" s="44">
        <v>0</v>
      </c>
      <c r="Q222" s="44"/>
      <c r="R222" s="44" t="b">
        <v>1</v>
      </c>
    </row>
    <row r="223" spans="1:18" s="162" customFormat="1">
      <c r="A223" s="44" t="s">
        <v>8246</v>
      </c>
      <c r="B223" s="44"/>
      <c r="C223" s="44"/>
      <c r="D223" s="44">
        <v>0</v>
      </c>
      <c r="E223" s="44">
        <v>1</v>
      </c>
      <c r="F223" s="44" t="s">
        <v>8473</v>
      </c>
      <c r="G223" s="44" t="s">
        <v>8413</v>
      </c>
      <c r="H223" s="44"/>
      <c r="I223" s="44">
        <v>0</v>
      </c>
      <c r="J223" s="44" t="s">
        <v>8414</v>
      </c>
      <c r="K223" s="44" t="s">
        <v>8256</v>
      </c>
      <c r="L223" s="44"/>
      <c r="M223" s="44"/>
      <c r="N223" s="44" t="str">
        <f t="shared" si="7"/>
        <v>Passive(id.active2.buff.passive.buff.03)</v>
      </c>
      <c r="O223" s="44">
        <v>0</v>
      </c>
      <c r="P223" s="44">
        <v>0</v>
      </c>
      <c r="Q223" s="44"/>
      <c r="R223" s="44" t="b">
        <v>1</v>
      </c>
    </row>
    <row r="224" spans="1:18" s="162" customFormat="1">
      <c r="A224" s="44" t="s">
        <v>8248</v>
      </c>
      <c r="B224" s="44"/>
      <c r="C224" s="44"/>
      <c r="D224" s="44">
        <v>0</v>
      </c>
      <c r="E224" s="44">
        <v>1</v>
      </c>
      <c r="F224" s="44" t="s">
        <v>8473</v>
      </c>
      <c r="G224" s="44" t="s">
        <v>8413</v>
      </c>
      <c r="H224" s="44"/>
      <c r="I224" s="44">
        <v>0</v>
      </c>
      <c r="J224" s="44" t="s">
        <v>8414</v>
      </c>
      <c r="K224" s="44" t="s">
        <v>8258</v>
      </c>
      <c r="L224" s="44"/>
      <c r="M224" s="44"/>
      <c r="N224" s="44" t="str">
        <f t="shared" si="7"/>
        <v>Passive(id.active2.buff.passive.buff.04)</v>
      </c>
      <c r="O224" s="44">
        <v>0</v>
      </c>
      <c r="P224" s="44">
        <v>0</v>
      </c>
      <c r="Q224" s="44"/>
      <c r="R224" s="44" t="b">
        <v>1</v>
      </c>
    </row>
    <row r="225" spans="1:18" s="162" customFormat="1">
      <c r="A225" s="44" t="s">
        <v>8250</v>
      </c>
      <c r="B225" s="44"/>
      <c r="C225" s="44"/>
      <c r="D225" s="44">
        <v>0</v>
      </c>
      <c r="E225" s="44">
        <v>1</v>
      </c>
      <c r="F225" s="44" t="s">
        <v>8473</v>
      </c>
      <c r="G225" s="44" t="s">
        <v>8413</v>
      </c>
      <c r="H225" s="44"/>
      <c r="I225" s="44">
        <v>0</v>
      </c>
      <c r="J225" s="44" t="s">
        <v>8414</v>
      </c>
      <c r="K225" s="44" t="s">
        <v>8260</v>
      </c>
      <c r="L225" s="44"/>
      <c r="M225" s="44"/>
      <c r="N225" s="44" t="str">
        <f t="shared" si="7"/>
        <v>Passive(id.active2.buff.passive.buff.05)</v>
      </c>
      <c r="O225" s="44">
        <v>0</v>
      </c>
      <c r="P225" s="44">
        <v>0</v>
      </c>
      <c r="Q225" s="44"/>
      <c r="R225" s="44" t="b">
        <v>1</v>
      </c>
    </row>
    <row r="226" spans="1:18" s="162" customFormat="1">
      <c r="A226" s="44" t="s">
        <v>8252</v>
      </c>
      <c r="B226" s="44"/>
      <c r="C226" s="44"/>
      <c r="D226" s="44">
        <v>0</v>
      </c>
      <c r="E226" s="44">
        <v>1</v>
      </c>
      <c r="F226" s="44" t="s">
        <v>8473</v>
      </c>
      <c r="G226" s="44" t="s">
        <v>8413</v>
      </c>
      <c r="H226" s="44"/>
      <c r="I226" s="44">
        <v>0</v>
      </c>
      <c r="J226" s="44" t="s">
        <v>8414</v>
      </c>
      <c r="K226" s="44" t="s">
        <v>8262</v>
      </c>
      <c r="L226" s="44"/>
      <c r="M226" s="44"/>
      <c r="N226" s="44" t="str">
        <f t="shared" si="7"/>
        <v>Passive(id.active2.buff.passive.buff.06)</v>
      </c>
      <c r="O226" s="44">
        <v>0</v>
      </c>
      <c r="P226" s="44">
        <v>0</v>
      </c>
      <c r="Q226" s="44"/>
      <c r="R226" s="44" t="b">
        <v>1</v>
      </c>
    </row>
    <row r="227" spans="1:18" s="153" customFormat="1">
      <c r="A227" s="26" t="s">
        <v>8391</v>
      </c>
      <c r="B227" s="26"/>
      <c r="C227" s="26"/>
      <c r="D227" s="26">
        <v>0</v>
      </c>
      <c r="E227" s="26">
        <v>1</v>
      </c>
      <c r="F227" s="26" t="s">
        <v>197</v>
      </c>
      <c r="G227" s="26" t="s">
        <v>198</v>
      </c>
      <c r="H227" s="26"/>
      <c r="I227" s="26">
        <v>0</v>
      </c>
      <c r="J227" s="26" t="s">
        <v>8415</v>
      </c>
      <c r="K227" s="26" t="s">
        <v>8475</v>
      </c>
      <c r="L227" s="26" t="s">
        <v>8476</v>
      </c>
      <c r="M227" s="26"/>
      <c r="N227" s="26" t="str">
        <f t="shared" si="7"/>
        <v>Effect(OnHeal, id.active2.buff.skilleffect.01)</v>
      </c>
      <c r="O227" s="26">
        <v>0</v>
      </c>
      <c r="P227" s="26">
        <v>0</v>
      </c>
      <c r="Q227" s="26"/>
      <c r="R227" s="26" t="b">
        <v>1</v>
      </c>
    </row>
    <row r="228" spans="1:18" s="153" customFormat="1">
      <c r="A228" s="26" t="s">
        <v>8255</v>
      </c>
      <c r="B228" s="26"/>
      <c r="C228" s="26"/>
      <c r="D228" s="26">
        <v>0</v>
      </c>
      <c r="E228" s="26">
        <v>1</v>
      </c>
      <c r="F228" s="26" t="s">
        <v>197</v>
      </c>
      <c r="G228" s="26" t="s">
        <v>198</v>
      </c>
      <c r="H228" s="26"/>
      <c r="I228" s="26">
        <v>0</v>
      </c>
      <c r="J228" s="26" t="s">
        <v>8415</v>
      </c>
      <c r="K228" s="26" t="s">
        <v>8475</v>
      </c>
      <c r="L228" s="26" t="s">
        <v>8477</v>
      </c>
      <c r="M228" s="26"/>
      <c r="N228" s="26" t="str">
        <f t="shared" si="7"/>
        <v>Effect(OnHeal, id.active2.buff.skilleffect.02)</v>
      </c>
      <c r="O228" s="26">
        <v>0</v>
      </c>
      <c r="P228" s="26">
        <v>0</v>
      </c>
      <c r="Q228" s="26"/>
      <c r="R228" s="26" t="b">
        <v>1</v>
      </c>
    </row>
    <row r="229" spans="1:18" s="153" customFormat="1">
      <c r="A229" s="26" t="s">
        <v>8257</v>
      </c>
      <c r="B229" s="26"/>
      <c r="C229" s="26"/>
      <c r="D229" s="26">
        <v>0</v>
      </c>
      <c r="E229" s="26">
        <v>1</v>
      </c>
      <c r="F229" s="26" t="s">
        <v>197</v>
      </c>
      <c r="G229" s="26" t="s">
        <v>198</v>
      </c>
      <c r="H229" s="26"/>
      <c r="I229" s="26">
        <v>0</v>
      </c>
      <c r="J229" s="26" t="s">
        <v>8415</v>
      </c>
      <c r="K229" s="26" t="s">
        <v>8475</v>
      </c>
      <c r="L229" s="26" t="s">
        <v>8478</v>
      </c>
      <c r="M229" s="26"/>
      <c r="N229" s="26" t="str">
        <f t="shared" si="7"/>
        <v>Effect(OnHeal, id.active2.buff.skilleffect.03)</v>
      </c>
      <c r="O229" s="26">
        <v>0</v>
      </c>
      <c r="P229" s="26">
        <v>0</v>
      </c>
      <c r="Q229" s="26"/>
      <c r="R229" s="26" t="b">
        <v>1</v>
      </c>
    </row>
    <row r="230" spans="1:18" s="153" customFormat="1">
      <c r="A230" s="26" t="s">
        <v>8259</v>
      </c>
      <c r="B230" s="26"/>
      <c r="C230" s="26"/>
      <c r="D230" s="26">
        <v>0</v>
      </c>
      <c r="E230" s="26">
        <v>1</v>
      </c>
      <c r="F230" s="26" t="s">
        <v>197</v>
      </c>
      <c r="G230" s="26" t="s">
        <v>198</v>
      </c>
      <c r="H230" s="26"/>
      <c r="I230" s="26">
        <v>0</v>
      </c>
      <c r="J230" s="26" t="s">
        <v>8415</v>
      </c>
      <c r="K230" s="26" t="s">
        <v>8475</v>
      </c>
      <c r="L230" s="26" t="s">
        <v>8479</v>
      </c>
      <c r="M230" s="26"/>
      <c r="N230" s="26" t="str">
        <f t="shared" si="7"/>
        <v>Effect(OnHeal, id.active2.buff.skilleffect.04)</v>
      </c>
      <c r="O230" s="26">
        <v>0</v>
      </c>
      <c r="P230" s="26">
        <v>0</v>
      </c>
      <c r="Q230" s="26"/>
      <c r="R230" s="26" t="b">
        <v>1</v>
      </c>
    </row>
    <row r="231" spans="1:18" s="153" customFormat="1">
      <c r="A231" s="26" t="s">
        <v>8261</v>
      </c>
      <c r="B231" s="26"/>
      <c r="C231" s="26"/>
      <c r="D231" s="26">
        <v>0</v>
      </c>
      <c r="E231" s="26">
        <v>1</v>
      </c>
      <c r="F231" s="26" t="s">
        <v>197</v>
      </c>
      <c r="G231" s="26" t="s">
        <v>198</v>
      </c>
      <c r="H231" s="26"/>
      <c r="I231" s="26">
        <v>0</v>
      </c>
      <c r="J231" s="26" t="s">
        <v>8415</v>
      </c>
      <c r="K231" s="26" t="s">
        <v>8475</v>
      </c>
      <c r="L231" s="26" t="s">
        <v>8480</v>
      </c>
      <c r="M231" s="26"/>
      <c r="N231" s="26" t="str">
        <f t="shared" si="7"/>
        <v>Effect(OnHeal, id.active2.buff.skilleffect.05)</v>
      </c>
      <c r="O231" s="26">
        <v>0</v>
      </c>
      <c r="P231" s="26">
        <v>0</v>
      </c>
      <c r="Q231" s="26"/>
      <c r="R231" s="26" t="b">
        <v>1</v>
      </c>
    </row>
    <row r="232" spans="1:18" s="153" customFormat="1">
      <c r="A232" s="26" t="s">
        <v>8263</v>
      </c>
      <c r="B232" s="26"/>
      <c r="C232" s="26"/>
      <c r="D232" s="26">
        <v>0</v>
      </c>
      <c r="E232" s="26">
        <v>1</v>
      </c>
      <c r="F232" s="26" t="s">
        <v>197</v>
      </c>
      <c r="G232" s="26" t="s">
        <v>198</v>
      </c>
      <c r="H232" s="26"/>
      <c r="I232" s="26">
        <v>0</v>
      </c>
      <c r="J232" s="26" t="s">
        <v>8415</v>
      </c>
      <c r="K232" s="26" t="s">
        <v>8475</v>
      </c>
      <c r="L232" s="26" t="s">
        <v>8481</v>
      </c>
      <c r="M232" s="26"/>
      <c r="N232" s="26" t="str">
        <f t="shared" si="7"/>
        <v>Effect(OnHeal, id.active2.buff.skilleffect.06)</v>
      </c>
      <c r="O232" s="26">
        <v>0</v>
      </c>
      <c r="P232" s="26">
        <v>0</v>
      </c>
      <c r="Q232" s="26"/>
      <c r="R232" s="26" t="b">
        <v>1</v>
      </c>
    </row>
    <row r="233" spans="1:18" s="143" customFormat="1">
      <c r="A233" s="25" t="s">
        <v>8482</v>
      </c>
      <c r="B233" s="25"/>
      <c r="C233" s="25"/>
      <c r="D233" s="25">
        <v>0</v>
      </c>
      <c r="E233" s="25">
        <v>1</v>
      </c>
      <c r="F233" s="25" t="s">
        <v>197</v>
      </c>
      <c r="G233" s="25" t="s">
        <v>198</v>
      </c>
      <c r="H233" s="25"/>
      <c r="I233" s="25">
        <v>0</v>
      </c>
      <c r="J233" s="25" t="s">
        <v>8415</v>
      </c>
      <c r="K233" s="25" t="s">
        <v>8483</v>
      </c>
      <c r="L233" s="25" t="s">
        <v>8484</v>
      </c>
      <c r="M233" s="25"/>
      <c r="N233" s="25" t="str">
        <f t="shared" si="7"/>
        <v>Effect(OnHitActiveSkill, id.passive.buff.skilleffect.01.01)</v>
      </c>
      <c r="O233" s="25">
        <v>0</v>
      </c>
      <c r="P233" s="25">
        <v>0</v>
      </c>
      <c r="Q233" s="25"/>
      <c r="R233" s="25" t="b">
        <v>1</v>
      </c>
    </row>
    <row r="234" spans="1:18" s="143" customFormat="1">
      <c r="A234" s="25" t="s">
        <v>8485</v>
      </c>
      <c r="B234" s="25"/>
      <c r="C234" s="25"/>
      <c r="D234" s="25">
        <v>0</v>
      </c>
      <c r="E234" s="25">
        <v>1</v>
      </c>
      <c r="F234" s="25" t="s">
        <v>197</v>
      </c>
      <c r="G234" s="25" t="s">
        <v>198</v>
      </c>
      <c r="H234" s="25"/>
      <c r="I234" s="25">
        <v>0</v>
      </c>
      <c r="J234" s="25" t="s">
        <v>8415</v>
      </c>
      <c r="K234" s="25" t="s">
        <v>8483</v>
      </c>
      <c r="L234" s="25" t="s">
        <v>8486</v>
      </c>
      <c r="M234" s="25"/>
      <c r="N234" s="25" t="str">
        <f t="shared" si="7"/>
        <v>Effect(OnHitActiveSkill, id.passive.buff.skilleffect.01.02)</v>
      </c>
      <c r="O234" s="25">
        <v>0</v>
      </c>
      <c r="P234" s="25">
        <v>0</v>
      </c>
      <c r="Q234" s="25"/>
      <c r="R234" s="25" t="b">
        <v>1</v>
      </c>
    </row>
    <row r="235" spans="1:18" s="143" customFormat="1">
      <c r="A235" s="25" t="s">
        <v>8487</v>
      </c>
      <c r="B235" s="25"/>
      <c r="C235" s="25"/>
      <c r="D235" s="25">
        <v>0</v>
      </c>
      <c r="E235" s="25">
        <v>1</v>
      </c>
      <c r="F235" s="25" t="s">
        <v>197</v>
      </c>
      <c r="G235" s="25" t="s">
        <v>198</v>
      </c>
      <c r="H235" s="25"/>
      <c r="I235" s="25">
        <v>0</v>
      </c>
      <c r="J235" s="25" t="s">
        <v>8415</v>
      </c>
      <c r="K235" s="25" t="s">
        <v>8483</v>
      </c>
      <c r="L235" s="25" t="s">
        <v>8488</v>
      </c>
      <c r="M235" s="25"/>
      <c r="N235" s="25" t="str">
        <f t="shared" si="7"/>
        <v>Effect(OnHitActiveSkill, id.passive.buff.skilleffect.01.03)</v>
      </c>
      <c r="O235" s="25">
        <v>0</v>
      </c>
      <c r="P235" s="25">
        <v>0</v>
      </c>
      <c r="Q235" s="25"/>
      <c r="R235" s="25" t="b">
        <v>1</v>
      </c>
    </row>
    <row r="236" spans="1:18" s="143" customFormat="1">
      <c r="A236" s="25" t="s">
        <v>8489</v>
      </c>
      <c r="B236" s="25"/>
      <c r="C236" s="25"/>
      <c r="D236" s="25">
        <v>0</v>
      </c>
      <c r="E236" s="25">
        <v>1</v>
      </c>
      <c r="F236" s="25" t="s">
        <v>197</v>
      </c>
      <c r="G236" s="25" t="s">
        <v>198</v>
      </c>
      <c r="H236" s="25"/>
      <c r="I236" s="25">
        <v>0</v>
      </c>
      <c r="J236" s="25" t="s">
        <v>8415</v>
      </c>
      <c r="K236" s="25" t="s">
        <v>8483</v>
      </c>
      <c r="L236" s="25" t="s">
        <v>8490</v>
      </c>
      <c r="M236" s="25"/>
      <c r="N236" s="25" t="str">
        <f t="shared" si="7"/>
        <v>Effect(OnHitActiveSkill, id.passive.buff.skilleffect.01.04)</v>
      </c>
      <c r="O236" s="25">
        <v>0</v>
      </c>
      <c r="P236" s="25">
        <v>0</v>
      </c>
      <c r="Q236" s="25"/>
      <c r="R236" s="25" t="b">
        <v>1</v>
      </c>
    </row>
    <row r="237" spans="1:18" s="143" customFormat="1">
      <c r="A237" s="25" t="s">
        <v>8491</v>
      </c>
      <c r="B237" s="25"/>
      <c r="C237" s="25"/>
      <c r="D237" s="25">
        <v>0</v>
      </c>
      <c r="E237" s="25">
        <v>1</v>
      </c>
      <c r="F237" s="25" t="s">
        <v>197</v>
      </c>
      <c r="G237" s="25" t="s">
        <v>198</v>
      </c>
      <c r="H237" s="25"/>
      <c r="I237" s="25">
        <v>0</v>
      </c>
      <c r="J237" s="25" t="s">
        <v>8415</v>
      </c>
      <c r="K237" s="25" t="s">
        <v>8483</v>
      </c>
      <c r="L237" s="25" t="s">
        <v>8492</v>
      </c>
      <c r="M237" s="25"/>
      <c r="N237" s="25" t="str">
        <f t="shared" si="7"/>
        <v>Effect(OnHitActiveSkill, id.passive.buff.skilleffect.01.05)</v>
      </c>
      <c r="O237" s="25">
        <v>0</v>
      </c>
      <c r="P237" s="25">
        <v>0</v>
      </c>
      <c r="Q237" s="25"/>
      <c r="R237" s="25" t="b">
        <v>1</v>
      </c>
    </row>
    <row r="238" spans="1:18" s="143" customFormat="1">
      <c r="A238" s="25" t="s">
        <v>8493</v>
      </c>
      <c r="B238" s="25"/>
      <c r="C238" s="25"/>
      <c r="D238" s="25">
        <v>0</v>
      </c>
      <c r="E238" s="25">
        <v>1</v>
      </c>
      <c r="F238" s="25" t="s">
        <v>197</v>
      </c>
      <c r="G238" s="25" t="s">
        <v>198</v>
      </c>
      <c r="H238" s="25"/>
      <c r="I238" s="25">
        <v>0</v>
      </c>
      <c r="J238" s="25" t="s">
        <v>8415</v>
      </c>
      <c r="K238" s="25" t="s">
        <v>8483</v>
      </c>
      <c r="L238" s="25" t="s">
        <v>8494</v>
      </c>
      <c r="M238" s="25"/>
      <c r="N238" s="25" t="str">
        <f t="shared" si="7"/>
        <v>Effect(OnHitActiveSkill, id.passive.buff.skilleffect.01.06)</v>
      </c>
      <c r="O238" s="25">
        <v>0</v>
      </c>
      <c r="P238" s="25">
        <v>0</v>
      </c>
      <c r="Q238" s="25"/>
      <c r="R238" s="25" t="b">
        <v>1</v>
      </c>
    </row>
    <row r="239" spans="1:18" s="153" customFormat="1">
      <c r="A239" s="26" t="s">
        <v>8495</v>
      </c>
      <c r="B239" s="26"/>
      <c r="C239" s="26"/>
      <c r="D239" s="26">
        <v>0</v>
      </c>
      <c r="E239" s="26">
        <v>1</v>
      </c>
      <c r="F239" s="26" t="s">
        <v>197</v>
      </c>
      <c r="G239" s="26" t="s">
        <v>198</v>
      </c>
      <c r="H239" s="26"/>
      <c r="I239" s="26">
        <v>0</v>
      </c>
      <c r="J239" s="26" t="s">
        <v>8415</v>
      </c>
      <c r="K239" s="26" t="s">
        <v>8496</v>
      </c>
      <c r="L239" s="26" t="s">
        <v>8497</v>
      </c>
      <c r="M239" s="26"/>
      <c r="N239" s="26" t="str">
        <f t="shared" si="7"/>
        <v>Effect(OnHitUltimate, id.passive.buff.skilleffect.01.01)</v>
      </c>
      <c r="O239" s="26">
        <v>0</v>
      </c>
      <c r="P239" s="26">
        <v>0</v>
      </c>
      <c r="Q239" s="26"/>
      <c r="R239" s="26" t="b">
        <v>1</v>
      </c>
    </row>
    <row r="240" spans="1:18" s="153" customFormat="1">
      <c r="A240" s="26" t="s">
        <v>8498</v>
      </c>
      <c r="B240" s="26"/>
      <c r="C240" s="26"/>
      <c r="D240" s="26">
        <v>0</v>
      </c>
      <c r="E240" s="26">
        <v>1</v>
      </c>
      <c r="F240" s="26" t="s">
        <v>197</v>
      </c>
      <c r="G240" s="26" t="s">
        <v>198</v>
      </c>
      <c r="H240" s="26"/>
      <c r="I240" s="26">
        <v>0</v>
      </c>
      <c r="J240" s="26" t="s">
        <v>8415</v>
      </c>
      <c r="K240" s="26" t="s">
        <v>8496</v>
      </c>
      <c r="L240" s="26" t="s">
        <v>8486</v>
      </c>
      <c r="M240" s="26"/>
      <c r="N240" s="26" t="str">
        <f t="shared" si="7"/>
        <v>Effect(OnHitUltimate, id.passive.buff.skilleffect.01.02)</v>
      </c>
      <c r="O240" s="26">
        <v>0</v>
      </c>
      <c r="P240" s="26">
        <v>0</v>
      </c>
      <c r="Q240" s="26"/>
      <c r="R240" s="26" t="b">
        <v>1</v>
      </c>
    </row>
    <row r="241" spans="1:18" s="153" customFormat="1">
      <c r="A241" s="26" t="s">
        <v>8499</v>
      </c>
      <c r="B241" s="26"/>
      <c r="C241" s="26"/>
      <c r="D241" s="26">
        <v>0</v>
      </c>
      <c r="E241" s="26">
        <v>1</v>
      </c>
      <c r="F241" s="26" t="s">
        <v>197</v>
      </c>
      <c r="G241" s="26" t="s">
        <v>198</v>
      </c>
      <c r="H241" s="26"/>
      <c r="I241" s="26">
        <v>0</v>
      </c>
      <c r="J241" s="26" t="s">
        <v>8415</v>
      </c>
      <c r="K241" s="26" t="s">
        <v>8496</v>
      </c>
      <c r="L241" s="26" t="s">
        <v>8488</v>
      </c>
      <c r="M241" s="26"/>
      <c r="N241" s="26" t="str">
        <f t="shared" si="7"/>
        <v>Effect(OnHitUltimate, id.passive.buff.skilleffect.01.03)</v>
      </c>
      <c r="O241" s="26">
        <v>0</v>
      </c>
      <c r="P241" s="26">
        <v>0</v>
      </c>
      <c r="Q241" s="26"/>
      <c r="R241" s="26" t="b">
        <v>1</v>
      </c>
    </row>
    <row r="242" spans="1:18" s="153" customFormat="1">
      <c r="A242" s="26" t="s">
        <v>8500</v>
      </c>
      <c r="B242" s="26"/>
      <c r="C242" s="26"/>
      <c r="D242" s="26">
        <v>0</v>
      </c>
      <c r="E242" s="26">
        <v>1</v>
      </c>
      <c r="F242" s="26" t="s">
        <v>197</v>
      </c>
      <c r="G242" s="26" t="s">
        <v>198</v>
      </c>
      <c r="H242" s="26"/>
      <c r="I242" s="26">
        <v>0</v>
      </c>
      <c r="J242" s="26" t="s">
        <v>8415</v>
      </c>
      <c r="K242" s="26" t="s">
        <v>8496</v>
      </c>
      <c r="L242" s="26" t="s">
        <v>8490</v>
      </c>
      <c r="M242" s="26"/>
      <c r="N242" s="26" t="str">
        <f t="shared" si="7"/>
        <v>Effect(OnHitUltimate, id.passive.buff.skilleffect.01.04)</v>
      </c>
      <c r="O242" s="26">
        <v>0</v>
      </c>
      <c r="P242" s="26">
        <v>0</v>
      </c>
      <c r="Q242" s="26"/>
      <c r="R242" s="26" t="b">
        <v>1</v>
      </c>
    </row>
    <row r="243" spans="1:18" s="153" customFormat="1">
      <c r="A243" s="26" t="s">
        <v>8501</v>
      </c>
      <c r="B243" s="26"/>
      <c r="C243" s="26"/>
      <c r="D243" s="26">
        <v>0</v>
      </c>
      <c r="E243" s="26">
        <v>1</v>
      </c>
      <c r="F243" s="26" t="s">
        <v>197</v>
      </c>
      <c r="G243" s="26" t="s">
        <v>198</v>
      </c>
      <c r="H243" s="26"/>
      <c r="I243" s="26">
        <v>0</v>
      </c>
      <c r="J243" s="26" t="s">
        <v>8415</v>
      </c>
      <c r="K243" s="26" t="s">
        <v>8496</v>
      </c>
      <c r="L243" s="26" t="s">
        <v>8492</v>
      </c>
      <c r="M243" s="26"/>
      <c r="N243" s="26" t="str">
        <f t="shared" si="7"/>
        <v>Effect(OnHitUltimate, id.passive.buff.skilleffect.01.05)</v>
      </c>
      <c r="O243" s="26">
        <v>0</v>
      </c>
      <c r="P243" s="26">
        <v>0</v>
      </c>
      <c r="Q243" s="26"/>
      <c r="R243" s="26" t="b">
        <v>1</v>
      </c>
    </row>
    <row r="244" spans="1:18" s="153" customFormat="1">
      <c r="A244" s="26" t="s">
        <v>8502</v>
      </c>
      <c r="B244" s="26"/>
      <c r="C244" s="26"/>
      <c r="D244" s="26">
        <v>0</v>
      </c>
      <c r="E244" s="26">
        <v>1</v>
      </c>
      <c r="F244" s="26" t="s">
        <v>197</v>
      </c>
      <c r="G244" s="26" t="s">
        <v>198</v>
      </c>
      <c r="H244" s="26"/>
      <c r="I244" s="26">
        <v>0</v>
      </c>
      <c r="J244" s="26" t="s">
        <v>8415</v>
      </c>
      <c r="K244" s="26" t="s">
        <v>8496</v>
      </c>
      <c r="L244" s="26" t="s">
        <v>8494</v>
      </c>
      <c r="M244" s="26"/>
      <c r="N244" s="26" t="str">
        <f t="shared" si="7"/>
        <v>Effect(OnHitUltimate, id.passive.buff.skilleffect.01.06)</v>
      </c>
      <c r="O244" s="26">
        <v>0</v>
      </c>
      <c r="P244" s="26">
        <v>0</v>
      </c>
      <c r="Q244" s="26"/>
      <c r="R244" s="26" t="b">
        <v>1</v>
      </c>
    </row>
    <row r="245" spans="1:18" s="143" customFormat="1">
      <c r="A245" s="25" t="s">
        <v>8575</v>
      </c>
      <c r="B245" s="25"/>
      <c r="C245" s="25"/>
      <c r="D245" s="25">
        <v>0</v>
      </c>
      <c r="E245" s="25">
        <v>1</v>
      </c>
      <c r="F245" s="25" t="s">
        <v>197</v>
      </c>
      <c r="G245" s="25" t="s">
        <v>198</v>
      </c>
      <c r="H245" s="25"/>
      <c r="I245" s="25">
        <v>0</v>
      </c>
      <c r="J245" s="25" t="s">
        <v>1402</v>
      </c>
      <c r="K245" s="195" t="s">
        <v>8593</v>
      </c>
      <c r="L245" s="25"/>
      <c r="M245" s="25"/>
      <c r="N245" s="25" t="str">
        <f t="shared" ref="N245:N257" si="8">J245&amp;"("&amp;IF(K245="","",K245)&amp;IF(L245="","",", "&amp;L245)&amp;IF(M245="","",", "&amp;M245)&amp;")"</f>
        <v>Active(id.passive.vfx.buff.skilleffect.01.01)</v>
      </c>
      <c r="O245" s="25">
        <v>0</v>
      </c>
      <c r="P245" s="25">
        <v>1000</v>
      </c>
      <c r="Q245" s="25"/>
      <c r="R245" s="25" t="b">
        <v>1</v>
      </c>
    </row>
    <row r="246" spans="1:18" s="143" customFormat="1">
      <c r="A246" s="25" t="s">
        <v>8576</v>
      </c>
      <c r="B246" s="25"/>
      <c r="C246" s="25"/>
      <c r="D246" s="25">
        <v>0</v>
      </c>
      <c r="E246" s="25">
        <v>1</v>
      </c>
      <c r="F246" s="25" t="s">
        <v>197</v>
      </c>
      <c r="G246" s="25" t="s">
        <v>198</v>
      </c>
      <c r="H246" s="25"/>
      <c r="I246" s="25">
        <v>0</v>
      </c>
      <c r="J246" s="25" t="s">
        <v>1402</v>
      </c>
      <c r="K246" s="195" t="s">
        <v>8594</v>
      </c>
      <c r="L246" s="25"/>
      <c r="M246" s="25"/>
      <c r="N246" s="25" t="str">
        <f t="shared" ref="N246:N250" si="9">J246&amp;"("&amp;IF(K246="","",K246)&amp;IF(L246="","",", "&amp;L246)&amp;IF(M246="","",", "&amp;M246)&amp;")"</f>
        <v>Active(id.passive.vfx.buff.skilleffect.01.02)</v>
      </c>
      <c r="O246" s="25">
        <v>0</v>
      </c>
      <c r="P246" s="25">
        <v>1000</v>
      </c>
      <c r="Q246" s="25"/>
      <c r="R246" s="25" t="b">
        <v>1</v>
      </c>
    </row>
    <row r="247" spans="1:18" s="143" customFormat="1">
      <c r="A247" s="25" t="s">
        <v>8577</v>
      </c>
      <c r="B247" s="25"/>
      <c r="C247" s="25"/>
      <c r="D247" s="25">
        <v>0</v>
      </c>
      <c r="E247" s="25">
        <v>1</v>
      </c>
      <c r="F247" s="25" t="s">
        <v>197</v>
      </c>
      <c r="G247" s="25" t="s">
        <v>198</v>
      </c>
      <c r="H247" s="25"/>
      <c r="I247" s="25">
        <v>0</v>
      </c>
      <c r="J247" s="25" t="s">
        <v>1402</v>
      </c>
      <c r="K247" s="195" t="s">
        <v>8595</v>
      </c>
      <c r="L247" s="25"/>
      <c r="M247" s="25"/>
      <c r="N247" s="25" t="str">
        <f t="shared" si="9"/>
        <v>Active(id.passive.vfx.buff.skilleffect.01.03)</v>
      </c>
      <c r="O247" s="25">
        <v>0</v>
      </c>
      <c r="P247" s="25">
        <v>1000</v>
      </c>
      <c r="Q247" s="25"/>
      <c r="R247" s="25" t="b">
        <v>1</v>
      </c>
    </row>
    <row r="248" spans="1:18" s="143" customFormat="1">
      <c r="A248" s="25" t="s">
        <v>8578</v>
      </c>
      <c r="B248" s="25"/>
      <c r="C248" s="25"/>
      <c r="D248" s="25">
        <v>0</v>
      </c>
      <c r="E248" s="25">
        <v>1</v>
      </c>
      <c r="F248" s="25" t="s">
        <v>197</v>
      </c>
      <c r="G248" s="25" t="s">
        <v>198</v>
      </c>
      <c r="H248" s="25"/>
      <c r="I248" s="25">
        <v>0</v>
      </c>
      <c r="J248" s="25" t="s">
        <v>1402</v>
      </c>
      <c r="K248" s="195" t="s">
        <v>8596</v>
      </c>
      <c r="L248" s="25"/>
      <c r="M248" s="25"/>
      <c r="N248" s="25" t="str">
        <f t="shared" si="9"/>
        <v>Active(id.passive.vfx.buff.skilleffect.01.04)</v>
      </c>
      <c r="O248" s="25">
        <v>0</v>
      </c>
      <c r="P248" s="25">
        <v>1000</v>
      </c>
      <c r="Q248" s="25"/>
      <c r="R248" s="25" t="b">
        <v>1</v>
      </c>
    </row>
    <row r="249" spans="1:18" s="143" customFormat="1">
      <c r="A249" s="25" t="s">
        <v>8579</v>
      </c>
      <c r="B249" s="25"/>
      <c r="C249" s="25"/>
      <c r="D249" s="25">
        <v>0</v>
      </c>
      <c r="E249" s="25">
        <v>1</v>
      </c>
      <c r="F249" s="25" t="s">
        <v>197</v>
      </c>
      <c r="G249" s="25" t="s">
        <v>198</v>
      </c>
      <c r="H249" s="25"/>
      <c r="I249" s="25">
        <v>0</v>
      </c>
      <c r="J249" s="25" t="s">
        <v>1402</v>
      </c>
      <c r="K249" s="195" t="s">
        <v>8597</v>
      </c>
      <c r="L249" s="25"/>
      <c r="M249" s="25"/>
      <c r="N249" s="25" t="str">
        <f t="shared" si="9"/>
        <v>Active(id.passive.vfx.buff.skilleffect.01.05)</v>
      </c>
      <c r="O249" s="25">
        <v>0</v>
      </c>
      <c r="P249" s="25">
        <v>1000</v>
      </c>
      <c r="Q249" s="25"/>
      <c r="R249" s="25" t="b">
        <v>1</v>
      </c>
    </row>
    <row r="250" spans="1:18" s="143" customFormat="1">
      <c r="A250" s="25" t="s">
        <v>8580</v>
      </c>
      <c r="B250" s="25"/>
      <c r="C250" s="25"/>
      <c r="D250" s="25">
        <v>0</v>
      </c>
      <c r="E250" s="25">
        <v>1</v>
      </c>
      <c r="F250" s="25" t="s">
        <v>197</v>
      </c>
      <c r="G250" s="25" t="s">
        <v>198</v>
      </c>
      <c r="H250" s="25"/>
      <c r="I250" s="25">
        <v>0</v>
      </c>
      <c r="J250" s="25" t="s">
        <v>1402</v>
      </c>
      <c r="K250" s="195" t="s">
        <v>8598</v>
      </c>
      <c r="L250" s="25"/>
      <c r="M250" s="25"/>
      <c r="N250" s="25" t="str">
        <f t="shared" si="9"/>
        <v>Active(id.passive.vfx.buff.skilleffect.01.06)</v>
      </c>
      <c r="O250" s="25">
        <v>0</v>
      </c>
      <c r="P250" s="25">
        <v>1000</v>
      </c>
      <c r="Q250" s="25"/>
      <c r="R250" s="25" t="b">
        <v>1</v>
      </c>
    </row>
    <row r="251" spans="1:18" s="153" customFormat="1">
      <c r="A251" s="26" t="s">
        <v>8581</v>
      </c>
      <c r="B251" s="26"/>
      <c r="C251" s="26"/>
      <c r="D251" s="26">
        <v>0</v>
      </c>
      <c r="E251" s="26">
        <v>1</v>
      </c>
      <c r="F251" s="26" t="s">
        <v>197</v>
      </c>
      <c r="G251" s="26" t="s">
        <v>198</v>
      </c>
      <c r="H251" s="26"/>
      <c r="I251" s="26">
        <v>0</v>
      </c>
      <c r="J251" s="26" t="s">
        <v>1402</v>
      </c>
      <c r="K251" s="197" t="s">
        <v>8599</v>
      </c>
      <c r="L251" s="26"/>
      <c r="M251" s="26"/>
      <c r="N251" s="26" t="str">
        <f t="shared" si="8"/>
        <v>Active(id.passive.vfx.buff.skilleffect.02.01)</v>
      </c>
      <c r="O251" s="26">
        <v>0</v>
      </c>
      <c r="P251" s="26">
        <v>1000</v>
      </c>
      <c r="Q251" s="26"/>
      <c r="R251" s="26" t="b">
        <v>1</v>
      </c>
    </row>
    <row r="252" spans="1:18" s="153" customFormat="1">
      <c r="A252" s="26" t="s">
        <v>8582</v>
      </c>
      <c r="B252" s="26"/>
      <c r="C252" s="26"/>
      <c r="D252" s="26">
        <v>0</v>
      </c>
      <c r="E252" s="26">
        <v>1</v>
      </c>
      <c r="F252" s="26" t="s">
        <v>197</v>
      </c>
      <c r="G252" s="26" t="s">
        <v>198</v>
      </c>
      <c r="H252" s="26"/>
      <c r="I252" s="26">
        <v>0</v>
      </c>
      <c r="J252" s="26" t="s">
        <v>1402</v>
      </c>
      <c r="K252" s="197" t="s">
        <v>8600</v>
      </c>
      <c r="L252" s="26"/>
      <c r="M252" s="26"/>
      <c r="N252" s="26" t="str">
        <f t="shared" ref="N252:N256" si="10">J252&amp;"("&amp;IF(K252="","",K252)&amp;IF(L252="","",", "&amp;L252)&amp;IF(M252="","",", "&amp;M252)&amp;")"</f>
        <v>Active(id.passive.vfx.buff.skilleffect.02.02)</v>
      </c>
      <c r="O252" s="26">
        <v>0</v>
      </c>
      <c r="P252" s="26">
        <v>1000</v>
      </c>
      <c r="Q252" s="26"/>
      <c r="R252" s="26" t="b">
        <v>1</v>
      </c>
    </row>
    <row r="253" spans="1:18" s="153" customFormat="1">
      <c r="A253" s="26" t="s">
        <v>8583</v>
      </c>
      <c r="B253" s="26"/>
      <c r="C253" s="26"/>
      <c r="D253" s="26">
        <v>0</v>
      </c>
      <c r="E253" s="26">
        <v>1</v>
      </c>
      <c r="F253" s="26" t="s">
        <v>197</v>
      </c>
      <c r="G253" s="26" t="s">
        <v>198</v>
      </c>
      <c r="H253" s="26"/>
      <c r="I253" s="26">
        <v>0</v>
      </c>
      <c r="J253" s="26" t="s">
        <v>1402</v>
      </c>
      <c r="K253" s="197" t="s">
        <v>8601</v>
      </c>
      <c r="L253" s="26"/>
      <c r="M253" s="26"/>
      <c r="N253" s="26" t="str">
        <f t="shared" si="10"/>
        <v>Active(id.passive.vfx.buff.skilleffect.02.03)</v>
      </c>
      <c r="O253" s="26">
        <v>0</v>
      </c>
      <c r="P253" s="26">
        <v>1000</v>
      </c>
      <c r="Q253" s="26"/>
      <c r="R253" s="26" t="b">
        <v>1</v>
      </c>
    </row>
    <row r="254" spans="1:18" s="153" customFormat="1">
      <c r="A254" s="26" t="s">
        <v>8584</v>
      </c>
      <c r="B254" s="26"/>
      <c r="C254" s="26"/>
      <c r="D254" s="26">
        <v>0</v>
      </c>
      <c r="E254" s="26">
        <v>1</v>
      </c>
      <c r="F254" s="26" t="s">
        <v>197</v>
      </c>
      <c r="G254" s="26" t="s">
        <v>198</v>
      </c>
      <c r="H254" s="26"/>
      <c r="I254" s="26">
        <v>0</v>
      </c>
      <c r="J254" s="26" t="s">
        <v>1402</v>
      </c>
      <c r="K254" s="197" t="s">
        <v>8602</v>
      </c>
      <c r="L254" s="26"/>
      <c r="M254" s="26"/>
      <c r="N254" s="26" t="str">
        <f t="shared" si="10"/>
        <v>Active(id.passive.vfx.buff.skilleffect.02.04)</v>
      </c>
      <c r="O254" s="26">
        <v>0</v>
      </c>
      <c r="P254" s="26">
        <v>1000</v>
      </c>
      <c r="Q254" s="26"/>
      <c r="R254" s="26" t="b">
        <v>1</v>
      </c>
    </row>
    <row r="255" spans="1:18" s="153" customFormat="1">
      <c r="A255" s="26" t="s">
        <v>8585</v>
      </c>
      <c r="B255" s="26"/>
      <c r="C255" s="26"/>
      <c r="D255" s="26">
        <v>0</v>
      </c>
      <c r="E255" s="26">
        <v>1</v>
      </c>
      <c r="F255" s="26" t="s">
        <v>197</v>
      </c>
      <c r="G255" s="26" t="s">
        <v>198</v>
      </c>
      <c r="H255" s="26"/>
      <c r="I255" s="26">
        <v>0</v>
      </c>
      <c r="J255" s="26" t="s">
        <v>1402</v>
      </c>
      <c r="K255" s="197" t="s">
        <v>8603</v>
      </c>
      <c r="L255" s="26"/>
      <c r="M255" s="26"/>
      <c r="N255" s="26" t="str">
        <f t="shared" si="10"/>
        <v>Active(id.passive.vfx.buff.skilleffect.02.05)</v>
      </c>
      <c r="O255" s="26">
        <v>0</v>
      </c>
      <c r="P255" s="26">
        <v>1000</v>
      </c>
      <c r="Q255" s="26"/>
      <c r="R255" s="26" t="b">
        <v>1</v>
      </c>
    </row>
    <row r="256" spans="1:18" s="153" customFormat="1">
      <c r="A256" s="26" t="s">
        <v>8586</v>
      </c>
      <c r="B256" s="26"/>
      <c r="C256" s="26"/>
      <c r="D256" s="26">
        <v>0</v>
      </c>
      <c r="E256" s="26">
        <v>1</v>
      </c>
      <c r="F256" s="26" t="s">
        <v>197</v>
      </c>
      <c r="G256" s="26" t="s">
        <v>198</v>
      </c>
      <c r="H256" s="26"/>
      <c r="I256" s="26">
        <v>0</v>
      </c>
      <c r="J256" s="26" t="s">
        <v>1402</v>
      </c>
      <c r="K256" s="197" t="s">
        <v>8604</v>
      </c>
      <c r="L256" s="26"/>
      <c r="M256" s="26"/>
      <c r="N256" s="26" t="str">
        <f t="shared" si="10"/>
        <v>Active(id.passive.vfx.buff.skilleffect.02.06)</v>
      </c>
      <c r="O256" s="26">
        <v>0</v>
      </c>
      <c r="P256" s="26">
        <v>1000</v>
      </c>
      <c r="Q256" s="26"/>
      <c r="R256" s="26" t="b">
        <v>1</v>
      </c>
    </row>
    <row r="257" spans="1:18" s="162" customFormat="1">
      <c r="A257" s="44" t="s">
        <v>8587</v>
      </c>
      <c r="B257" s="44"/>
      <c r="C257" s="44"/>
      <c r="D257" s="44">
        <v>0</v>
      </c>
      <c r="E257" s="44">
        <v>1</v>
      </c>
      <c r="F257" s="44" t="s">
        <v>197</v>
      </c>
      <c r="G257" s="44" t="s">
        <v>198</v>
      </c>
      <c r="H257" s="44"/>
      <c r="I257" s="44">
        <v>0</v>
      </c>
      <c r="J257" s="44" t="s">
        <v>1402</v>
      </c>
      <c r="K257" s="198" t="s">
        <v>8605</v>
      </c>
      <c r="L257" s="44"/>
      <c r="M257" s="44"/>
      <c r="N257" s="44" t="str">
        <f t="shared" si="8"/>
        <v>Active(id.passive.vfx.buff.skilleffect.03.01)</v>
      </c>
      <c r="O257" s="44">
        <v>0</v>
      </c>
      <c r="P257" s="44">
        <v>1000</v>
      </c>
      <c r="Q257" s="44"/>
      <c r="R257" s="44" t="b">
        <v>1</v>
      </c>
    </row>
    <row r="258" spans="1:18" s="162" customFormat="1">
      <c r="A258" s="44" t="s">
        <v>8588</v>
      </c>
      <c r="B258" s="44"/>
      <c r="C258" s="44"/>
      <c r="D258" s="44">
        <v>0</v>
      </c>
      <c r="E258" s="44">
        <v>1</v>
      </c>
      <c r="F258" s="44" t="s">
        <v>197</v>
      </c>
      <c r="G258" s="44" t="s">
        <v>198</v>
      </c>
      <c r="H258" s="44"/>
      <c r="I258" s="44">
        <v>0</v>
      </c>
      <c r="J258" s="44" t="s">
        <v>1402</v>
      </c>
      <c r="K258" s="198" t="s">
        <v>8606</v>
      </c>
      <c r="L258" s="44"/>
      <c r="M258" s="44"/>
      <c r="N258" s="44" t="str">
        <f t="shared" ref="N258:N262" si="11">J258&amp;"("&amp;IF(K258="","",K258)&amp;IF(L258="","",", "&amp;L258)&amp;IF(M258="","",", "&amp;M258)&amp;")"</f>
        <v>Active(id.passive.vfx.buff.skilleffect.03.02)</v>
      </c>
      <c r="O258" s="44">
        <v>0</v>
      </c>
      <c r="P258" s="44">
        <v>1000</v>
      </c>
      <c r="Q258" s="44"/>
      <c r="R258" s="44" t="b">
        <v>1</v>
      </c>
    </row>
    <row r="259" spans="1:18" s="162" customFormat="1">
      <c r="A259" s="44" t="s">
        <v>8589</v>
      </c>
      <c r="B259" s="44"/>
      <c r="C259" s="44"/>
      <c r="D259" s="44">
        <v>0</v>
      </c>
      <c r="E259" s="44">
        <v>1</v>
      </c>
      <c r="F259" s="44" t="s">
        <v>197</v>
      </c>
      <c r="G259" s="44" t="s">
        <v>198</v>
      </c>
      <c r="H259" s="44"/>
      <c r="I259" s="44">
        <v>0</v>
      </c>
      <c r="J259" s="44" t="s">
        <v>1402</v>
      </c>
      <c r="K259" s="198" t="s">
        <v>8607</v>
      </c>
      <c r="L259" s="44"/>
      <c r="M259" s="44"/>
      <c r="N259" s="44" t="str">
        <f t="shared" si="11"/>
        <v>Active(id.passive.vfx.buff.skilleffect.03.03)</v>
      </c>
      <c r="O259" s="44">
        <v>0</v>
      </c>
      <c r="P259" s="44">
        <v>1000</v>
      </c>
      <c r="Q259" s="44"/>
      <c r="R259" s="44" t="b">
        <v>1</v>
      </c>
    </row>
    <row r="260" spans="1:18" s="162" customFormat="1">
      <c r="A260" s="44" t="s">
        <v>8590</v>
      </c>
      <c r="B260" s="44"/>
      <c r="C260" s="44"/>
      <c r="D260" s="44">
        <v>0</v>
      </c>
      <c r="E260" s="44">
        <v>1</v>
      </c>
      <c r="F260" s="44" t="s">
        <v>197</v>
      </c>
      <c r="G260" s="44" t="s">
        <v>198</v>
      </c>
      <c r="H260" s="44"/>
      <c r="I260" s="44">
        <v>0</v>
      </c>
      <c r="J260" s="44" t="s">
        <v>1402</v>
      </c>
      <c r="K260" s="198" t="s">
        <v>8608</v>
      </c>
      <c r="L260" s="44"/>
      <c r="M260" s="44"/>
      <c r="N260" s="44" t="str">
        <f t="shared" si="11"/>
        <v>Active(id.passive.vfx.buff.skilleffect.03.04)</v>
      </c>
      <c r="O260" s="44">
        <v>0</v>
      </c>
      <c r="P260" s="44">
        <v>1000</v>
      </c>
      <c r="Q260" s="44"/>
      <c r="R260" s="44" t="b">
        <v>1</v>
      </c>
    </row>
    <row r="261" spans="1:18" s="162" customFormat="1">
      <c r="A261" s="44" t="s">
        <v>8591</v>
      </c>
      <c r="B261" s="44"/>
      <c r="C261" s="44"/>
      <c r="D261" s="44">
        <v>0</v>
      </c>
      <c r="E261" s="44">
        <v>1</v>
      </c>
      <c r="F261" s="44" t="s">
        <v>197</v>
      </c>
      <c r="G261" s="44" t="s">
        <v>198</v>
      </c>
      <c r="H261" s="44"/>
      <c r="I261" s="44">
        <v>0</v>
      </c>
      <c r="J261" s="44" t="s">
        <v>1402</v>
      </c>
      <c r="K261" s="198" t="s">
        <v>8609</v>
      </c>
      <c r="L261" s="44"/>
      <c r="M261" s="44"/>
      <c r="N261" s="44" t="str">
        <f t="shared" si="11"/>
        <v>Active(id.passive.vfx.buff.skilleffect.03.05)</v>
      </c>
      <c r="O261" s="44">
        <v>0</v>
      </c>
      <c r="P261" s="44">
        <v>1000</v>
      </c>
      <c r="Q261" s="44"/>
      <c r="R261" s="44" t="b">
        <v>1</v>
      </c>
    </row>
    <row r="262" spans="1:18" s="162" customFormat="1">
      <c r="A262" s="44" t="s">
        <v>8592</v>
      </c>
      <c r="B262" s="44"/>
      <c r="C262" s="44"/>
      <c r="D262" s="44">
        <v>0</v>
      </c>
      <c r="E262" s="44">
        <v>1</v>
      </c>
      <c r="F262" s="44" t="s">
        <v>197</v>
      </c>
      <c r="G262" s="44" t="s">
        <v>198</v>
      </c>
      <c r="H262" s="44"/>
      <c r="I262" s="44">
        <v>0</v>
      </c>
      <c r="J262" s="44" t="s">
        <v>1402</v>
      </c>
      <c r="K262" s="198" t="s">
        <v>8610</v>
      </c>
      <c r="L262" s="44"/>
      <c r="M262" s="44"/>
      <c r="N262" s="44" t="str">
        <f t="shared" si="11"/>
        <v>Active(id.passive.vfx.buff.skilleffect.03.06)</v>
      </c>
      <c r="O262" s="44">
        <v>0</v>
      </c>
      <c r="P262" s="44">
        <v>1000</v>
      </c>
      <c r="Q262" s="44"/>
      <c r="R262" s="44" t="b">
        <v>1</v>
      </c>
    </row>
    <row r="263" spans="1:18" s="143" customFormat="1">
      <c r="A263" s="25" t="s">
        <v>8393</v>
      </c>
      <c r="B263" s="25" t="s">
        <v>8410</v>
      </c>
      <c r="C263" s="25" t="s">
        <v>8503</v>
      </c>
      <c r="D263" s="25">
        <v>0</v>
      </c>
      <c r="E263" s="25">
        <v>1</v>
      </c>
      <c r="F263" s="25" t="s">
        <v>197</v>
      </c>
      <c r="G263" s="25" t="s">
        <v>198</v>
      </c>
      <c r="H263" s="25"/>
      <c r="I263" s="25">
        <v>0</v>
      </c>
      <c r="J263" s="25" t="s">
        <v>8431</v>
      </c>
      <c r="K263" s="195" t="s">
        <v>8504</v>
      </c>
      <c r="L263" s="25"/>
      <c r="M263" s="25"/>
      <c r="N263" s="25" t="str">
        <f t="shared" si="7"/>
        <v>Active(id.passive.buff.poison.skilleffect.01.01)</v>
      </c>
      <c r="O263" s="25">
        <v>0</v>
      </c>
      <c r="P263" s="25">
        <v>0</v>
      </c>
      <c r="Q263" s="25"/>
      <c r="R263" s="25" t="b">
        <v>1</v>
      </c>
    </row>
    <row r="264" spans="1:18" s="143" customFormat="1">
      <c r="A264" s="25" t="s">
        <v>8265</v>
      </c>
      <c r="B264" s="25" t="s">
        <v>8410</v>
      </c>
      <c r="C264" s="25" t="s">
        <v>8505</v>
      </c>
      <c r="D264" s="25">
        <v>0</v>
      </c>
      <c r="E264" s="25">
        <v>1</v>
      </c>
      <c r="F264" s="25" t="s">
        <v>197</v>
      </c>
      <c r="G264" s="25" t="s">
        <v>198</v>
      </c>
      <c r="H264" s="25"/>
      <c r="I264" s="25">
        <v>0</v>
      </c>
      <c r="J264" s="25" t="s">
        <v>8431</v>
      </c>
      <c r="K264" s="195" t="s">
        <v>8506</v>
      </c>
      <c r="L264" s="25"/>
      <c r="M264" s="25"/>
      <c r="N264" s="25" t="str">
        <f t="shared" si="7"/>
        <v>Active(id.passive.buff.poison.skilleffect.01.02)</v>
      </c>
      <c r="O264" s="25">
        <v>0</v>
      </c>
      <c r="P264" s="25">
        <v>0</v>
      </c>
      <c r="Q264" s="25"/>
      <c r="R264" s="25" t="b">
        <v>1</v>
      </c>
    </row>
    <row r="265" spans="1:18" s="143" customFormat="1">
      <c r="A265" s="25" t="s">
        <v>8267</v>
      </c>
      <c r="B265" s="25" t="s">
        <v>8410</v>
      </c>
      <c r="C265" s="25" t="s">
        <v>8507</v>
      </c>
      <c r="D265" s="25">
        <v>0</v>
      </c>
      <c r="E265" s="25">
        <v>1</v>
      </c>
      <c r="F265" s="25" t="s">
        <v>197</v>
      </c>
      <c r="G265" s="25" t="s">
        <v>198</v>
      </c>
      <c r="H265" s="25"/>
      <c r="I265" s="25">
        <v>0</v>
      </c>
      <c r="J265" s="25" t="s">
        <v>8431</v>
      </c>
      <c r="K265" s="195" t="s">
        <v>8508</v>
      </c>
      <c r="L265" s="25"/>
      <c r="M265" s="25"/>
      <c r="N265" s="25" t="str">
        <f t="shared" si="7"/>
        <v>Active(id.passive.buff.poison.skilleffect.01.03)</v>
      </c>
      <c r="O265" s="25">
        <v>0</v>
      </c>
      <c r="P265" s="25">
        <v>0</v>
      </c>
      <c r="Q265" s="25"/>
      <c r="R265" s="25" t="b">
        <v>1</v>
      </c>
    </row>
    <row r="266" spans="1:18" s="143" customFormat="1">
      <c r="A266" s="25" t="s">
        <v>8269</v>
      </c>
      <c r="B266" s="25" t="s">
        <v>8410</v>
      </c>
      <c r="C266" s="25" t="s">
        <v>8509</v>
      </c>
      <c r="D266" s="25">
        <v>0</v>
      </c>
      <c r="E266" s="25">
        <v>1</v>
      </c>
      <c r="F266" s="25" t="s">
        <v>197</v>
      </c>
      <c r="G266" s="25" t="s">
        <v>198</v>
      </c>
      <c r="H266" s="25"/>
      <c r="I266" s="25">
        <v>0</v>
      </c>
      <c r="J266" s="25" t="s">
        <v>8431</v>
      </c>
      <c r="K266" s="195" t="s">
        <v>8510</v>
      </c>
      <c r="L266" s="25"/>
      <c r="M266" s="25"/>
      <c r="N266" s="25" t="str">
        <f t="shared" si="7"/>
        <v>Active(id.passive.buff.poison.skilleffect.01.04)</v>
      </c>
      <c r="O266" s="25">
        <v>0</v>
      </c>
      <c r="P266" s="25">
        <v>0</v>
      </c>
      <c r="Q266" s="25"/>
      <c r="R266" s="25" t="b">
        <v>1</v>
      </c>
    </row>
    <row r="267" spans="1:18" s="143" customFormat="1">
      <c r="A267" s="25" t="s">
        <v>8271</v>
      </c>
      <c r="B267" s="25" t="s">
        <v>8410</v>
      </c>
      <c r="C267" s="25" t="s">
        <v>8511</v>
      </c>
      <c r="D267" s="25">
        <v>0</v>
      </c>
      <c r="E267" s="25">
        <v>1</v>
      </c>
      <c r="F267" s="25" t="s">
        <v>197</v>
      </c>
      <c r="G267" s="25" t="s">
        <v>198</v>
      </c>
      <c r="H267" s="25"/>
      <c r="I267" s="25">
        <v>0</v>
      </c>
      <c r="J267" s="25" t="s">
        <v>8431</v>
      </c>
      <c r="K267" s="195" t="s">
        <v>8512</v>
      </c>
      <c r="L267" s="25"/>
      <c r="M267" s="25"/>
      <c r="N267" s="25" t="str">
        <f t="shared" si="7"/>
        <v>Active(id.passive.buff.poison.skilleffect.01.05)</v>
      </c>
      <c r="O267" s="25">
        <v>0</v>
      </c>
      <c r="P267" s="25">
        <v>0</v>
      </c>
      <c r="Q267" s="25"/>
      <c r="R267" s="25" t="b">
        <v>1</v>
      </c>
    </row>
    <row r="268" spans="1:18" s="143" customFormat="1">
      <c r="A268" s="25" t="s">
        <v>8273</v>
      </c>
      <c r="B268" s="25" t="s">
        <v>8410</v>
      </c>
      <c r="C268" s="25" t="s">
        <v>8513</v>
      </c>
      <c r="D268" s="25">
        <v>0</v>
      </c>
      <c r="E268" s="25">
        <v>1</v>
      </c>
      <c r="F268" s="25" t="s">
        <v>197</v>
      </c>
      <c r="G268" s="25" t="s">
        <v>198</v>
      </c>
      <c r="H268" s="25"/>
      <c r="I268" s="25">
        <v>0</v>
      </c>
      <c r="J268" s="25" t="s">
        <v>8431</v>
      </c>
      <c r="K268" s="195" t="s">
        <v>8514</v>
      </c>
      <c r="L268" s="25"/>
      <c r="M268" s="25"/>
      <c r="N268" s="25" t="str">
        <f t="shared" si="7"/>
        <v>Active(id.passive.buff.poison.skilleffect.01.06)</v>
      </c>
      <c r="O268" s="25">
        <v>0</v>
      </c>
      <c r="P268" s="25">
        <v>0</v>
      </c>
      <c r="Q268" s="25"/>
      <c r="R268" s="25" t="b">
        <v>1</v>
      </c>
    </row>
    <row r="269" spans="1:18" s="154" customFormat="1">
      <c r="A269" s="51" t="s">
        <v>8515</v>
      </c>
      <c r="B269" s="51"/>
      <c r="C269" s="51"/>
      <c r="D269" s="51">
        <v>0</v>
      </c>
      <c r="E269" s="51">
        <v>1</v>
      </c>
      <c r="F269" s="51" t="s">
        <v>197</v>
      </c>
      <c r="G269" s="51" t="s">
        <v>198</v>
      </c>
      <c r="H269" s="51"/>
      <c r="I269" s="51">
        <v>0</v>
      </c>
      <c r="J269" s="51" t="s">
        <v>8427</v>
      </c>
      <c r="K269" s="196"/>
      <c r="L269" s="51"/>
      <c r="M269" s="51"/>
      <c r="N269" s="51" t="str">
        <f t="shared" si="7"/>
        <v>None()</v>
      </c>
      <c r="O269" s="51">
        <v>0</v>
      </c>
      <c r="P269" s="51">
        <v>0</v>
      </c>
      <c r="Q269" s="51"/>
      <c r="R269" s="51" t="b">
        <v>1</v>
      </c>
    </row>
    <row r="270" spans="1:18" s="153" customFormat="1">
      <c r="A270" s="26" t="s">
        <v>8399</v>
      </c>
      <c r="B270" s="26"/>
      <c r="C270" s="26"/>
      <c r="D270" s="26">
        <v>0</v>
      </c>
      <c r="E270" s="26">
        <v>1</v>
      </c>
      <c r="F270" s="26" t="s">
        <v>197</v>
      </c>
      <c r="G270" s="26" t="s">
        <v>198</v>
      </c>
      <c r="H270" s="26"/>
      <c r="I270" s="26">
        <v>0</v>
      </c>
      <c r="J270" s="26" t="s">
        <v>8431</v>
      </c>
      <c r="K270" s="197" t="s">
        <v>8516</v>
      </c>
      <c r="L270" s="26"/>
      <c r="M270" s="26"/>
      <c r="N270" s="26" t="str">
        <f t="shared" si="7"/>
        <v>Active(id.passive.ex.buff.skilleffect.01.01)</v>
      </c>
      <c r="O270" s="26">
        <v>0</v>
      </c>
      <c r="P270" s="26">
        <v>100</v>
      </c>
      <c r="Q270" s="26"/>
      <c r="R270" s="26" t="b">
        <v>1</v>
      </c>
    </row>
    <row r="271" spans="1:18" s="153" customFormat="1">
      <c r="A271" s="26" t="s">
        <v>8285</v>
      </c>
      <c r="B271" s="26"/>
      <c r="C271" s="26"/>
      <c r="D271" s="26">
        <v>0</v>
      </c>
      <c r="E271" s="26">
        <v>1</v>
      </c>
      <c r="F271" s="26" t="s">
        <v>197</v>
      </c>
      <c r="G271" s="26" t="s">
        <v>198</v>
      </c>
      <c r="H271" s="26"/>
      <c r="I271" s="26">
        <v>0</v>
      </c>
      <c r="J271" s="26" t="s">
        <v>8431</v>
      </c>
      <c r="K271" s="197" t="s">
        <v>8517</v>
      </c>
      <c r="L271" s="26"/>
      <c r="M271" s="26"/>
      <c r="N271" s="26" t="str">
        <f t="shared" si="7"/>
        <v>Active(id.passive.ex.buff.skilleffect.01.02)</v>
      </c>
      <c r="O271" s="26">
        <v>0</v>
      </c>
      <c r="P271" s="26">
        <v>100</v>
      </c>
      <c r="Q271" s="26"/>
      <c r="R271" s="26" t="b">
        <v>1</v>
      </c>
    </row>
    <row r="272" spans="1:18" s="153" customFormat="1">
      <c r="A272" s="26" t="s">
        <v>8287</v>
      </c>
      <c r="B272" s="26"/>
      <c r="C272" s="26"/>
      <c r="D272" s="26">
        <v>0</v>
      </c>
      <c r="E272" s="26">
        <v>1</v>
      </c>
      <c r="F272" s="26" t="s">
        <v>197</v>
      </c>
      <c r="G272" s="26" t="s">
        <v>198</v>
      </c>
      <c r="H272" s="26"/>
      <c r="I272" s="26">
        <v>0</v>
      </c>
      <c r="J272" s="26" t="s">
        <v>8431</v>
      </c>
      <c r="K272" s="197" t="s">
        <v>8518</v>
      </c>
      <c r="L272" s="26"/>
      <c r="M272" s="26"/>
      <c r="N272" s="26" t="str">
        <f t="shared" si="7"/>
        <v>Active(id.passive.ex.buff.skilleffect.01.03)</v>
      </c>
      <c r="O272" s="26">
        <v>0</v>
      </c>
      <c r="P272" s="26">
        <v>100</v>
      </c>
      <c r="Q272" s="26"/>
      <c r="R272" s="26" t="b">
        <v>1</v>
      </c>
    </row>
    <row r="273" spans="1:18" s="153" customFormat="1">
      <c r="A273" s="26" t="s">
        <v>8289</v>
      </c>
      <c r="B273" s="26"/>
      <c r="C273" s="26"/>
      <c r="D273" s="26">
        <v>0</v>
      </c>
      <c r="E273" s="26">
        <v>1</v>
      </c>
      <c r="F273" s="26" t="s">
        <v>197</v>
      </c>
      <c r="G273" s="26" t="s">
        <v>198</v>
      </c>
      <c r="H273" s="26"/>
      <c r="I273" s="26">
        <v>0</v>
      </c>
      <c r="J273" s="26" t="s">
        <v>8431</v>
      </c>
      <c r="K273" s="197" t="s">
        <v>8519</v>
      </c>
      <c r="L273" s="26"/>
      <c r="M273" s="26"/>
      <c r="N273" s="26" t="str">
        <f t="shared" si="7"/>
        <v>Active(id.passive.ex.buff.skilleffect.01.04)</v>
      </c>
      <c r="O273" s="26">
        <v>0</v>
      </c>
      <c r="P273" s="26">
        <v>100</v>
      </c>
      <c r="Q273" s="26"/>
      <c r="R273" s="26" t="b">
        <v>1</v>
      </c>
    </row>
    <row r="274" spans="1:18" s="153" customFormat="1">
      <c r="A274" s="26" t="s">
        <v>8291</v>
      </c>
      <c r="B274" s="26"/>
      <c r="C274" s="26"/>
      <c r="D274" s="26">
        <v>0</v>
      </c>
      <c r="E274" s="26">
        <v>1</v>
      </c>
      <c r="F274" s="26" t="s">
        <v>197</v>
      </c>
      <c r="G274" s="26" t="s">
        <v>198</v>
      </c>
      <c r="H274" s="26"/>
      <c r="I274" s="26">
        <v>0</v>
      </c>
      <c r="J274" s="26" t="s">
        <v>8431</v>
      </c>
      <c r="K274" s="197" t="s">
        <v>8520</v>
      </c>
      <c r="L274" s="26"/>
      <c r="M274" s="26"/>
      <c r="N274" s="26" t="str">
        <f t="shared" si="7"/>
        <v>Active(id.passive.ex.buff.skilleffect.01.05)</v>
      </c>
      <c r="O274" s="26">
        <v>0</v>
      </c>
      <c r="P274" s="26">
        <v>100</v>
      </c>
      <c r="Q274" s="26"/>
      <c r="R274" s="26" t="b">
        <v>1</v>
      </c>
    </row>
    <row r="275" spans="1:18" s="153" customFormat="1">
      <c r="A275" s="26" t="s">
        <v>8293</v>
      </c>
      <c r="B275" s="26"/>
      <c r="C275" s="26"/>
      <c r="D275" s="26">
        <v>0</v>
      </c>
      <c r="E275" s="26">
        <v>1</v>
      </c>
      <c r="F275" s="26" t="s">
        <v>197</v>
      </c>
      <c r="G275" s="26" t="s">
        <v>198</v>
      </c>
      <c r="H275" s="26"/>
      <c r="I275" s="26">
        <v>0</v>
      </c>
      <c r="J275" s="26" t="s">
        <v>8431</v>
      </c>
      <c r="K275" s="197" t="s">
        <v>8521</v>
      </c>
      <c r="L275" s="26"/>
      <c r="M275" s="26"/>
      <c r="N275" s="26" t="str">
        <f t="shared" si="7"/>
        <v>Active(id.passive.ex.buff.skilleffect.01.06)</v>
      </c>
      <c r="O275" s="26">
        <v>0</v>
      </c>
      <c r="P275" s="26">
        <v>100</v>
      </c>
      <c r="Q275" s="26"/>
      <c r="R275" s="26" t="b">
        <v>1</v>
      </c>
    </row>
    <row r="276" spans="1:18" s="142" customFormat="1">
      <c r="A276" s="23" t="s">
        <v>6935</v>
      </c>
      <c r="B276" s="23" t="s">
        <v>1367</v>
      </c>
      <c r="C276" s="23" t="s">
        <v>7074</v>
      </c>
      <c r="D276" s="23">
        <v>0</v>
      </c>
      <c r="E276" s="23">
        <v>1</v>
      </c>
      <c r="F276" s="23" t="s">
        <v>197</v>
      </c>
      <c r="G276" s="23" t="s">
        <v>198</v>
      </c>
      <c r="H276" s="23"/>
      <c r="I276" s="23">
        <v>0</v>
      </c>
      <c r="J276" s="23" t="s">
        <v>895</v>
      </c>
      <c r="K276" s="23" t="s">
        <v>896</v>
      </c>
      <c r="L276" s="23" t="s">
        <v>7075</v>
      </c>
      <c r="M276" s="23"/>
      <c r="N276" s="23" t="str">
        <f t="shared" si="7"/>
        <v>SkillEffectModifier(Op, archphase.ult.skilleffect.modifier.01)</v>
      </c>
      <c r="O276" s="23">
        <v>0</v>
      </c>
      <c r="P276" s="23">
        <v>100</v>
      </c>
      <c r="Q276" s="23"/>
      <c r="R276" s="23" t="b">
        <v>0</v>
      </c>
    </row>
    <row r="277" spans="1:18" s="142" customFormat="1">
      <c r="A277" s="23" t="s">
        <v>4304</v>
      </c>
      <c r="B277" s="23" t="s">
        <v>1367</v>
      </c>
      <c r="C277" s="23" t="s">
        <v>7074</v>
      </c>
      <c r="D277" s="23">
        <v>0</v>
      </c>
      <c r="E277" s="23">
        <v>1</v>
      </c>
      <c r="F277" s="23" t="s">
        <v>197</v>
      </c>
      <c r="G277" s="23" t="s">
        <v>198</v>
      </c>
      <c r="H277" s="23"/>
      <c r="I277" s="23">
        <v>0</v>
      </c>
      <c r="J277" s="23" t="s">
        <v>895</v>
      </c>
      <c r="K277" s="23" t="s">
        <v>896</v>
      </c>
      <c r="L277" s="23" t="s">
        <v>4310</v>
      </c>
      <c r="M277" s="23"/>
      <c r="N277" s="23" t="str">
        <f t="shared" si="7"/>
        <v>SkillEffectModifier(Op, archphase.ult.skilleffect.modifier.02)</v>
      </c>
      <c r="O277" s="23">
        <v>0</v>
      </c>
      <c r="P277" s="23">
        <v>100</v>
      </c>
      <c r="Q277" s="23"/>
      <c r="R277" s="23" t="b">
        <v>0</v>
      </c>
    </row>
    <row r="278" spans="1:18" s="142" customFormat="1">
      <c r="A278" s="23" t="s">
        <v>4305</v>
      </c>
      <c r="B278" s="23" t="s">
        <v>1367</v>
      </c>
      <c r="C278" s="23" t="s">
        <v>7074</v>
      </c>
      <c r="D278" s="23">
        <v>0</v>
      </c>
      <c r="E278" s="23">
        <v>1</v>
      </c>
      <c r="F278" s="23" t="s">
        <v>197</v>
      </c>
      <c r="G278" s="23" t="s">
        <v>198</v>
      </c>
      <c r="H278" s="23"/>
      <c r="I278" s="23">
        <v>0</v>
      </c>
      <c r="J278" s="23" t="s">
        <v>895</v>
      </c>
      <c r="K278" s="23" t="s">
        <v>896</v>
      </c>
      <c r="L278" s="23" t="s">
        <v>4311</v>
      </c>
      <c r="M278" s="23"/>
      <c r="N278" s="23" t="str">
        <f t="shared" si="7"/>
        <v>SkillEffectModifier(Op, archphase.ult.skilleffect.modifier.03)</v>
      </c>
      <c r="O278" s="23">
        <v>0</v>
      </c>
      <c r="P278" s="23">
        <v>100</v>
      </c>
      <c r="Q278" s="23"/>
      <c r="R278" s="23" t="b">
        <v>0</v>
      </c>
    </row>
    <row r="279" spans="1:18" s="142" customFormat="1">
      <c r="A279" s="23" t="s">
        <v>4306</v>
      </c>
      <c r="B279" s="23" t="s">
        <v>1367</v>
      </c>
      <c r="C279" s="23" t="s">
        <v>7074</v>
      </c>
      <c r="D279" s="23">
        <v>0</v>
      </c>
      <c r="E279" s="23">
        <v>1</v>
      </c>
      <c r="F279" s="23" t="s">
        <v>197</v>
      </c>
      <c r="G279" s="23" t="s">
        <v>198</v>
      </c>
      <c r="H279" s="23"/>
      <c r="I279" s="23">
        <v>0</v>
      </c>
      <c r="J279" s="23" t="s">
        <v>895</v>
      </c>
      <c r="K279" s="23" t="s">
        <v>896</v>
      </c>
      <c r="L279" s="23" t="s">
        <v>4312</v>
      </c>
      <c r="M279" s="23"/>
      <c r="N279" s="23" t="str">
        <f t="shared" si="7"/>
        <v>SkillEffectModifier(Op, archphase.ult.skilleffect.modifier.04)</v>
      </c>
      <c r="O279" s="23">
        <v>0</v>
      </c>
      <c r="P279" s="23">
        <v>100</v>
      </c>
      <c r="Q279" s="23"/>
      <c r="R279" s="23" t="b">
        <v>0</v>
      </c>
    </row>
    <row r="280" spans="1:18" s="142" customFormat="1">
      <c r="A280" s="23" t="s">
        <v>4307</v>
      </c>
      <c r="B280" s="23" t="s">
        <v>1367</v>
      </c>
      <c r="C280" s="23" t="s">
        <v>7074</v>
      </c>
      <c r="D280" s="23">
        <v>0</v>
      </c>
      <c r="E280" s="23">
        <v>1</v>
      </c>
      <c r="F280" s="23" t="s">
        <v>197</v>
      </c>
      <c r="G280" s="23" t="s">
        <v>198</v>
      </c>
      <c r="H280" s="23"/>
      <c r="I280" s="23">
        <v>0</v>
      </c>
      <c r="J280" s="23" t="s">
        <v>895</v>
      </c>
      <c r="K280" s="23" t="s">
        <v>896</v>
      </c>
      <c r="L280" s="23" t="s">
        <v>4313</v>
      </c>
      <c r="M280" s="23"/>
      <c r="N280" s="23" t="str">
        <f t="shared" si="7"/>
        <v>SkillEffectModifier(Op, archphase.ult.skilleffect.modifier.05)</v>
      </c>
      <c r="O280" s="23">
        <v>0</v>
      </c>
      <c r="P280" s="23">
        <v>100</v>
      </c>
      <c r="Q280" s="23"/>
      <c r="R280" s="23" t="b">
        <v>0</v>
      </c>
    </row>
    <row r="281" spans="1:18" s="142" customFormat="1">
      <c r="A281" s="23" t="s">
        <v>4308</v>
      </c>
      <c r="B281" s="23" t="s">
        <v>1367</v>
      </c>
      <c r="C281" s="23" t="s">
        <v>7074</v>
      </c>
      <c r="D281" s="23">
        <v>0</v>
      </c>
      <c r="E281" s="23">
        <v>1</v>
      </c>
      <c r="F281" s="23" t="s">
        <v>197</v>
      </c>
      <c r="G281" s="23" t="s">
        <v>198</v>
      </c>
      <c r="H281" s="23"/>
      <c r="I281" s="23">
        <v>0</v>
      </c>
      <c r="J281" s="23" t="s">
        <v>895</v>
      </c>
      <c r="K281" s="23" t="s">
        <v>896</v>
      </c>
      <c r="L281" s="23" t="s">
        <v>4314</v>
      </c>
      <c r="M281" s="23"/>
      <c r="N281" s="23" t="str">
        <f t="shared" si="7"/>
        <v>SkillEffectModifier(Op, archphase.ult.skilleffect.modifier.06)</v>
      </c>
      <c r="O281" s="23">
        <v>0</v>
      </c>
      <c r="P281" s="23">
        <v>100</v>
      </c>
      <c r="Q281" s="23"/>
      <c r="R281" s="23" t="b">
        <v>0</v>
      </c>
    </row>
    <row r="282" spans="1:18" s="142" customFormat="1">
      <c r="A282" s="23" t="s">
        <v>4309</v>
      </c>
      <c r="B282" s="23" t="s">
        <v>1367</v>
      </c>
      <c r="C282" s="23" t="s">
        <v>7074</v>
      </c>
      <c r="D282" s="23">
        <v>0</v>
      </c>
      <c r="E282" s="23">
        <v>1</v>
      </c>
      <c r="F282" s="23" t="s">
        <v>197</v>
      </c>
      <c r="G282" s="23" t="s">
        <v>198</v>
      </c>
      <c r="H282" s="23"/>
      <c r="I282" s="23">
        <v>0</v>
      </c>
      <c r="J282" s="23" t="s">
        <v>895</v>
      </c>
      <c r="K282" s="23" t="s">
        <v>896</v>
      </c>
      <c r="L282" s="23" t="s">
        <v>4315</v>
      </c>
      <c r="M282" s="23"/>
      <c r="N282" s="23" t="str">
        <f t="shared" si="7"/>
        <v>SkillEffectModifier(Op, archphase.ult.skilleffect.modifier.07)</v>
      </c>
      <c r="O282" s="23">
        <v>0</v>
      </c>
      <c r="P282" s="23">
        <v>100</v>
      </c>
      <c r="Q282" s="23"/>
      <c r="R282" s="23" t="b">
        <v>0</v>
      </c>
    </row>
    <row r="283" spans="1:18">
      <c r="A283" s="65" t="s">
        <v>7076</v>
      </c>
      <c r="B283" s="65"/>
      <c r="C283" s="65"/>
      <c r="D283" s="65">
        <v>0</v>
      </c>
      <c r="E283" s="65">
        <v>1</v>
      </c>
      <c r="F283" s="65" t="s">
        <v>197</v>
      </c>
      <c r="G283" s="65" t="s">
        <v>198</v>
      </c>
      <c r="H283" s="65"/>
      <c r="I283" s="65">
        <v>0</v>
      </c>
      <c r="J283" s="65" t="s">
        <v>893</v>
      </c>
      <c r="K283" s="65" t="s">
        <v>7077</v>
      </c>
      <c r="L283" s="65"/>
      <c r="M283" s="65"/>
      <c r="N283" s="65" t="str">
        <f t="shared" si="7"/>
        <v>Active(archphase.ex.effect)</v>
      </c>
      <c r="O283" s="65">
        <v>0</v>
      </c>
      <c r="P283" s="65">
        <v>2000</v>
      </c>
      <c r="Q283" s="65"/>
      <c r="R283" s="65" t="b">
        <v>0</v>
      </c>
    </row>
    <row r="284" spans="1:18">
      <c r="A284" s="65" t="s">
        <v>7078</v>
      </c>
      <c r="B284" s="65"/>
      <c r="C284" s="65"/>
      <c r="D284" s="65">
        <v>0</v>
      </c>
      <c r="E284" s="65">
        <v>1</v>
      </c>
      <c r="F284" s="65" t="s">
        <v>197</v>
      </c>
      <c r="G284" s="65" t="s">
        <v>198</v>
      </c>
      <c r="H284" s="65"/>
      <c r="I284" s="65">
        <v>0</v>
      </c>
      <c r="J284" s="65" t="s">
        <v>893</v>
      </c>
      <c r="K284" s="65" t="s">
        <v>7079</v>
      </c>
      <c r="L284" s="65"/>
      <c r="M284" s="65"/>
      <c r="N284" s="65" t="str">
        <f t="shared" si="7"/>
        <v>Active(archphase.active1.stack.bonus.01)</v>
      </c>
      <c r="O284" s="65">
        <v>0</v>
      </c>
      <c r="P284" s="65">
        <v>2000</v>
      </c>
      <c r="Q284" s="65"/>
      <c r="R284" s="65" t="b">
        <v>0</v>
      </c>
    </row>
    <row r="285" spans="1:18">
      <c r="A285" s="65" t="s">
        <v>7080</v>
      </c>
      <c r="B285" s="65"/>
      <c r="C285" s="65"/>
      <c r="D285" s="65">
        <v>0</v>
      </c>
      <c r="E285" s="65">
        <v>1</v>
      </c>
      <c r="F285" s="65" t="s">
        <v>197</v>
      </c>
      <c r="G285" s="65" t="s">
        <v>198</v>
      </c>
      <c r="H285" s="65"/>
      <c r="I285" s="65">
        <v>0</v>
      </c>
      <c r="J285" s="65" t="s">
        <v>893</v>
      </c>
      <c r="K285" s="65" t="s">
        <v>2857</v>
      </c>
      <c r="L285" s="65"/>
      <c r="M285" s="65"/>
      <c r="N285" s="65" t="str">
        <f t="shared" si="7"/>
        <v>Active(archphase.ult.B.buff.buffeffect.skilleffect)</v>
      </c>
      <c r="O285" s="65">
        <v>0</v>
      </c>
      <c r="P285" s="65">
        <v>2000</v>
      </c>
      <c r="Q285" s="65"/>
      <c r="R285" s="65" t="b">
        <v>0</v>
      </c>
    </row>
    <row r="286" spans="1:18" s="143" customFormat="1">
      <c r="A286" s="25" t="s">
        <v>4091</v>
      </c>
      <c r="B286" s="25" t="s">
        <v>1367</v>
      </c>
      <c r="C286" s="25" t="s">
        <v>6936</v>
      </c>
      <c r="D286" s="25">
        <v>0</v>
      </c>
      <c r="E286" s="25">
        <v>1</v>
      </c>
      <c r="F286" s="25" t="s">
        <v>197</v>
      </c>
      <c r="G286" s="25" t="s">
        <v>198</v>
      </c>
      <c r="H286" s="25"/>
      <c r="I286" s="25">
        <v>0</v>
      </c>
      <c r="J286" s="25" t="s">
        <v>838</v>
      </c>
      <c r="K286" s="25" t="s">
        <v>905</v>
      </c>
      <c r="L286" s="25">
        <v>100</v>
      </c>
      <c r="M286" s="25"/>
      <c r="N286" s="25" t="str">
        <f t="shared" si="7"/>
        <v>Status(DamageRate, 100)</v>
      </c>
      <c r="O286" s="25">
        <v>0</v>
      </c>
      <c r="P286" s="25">
        <v>0</v>
      </c>
      <c r="Q286" s="25"/>
      <c r="R286" s="25" t="b">
        <v>0</v>
      </c>
    </row>
    <row r="287" spans="1:18">
      <c r="A287" s="65" t="s">
        <v>7081</v>
      </c>
      <c r="B287" s="65" t="s">
        <v>1367</v>
      </c>
      <c r="C287" s="65" t="s">
        <v>4092</v>
      </c>
      <c r="D287" s="65">
        <v>0</v>
      </c>
      <c r="E287" s="65">
        <v>1</v>
      </c>
      <c r="F287" s="65" t="s">
        <v>197</v>
      </c>
      <c r="G287" s="65" t="s">
        <v>198</v>
      </c>
      <c r="H287" s="65"/>
      <c r="I287" s="65">
        <v>0</v>
      </c>
      <c r="J287" s="65" t="s">
        <v>838</v>
      </c>
      <c r="K287" s="65" t="s">
        <v>905</v>
      </c>
      <c r="L287" s="65">
        <v>100</v>
      </c>
      <c r="M287" s="65"/>
      <c r="N287" s="65" t="str">
        <f t="shared" si="7"/>
        <v>Status(DamageRate, 100)</v>
      </c>
      <c r="O287" s="65">
        <v>0</v>
      </c>
      <c r="P287" s="65">
        <v>0</v>
      </c>
      <c r="Q287" s="65"/>
      <c r="R287" s="65" t="b">
        <v>0</v>
      </c>
    </row>
    <row r="288" spans="1:18" s="150" customFormat="1">
      <c r="A288" s="24" t="s">
        <v>7694</v>
      </c>
      <c r="B288" s="24" t="s">
        <v>1367</v>
      </c>
      <c r="C288" s="24" t="s">
        <v>4093</v>
      </c>
      <c r="D288" s="24">
        <v>0</v>
      </c>
      <c r="E288" s="24">
        <v>1</v>
      </c>
      <c r="F288" s="24" t="s">
        <v>197</v>
      </c>
      <c r="G288" s="24" t="s">
        <v>198</v>
      </c>
      <c r="H288" s="24"/>
      <c r="I288" s="24">
        <v>0</v>
      </c>
      <c r="J288" s="24" t="s">
        <v>838</v>
      </c>
      <c r="K288" s="24" t="s">
        <v>870</v>
      </c>
      <c r="L288" s="24">
        <v>16</v>
      </c>
      <c r="M288" s="24"/>
      <c r="N288" s="24" t="str">
        <f t="shared" si="7"/>
        <v>Status(AccuracyRate, 16)</v>
      </c>
      <c r="O288" s="24">
        <v>0</v>
      </c>
      <c r="P288" s="24">
        <v>0</v>
      </c>
      <c r="Q288" s="24"/>
      <c r="R288" s="24" t="b">
        <v>1</v>
      </c>
    </row>
    <row r="289" spans="1:18" s="150" customFormat="1">
      <c r="A289" s="24" t="s">
        <v>7695</v>
      </c>
      <c r="B289" s="24" t="s">
        <v>1367</v>
      </c>
      <c r="C289" s="24" t="s">
        <v>630</v>
      </c>
      <c r="D289" s="24">
        <v>0</v>
      </c>
      <c r="E289" s="24">
        <v>1</v>
      </c>
      <c r="F289" s="24" t="s">
        <v>197</v>
      </c>
      <c r="G289" s="24" t="s">
        <v>198</v>
      </c>
      <c r="H289" s="24"/>
      <c r="I289" s="24">
        <v>0</v>
      </c>
      <c r="J289" s="24" t="s">
        <v>838</v>
      </c>
      <c r="K289" s="24" t="s">
        <v>870</v>
      </c>
      <c r="L289" s="24">
        <v>20</v>
      </c>
      <c r="M289" s="24"/>
      <c r="N289" s="24" t="str">
        <f t="shared" si="7"/>
        <v>Status(AccuracyRate, 20)</v>
      </c>
      <c r="O289" s="24">
        <v>0</v>
      </c>
      <c r="P289" s="24">
        <v>0</v>
      </c>
      <c r="Q289" s="24"/>
      <c r="R289" s="24" t="b">
        <v>1</v>
      </c>
    </row>
    <row r="290" spans="1:18" s="150" customFormat="1">
      <c r="A290" s="24" t="s">
        <v>7696</v>
      </c>
      <c r="B290" s="24" t="s">
        <v>1367</v>
      </c>
      <c r="C290" s="24" t="s">
        <v>631</v>
      </c>
      <c r="D290" s="24">
        <v>0</v>
      </c>
      <c r="E290" s="24">
        <v>1</v>
      </c>
      <c r="F290" s="24" t="s">
        <v>197</v>
      </c>
      <c r="G290" s="24" t="s">
        <v>198</v>
      </c>
      <c r="H290" s="24"/>
      <c r="I290" s="24">
        <v>0</v>
      </c>
      <c r="J290" s="24" t="s">
        <v>838</v>
      </c>
      <c r="K290" s="24" t="s">
        <v>870</v>
      </c>
      <c r="L290" s="24">
        <v>24</v>
      </c>
      <c r="M290" s="24"/>
      <c r="N290" s="24" t="str">
        <f t="shared" si="7"/>
        <v>Status(AccuracyRate, 24)</v>
      </c>
      <c r="O290" s="24">
        <v>0</v>
      </c>
      <c r="P290" s="24">
        <v>0</v>
      </c>
      <c r="Q290" s="24"/>
      <c r="R290" s="24" t="b">
        <v>1</v>
      </c>
    </row>
    <row r="291" spans="1:18" s="150" customFormat="1">
      <c r="A291" s="24" t="s">
        <v>7697</v>
      </c>
      <c r="B291" s="24" t="s">
        <v>1367</v>
      </c>
      <c r="C291" s="24" t="s">
        <v>632</v>
      </c>
      <c r="D291" s="24">
        <v>0</v>
      </c>
      <c r="E291" s="24">
        <v>1</v>
      </c>
      <c r="F291" s="24" t="s">
        <v>197</v>
      </c>
      <c r="G291" s="24" t="s">
        <v>198</v>
      </c>
      <c r="H291" s="24"/>
      <c r="I291" s="24">
        <v>0</v>
      </c>
      <c r="J291" s="24" t="s">
        <v>838</v>
      </c>
      <c r="K291" s="24" t="s">
        <v>870</v>
      </c>
      <c r="L291" s="24">
        <v>28</v>
      </c>
      <c r="M291" s="24"/>
      <c r="N291" s="24" t="str">
        <f t="shared" si="7"/>
        <v>Status(AccuracyRate, 28)</v>
      </c>
      <c r="O291" s="24">
        <v>0</v>
      </c>
      <c r="P291" s="24">
        <v>0</v>
      </c>
      <c r="Q291" s="24"/>
      <c r="R291" s="24" t="b">
        <v>1</v>
      </c>
    </row>
    <row r="292" spans="1:18" s="150" customFormat="1">
      <c r="A292" s="24" t="s">
        <v>7698</v>
      </c>
      <c r="B292" s="24" t="s">
        <v>1367</v>
      </c>
      <c r="C292" s="24" t="s">
        <v>633</v>
      </c>
      <c r="D292" s="24">
        <v>0</v>
      </c>
      <c r="E292" s="24">
        <v>1</v>
      </c>
      <c r="F292" s="24" t="s">
        <v>197</v>
      </c>
      <c r="G292" s="24" t="s">
        <v>198</v>
      </c>
      <c r="H292" s="24"/>
      <c r="I292" s="24">
        <v>0</v>
      </c>
      <c r="J292" s="24" t="s">
        <v>838</v>
      </c>
      <c r="K292" s="24" t="s">
        <v>870</v>
      </c>
      <c r="L292" s="24">
        <v>32</v>
      </c>
      <c r="M292" s="24"/>
      <c r="N292" s="24" t="str">
        <f t="shared" si="7"/>
        <v>Status(AccuracyRate, 32)</v>
      </c>
      <c r="O292" s="24">
        <v>0</v>
      </c>
      <c r="P292" s="24">
        <v>0</v>
      </c>
      <c r="Q292" s="24"/>
      <c r="R292" s="24" t="b">
        <v>1</v>
      </c>
    </row>
    <row r="293" spans="1:18" s="150" customFormat="1">
      <c r="A293" s="24" t="s">
        <v>7699</v>
      </c>
      <c r="B293" s="24" t="s">
        <v>1367</v>
      </c>
      <c r="C293" s="24" t="s">
        <v>634</v>
      </c>
      <c r="D293" s="24">
        <v>0</v>
      </c>
      <c r="E293" s="24">
        <v>1</v>
      </c>
      <c r="F293" s="24" t="s">
        <v>197</v>
      </c>
      <c r="G293" s="24" t="s">
        <v>198</v>
      </c>
      <c r="H293" s="24"/>
      <c r="I293" s="24">
        <v>0</v>
      </c>
      <c r="J293" s="24" t="s">
        <v>838</v>
      </c>
      <c r="K293" s="24" t="s">
        <v>870</v>
      </c>
      <c r="L293" s="24">
        <v>32</v>
      </c>
      <c r="M293" s="24"/>
      <c r="N293" s="24" t="str">
        <f t="shared" si="7"/>
        <v>Status(AccuracyRate, 32)</v>
      </c>
      <c r="O293" s="24">
        <v>0</v>
      </c>
      <c r="P293" s="24">
        <v>0</v>
      </c>
      <c r="Q293" s="24"/>
      <c r="R293" s="24" t="b">
        <v>1</v>
      </c>
    </row>
    <row r="294" spans="1:18" s="150" customFormat="1">
      <c r="A294" s="65" t="s">
        <v>7700</v>
      </c>
      <c r="B294" s="65" t="s">
        <v>1367</v>
      </c>
      <c r="C294" s="65" t="s">
        <v>4093</v>
      </c>
      <c r="D294" s="65">
        <v>0</v>
      </c>
      <c r="E294" s="65">
        <v>1</v>
      </c>
      <c r="F294" s="65" t="s">
        <v>197</v>
      </c>
      <c r="G294" s="65" t="s">
        <v>198</v>
      </c>
      <c r="H294" s="65"/>
      <c r="I294" s="65">
        <v>0</v>
      </c>
      <c r="J294" s="65" t="s">
        <v>838</v>
      </c>
      <c r="K294" s="65" t="s">
        <v>905</v>
      </c>
      <c r="L294" s="65">
        <v>20</v>
      </c>
      <c r="M294" s="65"/>
      <c r="N294" s="65" t="str">
        <f t="shared" si="7"/>
        <v>Status(DamageRate, 20)</v>
      </c>
      <c r="O294" s="65">
        <v>0</v>
      </c>
      <c r="P294" s="65">
        <v>0</v>
      </c>
      <c r="Q294" s="65"/>
      <c r="R294" s="65" t="b">
        <v>1</v>
      </c>
    </row>
    <row r="295" spans="1:18" s="150" customFormat="1">
      <c r="A295" s="65" t="s">
        <v>7701</v>
      </c>
      <c r="B295" s="65" t="s">
        <v>1367</v>
      </c>
      <c r="C295" s="65" t="s">
        <v>630</v>
      </c>
      <c r="D295" s="65">
        <v>0</v>
      </c>
      <c r="E295" s="65">
        <v>1</v>
      </c>
      <c r="F295" s="65" t="s">
        <v>197</v>
      </c>
      <c r="G295" s="65" t="s">
        <v>198</v>
      </c>
      <c r="H295" s="65"/>
      <c r="I295" s="65">
        <v>0</v>
      </c>
      <c r="J295" s="65" t="s">
        <v>838</v>
      </c>
      <c r="K295" s="65" t="s">
        <v>905</v>
      </c>
      <c r="L295" s="65">
        <v>25</v>
      </c>
      <c r="M295" s="65"/>
      <c r="N295" s="65" t="str">
        <f t="shared" si="7"/>
        <v>Status(DamageRate, 25)</v>
      </c>
      <c r="O295" s="65">
        <v>0</v>
      </c>
      <c r="P295" s="65">
        <v>0</v>
      </c>
      <c r="Q295" s="65"/>
      <c r="R295" s="65" t="b">
        <v>1</v>
      </c>
    </row>
    <row r="296" spans="1:18" s="150" customFormat="1">
      <c r="A296" s="65" t="s">
        <v>7702</v>
      </c>
      <c r="B296" s="65" t="s">
        <v>1367</v>
      </c>
      <c r="C296" s="65" t="s">
        <v>631</v>
      </c>
      <c r="D296" s="65">
        <v>0</v>
      </c>
      <c r="E296" s="65">
        <v>1</v>
      </c>
      <c r="F296" s="65" t="s">
        <v>197</v>
      </c>
      <c r="G296" s="65" t="s">
        <v>198</v>
      </c>
      <c r="H296" s="65"/>
      <c r="I296" s="65">
        <v>0</v>
      </c>
      <c r="J296" s="65" t="s">
        <v>838</v>
      </c>
      <c r="K296" s="65" t="s">
        <v>905</v>
      </c>
      <c r="L296" s="65">
        <v>30</v>
      </c>
      <c r="M296" s="65"/>
      <c r="N296" s="65" t="str">
        <f t="shared" si="7"/>
        <v>Status(DamageRate, 30)</v>
      </c>
      <c r="O296" s="65">
        <v>0</v>
      </c>
      <c r="P296" s="65">
        <v>0</v>
      </c>
      <c r="Q296" s="65"/>
      <c r="R296" s="65" t="b">
        <v>1</v>
      </c>
    </row>
    <row r="297" spans="1:18" s="150" customFormat="1">
      <c r="A297" s="65" t="s">
        <v>7703</v>
      </c>
      <c r="B297" s="65" t="s">
        <v>1367</v>
      </c>
      <c r="C297" s="65" t="s">
        <v>632</v>
      </c>
      <c r="D297" s="65">
        <v>0</v>
      </c>
      <c r="E297" s="65">
        <v>1</v>
      </c>
      <c r="F297" s="65" t="s">
        <v>197</v>
      </c>
      <c r="G297" s="65" t="s">
        <v>198</v>
      </c>
      <c r="H297" s="65"/>
      <c r="I297" s="65">
        <v>0</v>
      </c>
      <c r="J297" s="65" t="s">
        <v>838</v>
      </c>
      <c r="K297" s="65" t="s">
        <v>905</v>
      </c>
      <c r="L297" s="65">
        <v>35</v>
      </c>
      <c r="M297" s="65"/>
      <c r="N297" s="65" t="str">
        <f t="shared" si="7"/>
        <v>Status(DamageRate, 35)</v>
      </c>
      <c r="O297" s="65">
        <v>0</v>
      </c>
      <c r="P297" s="65">
        <v>0</v>
      </c>
      <c r="Q297" s="65"/>
      <c r="R297" s="65" t="b">
        <v>1</v>
      </c>
    </row>
    <row r="298" spans="1:18" s="150" customFormat="1">
      <c r="A298" s="65" t="s">
        <v>7704</v>
      </c>
      <c r="B298" s="65" t="s">
        <v>1367</v>
      </c>
      <c r="C298" s="65" t="s">
        <v>633</v>
      </c>
      <c r="D298" s="65">
        <v>0</v>
      </c>
      <c r="E298" s="65">
        <v>1</v>
      </c>
      <c r="F298" s="65" t="s">
        <v>197</v>
      </c>
      <c r="G298" s="65" t="s">
        <v>198</v>
      </c>
      <c r="H298" s="65"/>
      <c r="I298" s="65">
        <v>0</v>
      </c>
      <c r="J298" s="65" t="s">
        <v>838</v>
      </c>
      <c r="K298" s="65" t="s">
        <v>905</v>
      </c>
      <c r="L298" s="65">
        <v>40</v>
      </c>
      <c r="M298" s="65"/>
      <c r="N298" s="65" t="str">
        <f t="shared" si="7"/>
        <v>Status(DamageRate, 40)</v>
      </c>
      <c r="O298" s="65">
        <v>0</v>
      </c>
      <c r="P298" s="65">
        <v>0</v>
      </c>
      <c r="Q298" s="65"/>
      <c r="R298" s="65" t="b">
        <v>1</v>
      </c>
    </row>
    <row r="299" spans="1:18" s="150" customFormat="1">
      <c r="A299" s="65" t="s">
        <v>7705</v>
      </c>
      <c r="B299" s="65" t="s">
        <v>1367</v>
      </c>
      <c r="C299" s="65" t="s">
        <v>634</v>
      </c>
      <c r="D299" s="65">
        <v>0</v>
      </c>
      <c r="E299" s="65">
        <v>1</v>
      </c>
      <c r="F299" s="65" t="s">
        <v>197</v>
      </c>
      <c r="G299" s="65" t="s">
        <v>198</v>
      </c>
      <c r="H299" s="65"/>
      <c r="I299" s="65">
        <v>0</v>
      </c>
      <c r="J299" s="65" t="s">
        <v>838</v>
      </c>
      <c r="K299" s="65" t="s">
        <v>905</v>
      </c>
      <c r="L299" s="65">
        <v>40</v>
      </c>
      <c r="M299" s="65"/>
      <c r="N299" s="65" t="str">
        <f t="shared" si="7"/>
        <v>Status(DamageRate, 40)</v>
      </c>
      <c r="O299" s="65">
        <v>0</v>
      </c>
      <c r="P299" s="65">
        <v>0</v>
      </c>
      <c r="Q299" s="65"/>
      <c r="R299" s="65" t="b">
        <v>1</v>
      </c>
    </row>
    <row r="300" spans="1:18" s="155" customFormat="1">
      <c r="A300" s="6" t="s">
        <v>6355</v>
      </c>
      <c r="B300" s="6"/>
      <c r="C300" s="6"/>
      <c r="D300" s="6">
        <v>0</v>
      </c>
      <c r="E300" s="6">
        <v>1</v>
      </c>
      <c r="F300" s="6" t="s">
        <v>197</v>
      </c>
      <c r="G300" s="6" t="s">
        <v>198</v>
      </c>
      <c r="H300" s="6"/>
      <c r="I300" s="6">
        <v>0</v>
      </c>
      <c r="J300" s="6" t="s">
        <v>837</v>
      </c>
      <c r="K300" s="6"/>
      <c r="L300" s="6"/>
      <c r="M300" s="6"/>
      <c r="N300" s="6" t="str">
        <f t="shared" si="7"/>
        <v>None()</v>
      </c>
      <c r="O300" s="6">
        <v>0</v>
      </c>
      <c r="P300" s="6">
        <v>0</v>
      </c>
      <c r="Q300" s="6"/>
      <c r="R300" s="6" t="b">
        <v>0</v>
      </c>
    </row>
    <row r="301" spans="1:18">
      <c r="A301" s="29" t="s">
        <v>636</v>
      </c>
      <c r="B301" s="26"/>
      <c r="C301" s="26"/>
      <c r="D301" s="26">
        <v>0</v>
      </c>
      <c r="E301" s="26">
        <v>1</v>
      </c>
      <c r="F301" s="26" t="s">
        <v>197</v>
      </c>
      <c r="G301" s="26" t="s">
        <v>198</v>
      </c>
      <c r="H301" s="26"/>
      <c r="I301" s="26">
        <v>0</v>
      </c>
      <c r="J301" s="26" t="s">
        <v>876</v>
      </c>
      <c r="K301" s="26" t="s">
        <v>994</v>
      </c>
      <c r="L301" s="26" t="s">
        <v>7082</v>
      </c>
      <c r="M301" s="26"/>
      <c r="N301" s="26" t="str">
        <f t="shared" si="7"/>
        <v>Event(UseSkill, shery.passive.buff.buffeffect.skilleffect.01)</v>
      </c>
      <c r="O301" s="26">
        <v>0</v>
      </c>
      <c r="P301" s="26">
        <v>0</v>
      </c>
      <c r="Q301" s="26"/>
      <c r="R301" s="26" t="b">
        <v>1</v>
      </c>
    </row>
    <row r="302" spans="1:18">
      <c r="A302" s="29" t="s">
        <v>638</v>
      </c>
      <c r="B302" s="26"/>
      <c r="C302" s="26"/>
      <c r="D302" s="26">
        <v>0</v>
      </c>
      <c r="E302" s="26">
        <v>1</v>
      </c>
      <c r="F302" s="26" t="s">
        <v>197</v>
      </c>
      <c r="G302" s="26" t="s">
        <v>198</v>
      </c>
      <c r="H302" s="26"/>
      <c r="I302" s="26">
        <v>0</v>
      </c>
      <c r="J302" s="26" t="s">
        <v>876</v>
      </c>
      <c r="K302" s="26" t="s">
        <v>994</v>
      </c>
      <c r="L302" s="26" t="s">
        <v>1992</v>
      </c>
      <c r="M302" s="26"/>
      <c r="N302" s="26" t="str">
        <f t="shared" si="7"/>
        <v>Event(UseSkill, shery.passive.buff.buffeffect.skilleffect.02)</v>
      </c>
      <c r="O302" s="26">
        <v>0</v>
      </c>
      <c r="P302" s="26">
        <v>0</v>
      </c>
      <c r="Q302" s="26"/>
      <c r="R302" s="26" t="b">
        <v>1</v>
      </c>
    </row>
    <row r="303" spans="1:18">
      <c r="A303" s="29" t="s">
        <v>640</v>
      </c>
      <c r="B303" s="26"/>
      <c r="C303" s="26"/>
      <c r="D303" s="26">
        <v>0</v>
      </c>
      <c r="E303" s="26">
        <v>1</v>
      </c>
      <c r="F303" s="26" t="s">
        <v>197</v>
      </c>
      <c r="G303" s="26" t="s">
        <v>198</v>
      </c>
      <c r="H303" s="26"/>
      <c r="I303" s="26">
        <v>0</v>
      </c>
      <c r="J303" s="26" t="s">
        <v>876</v>
      </c>
      <c r="K303" s="26" t="s">
        <v>994</v>
      </c>
      <c r="L303" s="26" t="s">
        <v>1993</v>
      </c>
      <c r="M303" s="26"/>
      <c r="N303" s="26" t="str">
        <f t="shared" si="7"/>
        <v>Event(UseSkill, shery.passive.buff.buffeffect.skilleffect.03)</v>
      </c>
      <c r="O303" s="26">
        <v>0</v>
      </c>
      <c r="P303" s="26">
        <v>0</v>
      </c>
      <c r="Q303" s="26"/>
      <c r="R303" s="26" t="b">
        <v>1</v>
      </c>
    </row>
    <row r="304" spans="1:18">
      <c r="A304" s="37" t="s">
        <v>642</v>
      </c>
      <c r="B304" s="34"/>
      <c r="C304" s="34"/>
      <c r="D304" s="34">
        <v>0</v>
      </c>
      <c r="E304" s="34">
        <v>1</v>
      </c>
      <c r="F304" s="34" t="s">
        <v>197</v>
      </c>
      <c r="G304" s="34" t="s">
        <v>198</v>
      </c>
      <c r="H304" s="34"/>
      <c r="I304" s="34">
        <v>0</v>
      </c>
      <c r="J304" s="34" t="s">
        <v>876</v>
      </c>
      <c r="K304" s="34" t="s">
        <v>994</v>
      </c>
      <c r="L304" s="34" t="s">
        <v>7083</v>
      </c>
      <c r="M304" s="34"/>
      <c r="N304" s="34" t="str">
        <f t="shared" si="7"/>
        <v>Event(UseSkill, shery.passive.buff.buffeffect.skilleffect.04)</v>
      </c>
      <c r="O304" s="34">
        <v>0</v>
      </c>
      <c r="P304" s="34">
        <v>0</v>
      </c>
      <c r="Q304" s="34"/>
      <c r="R304" s="34" t="b">
        <v>1</v>
      </c>
    </row>
    <row r="305" spans="1:18">
      <c r="A305" s="37" t="s">
        <v>644</v>
      </c>
      <c r="B305" s="34"/>
      <c r="C305" s="34"/>
      <c r="D305" s="34">
        <v>0</v>
      </c>
      <c r="E305" s="34">
        <v>1</v>
      </c>
      <c r="F305" s="34" t="s">
        <v>197</v>
      </c>
      <c r="G305" s="34" t="s">
        <v>198</v>
      </c>
      <c r="H305" s="34"/>
      <c r="I305" s="34">
        <v>0</v>
      </c>
      <c r="J305" s="34" t="s">
        <v>876</v>
      </c>
      <c r="K305" s="34" t="s">
        <v>994</v>
      </c>
      <c r="L305" s="34" t="s">
        <v>1994</v>
      </c>
      <c r="M305" s="34"/>
      <c r="N305" s="34" t="str">
        <f t="shared" si="7"/>
        <v>Event(UseSkill, shery.passive.buff.buffeffect.skilleffect.05)</v>
      </c>
      <c r="O305" s="34">
        <v>0</v>
      </c>
      <c r="P305" s="34">
        <v>0</v>
      </c>
      <c r="Q305" s="34"/>
      <c r="R305" s="34" t="b">
        <v>1</v>
      </c>
    </row>
    <row r="306" spans="1:18">
      <c r="A306" s="37" t="s">
        <v>646</v>
      </c>
      <c r="B306" s="34"/>
      <c r="C306" s="34"/>
      <c r="D306" s="34">
        <v>0</v>
      </c>
      <c r="E306" s="34">
        <v>1</v>
      </c>
      <c r="F306" s="34" t="s">
        <v>197</v>
      </c>
      <c r="G306" s="34" t="s">
        <v>198</v>
      </c>
      <c r="H306" s="34"/>
      <c r="I306" s="34">
        <v>0</v>
      </c>
      <c r="J306" s="34" t="s">
        <v>876</v>
      </c>
      <c r="K306" s="34" t="s">
        <v>994</v>
      </c>
      <c r="L306" s="34" t="s">
        <v>1995</v>
      </c>
      <c r="M306" s="34"/>
      <c r="N306" s="34" t="str">
        <f t="shared" si="7"/>
        <v>Event(UseSkill, shery.passive.buff.buffeffect.skilleffect.06)</v>
      </c>
      <c r="O306" s="34">
        <v>0</v>
      </c>
      <c r="P306" s="34">
        <v>0</v>
      </c>
      <c r="Q306" s="34"/>
      <c r="R306" s="34" t="b">
        <v>1</v>
      </c>
    </row>
    <row r="307" spans="1:18">
      <c r="A307" s="107" t="s">
        <v>2000</v>
      </c>
      <c r="B307" s="25"/>
      <c r="C307" s="25"/>
      <c r="D307" s="25">
        <v>0</v>
      </c>
      <c r="E307" s="25">
        <v>1</v>
      </c>
      <c r="F307" s="25" t="s">
        <v>197</v>
      </c>
      <c r="G307" s="25" t="s">
        <v>198</v>
      </c>
      <c r="H307" s="25"/>
      <c r="I307" s="25">
        <v>0</v>
      </c>
      <c r="J307" s="25" t="s">
        <v>838</v>
      </c>
      <c r="K307" s="25" t="s">
        <v>908</v>
      </c>
      <c r="L307" s="25">
        <v>10</v>
      </c>
      <c r="M307" s="25"/>
      <c r="N307" s="25" t="str">
        <f t="shared" si="7"/>
        <v>Status(AttackRatio, 10)</v>
      </c>
      <c r="O307" s="25">
        <v>0</v>
      </c>
      <c r="P307" s="25">
        <v>0</v>
      </c>
      <c r="Q307" s="25"/>
      <c r="R307" s="25" t="b">
        <v>1</v>
      </c>
    </row>
    <row r="308" spans="1:18">
      <c r="A308" s="107" t="s">
        <v>2001</v>
      </c>
      <c r="B308" s="25"/>
      <c r="C308" s="25"/>
      <c r="D308" s="25">
        <v>0</v>
      </c>
      <c r="E308" s="25">
        <v>1</v>
      </c>
      <c r="F308" s="25" t="s">
        <v>197</v>
      </c>
      <c r="G308" s="25" t="s">
        <v>198</v>
      </c>
      <c r="H308" s="25"/>
      <c r="I308" s="25">
        <v>0</v>
      </c>
      <c r="J308" s="25" t="s">
        <v>838</v>
      </c>
      <c r="K308" s="25" t="s">
        <v>908</v>
      </c>
      <c r="L308" s="25">
        <v>15</v>
      </c>
      <c r="M308" s="25"/>
      <c r="N308" s="25" t="str">
        <f t="shared" si="7"/>
        <v>Status(AttackRatio, 15)</v>
      </c>
      <c r="O308" s="25">
        <v>0</v>
      </c>
      <c r="P308" s="25">
        <v>0</v>
      </c>
      <c r="Q308" s="25"/>
      <c r="R308" s="25" t="b">
        <v>1</v>
      </c>
    </row>
    <row r="309" spans="1:18">
      <c r="A309" s="107" t="s">
        <v>2002</v>
      </c>
      <c r="B309" s="25"/>
      <c r="C309" s="25"/>
      <c r="D309" s="25">
        <v>0</v>
      </c>
      <c r="E309" s="25">
        <v>1</v>
      </c>
      <c r="F309" s="25" t="s">
        <v>197</v>
      </c>
      <c r="G309" s="25" t="s">
        <v>198</v>
      </c>
      <c r="H309" s="25"/>
      <c r="I309" s="25">
        <v>0</v>
      </c>
      <c r="J309" s="25" t="s">
        <v>838</v>
      </c>
      <c r="K309" s="25" t="s">
        <v>908</v>
      </c>
      <c r="L309" s="25">
        <v>20</v>
      </c>
      <c r="M309" s="25"/>
      <c r="N309" s="25" t="str">
        <f t="shared" si="7"/>
        <v>Status(AttackRatio, 20)</v>
      </c>
      <c r="O309" s="25">
        <v>0</v>
      </c>
      <c r="P309" s="25">
        <v>0</v>
      </c>
      <c r="Q309" s="25"/>
      <c r="R309" s="25" t="b">
        <v>1</v>
      </c>
    </row>
    <row r="310" spans="1:18">
      <c r="A310" s="37" t="s">
        <v>2003</v>
      </c>
      <c r="B310" s="34"/>
      <c r="C310" s="34"/>
      <c r="D310" s="34">
        <v>0</v>
      </c>
      <c r="E310" s="34">
        <v>1</v>
      </c>
      <c r="F310" s="34" t="s">
        <v>197</v>
      </c>
      <c r="G310" s="34" t="s">
        <v>198</v>
      </c>
      <c r="H310" s="34"/>
      <c r="I310" s="34">
        <v>0</v>
      </c>
      <c r="J310" s="34" t="s">
        <v>838</v>
      </c>
      <c r="K310" s="34" t="s">
        <v>908</v>
      </c>
      <c r="L310" s="34">
        <v>25</v>
      </c>
      <c r="M310" s="34"/>
      <c r="N310" s="34" t="str">
        <f t="shared" si="7"/>
        <v>Status(AttackRatio, 25)</v>
      </c>
      <c r="O310" s="34">
        <v>0</v>
      </c>
      <c r="P310" s="34">
        <v>0</v>
      </c>
      <c r="Q310" s="34"/>
      <c r="R310" s="34" t="b">
        <v>1</v>
      </c>
    </row>
    <row r="311" spans="1:18">
      <c r="A311" s="37" t="s">
        <v>2004</v>
      </c>
      <c r="B311" s="34"/>
      <c r="C311" s="34"/>
      <c r="D311" s="34">
        <v>0</v>
      </c>
      <c r="E311" s="34">
        <v>1</v>
      </c>
      <c r="F311" s="34" t="s">
        <v>197</v>
      </c>
      <c r="G311" s="34" t="s">
        <v>198</v>
      </c>
      <c r="H311" s="34"/>
      <c r="I311" s="34">
        <v>0</v>
      </c>
      <c r="J311" s="34" t="s">
        <v>838</v>
      </c>
      <c r="K311" s="34" t="s">
        <v>908</v>
      </c>
      <c r="L311" s="34">
        <v>30</v>
      </c>
      <c r="M311" s="34"/>
      <c r="N311" s="34" t="str">
        <f t="shared" si="7"/>
        <v>Status(AttackRatio, 30)</v>
      </c>
      <c r="O311" s="34">
        <v>0</v>
      </c>
      <c r="P311" s="34">
        <v>0</v>
      </c>
      <c r="Q311" s="34"/>
      <c r="R311" s="34" t="b">
        <v>1</v>
      </c>
    </row>
    <row r="312" spans="1:18">
      <c r="A312" s="37" t="s">
        <v>2005</v>
      </c>
      <c r="B312" s="34"/>
      <c r="C312" s="34"/>
      <c r="D312" s="34">
        <v>0</v>
      </c>
      <c r="E312" s="34">
        <v>1</v>
      </c>
      <c r="F312" s="34" t="s">
        <v>197</v>
      </c>
      <c r="G312" s="34" t="s">
        <v>198</v>
      </c>
      <c r="H312" s="34"/>
      <c r="I312" s="34">
        <v>0</v>
      </c>
      <c r="J312" s="34" t="s">
        <v>838</v>
      </c>
      <c r="K312" s="34" t="s">
        <v>908</v>
      </c>
      <c r="L312" s="34">
        <v>40</v>
      </c>
      <c r="M312" s="34"/>
      <c r="N312" s="34" t="str">
        <f t="shared" si="7"/>
        <v>Status(AttackRatio, 40)</v>
      </c>
      <c r="O312" s="34">
        <v>0</v>
      </c>
      <c r="P312" s="34">
        <v>0</v>
      </c>
      <c r="Q312" s="34"/>
      <c r="R312" s="34" t="b">
        <v>1</v>
      </c>
    </row>
    <row r="313" spans="1:18">
      <c r="A313" s="136" t="s">
        <v>7084</v>
      </c>
      <c r="B313" s="59" t="s">
        <v>1367</v>
      </c>
      <c r="C313" s="59" t="s">
        <v>2006</v>
      </c>
      <c r="D313" s="59">
        <v>0</v>
      </c>
      <c r="E313" s="59">
        <v>1</v>
      </c>
      <c r="F313" s="59" t="s">
        <v>197</v>
      </c>
      <c r="G313" s="59" t="s">
        <v>198</v>
      </c>
      <c r="H313" s="59"/>
      <c r="I313" s="59">
        <v>0</v>
      </c>
      <c r="J313" s="59" t="s">
        <v>838</v>
      </c>
      <c r="K313" s="59" t="s">
        <v>867</v>
      </c>
      <c r="L313" s="59">
        <v>100</v>
      </c>
      <c r="M313" s="59"/>
      <c r="N313" s="59" t="str">
        <f t="shared" si="7"/>
        <v>Status(CriticalRate, 100)</v>
      </c>
      <c r="O313" s="59">
        <v>0</v>
      </c>
      <c r="P313" s="59">
        <v>0</v>
      </c>
      <c r="Q313" s="59"/>
      <c r="R313" s="59" t="b">
        <v>1</v>
      </c>
    </row>
    <row r="314" spans="1:18" s="142" customFormat="1">
      <c r="A314" s="23" t="s">
        <v>4146</v>
      </c>
      <c r="B314" s="23"/>
      <c r="C314" s="23"/>
      <c r="D314" s="23">
        <v>0</v>
      </c>
      <c r="E314" s="23">
        <v>1</v>
      </c>
      <c r="F314" s="59" t="s">
        <v>197</v>
      </c>
      <c r="G314" s="59" t="s">
        <v>198</v>
      </c>
      <c r="H314" s="23"/>
      <c r="I314" s="23">
        <v>0</v>
      </c>
      <c r="J314" s="23" t="s">
        <v>893</v>
      </c>
      <c r="K314" s="23" t="s">
        <v>7085</v>
      </c>
      <c r="L314" s="23"/>
      <c r="M314" s="23"/>
      <c r="N314" s="23" t="str">
        <f t="shared" si="7"/>
        <v>Active(patricia.ult.pre.buff.burn.skilleffect)</v>
      </c>
      <c r="O314" s="23">
        <v>0</v>
      </c>
      <c r="P314" s="23">
        <v>0</v>
      </c>
      <c r="Q314" s="23"/>
      <c r="R314" s="23" t="b">
        <v>0</v>
      </c>
    </row>
    <row r="315" spans="1:18" s="142" customFormat="1">
      <c r="A315" s="23" t="s">
        <v>4147</v>
      </c>
      <c r="B315" s="23"/>
      <c r="C315" s="23"/>
      <c r="D315" s="23">
        <v>0</v>
      </c>
      <c r="E315" s="23">
        <v>1</v>
      </c>
      <c r="F315" s="59" t="s">
        <v>197</v>
      </c>
      <c r="G315" s="59" t="s">
        <v>198</v>
      </c>
      <c r="H315" s="23"/>
      <c r="I315" s="23">
        <v>0</v>
      </c>
      <c r="J315" s="23" t="s">
        <v>893</v>
      </c>
      <c r="K315" s="23" t="s">
        <v>7086</v>
      </c>
      <c r="L315" s="23"/>
      <c r="M315" s="23"/>
      <c r="N315" s="23" t="str">
        <f t="shared" si="7"/>
        <v>Active(patricia.ult.pre.buff.frost.skilleffect)</v>
      </c>
      <c r="O315" s="23">
        <v>0</v>
      </c>
      <c r="P315" s="23">
        <v>0</v>
      </c>
      <c r="Q315" s="23"/>
      <c r="R315" s="23" t="b">
        <v>0</v>
      </c>
    </row>
    <row r="316" spans="1:18" s="142" customFormat="1">
      <c r="A316" s="23" t="s">
        <v>4148</v>
      </c>
      <c r="B316" s="23"/>
      <c r="C316" s="23"/>
      <c r="D316" s="23">
        <v>0</v>
      </c>
      <c r="E316" s="23">
        <v>1</v>
      </c>
      <c r="F316" s="59" t="s">
        <v>197</v>
      </c>
      <c r="G316" s="59" t="s">
        <v>198</v>
      </c>
      <c r="H316" s="23"/>
      <c r="I316" s="23">
        <v>0</v>
      </c>
      <c r="J316" s="23" t="s">
        <v>893</v>
      </c>
      <c r="K316" s="23" t="s">
        <v>7087</v>
      </c>
      <c r="L316" s="23"/>
      <c r="M316" s="23"/>
      <c r="N316" s="23" t="str">
        <f t="shared" si="7"/>
        <v>Active(patricia.ult.pre.buff.poison.skilleffect)</v>
      </c>
      <c r="O316" s="23">
        <v>0</v>
      </c>
      <c r="P316" s="23">
        <v>0</v>
      </c>
      <c r="Q316" s="23"/>
      <c r="R316" s="23" t="b">
        <v>0</v>
      </c>
    </row>
    <row r="317" spans="1:18" s="142" customFormat="1">
      <c r="A317" s="23" t="s">
        <v>4149</v>
      </c>
      <c r="B317" s="23"/>
      <c r="C317" s="23"/>
      <c r="D317" s="23">
        <v>0</v>
      </c>
      <c r="E317" s="23">
        <v>1</v>
      </c>
      <c r="F317" s="59" t="s">
        <v>197</v>
      </c>
      <c r="G317" s="59" t="s">
        <v>198</v>
      </c>
      <c r="H317" s="23"/>
      <c r="I317" s="23">
        <v>0</v>
      </c>
      <c r="J317" s="23" t="s">
        <v>893</v>
      </c>
      <c r="K317" s="23" t="s">
        <v>7088</v>
      </c>
      <c r="L317" s="23"/>
      <c r="M317" s="23"/>
      <c r="N317" s="23" t="str">
        <f t="shared" si="7"/>
        <v>Active(patricia.ult.pre.buff.electric.skilleffect)</v>
      </c>
      <c r="O317" s="23">
        <v>0</v>
      </c>
      <c r="P317" s="23">
        <v>0</v>
      </c>
      <c r="Q317" s="23"/>
      <c r="R317" s="23" t="b">
        <v>0</v>
      </c>
    </row>
    <row r="318" spans="1:18" s="142" customFormat="1">
      <c r="A318" s="23" t="s">
        <v>4150</v>
      </c>
      <c r="B318" s="23"/>
      <c r="C318" s="23"/>
      <c r="D318" s="23">
        <v>0</v>
      </c>
      <c r="E318" s="23">
        <v>1</v>
      </c>
      <c r="F318" s="59" t="s">
        <v>197</v>
      </c>
      <c r="G318" s="59" t="s">
        <v>198</v>
      </c>
      <c r="H318" s="23"/>
      <c r="I318" s="23">
        <v>0</v>
      </c>
      <c r="J318" s="23" t="s">
        <v>893</v>
      </c>
      <c r="K318" s="23" t="s">
        <v>7089</v>
      </c>
      <c r="L318" s="23"/>
      <c r="M318" s="23"/>
      <c r="N318" s="23" t="str">
        <f t="shared" si="7"/>
        <v>Active(patricia.ult.pre.buff.bleed.skilleffect)</v>
      </c>
      <c r="O318" s="23">
        <v>0</v>
      </c>
      <c r="P318" s="23">
        <v>0</v>
      </c>
      <c r="Q318" s="23"/>
      <c r="R318" s="23" t="b">
        <v>0</v>
      </c>
    </row>
    <row r="319" spans="1:18">
      <c r="A319" s="24" t="s">
        <v>7090</v>
      </c>
      <c r="B319" s="24"/>
      <c r="C319" s="24"/>
      <c r="D319" s="24">
        <v>0</v>
      </c>
      <c r="E319" s="24">
        <v>1</v>
      </c>
      <c r="F319" s="24" t="s">
        <v>197</v>
      </c>
      <c r="G319" s="24" t="s">
        <v>198</v>
      </c>
      <c r="H319" s="24"/>
      <c r="I319" s="24">
        <v>0</v>
      </c>
      <c r="J319" s="24" t="s">
        <v>838</v>
      </c>
      <c r="K319" s="24" t="s">
        <v>872</v>
      </c>
      <c r="L319" s="24">
        <v>-200</v>
      </c>
      <c r="M319" s="24"/>
      <c r="N319" s="24" t="str">
        <f t="shared" si="7"/>
        <v>Status(MoveSpeedRate, -200)</v>
      </c>
      <c r="O319" s="24">
        <v>0</v>
      </c>
      <c r="P319" s="24">
        <v>0</v>
      </c>
      <c r="Q319" s="24"/>
      <c r="R319" s="24" t="b">
        <v>0</v>
      </c>
    </row>
    <row r="320" spans="1:18">
      <c r="A320" s="24" t="s">
        <v>4378</v>
      </c>
      <c r="B320" s="24"/>
      <c r="C320" s="24"/>
      <c r="D320" s="24">
        <v>0</v>
      </c>
      <c r="E320" s="24">
        <v>1</v>
      </c>
      <c r="F320" s="24" t="s">
        <v>197</v>
      </c>
      <c r="G320" s="24" t="s">
        <v>198</v>
      </c>
      <c r="H320" s="24"/>
      <c r="I320" s="24">
        <v>0</v>
      </c>
      <c r="J320" s="24" t="s">
        <v>838</v>
      </c>
      <c r="K320" s="24" t="s">
        <v>872</v>
      </c>
      <c r="L320" s="24">
        <v>-200</v>
      </c>
      <c r="M320" s="24"/>
      <c r="N320" s="24" t="str">
        <f t="shared" ref="N320:N389" si="12">J320&amp;"("&amp;IF(K320="","",K320)&amp;IF(L320="","",", "&amp;L320)&amp;IF(M320="","",", "&amp;M320)&amp;")"</f>
        <v>Status(MoveSpeedRate, -200)</v>
      </c>
      <c r="O320" s="24">
        <v>0</v>
      </c>
      <c r="P320" s="24">
        <v>0</v>
      </c>
      <c r="Q320" s="24"/>
      <c r="R320" s="24" t="b">
        <v>0</v>
      </c>
    </row>
    <row r="321" spans="1:18">
      <c r="A321" s="24" t="s">
        <v>4379</v>
      </c>
      <c r="B321" s="24"/>
      <c r="C321" s="24"/>
      <c r="D321" s="24">
        <v>0</v>
      </c>
      <c r="E321" s="24">
        <v>1</v>
      </c>
      <c r="F321" s="24" t="s">
        <v>197</v>
      </c>
      <c r="G321" s="24" t="s">
        <v>198</v>
      </c>
      <c r="H321" s="24"/>
      <c r="I321" s="24">
        <v>0</v>
      </c>
      <c r="J321" s="24" t="s">
        <v>838</v>
      </c>
      <c r="K321" s="24" t="s">
        <v>872</v>
      </c>
      <c r="L321" s="24">
        <v>-200</v>
      </c>
      <c r="M321" s="24"/>
      <c r="N321" s="24" t="str">
        <f t="shared" si="12"/>
        <v>Status(MoveSpeedRate, -200)</v>
      </c>
      <c r="O321" s="24">
        <v>0</v>
      </c>
      <c r="P321" s="24">
        <v>0</v>
      </c>
      <c r="Q321" s="24"/>
      <c r="R321" s="24" t="b">
        <v>0</v>
      </c>
    </row>
    <row r="322" spans="1:18">
      <c r="A322" s="24" t="s">
        <v>4380</v>
      </c>
      <c r="B322" s="24"/>
      <c r="C322" s="24"/>
      <c r="D322" s="24">
        <v>0</v>
      </c>
      <c r="E322" s="24">
        <v>1</v>
      </c>
      <c r="F322" s="24" t="s">
        <v>197</v>
      </c>
      <c r="G322" s="24" t="s">
        <v>198</v>
      </c>
      <c r="H322" s="24"/>
      <c r="I322" s="24">
        <v>0</v>
      </c>
      <c r="J322" s="24" t="s">
        <v>838</v>
      </c>
      <c r="K322" s="24" t="s">
        <v>872</v>
      </c>
      <c r="L322" s="24">
        <v>-200</v>
      </c>
      <c r="M322" s="24"/>
      <c r="N322" s="24" t="str">
        <f t="shared" si="12"/>
        <v>Status(MoveSpeedRate, -200)</v>
      </c>
      <c r="O322" s="24">
        <v>0</v>
      </c>
      <c r="P322" s="24">
        <v>0</v>
      </c>
      <c r="Q322" s="24"/>
      <c r="R322" s="24" t="b">
        <v>0</v>
      </c>
    </row>
    <row r="323" spans="1:18">
      <c r="A323" s="24" t="s">
        <v>4381</v>
      </c>
      <c r="B323" s="24"/>
      <c r="C323" s="24"/>
      <c r="D323" s="24">
        <v>0</v>
      </c>
      <c r="E323" s="24">
        <v>1</v>
      </c>
      <c r="F323" s="24" t="s">
        <v>197</v>
      </c>
      <c r="G323" s="24" t="s">
        <v>198</v>
      </c>
      <c r="H323" s="24"/>
      <c r="I323" s="24">
        <v>0</v>
      </c>
      <c r="J323" s="24" t="s">
        <v>838</v>
      </c>
      <c r="K323" s="24" t="s">
        <v>872</v>
      </c>
      <c r="L323" s="24">
        <v>-200</v>
      </c>
      <c r="M323" s="24"/>
      <c r="N323" s="24" t="str">
        <f t="shared" si="12"/>
        <v>Status(MoveSpeedRate, -200)</v>
      </c>
      <c r="O323" s="24">
        <v>0</v>
      </c>
      <c r="P323" s="24">
        <v>0</v>
      </c>
      <c r="Q323" s="24"/>
      <c r="R323" s="24" t="b">
        <v>0</v>
      </c>
    </row>
    <row r="324" spans="1:18">
      <c r="A324" s="24" t="s">
        <v>4382</v>
      </c>
      <c r="B324" s="24"/>
      <c r="C324" s="24"/>
      <c r="D324" s="24">
        <v>0</v>
      </c>
      <c r="E324" s="24">
        <v>1</v>
      </c>
      <c r="F324" s="24" t="s">
        <v>197</v>
      </c>
      <c r="G324" s="24" t="s">
        <v>198</v>
      </c>
      <c r="H324" s="24"/>
      <c r="I324" s="24">
        <v>0</v>
      </c>
      <c r="J324" s="24" t="s">
        <v>838</v>
      </c>
      <c r="K324" s="24" t="s">
        <v>872</v>
      </c>
      <c r="L324" s="24">
        <v>-100</v>
      </c>
      <c r="M324" s="24"/>
      <c r="N324" s="24" t="str">
        <f t="shared" si="12"/>
        <v>Status(MoveSpeedRate, -100)</v>
      </c>
      <c r="O324" s="24">
        <v>0</v>
      </c>
      <c r="P324" s="24">
        <v>0</v>
      </c>
      <c r="Q324" s="24"/>
      <c r="R324" s="24" t="b">
        <v>0</v>
      </c>
    </row>
    <row r="325" spans="1:18">
      <c r="A325" s="24" t="s">
        <v>4383</v>
      </c>
      <c r="B325" s="24"/>
      <c r="C325" s="24"/>
      <c r="D325" s="24">
        <v>0</v>
      </c>
      <c r="E325" s="24">
        <v>1</v>
      </c>
      <c r="F325" s="24" t="s">
        <v>197</v>
      </c>
      <c r="G325" s="24" t="s">
        <v>198</v>
      </c>
      <c r="H325" s="24"/>
      <c r="I325" s="24">
        <v>0</v>
      </c>
      <c r="J325" s="24" t="s">
        <v>838</v>
      </c>
      <c r="K325" s="24" t="s">
        <v>872</v>
      </c>
      <c r="L325" s="24">
        <v>-100</v>
      </c>
      <c r="M325" s="24"/>
      <c r="N325" s="24" t="str">
        <f t="shared" si="12"/>
        <v>Status(MoveSpeedRate, -100)</v>
      </c>
      <c r="O325" s="24">
        <v>0</v>
      </c>
      <c r="P325" s="24">
        <v>0</v>
      </c>
      <c r="Q325" s="24"/>
      <c r="R325" s="24" t="b">
        <v>0</v>
      </c>
    </row>
    <row r="326" spans="1:18" s="160" customFormat="1">
      <c r="A326" s="65" t="s">
        <v>2901</v>
      </c>
      <c r="B326" s="65"/>
      <c r="C326" s="65"/>
      <c r="D326" s="65">
        <v>0</v>
      </c>
      <c r="E326" s="65">
        <v>1</v>
      </c>
      <c r="F326" s="65" t="s">
        <v>197</v>
      </c>
      <c r="G326" s="65" t="s">
        <v>198</v>
      </c>
      <c r="H326" s="65"/>
      <c r="I326" s="65">
        <v>0</v>
      </c>
      <c r="J326" s="65" t="s">
        <v>838</v>
      </c>
      <c r="K326" s="65" t="s">
        <v>918</v>
      </c>
      <c r="L326" s="65">
        <v>-160</v>
      </c>
      <c r="M326" s="65"/>
      <c r="N326" s="65" t="str">
        <f t="shared" si="12"/>
        <v>Status(AttackSpeedRate, -160)</v>
      </c>
      <c r="O326" s="65">
        <v>0</v>
      </c>
      <c r="P326" s="65">
        <v>0</v>
      </c>
      <c r="Q326" s="65"/>
      <c r="R326" s="65" t="b">
        <v>0</v>
      </c>
    </row>
    <row r="327" spans="1:18" s="160" customFormat="1">
      <c r="A327" s="65" t="s">
        <v>2902</v>
      </c>
      <c r="B327" s="65"/>
      <c r="C327" s="65"/>
      <c r="D327" s="65">
        <v>0</v>
      </c>
      <c r="E327" s="65">
        <v>1</v>
      </c>
      <c r="F327" s="65" t="s">
        <v>197</v>
      </c>
      <c r="G327" s="65" t="s">
        <v>198</v>
      </c>
      <c r="H327" s="65"/>
      <c r="I327" s="65">
        <v>0</v>
      </c>
      <c r="J327" s="65" t="s">
        <v>838</v>
      </c>
      <c r="K327" s="65" t="s">
        <v>918</v>
      </c>
      <c r="L327" s="65">
        <v>-180</v>
      </c>
      <c r="M327" s="65"/>
      <c r="N327" s="65" t="str">
        <f t="shared" si="12"/>
        <v>Status(AttackSpeedRate, -180)</v>
      </c>
      <c r="O327" s="65">
        <v>0</v>
      </c>
      <c r="P327" s="65">
        <v>0</v>
      </c>
      <c r="Q327" s="65"/>
      <c r="R327" s="65" t="b">
        <v>0</v>
      </c>
    </row>
    <row r="328" spans="1:18" s="160" customFormat="1">
      <c r="A328" s="65" t="s">
        <v>2903</v>
      </c>
      <c r="B328" s="65"/>
      <c r="C328" s="65"/>
      <c r="D328" s="65">
        <v>0</v>
      </c>
      <c r="E328" s="65">
        <v>1</v>
      </c>
      <c r="F328" s="65" t="s">
        <v>197</v>
      </c>
      <c r="G328" s="65" t="s">
        <v>198</v>
      </c>
      <c r="H328" s="65"/>
      <c r="I328" s="65">
        <v>0</v>
      </c>
      <c r="J328" s="65" t="s">
        <v>838</v>
      </c>
      <c r="K328" s="65" t="s">
        <v>918</v>
      </c>
      <c r="L328" s="65">
        <v>-200</v>
      </c>
      <c r="M328" s="65"/>
      <c r="N328" s="65" t="str">
        <f t="shared" si="12"/>
        <v>Status(AttackSpeedRate, -200)</v>
      </c>
      <c r="O328" s="65">
        <v>0</v>
      </c>
      <c r="P328" s="65">
        <v>0</v>
      </c>
      <c r="Q328" s="65"/>
      <c r="R328" s="65" t="b">
        <v>0</v>
      </c>
    </row>
    <row r="329" spans="1:18" s="160" customFormat="1">
      <c r="A329" s="65" t="s">
        <v>2904</v>
      </c>
      <c r="B329" s="65"/>
      <c r="C329" s="65"/>
      <c r="D329" s="65">
        <v>0</v>
      </c>
      <c r="E329" s="65">
        <v>1</v>
      </c>
      <c r="F329" s="65" t="s">
        <v>197</v>
      </c>
      <c r="G329" s="65" t="s">
        <v>198</v>
      </c>
      <c r="H329" s="65"/>
      <c r="I329" s="65">
        <v>0</v>
      </c>
      <c r="J329" s="65" t="s">
        <v>838</v>
      </c>
      <c r="K329" s="65" t="s">
        <v>918</v>
      </c>
      <c r="L329" s="65">
        <v>-220</v>
      </c>
      <c r="M329" s="65"/>
      <c r="N329" s="65" t="str">
        <f t="shared" si="12"/>
        <v>Status(AttackSpeedRate, -220)</v>
      </c>
      <c r="O329" s="65">
        <v>0</v>
      </c>
      <c r="P329" s="65">
        <v>0</v>
      </c>
      <c r="Q329" s="65"/>
      <c r="R329" s="65" t="b">
        <v>0</v>
      </c>
    </row>
    <row r="330" spans="1:18" s="160" customFormat="1">
      <c r="A330" s="65" t="s">
        <v>3300</v>
      </c>
      <c r="B330" s="65"/>
      <c r="C330" s="65"/>
      <c r="D330" s="65">
        <v>0</v>
      </c>
      <c r="E330" s="65">
        <v>1</v>
      </c>
      <c r="F330" s="65" t="s">
        <v>197</v>
      </c>
      <c r="G330" s="65" t="s">
        <v>198</v>
      </c>
      <c r="H330" s="65"/>
      <c r="I330" s="65">
        <v>0</v>
      </c>
      <c r="J330" s="65" t="s">
        <v>838</v>
      </c>
      <c r="K330" s="65" t="s">
        <v>918</v>
      </c>
      <c r="L330" s="65">
        <v>-240</v>
      </c>
      <c r="M330" s="65"/>
      <c r="N330" s="65" t="str">
        <f t="shared" si="12"/>
        <v>Status(AttackSpeedRate, -240)</v>
      </c>
      <c r="O330" s="65">
        <v>0</v>
      </c>
      <c r="P330" s="65">
        <v>0</v>
      </c>
      <c r="Q330" s="65"/>
      <c r="R330" s="65" t="b">
        <v>0</v>
      </c>
    </row>
    <row r="331" spans="1:18" s="160" customFormat="1">
      <c r="A331" s="65" t="s">
        <v>3301</v>
      </c>
      <c r="B331" s="65"/>
      <c r="C331" s="65"/>
      <c r="D331" s="65">
        <v>0</v>
      </c>
      <c r="E331" s="65">
        <v>1</v>
      </c>
      <c r="F331" s="65" t="s">
        <v>197</v>
      </c>
      <c r="G331" s="65" t="s">
        <v>198</v>
      </c>
      <c r="H331" s="65"/>
      <c r="I331" s="65">
        <v>0</v>
      </c>
      <c r="J331" s="65" t="s">
        <v>838</v>
      </c>
      <c r="K331" s="65" t="s">
        <v>918</v>
      </c>
      <c r="L331" s="65">
        <v>-100</v>
      </c>
      <c r="M331" s="65"/>
      <c r="N331" s="65" t="str">
        <f t="shared" si="12"/>
        <v>Status(AttackSpeedRate, -100)</v>
      </c>
      <c r="O331" s="65">
        <v>0</v>
      </c>
      <c r="P331" s="65">
        <v>0</v>
      </c>
      <c r="Q331" s="65"/>
      <c r="R331" s="65" t="b">
        <v>0</v>
      </c>
    </row>
    <row r="332" spans="1:18" s="160" customFormat="1">
      <c r="A332" s="65" t="s">
        <v>3302</v>
      </c>
      <c r="B332" s="65"/>
      <c r="C332" s="65"/>
      <c r="D332" s="65">
        <v>0</v>
      </c>
      <c r="E332" s="65">
        <v>1</v>
      </c>
      <c r="F332" s="65" t="s">
        <v>197</v>
      </c>
      <c r="G332" s="65" t="s">
        <v>198</v>
      </c>
      <c r="H332" s="65"/>
      <c r="I332" s="65">
        <v>0</v>
      </c>
      <c r="J332" s="65" t="s">
        <v>838</v>
      </c>
      <c r="K332" s="65" t="s">
        <v>918</v>
      </c>
      <c r="L332" s="65">
        <v>-100</v>
      </c>
      <c r="M332" s="65"/>
      <c r="N332" s="65" t="str">
        <f t="shared" si="12"/>
        <v>Status(AttackSpeedRate, -100)</v>
      </c>
      <c r="O332" s="65">
        <v>0</v>
      </c>
      <c r="P332" s="65">
        <v>0</v>
      </c>
      <c r="Q332" s="65"/>
      <c r="R332" s="65" t="b">
        <v>0</v>
      </c>
    </row>
    <row r="333" spans="1:18" s="142" customFormat="1">
      <c r="A333" s="23" t="s">
        <v>4159</v>
      </c>
      <c r="B333" s="23"/>
      <c r="C333" s="23"/>
      <c r="D333" s="23">
        <v>0</v>
      </c>
      <c r="E333" s="23">
        <v>1</v>
      </c>
      <c r="F333" s="59" t="s">
        <v>197</v>
      </c>
      <c r="G333" s="59" t="s">
        <v>198</v>
      </c>
      <c r="H333" s="23"/>
      <c r="I333" s="23">
        <v>0</v>
      </c>
      <c r="J333" s="23" t="s">
        <v>893</v>
      </c>
      <c r="K333" s="23" t="s">
        <v>4160</v>
      </c>
      <c r="L333" s="23"/>
      <c r="M333" s="23"/>
      <c r="N333" s="23" t="str">
        <f t="shared" si="12"/>
        <v>Active(patricia.active1.pre.buff.burn.skilleffect)</v>
      </c>
      <c r="O333" s="23">
        <v>0</v>
      </c>
      <c r="P333" s="23">
        <v>0</v>
      </c>
      <c r="Q333" s="23"/>
      <c r="R333" s="23" t="b">
        <v>0</v>
      </c>
    </row>
    <row r="334" spans="1:18" s="142" customFormat="1">
      <c r="A334" s="23" t="s">
        <v>4161</v>
      </c>
      <c r="B334" s="23"/>
      <c r="C334" s="23"/>
      <c r="D334" s="23">
        <v>0</v>
      </c>
      <c r="E334" s="23">
        <v>1</v>
      </c>
      <c r="F334" s="59" t="s">
        <v>197</v>
      </c>
      <c r="G334" s="59" t="s">
        <v>198</v>
      </c>
      <c r="H334" s="23"/>
      <c r="I334" s="23">
        <v>0</v>
      </c>
      <c r="J334" s="23" t="s">
        <v>893</v>
      </c>
      <c r="K334" s="23" t="s">
        <v>4162</v>
      </c>
      <c r="L334" s="23"/>
      <c r="M334" s="23"/>
      <c r="N334" s="23" t="str">
        <f t="shared" si="12"/>
        <v>Active(patricia.active1.pre.buff.frost.skilleffect)</v>
      </c>
      <c r="O334" s="23">
        <v>0</v>
      </c>
      <c r="P334" s="23">
        <v>0</v>
      </c>
      <c r="Q334" s="23"/>
      <c r="R334" s="23" t="b">
        <v>0</v>
      </c>
    </row>
    <row r="335" spans="1:18" s="142" customFormat="1">
      <c r="A335" s="23" t="s">
        <v>4163</v>
      </c>
      <c r="B335" s="23"/>
      <c r="C335" s="23"/>
      <c r="D335" s="23">
        <v>0</v>
      </c>
      <c r="E335" s="23">
        <v>1</v>
      </c>
      <c r="F335" s="59" t="s">
        <v>197</v>
      </c>
      <c r="G335" s="59" t="s">
        <v>198</v>
      </c>
      <c r="H335" s="23"/>
      <c r="I335" s="23">
        <v>0</v>
      </c>
      <c r="J335" s="23" t="s">
        <v>893</v>
      </c>
      <c r="K335" s="23" t="s">
        <v>4164</v>
      </c>
      <c r="L335" s="23"/>
      <c r="M335" s="23"/>
      <c r="N335" s="23" t="str">
        <f t="shared" si="12"/>
        <v>Active(patricia.active1.pre.buff.poison.skilleffect)</v>
      </c>
      <c r="O335" s="23">
        <v>0</v>
      </c>
      <c r="P335" s="23">
        <v>0</v>
      </c>
      <c r="Q335" s="23"/>
      <c r="R335" s="23" t="b">
        <v>0</v>
      </c>
    </row>
    <row r="336" spans="1:18" s="142" customFormat="1">
      <c r="A336" s="23" t="s">
        <v>4165</v>
      </c>
      <c r="B336" s="23"/>
      <c r="C336" s="23"/>
      <c r="D336" s="23">
        <v>0</v>
      </c>
      <c r="E336" s="23">
        <v>1</v>
      </c>
      <c r="F336" s="59" t="s">
        <v>197</v>
      </c>
      <c r="G336" s="59" t="s">
        <v>198</v>
      </c>
      <c r="H336" s="23"/>
      <c r="I336" s="23">
        <v>0</v>
      </c>
      <c r="J336" s="23" t="s">
        <v>893</v>
      </c>
      <c r="K336" s="23" t="s">
        <v>4166</v>
      </c>
      <c r="L336" s="23"/>
      <c r="M336" s="23"/>
      <c r="N336" s="23" t="str">
        <f t="shared" si="12"/>
        <v>Active(patricia.active1.pre.buff.electric.skilleffect)</v>
      </c>
      <c r="O336" s="23">
        <v>0</v>
      </c>
      <c r="P336" s="23">
        <v>0</v>
      </c>
      <c r="Q336" s="23"/>
      <c r="R336" s="23" t="b">
        <v>0</v>
      </c>
    </row>
    <row r="337" spans="1:18" s="142" customFormat="1">
      <c r="A337" s="23" t="s">
        <v>4167</v>
      </c>
      <c r="B337" s="23"/>
      <c r="C337" s="23"/>
      <c r="D337" s="23">
        <v>0</v>
      </c>
      <c r="E337" s="23">
        <v>1</v>
      </c>
      <c r="F337" s="59" t="s">
        <v>197</v>
      </c>
      <c r="G337" s="59" t="s">
        <v>198</v>
      </c>
      <c r="H337" s="23"/>
      <c r="I337" s="23">
        <v>0</v>
      </c>
      <c r="J337" s="23" t="s">
        <v>893</v>
      </c>
      <c r="K337" s="23" t="s">
        <v>4168</v>
      </c>
      <c r="L337" s="23"/>
      <c r="M337" s="23"/>
      <c r="N337" s="23" t="str">
        <f t="shared" si="12"/>
        <v>Active(patricia.active1.pre.buff.bleed.skilleffect)</v>
      </c>
      <c r="O337" s="23">
        <v>0</v>
      </c>
      <c r="P337" s="23">
        <v>0</v>
      </c>
      <c r="Q337" s="23"/>
      <c r="R337" s="23" t="b">
        <v>0</v>
      </c>
    </row>
    <row r="338" spans="1:18" s="13" customFormat="1">
      <c r="A338" s="59" t="s">
        <v>7091</v>
      </c>
      <c r="B338" s="59"/>
      <c r="C338" s="59"/>
      <c r="D338" s="59">
        <v>0</v>
      </c>
      <c r="E338" s="59">
        <v>1</v>
      </c>
      <c r="F338" s="59" t="s">
        <v>197</v>
      </c>
      <c r="G338" s="59" t="s">
        <v>198</v>
      </c>
      <c r="H338" s="59"/>
      <c r="I338" s="59">
        <v>0</v>
      </c>
      <c r="J338" s="59" t="s">
        <v>916</v>
      </c>
      <c r="K338" s="59" t="s">
        <v>917</v>
      </c>
      <c r="L338" s="59"/>
      <c r="M338" s="59"/>
      <c r="N338" s="59" t="str">
        <f t="shared" si="12"/>
        <v>ChangeSkill(Normal)</v>
      </c>
      <c r="O338" s="59">
        <v>0</v>
      </c>
      <c r="P338" s="59">
        <v>0</v>
      </c>
      <c r="Q338" s="59"/>
      <c r="R338" s="59" t="b">
        <v>1</v>
      </c>
    </row>
    <row r="339" spans="1:18" s="143" customFormat="1">
      <c r="A339" s="25" t="s">
        <v>4181</v>
      </c>
      <c r="B339" s="25"/>
      <c r="C339" s="25"/>
      <c r="D339" s="25">
        <v>0</v>
      </c>
      <c r="E339" s="25">
        <v>1</v>
      </c>
      <c r="F339" s="25" t="s">
        <v>197</v>
      </c>
      <c r="G339" s="25" t="s">
        <v>198</v>
      </c>
      <c r="H339" s="25"/>
      <c r="I339" s="25">
        <v>0</v>
      </c>
      <c r="J339" s="25" t="s">
        <v>838</v>
      </c>
      <c r="K339" s="25" t="s">
        <v>908</v>
      </c>
      <c r="L339" s="25">
        <v>250</v>
      </c>
      <c r="M339" s="25"/>
      <c r="N339" s="25" t="str">
        <f t="shared" si="12"/>
        <v>Status(AttackRatio, 250)</v>
      </c>
      <c r="O339" s="25">
        <v>0</v>
      </c>
      <c r="P339" s="25">
        <v>0</v>
      </c>
      <c r="Q339" s="25"/>
      <c r="R339" s="25" t="b">
        <v>0</v>
      </c>
    </row>
    <row r="340" spans="1:18" s="143" customFormat="1">
      <c r="A340" s="25" t="s">
        <v>4182</v>
      </c>
      <c r="B340" s="25"/>
      <c r="C340" s="25"/>
      <c r="D340" s="25">
        <v>0</v>
      </c>
      <c r="E340" s="25">
        <v>1</v>
      </c>
      <c r="F340" s="25" t="s">
        <v>197</v>
      </c>
      <c r="G340" s="25" t="s">
        <v>198</v>
      </c>
      <c r="H340" s="25"/>
      <c r="I340" s="25">
        <v>0</v>
      </c>
      <c r="J340" s="25" t="s">
        <v>838</v>
      </c>
      <c r="K340" s="25" t="s">
        <v>908</v>
      </c>
      <c r="L340" s="25">
        <v>250</v>
      </c>
      <c r="M340" s="25"/>
      <c r="N340" s="25" t="str">
        <f t="shared" si="12"/>
        <v>Status(AttackRatio, 250)</v>
      </c>
      <c r="O340" s="25">
        <v>0</v>
      </c>
      <c r="P340" s="25">
        <v>0</v>
      </c>
      <c r="Q340" s="25"/>
      <c r="R340" s="25" t="b">
        <v>0</v>
      </c>
    </row>
    <row r="341" spans="1:18" s="143" customFormat="1">
      <c r="A341" s="25" t="s">
        <v>4183</v>
      </c>
      <c r="B341" s="25"/>
      <c r="C341" s="25"/>
      <c r="D341" s="25">
        <v>0</v>
      </c>
      <c r="E341" s="25">
        <v>1</v>
      </c>
      <c r="F341" s="25" t="s">
        <v>197</v>
      </c>
      <c r="G341" s="25" t="s">
        <v>198</v>
      </c>
      <c r="H341" s="25"/>
      <c r="I341" s="25">
        <v>0</v>
      </c>
      <c r="J341" s="25" t="s">
        <v>838</v>
      </c>
      <c r="K341" s="25" t="s">
        <v>908</v>
      </c>
      <c r="L341" s="25">
        <v>250</v>
      </c>
      <c r="M341" s="25"/>
      <c r="N341" s="25" t="str">
        <f t="shared" si="12"/>
        <v>Status(AttackRatio, 250)</v>
      </c>
      <c r="O341" s="25">
        <v>0</v>
      </c>
      <c r="P341" s="25">
        <v>0</v>
      </c>
      <c r="Q341" s="25"/>
      <c r="R341" s="25" t="b">
        <v>0</v>
      </c>
    </row>
    <row r="342" spans="1:18" s="143" customFormat="1">
      <c r="A342" s="25" t="s">
        <v>4184</v>
      </c>
      <c r="B342" s="25"/>
      <c r="C342" s="25"/>
      <c r="D342" s="25">
        <v>0</v>
      </c>
      <c r="E342" s="25">
        <v>1</v>
      </c>
      <c r="F342" s="25" t="s">
        <v>197</v>
      </c>
      <c r="G342" s="25" t="s">
        <v>198</v>
      </c>
      <c r="H342" s="25"/>
      <c r="I342" s="25">
        <v>0</v>
      </c>
      <c r="J342" s="25" t="s">
        <v>838</v>
      </c>
      <c r="K342" s="25" t="s">
        <v>908</v>
      </c>
      <c r="L342" s="25">
        <v>300</v>
      </c>
      <c r="M342" s="25"/>
      <c r="N342" s="25" t="str">
        <f t="shared" si="12"/>
        <v>Status(AttackRatio, 300)</v>
      </c>
      <c r="O342" s="25">
        <v>0</v>
      </c>
      <c r="P342" s="25">
        <v>0</v>
      </c>
      <c r="Q342" s="25"/>
      <c r="R342" s="25" t="b">
        <v>0</v>
      </c>
    </row>
    <row r="343" spans="1:18" s="143" customFormat="1">
      <c r="A343" s="25" t="s">
        <v>4185</v>
      </c>
      <c r="B343" s="25"/>
      <c r="C343" s="25"/>
      <c r="D343" s="25">
        <v>0</v>
      </c>
      <c r="E343" s="25">
        <v>1</v>
      </c>
      <c r="F343" s="25" t="s">
        <v>197</v>
      </c>
      <c r="G343" s="25" t="s">
        <v>198</v>
      </c>
      <c r="H343" s="25"/>
      <c r="I343" s="25">
        <v>0</v>
      </c>
      <c r="J343" s="25" t="s">
        <v>838</v>
      </c>
      <c r="K343" s="25" t="s">
        <v>908</v>
      </c>
      <c r="L343" s="25">
        <v>180</v>
      </c>
      <c r="M343" s="25"/>
      <c r="N343" s="25" t="str">
        <f t="shared" si="12"/>
        <v>Status(AttackRatio, 180)</v>
      </c>
      <c r="O343" s="25">
        <v>0</v>
      </c>
      <c r="P343" s="25">
        <v>0</v>
      </c>
      <c r="Q343" s="25"/>
      <c r="R343" s="25" t="b">
        <v>0</v>
      </c>
    </row>
    <row r="344" spans="1:18" s="143" customFormat="1">
      <c r="A344" s="25" t="s">
        <v>4186</v>
      </c>
      <c r="B344" s="25"/>
      <c r="C344" s="25"/>
      <c r="D344" s="25">
        <v>0</v>
      </c>
      <c r="E344" s="25">
        <v>1</v>
      </c>
      <c r="F344" s="25" t="s">
        <v>197</v>
      </c>
      <c r="G344" s="25" t="s">
        <v>198</v>
      </c>
      <c r="H344" s="25"/>
      <c r="I344" s="25">
        <v>0</v>
      </c>
      <c r="J344" s="25" t="s">
        <v>838</v>
      </c>
      <c r="K344" s="25" t="s">
        <v>908</v>
      </c>
      <c r="L344" s="25">
        <v>200</v>
      </c>
      <c r="M344" s="25"/>
      <c r="N344" s="25" t="str">
        <f t="shared" si="12"/>
        <v>Status(AttackRatio, 200)</v>
      </c>
      <c r="O344" s="25">
        <v>0</v>
      </c>
      <c r="P344" s="25">
        <v>0</v>
      </c>
      <c r="Q344" s="25"/>
      <c r="R344" s="25" t="b">
        <v>0</v>
      </c>
    </row>
    <row r="345" spans="1:18">
      <c r="A345" s="24" t="s">
        <v>7092</v>
      </c>
      <c r="B345" s="24"/>
      <c r="C345" s="24"/>
      <c r="D345" s="24">
        <v>0</v>
      </c>
      <c r="E345" s="24">
        <v>1</v>
      </c>
      <c r="F345" s="24" t="s">
        <v>197</v>
      </c>
      <c r="G345" s="24" t="s">
        <v>198</v>
      </c>
      <c r="H345" s="24"/>
      <c r="I345" s="24">
        <v>0</v>
      </c>
      <c r="J345" s="24" t="s">
        <v>191</v>
      </c>
      <c r="K345" s="24" t="s">
        <v>927</v>
      </c>
      <c r="L345" s="24" t="s">
        <v>962</v>
      </c>
      <c r="M345" s="24"/>
      <c r="N345" s="24" t="str">
        <f t="shared" si="12"/>
        <v>Effect(OnHitNormal, patricia.passive.buff.buffeffect.skilleffect.01)</v>
      </c>
      <c r="O345" s="24">
        <v>0</v>
      </c>
      <c r="P345" s="24">
        <v>0</v>
      </c>
      <c r="Q345" s="24"/>
      <c r="R345" s="24" t="b">
        <v>0</v>
      </c>
    </row>
    <row r="346" spans="1:18">
      <c r="A346" s="24" t="s">
        <v>650</v>
      </c>
      <c r="B346" s="24"/>
      <c r="C346" s="24"/>
      <c r="D346" s="24">
        <v>0</v>
      </c>
      <c r="E346" s="24">
        <v>1</v>
      </c>
      <c r="F346" s="24" t="s">
        <v>197</v>
      </c>
      <c r="G346" s="24" t="s">
        <v>198</v>
      </c>
      <c r="H346" s="24"/>
      <c r="I346" s="24">
        <v>0</v>
      </c>
      <c r="J346" s="24" t="s">
        <v>191</v>
      </c>
      <c r="K346" s="24" t="s">
        <v>927</v>
      </c>
      <c r="L346" s="24" t="s">
        <v>963</v>
      </c>
      <c r="M346" s="24"/>
      <c r="N346" s="24" t="str">
        <f t="shared" si="12"/>
        <v>Effect(OnHitNormal, patricia.passive.buff.buffeffect.skilleffect.02)</v>
      </c>
      <c r="O346" s="24">
        <v>0</v>
      </c>
      <c r="P346" s="24">
        <v>0</v>
      </c>
      <c r="Q346" s="24"/>
      <c r="R346" s="24" t="b">
        <v>0</v>
      </c>
    </row>
    <row r="347" spans="1:18">
      <c r="A347" s="24" t="s">
        <v>652</v>
      </c>
      <c r="B347" s="24"/>
      <c r="C347" s="24"/>
      <c r="D347" s="24">
        <v>0</v>
      </c>
      <c r="E347" s="24">
        <v>1</v>
      </c>
      <c r="F347" s="24" t="s">
        <v>197</v>
      </c>
      <c r="G347" s="24" t="s">
        <v>198</v>
      </c>
      <c r="H347" s="24"/>
      <c r="I347" s="24">
        <v>0</v>
      </c>
      <c r="J347" s="24" t="s">
        <v>191</v>
      </c>
      <c r="K347" s="24" t="s">
        <v>927</v>
      </c>
      <c r="L347" s="24" t="s">
        <v>964</v>
      </c>
      <c r="M347" s="24"/>
      <c r="N347" s="24" t="str">
        <f t="shared" si="12"/>
        <v>Effect(OnHitNormal, patricia.passive.buff.buffeffect.skilleffect.03)</v>
      </c>
      <c r="O347" s="24">
        <v>0</v>
      </c>
      <c r="P347" s="24">
        <v>0</v>
      </c>
      <c r="Q347" s="24"/>
      <c r="R347" s="24" t="b">
        <v>0</v>
      </c>
    </row>
    <row r="348" spans="1:18">
      <c r="A348" s="34" t="s">
        <v>654</v>
      </c>
      <c r="B348" s="34"/>
      <c r="C348" s="34"/>
      <c r="D348" s="34">
        <v>0</v>
      </c>
      <c r="E348" s="34">
        <v>1</v>
      </c>
      <c r="F348" s="34" t="s">
        <v>197</v>
      </c>
      <c r="G348" s="34" t="s">
        <v>198</v>
      </c>
      <c r="H348" s="34"/>
      <c r="I348" s="34">
        <v>0</v>
      </c>
      <c r="J348" s="34" t="s">
        <v>191</v>
      </c>
      <c r="K348" s="34" t="s">
        <v>927</v>
      </c>
      <c r="L348" s="34" t="s">
        <v>965</v>
      </c>
      <c r="M348" s="34"/>
      <c r="N348" s="34" t="str">
        <f t="shared" si="12"/>
        <v>Effect(OnHitNormal, patricia.passive.buff.buffeffect.skilleffect.04)</v>
      </c>
      <c r="O348" s="34">
        <v>0</v>
      </c>
      <c r="P348" s="34">
        <v>0</v>
      </c>
      <c r="Q348" s="34"/>
      <c r="R348" s="24" t="b">
        <v>0</v>
      </c>
    </row>
    <row r="349" spans="1:18">
      <c r="A349" s="34" t="s">
        <v>656</v>
      </c>
      <c r="B349" s="34"/>
      <c r="C349" s="34"/>
      <c r="D349" s="34">
        <v>0</v>
      </c>
      <c r="E349" s="34">
        <v>1</v>
      </c>
      <c r="F349" s="34" t="s">
        <v>197</v>
      </c>
      <c r="G349" s="34" t="s">
        <v>198</v>
      </c>
      <c r="H349" s="34"/>
      <c r="I349" s="34">
        <v>0</v>
      </c>
      <c r="J349" s="34" t="s">
        <v>191</v>
      </c>
      <c r="K349" s="34" t="s">
        <v>927</v>
      </c>
      <c r="L349" s="34" t="s">
        <v>966</v>
      </c>
      <c r="M349" s="34"/>
      <c r="N349" s="34" t="str">
        <f t="shared" si="12"/>
        <v>Effect(OnHitNormal, patricia.passive.buff.buffeffect.skilleffect.05)</v>
      </c>
      <c r="O349" s="34">
        <v>0</v>
      </c>
      <c r="P349" s="34">
        <v>0</v>
      </c>
      <c r="Q349" s="34"/>
      <c r="R349" s="24" t="b">
        <v>0</v>
      </c>
    </row>
    <row r="350" spans="1:18" s="13" customFormat="1">
      <c r="A350" s="34" t="s">
        <v>658</v>
      </c>
      <c r="B350" s="34"/>
      <c r="C350" s="34"/>
      <c r="D350" s="34">
        <v>0</v>
      </c>
      <c r="E350" s="34">
        <v>1</v>
      </c>
      <c r="F350" s="34" t="s">
        <v>197</v>
      </c>
      <c r="G350" s="34" t="s">
        <v>198</v>
      </c>
      <c r="H350" s="34"/>
      <c r="I350" s="34">
        <v>0</v>
      </c>
      <c r="J350" s="34" t="s">
        <v>191</v>
      </c>
      <c r="K350" s="34" t="s">
        <v>927</v>
      </c>
      <c r="L350" s="34" t="s">
        <v>967</v>
      </c>
      <c r="M350" s="34"/>
      <c r="N350" s="34" t="str">
        <f t="shared" si="12"/>
        <v>Effect(OnHitNormal, patricia.passive.buff.buffeffect.skilleffect.06)</v>
      </c>
      <c r="O350" s="34">
        <v>0</v>
      </c>
      <c r="P350" s="34">
        <v>0</v>
      </c>
      <c r="Q350" s="34"/>
      <c r="R350" s="24" t="b">
        <v>0</v>
      </c>
    </row>
    <row r="351" spans="1:18" s="154" customFormat="1">
      <c r="A351" s="51" t="s">
        <v>4099</v>
      </c>
      <c r="B351" s="51"/>
      <c r="C351" s="51"/>
      <c r="D351" s="51">
        <v>0</v>
      </c>
      <c r="E351" s="51">
        <v>1</v>
      </c>
      <c r="F351" s="51" t="s">
        <v>2157</v>
      </c>
      <c r="G351" s="51" t="s">
        <v>418</v>
      </c>
      <c r="H351" s="51"/>
      <c r="I351" s="51">
        <v>0</v>
      </c>
      <c r="J351" s="51" t="s">
        <v>893</v>
      </c>
      <c r="K351" s="51" t="s">
        <v>7093</v>
      </c>
      <c r="L351" s="51"/>
      <c r="M351" s="51"/>
      <c r="N351" s="51" t="str">
        <f t="shared" si="12"/>
        <v>Active(patricia.passive.frost.electric.skilleffect.01)</v>
      </c>
      <c r="O351" s="51">
        <v>0</v>
      </c>
      <c r="P351" s="51">
        <v>500</v>
      </c>
      <c r="Q351" s="51"/>
      <c r="R351" s="51" t="b">
        <v>0</v>
      </c>
    </row>
    <row r="352" spans="1:18" s="154" customFormat="1">
      <c r="A352" s="89" t="s">
        <v>4100</v>
      </c>
      <c r="B352" s="51"/>
      <c r="C352" s="51"/>
      <c r="D352" s="51">
        <v>0</v>
      </c>
      <c r="E352" s="51">
        <v>1</v>
      </c>
      <c r="F352" s="51" t="s">
        <v>2157</v>
      </c>
      <c r="G352" s="51" t="s">
        <v>418</v>
      </c>
      <c r="H352" s="51"/>
      <c r="I352" s="51">
        <v>0</v>
      </c>
      <c r="J352" s="51" t="s">
        <v>893</v>
      </c>
      <c r="K352" s="51" t="s">
        <v>4105</v>
      </c>
      <c r="L352" s="51"/>
      <c r="M352" s="51"/>
      <c r="N352" s="51" t="str">
        <f t="shared" si="12"/>
        <v>Active(patricia.passive.frost.electric.skilleffect.02)</v>
      </c>
      <c r="O352" s="51">
        <v>0</v>
      </c>
      <c r="P352" s="51">
        <v>500</v>
      </c>
      <c r="Q352" s="51"/>
      <c r="R352" s="51" t="b">
        <v>0</v>
      </c>
    </row>
    <row r="353" spans="1:18" s="154" customFormat="1">
      <c r="A353" s="51" t="s">
        <v>4101</v>
      </c>
      <c r="B353" s="51"/>
      <c r="C353" s="51"/>
      <c r="D353" s="51">
        <v>0</v>
      </c>
      <c r="E353" s="51">
        <v>1</v>
      </c>
      <c r="F353" s="51" t="s">
        <v>2157</v>
      </c>
      <c r="G353" s="51" t="s">
        <v>418</v>
      </c>
      <c r="H353" s="51"/>
      <c r="I353" s="51">
        <v>0</v>
      </c>
      <c r="J353" s="51" t="s">
        <v>893</v>
      </c>
      <c r="K353" s="51" t="s">
        <v>4106</v>
      </c>
      <c r="L353" s="51"/>
      <c r="M353" s="51"/>
      <c r="N353" s="51" t="str">
        <f t="shared" si="12"/>
        <v>Active(patricia.passive.frost.electric.skilleffect.03)</v>
      </c>
      <c r="O353" s="51">
        <v>0</v>
      </c>
      <c r="P353" s="51">
        <v>500</v>
      </c>
      <c r="Q353" s="51"/>
      <c r="R353" s="51" t="b">
        <v>0</v>
      </c>
    </row>
    <row r="354" spans="1:18" s="154" customFormat="1">
      <c r="A354" s="51" t="s">
        <v>4102</v>
      </c>
      <c r="B354" s="51"/>
      <c r="C354" s="51"/>
      <c r="D354" s="51">
        <v>0</v>
      </c>
      <c r="E354" s="51">
        <v>1</v>
      </c>
      <c r="F354" s="51" t="s">
        <v>2157</v>
      </c>
      <c r="G354" s="51" t="s">
        <v>418</v>
      </c>
      <c r="H354" s="51"/>
      <c r="I354" s="51">
        <v>0</v>
      </c>
      <c r="J354" s="51" t="s">
        <v>893</v>
      </c>
      <c r="K354" s="51" t="s">
        <v>4107</v>
      </c>
      <c r="L354" s="51"/>
      <c r="M354" s="51"/>
      <c r="N354" s="51" t="str">
        <f t="shared" si="12"/>
        <v>Active(patricia.passive.frost.electric.skilleffect.04)</v>
      </c>
      <c r="O354" s="51">
        <v>0</v>
      </c>
      <c r="P354" s="51">
        <v>500</v>
      </c>
      <c r="Q354" s="51"/>
      <c r="R354" s="51" t="b">
        <v>0</v>
      </c>
    </row>
    <row r="355" spans="1:18" s="154" customFormat="1">
      <c r="A355" s="51" t="s">
        <v>4103</v>
      </c>
      <c r="B355" s="51"/>
      <c r="C355" s="51"/>
      <c r="D355" s="51">
        <v>0</v>
      </c>
      <c r="E355" s="51">
        <v>1</v>
      </c>
      <c r="F355" s="51" t="s">
        <v>2157</v>
      </c>
      <c r="G355" s="51" t="s">
        <v>418</v>
      </c>
      <c r="H355" s="51"/>
      <c r="I355" s="51">
        <v>0</v>
      </c>
      <c r="J355" s="51" t="s">
        <v>893</v>
      </c>
      <c r="K355" s="51" t="s">
        <v>4108</v>
      </c>
      <c r="L355" s="51"/>
      <c r="M355" s="51"/>
      <c r="N355" s="51" t="str">
        <f t="shared" si="12"/>
        <v>Active(patricia.passive.frost.electric.skilleffect.05)</v>
      </c>
      <c r="O355" s="51">
        <v>0</v>
      </c>
      <c r="P355" s="51">
        <v>500</v>
      </c>
      <c r="Q355" s="51"/>
      <c r="R355" s="51" t="b">
        <v>0</v>
      </c>
    </row>
    <row r="356" spans="1:18" s="154" customFormat="1">
      <c r="A356" s="51" t="s">
        <v>4104</v>
      </c>
      <c r="B356" s="51"/>
      <c r="C356" s="51"/>
      <c r="D356" s="51">
        <v>0</v>
      </c>
      <c r="E356" s="51">
        <v>1</v>
      </c>
      <c r="F356" s="51" t="s">
        <v>2157</v>
      </c>
      <c r="G356" s="51" t="s">
        <v>418</v>
      </c>
      <c r="H356" s="51"/>
      <c r="I356" s="51">
        <v>0</v>
      </c>
      <c r="J356" s="51" t="s">
        <v>893</v>
      </c>
      <c r="K356" s="51" t="s">
        <v>4109</v>
      </c>
      <c r="L356" s="51"/>
      <c r="M356" s="51"/>
      <c r="N356" s="51" t="str">
        <f t="shared" si="12"/>
        <v>Active(patricia.passive.frost.electric.skilleffect.06)</v>
      </c>
      <c r="O356" s="51">
        <v>0</v>
      </c>
      <c r="P356" s="51">
        <v>500</v>
      </c>
      <c r="Q356" s="51"/>
      <c r="R356" s="51" t="b">
        <v>0</v>
      </c>
    </row>
    <row r="357" spans="1:18" s="12" customFormat="1">
      <c r="A357" s="41" t="s">
        <v>7094</v>
      </c>
      <c r="B357" s="41"/>
      <c r="C357" s="41"/>
      <c r="D357" s="41">
        <v>0</v>
      </c>
      <c r="E357" s="41">
        <v>1</v>
      </c>
      <c r="F357" s="41" t="s">
        <v>2157</v>
      </c>
      <c r="G357" s="41" t="s">
        <v>418</v>
      </c>
      <c r="H357" s="41"/>
      <c r="I357" s="41">
        <v>0</v>
      </c>
      <c r="J357" s="41" t="s">
        <v>893</v>
      </c>
      <c r="K357" s="41" t="s">
        <v>7095</v>
      </c>
      <c r="L357" s="41"/>
      <c r="M357" s="41"/>
      <c r="N357" s="41" t="str">
        <f t="shared" si="12"/>
        <v>Active(patricia.passive.frost.burn.skilleffect.01)</v>
      </c>
      <c r="O357" s="41">
        <v>0</v>
      </c>
      <c r="P357" s="41">
        <v>1000</v>
      </c>
      <c r="Q357" s="41"/>
      <c r="R357" s="41" t="b">
        <v>0</v>
      </c>
    </row>
    <row r="358" spans="1:18" s="12" customFormat="1">
      <c r="A358" s="41" t="s">
        <v>4094</v>
      </c>
      <c r="B358" s="41"/>
      <c r="C358" s="41"/>
      <c r="D358" s="41">
        <v>0</v>
      </c>
      <c r="E358" s="41">
        <v>1</v>
      </c>
      <c r="F358" s="41" t="s">
        <v>2157</v>
      </c>
      <c r="G358" s="41" t="s">
        <v>418</v>
      </c>
      <c r="H358" s="41"/>
      <c r="I358" s="41">
        <v>0</v>
      </c>
      <c r="J358" s="41" t="s">
        <v>893</v>
      </c>
      <c r="K358" s="41" t="s">
        <v>4600</v>
      </c>
      <c r="L358" s="41"/>
      <c r="M358" s="41"/>
      <c r="N358" s="41" t="str">
        <f t="shared" si="12"/>
        <v>Active(patricia.passive.frost.burn.skilleffect.02)</v>
      </c>
      <c r="O358" s="41">
        <v>0</v>
      </c>
      <c r="P358" s="41">
        <v>1000</v>
      </c>
      <c r="Q358" s="41"/>
      <c r="R358" s="41" t="b">
        <v>0</v>
      </c>
    </row>
    <row r="359" spans="1:18" s="12" customFormat="1">
      <c r="A359" s="41" t="s">
        <v>4095</v>
      </c>
      <c r="B359" s="41"/>
      <c r="C359" s="41"/>
      <c r="D359" s="41">
        <v>0</v>
      </c>
      <c r="E359" s="41">
        <v>1</v>
      </c>
      <c r="F359" s="41" t="s">
        <v>2157</v>
      </c>
      <c r="G359" s="41" t="s">
        <v>418</v>
      </c>
      <c r="H359" s="41"/>
      <c r="I359" s="41">
        <v>0</v>
      </c>
      <c r="J359" s="41" t="s">
        <v>893</v>
      </c>
      <c r="K359" s="41" t="s">
        <v>4601</v>
      </c>
      <c r="L359" s="41"/>
      <c r="M359" s="41"/>
      <c r="N359" s="41" t="str">
        <f t="shared" si="12"/>
        <v>Active(patricia.passive.frost.burn.skilleffect.03)</v>
      </c>
      <c r="O359" s="41">
        <v>0</v>
      </c>
      <c r="P359" s="41">
        <v>1000</v>
      </c>
      <c r="Q359" s="41"/>
      <c r="R359" s="41" t="b">
        <v>0</v>
      </c>
    </row>
    <row r="360" spans="1:18" s="12" customFormat="1">
      <c r="A360" s="41" t="s">
        <v>4096</v>
      </c>
      <c r="B360" s="41"/>
      <c r="C360" s="41"/>
      <c r="D360" s="41">
        <v>0</v>
      </c>
      <c r="E360" s="41">
        <v>1</v>
      </c>
      <c r="F360" s="41" t="s">
        <v>2157</v>
      </c>
      <c r="G360" s="41" t="s">
        <v>418</v>
      </c>
      <c r="H360" s="41"/>
      <c r="I360" s="41">
        <v>0</v>
      </c>
      <c r="J360" s="41" t="s">
        <v>893</v>
      </c>
      <c r="K360" s="41" t="s">
        <v>4602</v>
      </c>
      <c r="L360" s="41"/>
      <c r="M360" s="41"/>
      <c r="N360" s="41" t="str">
        <f t="shared" si="12"/>
        <v>Active(patricia.passive.frost.burn.skilleffect.04)</v>
      </c>
      <c r="O360" s="41">
        <v>0</v>
      </c>
      <c r="P360" s="41">
        <v>1000</v>
      </c>
      <c r="Q360" s="41"/>
      <c r="R360" s="41" t="b">
        <v>0</v>
      </c>
    </row>
    <row r="361" spans="1:18" s="12" customFormat="1">
      <c r="A361" s="41" t="s">
        <v>4097</v>
      </c>
      <c r="B361" s="41"/>
      <c r="C361" s="41"/>
      <c r="D361" s="41">
        <v>0</v>
      </c>
      <c r="E361" s="41">
        <v>1</v>
      </c>
      <c r="F361" s="41" t="s">
        <v>2157</v>
      </c>
      <c r="G361" s="41" t="s">
        <v>418</v>
      </c>
      <c r="H361" s="41"/>
      <c r="I361" s="41">
        <v>0</v>
      </c>
      <c r="J361" s="41" t="s">
        <v>893</v>
      </c>
      <c r="K361" s="41" t="s">
        <v>4603</v>
      </c>
      <c r="L361" s="41"/>
      <c r="M361" s="41"/>
      <c r="N361" s="41" t="str">
        <f t="shared" si="12"/>
        <v>Active(patricia.passive.frost.burn.skilleffect.05)</v>
      </c>
      <c r="O361" s="41">
        <v>0</v>
      </c>
      <c r="P361" s="41">
        <v>1000</v>
      </c>
      <c r="Q361" s="41"/>
      <c r="R361" s="41" t="b">
        <v>0</v>
      </c>
    </row>
    <row r="362" spans="1:18" s="12" customFormat="1">
      <c r="A362" s="41" t="s">
        <v>4098</v>
      </c>
      <c r="B362" s="41"/>
      <c r="C362" s="41"/>
      <c r="D362" s="41">
        <v>0</v>
      </c>
      <c r="E362" s="41">
        <v>1</v>
      </c>
      <c r="F362" s="41" t="s">
        <v>2157</v>
      </c>
      <c r="G362" s="41" t="s">
        <v>418</v>
      </c>
      <c r="H362" s="41"/>
      <c r="I362" s="41">
        <v>0</v>
      </c>
      <c r="J362" s="41" t="s">
        <v>893</v>
      </c>
      <c r="K362" s="41" t="s">
        <v>4604</v>
      </c>
      <c r="L362" s="41"/>
      <c r="M362" s="41"/>
      <c r="N362" s="41" t="str">
        <f t="shared" si="12"/>
        <v>Active(patricia.passive.frost.burn.skilleffect.06)</v>
      </c>
      <c r="O362" s="41">
        <v>0</v>
      </c>
      <c r="P362" s="41">
        <v>1000</v>
      </c>
      <c r="Q362" s="41"/>
      <c r="R362" s="41" t="b">
        <v>0</v>
      </c>
    </row>
    <row r="363" spans="1:18" s="155" customFormat="1">
      <c r="A363" s="6" t="s">
        <v>4610</v>
      </c>
      <c r="B363" s="6"/>
      <c r="C363" s="6"/>
      <c r="D363" s="6">
        <v>0</v>
      </c>
      <c r="E363" s="6">
        <v>1</v>
      </c>
      <c r="F363" s="6" t="s">
        <v>197</v>
      </c>
      <c r="G363" s="6" t="s">
        <v>198</v>
      </c>
      <c r="H363" s="6"/>
      <c r="I363" s="6">
        <v>0</v>
      </c>
      <c r="J363" s="6" t="s">
        <v>4616</v>
      </c>
      <c r="K363" s="6" t="s">
        <v>875</v>
      </c>
      <c r="L363" s="6">
        <v>135</v>
      </c>
      <c r="M363" s="6"/>
      <c r="N363" s="6" t="str">
        <f t="shared" si="12"/>
        <v>Frost(Attack, 135)</v>
      </c>
      <c r="O363" s="6">
        <v>0</v>
      </c>
      <c r="P363" s="6">
        <v>1000</v>
      </c>
      <c r="Q363" s="6"/>
      <c r="R363" s="59" t="b">
        <v>1</v>
      </c>
    </row>
    <row r="364" spans="1:18" s="155" customFormat="1">
      <c r="A364" s="6" t="s">
        <v>4611</v>
      </c>
      <c r="B364" s="6"/>
      <c r="C364" s="6"/>
      <c r="D364" s="6">
        <v>0</v>
      </c>
      <c r="E364" s="6">
        <v>1</v>
      </c>
      <c r="F364" s="6" t="s">
        <v>197</v>
      </c>
      <c r="G364" s="6" t="s">
        <v>198</v>
      </c>
      <c r="H364" s="6"/>
      <c r="I364" s="6">
        <v>0</v>
      </c>
      <c r="J364" s="6" t="s">
        <v>4616</v>
      </c>
      <c r="K364" s="6" t="s">
        <v>875</v>
      </c>
      <c r="L364" s="6">
        <v>190</v>
      </c>
      <c r="M364" s="6"/>
      <c r="N364" s="6" t="str">
        <f t="shared" si="12"/>
        <v>Frost(Attack, 190)</v>
      </c>
      <c r="O364" s="6">
        <v>0</v>
      </c>
      <c r="P364" s="6">
        <v>1000</v>
      </c>
      <c r="Q364" s="6"/>
      <c r="R364" s="59" t="b">
        <v>1</v>
      </c>
    </row>
    <row r="365" spans="1:18" s="155" customFormat="1">
      <c r="A365" s="6" t="s">
        <v>4612</v>
      </c>
      <c r="B365" s="6"/>
      <c r="C365" s="6"/>
      <c r="D365" s="6">
        <v>0</v>
      </c>
      <c r="E365" s="6">
        <v>1</v>
      </c>
      <c r="F365" s="6" t="s">
        <v>197</v>
      </c>
      <c r="G365" s="6" t="s">
        <v>198</v>
      </c>
      <c r="H365" s="6"/>
      <c r="I365" s="6">
        <v>0</v>
      </c>
      <c r="J365" s="6" t="s">
        <v>4616</v>
      </c>
      <c r="K365" s="6" t="s">
        <v>875</v>
      </c>
      <c r="L365" s="6">
        <v>250</v>
      </c>
      <c r="M365" s="6"/>
      <c r="N365" s="6" t="str">
        <f t="shared" si="12"/>
        <v>Frost(Attack, 250)</v>
      </c>
      <c r="O365" s="6">
        <v>0</v>
      </c>
      <c r="P365" s="6">
        <v>1000</v>
      </c>
      <c r="Q365" s="6"/>
      <c r="R365" s="59" t="b">
        <v>1</v>
      </c>
    </row>
    <row r="366" spans="1:18" s="155" customFormat="1">
      <c r="A366" s="6" t="s">
        <v>4613</v>
      </c>
      <c r="B366" s="6"/>
      <c r="C366" s="6"/>
      <c r="D366" s="6">
        <v>0</v>
      </c>
      <c r="E366" s="6">
        <v>1</v>
      </c>
      <c r="F366" s="6" t="s">
        <v>197</v>
      </c>
      <c r="G366" s="6" t="s">
        <v>198</v>
      </c>
      <c r="H366" s="6"/>
      <c r="I366" s="6">
        <v>0</v>
      </c>
      <c r="J366" s="6" t="s">
        <v>4616</v>
      </c>
      <c r="K366" s="6" t="s">
        <v>875</v>
      </c>
      <c r="L366" s="6">
        <v>315</v>
      </c>
      <c r="M366" s="6"/>
      <c r="N366" s="6" t="str">
        <f t="shared" si="12"/>
        <v>Frost(Attack, 315)</v>
      </c>
      <c r="O366" s="6">
        <v>0</v>
      </c>
      <c r="P366" s="6">
        <v>1000</v>
      </c>
      <c r="Q366" s="6"/>
      <c r="R366" s="59" t="b">
        <v>1</v>
      </c>
    </row>
    <row r="367" spans="1:18" s="155" customFormat="1">
      <c r="A367" s="6" t="s">
        <v>4614</v>
      </c>
      <c r="B367" s="6"/>
      <c r="C367" s="6"/>
      <c r="D367" s="6">
        <v>0</v>
      </c>
      <c r="E367" s="6">
        <v>1</v>
      </c>
      <c r="F367" s="6" t="s">
        <v>197</v>
      </c>
      <c r="G367" s="6" t="s">
        <v>198</v>
      </c>
      <c r="H367" s="6"/>
      <c r="I367" s="6">
        <v>0</v>
      </c>
      <c r="J367" s="6" t="s">
        <v>4616</v>
      </c>
      <c r="K367" s="6" t="s">
        <v>875</v>
      </c>
      <c r="L367" s="6">
        <v>385</v>
      </c>
      <c r="M367" s="6"/>
      <c r="N367" s="6" t="str">
        <f t="shared" si="12"/>
        <v>Frost(Attack, 385)</v>
      </c>
      <c r="O367" s="6">
        <v>0</v>
      </c>
      <c r="P367" s="6">
        <v>1000</v>
      </c>
      <c r="Q367" s="6"/>
      <c r="R367" s="59" t="b">
        <v>1</v>
      </c>
    </row>
    <row r="368" spans="1:18" s="155" customFormat="1">
      <c r="A368" s="6" t="s">
        <v>4615</v>
      </c>
      <c r="B368" s="6"/>
      <c r="C368" s="6"/>
      <c r="D368" s="6">
        <v>0</v>
      </c>
      <c r="E368" s="6">
        <v>1</v>
      </c>
      <c r="F368" s="6" t="s">
        <v>197</v>
      </c>
      <c r="G368" s="6" t="s">
        <v>198</v>
      </c>
      <c r="H368" s="6"/>
      <c r="I368" s="6">
        <v>0</v>
      </c>
      <c r="J368" s="6" t="s">
        <v>4616</v>
      </c>
      <c r="K368" s="6" t="s">
        <v>875</v>
      </c>
      <c r="L368" s="6">
        <v>350</v>
      </c>
      <c r="M368" s="6"/>
      <c r="N368" s="6" t="str">
        <f t="shared" si="12"/>
        <v>Frost(Attack, 350)</v>
      </c>
      <c r="O368" s="6">
        <v>0</v>
      </c>
      <c r="P368" s="6">
        <v>1000</v>
      </c>
      <c r="Q368" s="6"/>
      <c r="R368" s="59" t="b">
        <v>1</v>
      </c>
    </row>
    <row r="369" spans="1:18" s="13" customFormat="1">
      <c r="A369" s="23" t="s">
        <v>6975</v>
      </c>
      <c r="B369" s="23"/>
      <c r="C369" s="23"/>
      <c r="D369" s="23">
        <v>0</v>
      </c>
      <c r="E369" s="23">
        <v>1</v>
      </c>
      <c r="F369" s="23" t="s">
        <v>197</v>
      </c>
      <c r="G369" s="23" t="s">
        <v>198</v>
      </c>
      <c r="H369" s="23"/>
      <c r="I369" s="23">
        <v>0</v>
      </c>
      <c r="J369" s="23" t="s">
        <v>191</v>
      </c>
      <c r="K369" s="23" t="s">
        <v>923</v>
      </c>
      <c r="L369" s="23" t="s">
        <v>7096</v>
      </c>
      <c r="M369" s="23"/>
      <c r="N369" s="23" t="str">
        <f t="shared" si="12"/>
        <v>Effect(OnHit, patricia.passive.ex.buff.skilleffect.01)</v>
      </c>
      <c r="O369" s="23">
        <v>0</v>
      </c>
      <c r="P369" s="23">
        <v>0</v>
      </c>
      <c r="Q369" s="23"/>
      <c r="R369" s="23" t="b">
        <v>0</v>
      </c>
    </row>
    <row r="370" spans="1:18" s="13" customFormat="1">
      <c r="A370" s="23" t="s">
        <v>3058</v>
      </c>
      <c r="B370" s="23"/>
      <c r="C370" s="23"/>
      <c r="D370" s="23">
        <v>0</v>
      </c>
      <c r="E370" s="23">
        <v>1</v>
      </c>
      <c r="F370" s="23" t="s">
        <v>197</v>
      </c>
      <c r="G370" s="23" t="s">
        <v>198</v>
      </c>
      <c r="H370" s="23"/>
      <c r="I370" s="23">
        <v>0</v>
      </c>
      <c r="J370" s="23" t="s">
        <v>191</v>
      </c>
      <c r="K370" s="23" t="s">
        <v>923</v>
      </c>
      <c r="L370" s="23" t="s">
        <v>3053</v>
      </c>
      <c r="M370" s="23"/>
      <c r="N370" s="23" t="str">
        <f t="shared" si="12"/>
        <v>Effect(OnHit, patricia.passive.ex.buff.skilleffect.02)</v>
      </c>
      <c r="O370" s="23">
        <v>0</v>
      </c>
      <c r="P370" s="23">
        <v>0</v>
      </c>
      <c r="Q370" s="23"/>
      <c r="R370" s="23" t="b">
        <v>0</v>
      </c>
    </row>
    <row r="371" spans="1:18" s="13" customFormat="1">
      <c r="A371" s="23" t="s">
        <v>3059</v>
      </c>
      <c r="B371" s="23"/>
      <c r="C371" s="23"/>
      <c r="D371" s="23">
        <v>0</v>
      </c>
      <c r="E371" s="23">
        <v>1</v>
      </c>
      <c r="F371" s="23" t="s">
        <v>197</v>
      </c>
      <c r="G371" s="23" t="s">
        <v>198</v>
      </c>
      <c r="H371" s="23"/>
      <c r="I371" s="23">
        <v>0</v>
      </c>
      <c r="J371" s="23" t="s">
        <v>191</v>
      </c>
      <c r="K371" s="23" t="s">
        <v>923</v>
      </c>
      <c r="L371" s="23" t="s">
        <v>3054</v>
      </c>
      <c r="M371" s="23"/>
      <c r="N371" s="23" t="str">
        <f t="shared" si="12"/>
        <v>Effect(OnHit, patricia.passive.ex.buff.skilleffect.03)</v>
      </c>
      <c r="O371" s="23">
        <v>0</v>
      </c>
      <c r="P371" s="23">
        <v>0</v>
      </c>
      <c r="Q371" s="23"/>
      <c r="R371" s="23" t="b">
        <v>0</v>
      </c>
    </row>
    <row r="372" spans="1:18" s="13" customFormat="1">
      <c r="A372" s="34" t="s">
        <v>3060</v>
      </c>
      <c r="B372" s="34"/>
      <c r="C372" s="34"/>
      <c r="D372" s="34">
        <v>0</v>
      </c>
      <c r="E372" s="34">
        <v>1</v>
      </c>
      <c r="F372" s="34" t="s">
        <v>197</v>
      </c>
      <c r="G372" s="34" t="s">
        <v>198</v>
      </c>
      <c r="H372" s="34"/>
      <c r="I372" s="34">
        <v>0</v>
      </c>
      <c r="J372" s="34" t="s">
        <v>191</v>
      </c>
      <c r="K372" s="34" t="s">
        <v>923</v>
      </c>
      <c r="L372" s="34" t="s">
        <v>3055</v>
      </c>
      <c r="M372" s="34"/>
      <c r="N372" s="34" t="str">
        <f t="shared" si="12"/>
        <v>Effect(OnHit, patricia.passive.ex.buff.skilleffect.04)</v>
      </c>
      <c r="O372" s="34">
        <v>0</v>
      </c>
      <c r="P372" s="34">
        <v>0</v>
      </c>
      <c r="Q372" s="34"/>
      <c r="R372" s="24" t="b">
        <v>0</v>
      </c>
    </row>
    <row r="373" spans="1:18" s="13" customFormat="1">
      <c r="A373" s="34" t="s">
        <v>3061</v>
      </c>
      <c r="B373" s="34"/>
      <c r="C373" s="34"/>
      <c r="D373" s="34">
        <v>0</v>
      </c>
      <c r="E373" s="34">
        <v>1</v>
      </c>
      <c r="F373" s="34" t="s">
        <v>197</v>
      </c>
      <c r="G373" s="34" t="s">
        <v>198</v>
      </c>
      <c r="H373" s="34"/>
      <c r="I373" s="34">
        <v>0</v>
      </c>
      <c r="J373" s="34" t="s">
        <v>191</v>
      </c>
      <c r="K373" s="34" t="s">
        <v>923</v>
      </c>
      <c r="L373" s="34" t="s">
        <v>3056</v>
      </c>
      <c r="M373" s="34"/>
      <c r="N373" s="34" t="str">
        <f t="shared" si="12"/>
        <v>Effect(OnHit, patricia.passive.ex.buff.skilleffect.05)</v>
      </c>
      <c r="O373" s="34">
        <v>0</v>
      </c>
      <c r="P373" s="34">
        <v>0</v>
      </c>
      <c r="Q373" s="34"/>
      <c r="R373" s="24" t="b">
        <v>0</v>
      </c>
    </row>
    <row r="374" spans="1:18" s="13" customFormat="1">
      <c r="A374" s="34" t="s">
        <v>3062</v>
      </c>
      <c r="B374" s="34"/>
      <c r="C374" s="34"/>
      <c r="D374" s="34">
        <v>0</v>
      </c>
      <c r="E374" s="34">
        <v>1</v>
      </c>
      <c r="F374" s="34" t="s">
        <v>197</v>
      </c>
      <c r="G374" s="34" t="s">
        <v>198</v>
      </c>
      <c r="H374" s="34"/>
      <c r="I374" s="34">
        <v>0</v>
      </c>
      <c r="J374" s="34" t="s">
        <v>191</v>
      </c>
      <c r="K374" s="34" t="s">
        <v>923</v>
      </c>
      <c r="L374" s="34" t="s">
        <v>3057</v>
      </c>
      <c r="M374" s="34"/>
      <c r="N374" s="34" t="str">
        <f t="shared" si="12"/>
        <v>Effect(OnHit, patricia.passive.ex.buff.skilleffect.06)</v>
      </c>
      <c r="O374" s="34">
        <v>0</v>
      </c>
      <c r="P374" s="34">
        <v>0</v>
      </c>
      <c r="Q374" s="34"/>
      <c r="R374" s="24" t="b">
        <v>0</v>
      </c>
    </row>
    <row r="375" spans="1:18" s="13" customFormat="1">
      <c r="A375" s="44" t="s">
        <v>6978</v>
      </c>
      <c r="B375" s="44"/>
      <c r="C375" s="44"/>
      <c r="D375" s="44">
        <v>0</v>
      </c>
      <c r="E375" s="44">
        <v>1</v>
      </c>
      <c r="F375" s="44" t="s">
        <v>197</v>
      </c>
      <c r="G375" s="44" t="s">
        <v>198</v>
      </c>
      <c r="H375" s="44"/>
      <c r="I375" s="44">
        <v>0</v>
      </c>
      <c r="J375" s="44" t="s">
        <v>916</v>
      </c>
      <c r="K375" s="44" t="s">
        <v>917</v>
      </c>
      <c r="L375" s="44"/>
      <c r="M375" s="44"/>
      <c r="N375" s="44" t="str">
        <f t="shared" si="12"/>
        <v>ChangeSkill(Normal)</v>
      </c>
      <c r="O375" s="44">
        <v>0</v>
      </c>
      <c r="P375" s="44">
        <v>0</v>
      </c>
      <c r="Q375" s="44"/>
      <c r="R375" s="44" t="b">
        <v>1</v>
      </c>
    </row>
    <row r="376" spans="1:18" s="153" customFormat="1">
      <c r="A376" s="26" t="s">
        <v>7097</v>
      </c>
      <c r="B376" s="26" t="s">
        <v>1367</v>
      </c>
      <c r="C376" s="26" t="s">
        <v>3380</v>
      </c>
      <c r="D376" s="26">
        <v>0</v>
      </c>
      <c r="E376" s="26">
        <v>1</v>
      </c>
      <c r="F376" s="26" t="s">
        <v>197</v>
      </c>
      <c r="G376" s="26" t="s">
        <v>198</v>
      </c>
      <c r="H376" s="26"/>
      <c r="I376" s="26">
        <v>0</v>
      </c>
      <c r="J376" s="26" t="s">
        <v>895</v>
      </c>
      <c r="K376" s="26" t="s">
        <v>896</v>
      </c>
      <c r="L376" s="26" t="s">
        <v>7098</v>
      </c>
      <c r="M376" s="26"/>
      <c r="N376" s="26" t="str">
        <f t="shared" si="12"/>
        <v>SkillEffectModifier(Op, renas.ult.B.attack.modifier.01.01)</v>
      </c>
      <c r="O376" s="26">
        <v>0</v>
      </c>
      <c r="P376" s="26">
        <v>0</v>
      </c>
      <c r="Q376" s="26"/>
      <c r="R376" s="26" t="b">
        <v>0</v>
      </c>
    </row>
    <row r="377" spans="1:18" s="153" customFormat="1">
      <c r="A377" s="26" t="s">
        <v>3403</v>
      </c>
      <c r="B377" s="26" t="s">
        <v>1367</v>
      </c>
      <c r="C377" s="26" t="s">
        <v>3374</v>
      </c>
      <c r="D377" s="26">
        <v>0</v>
      </c>
      <c r="E377" s="26">
        <v>1</v>
      </c>
      <c r="F377" s="26" t="s">
        <v>197</v>
      </c>
      <c r="G377" s="26" t="s">
        <v>198</v>
      </c>
      <c r="H377" s="26"/>
      <c r="I377" s="26">
        <v>0</v>
      </c>
      <c r="J377" s="26" t="s">
        <v>895</v>
      </c>
      <c r="K377" s="26" t="s">
        <v>896</v>
      </c>
      <c r="L377" s="26" t="s">
        <v>3414</v>
      </c>
      <c r="M377" s="26"/>
      <c r="N377" s="26" t="str">
        <f t="shared" si="12"/>
        <v>SkillEffectModifier(Op, renas.ult.B.attack.modifier.01.02)</v>
      </c>
      <c r="O377" s="26">
        <v>0</v>
      </c>
      <c r="P377" s="26">
        <v>0</v>
      </c>
      <c r="Q377" s="26"/>
      <c r="R377" s="26" t="b">
        <v>0</v>
      </c>
    </row>
    <row r="378" spans="1:18" s="153" customFormat="1">
      <c r="A378" s="26" t="s">
        <v>3404</v>
      </c>
      <c r="B378" s="26" t="s">
        <v>1367</v>
      </c>
      <c r="C378" s="26" t="s">
        <v>3375</v>
      </c>
      <c r="D378" s="26">
        <v>0</v>
      </c>
      <c r="E378" s="26">
        <v>1</v>
      </c>
      <c r="F378" s="26" t="s">
        <v>197</v>
      </c>
      <c r="G378" s="26" t="s">
        <v>198</v>
      </c>
      <c r="H378" s="26"/>
      <c r="I378" s="26">
        <v>0</v>
      </c>
      <c r="J378" s="26" t="s">
        <v>895</v>
      </c>
      <c r="K378" s="26" t="s">
        <v>896</v>
      </c>
      <c r="L378" s="26" t="s">
        <v>3415</v>
      </c>
      <c r="M378" s="26"/>
      <c r="N378" s="26" t="str">
        <f t="shared" si="12"/>
        <v>SkillEffectModifier(Op, renas.ult.B.attack.modifier.01.03)</v>
      </c>
      <c r="O378" s="26">
        <v>0</v>
      </c>
      <c r="P378" s="26">
        <v>0</v>
      </c>
      <c r="Q378" s="26"/>
      <c r="R378" s="26" t="b">
        <v>0</v>
      </c>
    </row>
    <row r="379" spans="1:18" s="153" customFormat="1">
      <c r="A379" s="26" t="s">
        <v>3405</v>
      </c>
      <c r="B379" s="26" t="s">
        <v>1367</v>
      </c>
      <c r="C379" s="26" t="s">
        <v>3376</v>
      </c>
      <c r="D379" s="26">
        <v>0</v>
      </c>
      <c r="E379" s="26">
        <v>1</v>
      </c>
      <c r="F379" s="26" t="s">
        <v>197</v>
      </c>
      <c r="G379" s="26" t="s">
        <v>198</v>
      </c>
      <c r="H379" s="26"/>
      <c r="I379" s="26">
        <v>0</v>
      </c>
      <c r="J379" s="26" t="s">
        <v>895</v>
      </c>
      <c r="K379" s="26" t="s">
        <v>896</v>
      </c>
      <c r="L379" s="26" t="s">
        <v>3416</v>
      </c>
      <c r="M379" s="26"/>
      <c r="N379" s="26" t="str">
        <f t="shared" si="12"/>
        <v>SkillEffectModifier(Op, renas.ult.B.attack.modifier.01.04)</v>
      </c>
      <c r="O379" s="26">
        <v>0</v>
      </c>
      <c r="P379" s="26">
        <v>0</v>
      </c>
      <c r="Q379" s="26"/>
      <c r="R379" s="26" t="b">
        <v>0</v>
      </c>
    </row>
    <row r="380" spans="1:18" s="153" customFormat="1">
      <c r="A380" s="26" t="s">
        <v>3406</v>
      </c>
      <c r="B380" s="26" t="s">
        <v>1367</v>
      </c>
      <c r="C380" s="26" t="s">
        <v>3377</v>
      </c>
      <c r="D380" s="26">
        <v>0</v>
      </c>
      <c r="E380" s="26">
        <v>1</v>
      </c>
      <c r="F380" s="26" t="s">
        <v>197</v>
      </c>
      <c r="G380" s="26" t="s">
        <v>198</v>
      </c>
      <c r="H380" s="26"/>
      <c r="I380" s="26">
        <v>0</v>
      </c>
      <c r="J380" s="26" t="s">
        <v>895</v>
      </c>
      <c r="K380" s="26" t="s">
        <v>896</v>
      </c>
      <c r="L380" s="26" t="s">
        <v>3417</v>
      </c>
      <c r="M380" s="26"/>
      <c r="N380" s="26" t="str">
        <f t="shared" si="12"/>
        <v>SkillEffectModifier(Op, renas.ult.B.attack.modifier.01.05)</v>
      </c>
      <c r="O380" s="26">
        <v>0</v>
      </c>
      <c r="P380" s="26">
        <v>0</v>
      </c>
      <c r="Q380" s="26"/>
      <c r="R380" s="26" t="b">
        <v>0</v>
      </c>
    </row>
    <row r="381" spans="1:18" s="153" customFormat="1">
      <c r="A381" s="26" t="s">
        <v>3407</v>
      </c>
      <c r="B381" s="26" t="s">
        <v>1367</v>
      </c>
      <c r="C381" s="26" t="s">
        <v>3378</v>
      </c>
      <c r="D381" s="26">
        <v>0</v>
      </c>
      <c r="E381" s="26">
        <v>1</v>
      </c>
      <c r="F381" s="26" t="s">
        <v>197</v>
      </c>
      <c r="G381" s="26" t="s">
        <v>198</v>
      </c>
      <c r="H381" s="26"/>
      <c r="I381" s="26">
        <v>0</v>
      </c>
      <c r="J381" s="26" t="s">
        <v>895</v>
      </c>
      <c r="K381" s="26" t="s">
        <v>896</v>
      </c>
      <c r="L381" s="26" t="s">
        <v>3418</v>
      </c>
      <c r="M381" s="26"/>
      <c r="N381" s="26" t="str">
        <f t="shared" si="12"/>
        <v>SkillEffectModifier(Op, renas.ult.B.attack.modifier.01.06)</v>
      </c>
      <c r="O381" s="26">
        <v>0</v>
      </c>
      <c r="P381" s="26">
        <v>0</v>
      </c>
      <c r="Q381" s="26"/>
      <c r="R381" s="26" t="b">
        <v>0</v>
      </c>
    </row>
    <row r="382" spans="1:18" s="153" customFormat="1">
      <c r="A382" s="26" t="s">
        <v>3408</v>
      </c>
      <c r="B382" s="26" t="s">
        <v>1367</v>
      </c>
      <c r="C382" s="26" t="s">
        <v>3379</v>
      </c>
      <c r="D382" s="26">
        <v>0</v>
      </c>
      <c r="E382" s="26">
        <v>1</v>
      </c>
      <c r="F382" s="26" t="s">
        <v>197</v>
      </c>
      <c r="G382" s="26" t="s">
        <v>198</v>
      </c>
      <c r="H382" s="26"/>
      <c r="I382" s="26">
        <v>0</v>
      </c>
      <c r="J382" s="26" t="s">
        <v>895</v>
      </c>
      <c r="K382" s="26" t="s">
        <v>896</v>
      </c>
      <c r="L382" s="26" t="s">
        <v>3419</v>
      </c>
      <c r="M382" s="26"/>
      <c r="N382" s="26" t="str">
        <f t="shared" si="12"/>
        <v>SkillEffectModifier(Op, renas.ult.B.attack.modifier.01.07)</v>
      </c>
      <c r="O382" s="26">
        <v>0</v>
      </c>
      <c r="P382" s="26">
        <v>0</v>
      </c>
      <c r="Q382" s="26"/>
      <c r="R382" s="26" t="b">
        <v>0</v>
      </c>
    </row>
    <row r="383" spans="1:18" s="162" customFormat="1">
      <c r="A383" s="44" t="s">
        <v>7099</v>
      </c>
      <c r="B383" s="44" t="s">
        <v>1367</v>
      </c>
      <c r="C383" s="44" t="s">
        <v>659</v>
      </c>
      <c r="D383" s="44">
        <v>0</v>
      </c>
      <c r="E383" s="44">
        <v>1</v>
      </c>
      <c r="F383" s="44" t="s">
        <v>197</v>
      </c>
      <c r="G383" s="44" t="s">
        <v>198</v>
      </c>
      <c r="H383" s="44"/>
      <c r="I383" s="44">
        <v>0</v>
      </c>
      <c r="J383" s="44" t="s">
        <v>895</v>
      </c>
      <c r="K383" s="44" t="s">
        <v>896</v>
      </c>
      <c r="L383" s="44" t="s">
        <v>7100</v>
      </c>
      <c r="M383" s="44"/>
      <c r="N383" s="44" t="str">
        <f t="shared" si="12"/>
        <v>SkillEffectModifier(Op, renas.ult.B.attack.modifier.02.01)</v>
      </c>
      <c r="O383" s="44">
        <v>0</v>
      </c>
      <c r="P383" s="44">
        <v>0</v>
      </c>
      <c r="Q383" s="44"/>
      <c r="R383" s="44" t="b">
        <v>0</v>
      </c>
    </row>
    <row r="384" spans="1:18" s="162" customFormat="1">
      <c r="A384" s="44" t="s">
        <v>3409</v>
      </c>
      <c r="B384" s="44" t="s">
        <v>1367</v>
      </c>
      <c r="C384" s="44" t="s">
        <v>660</v>
      </c>
      <c r="D384" s="44">
        <v>0</v>
      </c>
      <c r="E384" s="44">
        <v>1</v>
      </c>
      <c r="F384" s="44" t="s">
        <v>197</v>
      </c>
      <c r="G384" s="44" t="s">
        <v>198</v>
      </c>
      <c r="H384" s="44"/>
      <c r="I384" s="44">
        <v>0</v>
      </c>
      <c r="J384" s="44" t="s">
        <v>895</v>
      </c>
      <c r="K384" s="44" t="s">
        <v>896</v>
      </c>
      <c r="L384" s="44" t="s">
        <v>3420</v>
      </c>
      <c r="M384" s="44"/>
      <c r="N384" s="44" t="str">
        <f t="shared" si="12"/>
        <v>SkillEffectModifier(Op, renas.ult.B.attack.modifier.02.02)</v>
      </c>
      <c r="O384" s="44">
        <v>0</v>
      </c>
      <c r="P384" s="44">
        <v>0</v>
      </c>
      <c r="Q384" s="44"/>
      <c r="R384" s="44" t="b">
        <v>0</v>
      </c>
    </row>
    <row r="385" spans="1:18" s="162" customFormat="1">
      <c r="A385" s="44" t="s">
        <v>3410</v>
      </c>
      <c r="B385" s="44" t="s">
        <v>1367</v>
      </c>
      <c r="C385" s="44" t="s">
        <v>661</v>
      </c>
      <c r="D385" s="44">
        <v>0</v>
      </c>
      <c r="E385" s="44">
        <v>1</v>
      </c>
      <c r="F385" s="44" t="s">
        <v>197</v>
      </c>
      <c r="G385" s="44" t="s">
        <v>198</v>
      </c>
      <c r="H385" s="44"/>
      <c r="I385" s="44">
        <v>0</v>
      </c>
      <c r="J385" s="44" t="s">
        <v>895</v>
      </c>
      <c r="K385" s="44" t="s">
        <v>896</v>
      </c>
      <c r="L385" s="44" t="s">
        <v>3421</v>
      </c>
      <c r="M385" s="44"/>
      <c r="N385" s="44" t="str">
        <f t="shared" si="12"/>
        <v>SkillEffectModifier(Op, renas.ult.B.attack.modifier.02.03)</v>
      </c>
      <c r="O385" s="44">
        <v>0</v>
      </c>
      <c r="P385" s="44">
        <v>0</v>
      </c>
      <c r="Q385" s="44"/>
      <c r="R385" s="44" t="b">
        <v>0</v>
      </c>
    </row>
    <row r="386" spans="1:18" s="162" customFormat="1">
      <c r="A386" s="44" t="s">
        <v>3411</v>
      </c>
      <c r="B386" s="44" t="s">
        <v>1367</v>
      </c>
      <c r="C386" s="44" t="s">
        <v>662</v>
      </c>
      <c r="D386" s="44">
        <v>0</v>
      </c>
      <c r="E386" s="44">
        <v>1</v>
      </c>
      <c r="F386" s="44" t="s">
        <v>197</v>
      </c>
      <c r="G386" s="44" t="s">
        <v>198</v>
      </c>
      <c r="H386" s="44"/>
      <c r="I386" s="44">
        <v>0</v>
      </c>
      <c r="J386" s="44" t="s">
        <v>895</v>
      </c>
      <c r="K386" s="44" t="s">
        <v>896</v>
      </c>
      <c r="L386" s="44" t="s">
        <v>3422</v>
      </c>
      <c r="M386" s="44"/>
      <c r="N386" s="44" t="str">
        <f t="shared" si="12"/>
        <v>SkillEffectModifier(Op, renas.ult.B.attack.modifier.02.04)</v>
      </c>
      <c r="O386" s="44">
        <v>0</v>
      </c>
      <c r="P386" s="44">
        <v>0</v>
      </c>
      <c r="Q386" s="44"/>
      <c r="R386" s="44" t="b">
        <v>0</v>
      </c>
    </row>
    <row r="387" spans="1:18" s="162" customFormat="1">
      <c r="A387" s="44" t="s">
        <v>3412</v>
      </c>
      <c r="B387" s="44" t="s">
        <v>1367</v>
      </c>
      <c r="C387" s="44" t="s">
        <v>663</v>
      </c>
      <c r="D387" s="44">
        <v>0</v>
      </c>
      <c r="E387" s="44">
        <v>1</v>
      </c>
      <c r="F387" s="44" t="s">
        <v>197</v>
      </c>
      <c r="G387" s="44" t="s">
        <v>198</v>
      </c>
      <c r="H387" s="44"/>
      <c r="I387" s="44">
        <v>0</v>
      </c>
      <c r="J387" s="44" t="s">
        <v>895</v>
      </c>
      <c r="K387" s="44" t="s">
        <v>896</v>
      </c>
      <c r="L387" s="44" t="s">
        <v>3423</v>
      </c>
      <c r="M387" s="44"/>
      <c r="N387" s="44" t="str">
        <f t="shared" si="12"/>
        <v>SkillEffectModifier(Op, renas.ult.B.attack.modifier.02.05)</v>
      </c>
      <c r="O387" s="44">
        <v>0</v>
      </c>
      <c r="P387" s="44">
        <v>0</v>
      </c>
      <c r="Q387" s="44"/>
      <c r="R387" s="44" t="b">
        <v>0</v>
      </c>
    </row>
    <row r="388" spans="1:18" s="162" customFormat="1">
      <c r="A388" s="44" t="s">
        <v>3413</v>
      </c>
      <c r="B388" s="44" t="s">
        <v>1367</v>
      </c>
      <c r="C388" s="44" t="s">
        <v>664</v>
      </c>
      <c r="D388" s="44">
        <v>0</v>
      </c>
      <c r="E388" s="44">
        <v>1</v>
      </c>
      <c r="F388" s="44" t="s">
        <v>197</v>
      </c>
      <c r="G388" s="44" t="s">
        <v>198</v>
      </c>
      <c r="H388" s="44"/>
      <c r="I388" s="44">
        <v>0</v>
      </c>
      <c r="J388" s="44" t="s">
        <v>895</v>
      </c>
      <c r="K388" s="44" t="s">
        <v>896</v>
      </c>
      <c r="L388" s="44" t="s">
        <v>3424</v>
      </c>
      <c r="M388" s="44"/>
      <c r="N388" s="44" t="str">
        <f t="shared" si="12"/>
        <v>SkillEffectModifier(Op, renas.ult.B.attack.modifier.02.06)</v>
      </c>
      <c r="O388" s="44">
        <v>0</v>
      </c>
      <c r="P388" s="44">
        <v>0</v>
      </c>
      <c r="Q388" s="44"/>
      <c r="R388" s="44" t="b">
        <v>0</v>
      </c>
    </row>
    <row r="389" spans="1:18" s="142" customFormat="1">
      <c r="A389" s="23" t="s">
        <v>4660</v>
      </c>
      <c r="B389" s="23"/>
      <c r="C389" s="23"/>
      <c r="D389" s="23">
        <v>0</v>
      </c>
      <c r="E389" s="23">
        <v>1</v>
      </c>
      <c r="F389" s="59" t="s">
        <v>197</v>
      </c>
      <c r="G389" s="59" t="s">
        <v>198</v>
      </c>
      <c r="H389" s="23"/>
      <c r="I389" s="23">
        <v>0</v>
      </c>
      <c r="J389" s="23" t="s">
        <v>893</v>
      </c>
      <c r="K389" s="23" t="s">
        <v>4661</v>
      </c>
      <c r="L389" s="23"/>
      <c r="M389" s="23"/>
      <c r="N389" s="23" t="str">
        <f t="shared" si="12"/>
        <v>Active(renas.ult.pre.buff.burn.skilleffect)</v>
      </c>
      <c r="O389" s="23">
        <v>0</v>
      </c>
      <c r="P389" s="23">
        <v>0</v>
      </c>
      <c r="Q389" s="23"/>
      <c r="R389" s="23" t="b">
        <v>0</v>
      </c>
    </row>
    <row r="390" spans="1:18" s="142" customFormat="1">
      <c r="A390" s="23" t="s">
        <v>4662</v>
      </c>
      <c r="B390" s="23"/>
      <c r="C390" s="23"/>
      <c r="D390" s="23">
        <v>0</v>
      </c>
      <c r="E390" s="23">
        <v>1</v>
      </c>
      <c r="F390" s="59" t="s">
        <v>197</v>
      </c>
      <c r="G390" s="59" t="s">
        <v>198</v>
      </c>
      <c r="H390" s="23"/>
      <c r="I390" s="23">
        <v>0</v>
      </c>
      <c r="J390" s="23" t="s">
        <v>893</v>
      </c>
      <c r="K390" s="23" t="s">
        <v>4663</v>
      </c>
      <c r="L390" s="23"/>
      <c r="M390" s="23"/>
      <c r="N390" s="23" t="str">
        <f t="shared" ref="N390:N453" si="13">J390&amp;"("&amp;IF(K390="","",K390)&amp;IF(L390="","",", "&amp;L390)&amp;IF(M390="","",", "&amp;M390)&amp;")"</f>
        <v>Active(renas.ult.pre.buff.frost.skilleffect)</v>
      </c>
      <c r="O390" s="23">
        <v>0</v>
      </c>
      <c r="P390" s="23">
        <v>0</v>
      </c>
      <c r="Q390" s="23"/>
      <c r="R390" s="23" t="b">
        <v>0</v>
      </c>
    </row>
    <row r="391" spans="1:18" s="142" customFormat="1">
      <c r="A391" s="23" t="s">
        <v>4664</v>
      </c>
      <c r="B391" s="23"/>
      <c r="C391" s="23"/>
      <c r="D391" s="23">
        <v>0</v>
      </c>
      <c r="E391" s="23">
        <v>1</v>
      </c>
      <c r="F391" s="59" t="s">
        <v>197</v>
      </c>
      <c r="G391" s="59" t="s">
        <v>198</v>
      </c>
      <c r="H391" s="23"/>
      <c r="I391" s="23">
        <v>0</v>
      </c>
      <c r="J391" s="23" t="s">
        <v>893</v>
      </c>
      <c r="K391" s="23" t="s">
        <v>4665</v>
      </c>
      <c r="L391" s="23"/>
      <c r="M391" s="23"/>
      <c r="N391" s="23" t="str">
        <f t="shared" si="13"/>
        <v>Active(renas.ult.pre.buff.poison.skilleffect)</v>
      </c>
      <c r="O391" s="23">
        <v>0</v>
      </c>
      <c r="P391" s="23">
        <v>0</v>
      </c>
      <c r="Q391" s="23"/>
      <c r="R391" s="23" t="b">
        <v>0</v>
      </c>
    </row>
    <row r="392" spans="1:18" s="142" customFormat="1">
      <c r="A392" s="23" t="s">
        <v>4666</v>
      </c>
      <c r="B392" s="23"/>
      <c r="C392" s="23"/>
      <c r="D392" s="23">
        <v>0</v>
      </c>
      <c r="E392" s="23">
        <v>1</v>
      </c>
      <c r="F392" s="59" t="s">
        <v>197</v>
      </c>
      <c r="G392" s="59" t="s">
        <v>198</v>
      </c>
      <c r="H392" s="23"/>
      <c r="I392" s="23">
        <v>0</v>
      </c>
      <c r="J392" s="23" t="s">
        <v>893</v>
      </c>
      <c r="K392" s="23" t="s">
        <v>4667</v>
      </c>
      <c r="L392" s="23"/>
      <c r="M392" s="23"/>
      <c r="N392" s="23" t="str">
        <f t="shared" si="13"/>
        <v>Active(renas.ult.pre.buff.electric.skilleffect)</v>
      </c>
      <c r="O392" s="23">
        <v>0</v>
      </c>
      <c r="P392" s="23">
        <v>0</v>
      </c>
      <c r="Q392" s="23"/>
      <c r="R392" s="23" t="b">
        <v>0</v>
      </c>
    </row>
    <row r="393" spans="1:18" s="142" customFormat="1">
      <c r="A393" s="23" t="s">
        <v>4668</v>
      </c>
      <c r="B393" s="23"/>
      <c r="C393" s="23"/>
      <c r="D393" s="23">
        <v>0</v>
      </c>
      <c r="E393" s="23">
        <v>1</v>
      </c>
      <c r="F393" s="59" t="s">
        <v>197</v>
      </c>
      <c r="G393" s="59" t="s">
        <v>198</v>
      </c>
      <c r="H393" s="23"/>
      <c r="I393" s="23">
        <v>0</v>
      </c>
      <c r="J393" s="23" t="s">
        <v>893</v>
      </c>
      <c r="K393" s="23" t="s">
        <v>4669</v>
      </c>
      <c r="L393" s="23"/>
      <c r="M393" s="23"/>
      <c r="N393" s="23" t="str">
        <f t="shared" si="13"/>
        <v>Active(renas.ult.pre.buff.bleed.skilleffect)</v>
      </c>
      <c r="O393" s="23">
        <v>0</v>
      </c>
      <c r="P393" s="23">
        <v>0</v>
      </c>
      <c r="Q393" s="23"/>
      <c r="R393" s="23" t="b">
        <v>0</v>
      </c>
    </row>
    <row r="394" spans="1:18">
      <c r="A394" s="25" t="s">
        <v>2048</v>
      </c>
      <c r="B394" s="25" t="s">
        <v>1367</v>
      </c>
      <c r="C394" s="25" t="s">
        <v>3381</v>
      </c>
      <c r="D394" s="25">
        <v>0</v>
      </c>
      <c r="E394" s="25">
        <v>1</v>
      </c>
      <c r="F394" s="25" t="s">
        <v>197</v>
      </c>
      <c r="G394" s="25" t="s">
        <v>198</v>
      </c>
      <c r="H394" s="25"/>
      <c r="I394" s="25">
        <v>0</v>
      </c>
      <c r="J394" s="25" t="s">
        <v>191</v>
      </c>
      <c r="K394" s="25" t="s">
        <v>927</v>
      </c>
      <c r="L394" s="25" t="s">
        <v>2054</v>
      </c>
      <c r="M394" s="25"/>
      <c r="N394" s="25" t="str">
        <f t="shared" si="13"/>
        <v>Effect(OnHitNormal, renas.passive.buff.buffeffect.skilleffect.01)</v>
      </c>
      <c r="O394" s="25">
        <v>0</v>
      </c>
      <c r="P394" s="25">
        <v>0</v>
      </c>
      <c r="Q394" s="25"/>
      <c r="R394" s="25" t="b">
        <v>1</v>
      </c>
    </row>
    <row r="395" spans="1:18">
      <c r="A395" s="25" t="s">
        <v>2049</v>
      </c>
      <c r="B395" s="25" t="s">
        <v>1367</v>
      </c>
      <c r="C395" s="25" t="s">
        <v>3381</v>
      </c>
      <c r="D395" s="25">
        <v>0</v>
      </c>
      <c r="E395" s="25">
        <v>1</v>
      </c>
      <c r="F395" s="25" t="s">
        <v>197</v>
      </c>
      <c r="G395" s="25" t="s">
        <v>198</v>
      </c>
      <c r="H395" s="25"/>
      <c r="I395" s="25">
        <v>0</v>
      </c>
      <c r="J395" s="25" t="s">
        <v>191</v>
      </c>
      <c r="K395" s="25" t="s">
        <v>927</v>
      </c>
      <c r="L395" s="25" t="s">
        <v>2055</v>
      </c>
      <c r="M395" s="25"/>
      <c r="N395" s="25" t="str">
        <f t="shared" si="13"/>
        <v>Effect(OnHitNormal, renas.passive.buff.buffeffect.skilleffect.02)</v>
      </c>
      <c r="O395" s="25">
        <v>0</v>
      </c>
      <c r="P395" s="25">
        <v>0</v>
      </c>
      <c r="Q395" s="25"/>
      <c r="R395" s="25" t="b">
        <v>1</v>
      </c>
    </row>
    <row r="396" spans="1:18">
      <c r="A396" s="25" t="s">
        <v>2050</v>
      </c>
      <c r="B396" s="25" t="s">
        <v>1367</v>
      </c>
      <c r="C396" s="25" t="s">
        <v>3381</v>
      </c>
      <c r="D396" s="25">
        <v>0</v>
      </c>
      <c r="E396" s="25">
        <v>1</v>
      </c>
      <c r="F396" s="25" t="s">
        <v>197</v>
      </c>
      <c r="G396" s="25" t="s">
        <v>198</v>
      </c>
      <c r="H396" s="25"/>
      <c r="I396" s="25">
        <v>0</v>
      </c>
      <c r="J396" s="25" t="s">
        <v>191</v>
      </c>
      <c r="K396" s="25" t="s">
        <v>927</v>
      </c>
      <c r="L396" s="25" t="s">
        <v>2056</v>
      </c>
      <c r="M396" s="25"/>
      <c r="N396" s="25" t="str">
        <f t="shared" si="13"/>
        <v>Effect(OnHitNormal, renas.passive.buff.buffeffect.skilleffect.03)</v>
      </c>
      <c r="O396" s="25">
        <v>0</v>
      </c>
      <c r="P396" s="25">
        <v>0</v>
      </c>
      <c r="Q396" s="25"/>
      <c r="R396" s="25" t="b">
        <v>1</v>
      </c>
    </row>
    <row r="397" spans="1:18">
      <c r="A397" s="34" t="s">
        <v>2051</v>
      </c>
      <c r="B397" s="34" t="s">
        <v>1367</v>
      </c>
      <c r="C397" s="34" t="s">
        <v>3381</v>
      </c>
      <c r="D397" s="34">
        <v>0</v>
      </c>
      <c r="E397" s="34">
        <v>1</v>
      </c>
      <c r="F397" s="34" t="s">
        <v>197</v>
      </c>
      <c r="G397" s="34" t="s">
        <v>198</v>
      </c>
      <c r="H397" s="34"/>
      <c r="I397" s="34">
        <v>0</v>
      </c>
      <c r="J397" s="34" t="s">
        <v>191</v>
      </c>
      <c r="K397" s="34" t="s">
        <v>927</v>
      </c>
      <c r="L397" s="34" t="s">
        <v>2057</v>
      </c>
      <c r="M397" s="34"/>
      <c r="N397" s="34" t="str">
        <f t="shared" si="13"/>
        <v>Effect(OnHitNormal, renas.passive.buff.buffeffect.skilleffect.04)</v>
      </c>
      <c r="O397" s="34">
        <v>0</v>
      </c>
      <c r="P397" s="34">
        <v>0</v>
      </c>
      <c r="Q397" s="34"/>
      <c r="R397" s="34" t="b">
        <v>1</v>
      </c>
    </row>
    <row r="398" spans="1:18">
      <c r="A398" s="34" t="s">
        <v>2052</v>
      </c>
      <c r="B398" s="34" t="s">
        <v>1367</v>
      </c>
      <c r="C398" s="34" t="s">
        <v>3381</v>
      </c>
      <c r="D398" s="34">
        <v>0</v>
      </c>
      <c r="E398" s="34">
        <v>1</v>
      </c>
      <c r="F398" s="34" t="s">
        <v>197</v>
      </c>
      <c r="G398" s="34" t="s">
        <v>198</v>
      </c>
      <c r="H398" s="34"/>
      <c r="I398" s="34">
        <v>0</v>
      </c>
      <c r="J398" s="34" t="s">
        <v>191</v>
      </c>
      <c r="K398" s="34" t="s">
        <v>927</v>
      </c>
      <c r="L398" s="34" t="s">
        <v>2058</v>
      </c>
      <c r="M398" s="34"/>
      <c r="N398" s="34" t="str">
        <f t="shared" si="13"/>
        <v>Effect(OnHitNormal, renas.passive.buff.buffeffect.skilleffect.05)</v>
      </c>
      <c r="O398" s="34">
        <v>0</v>
      </c>
      <c r="P398" s="34">
        <v>0</v>
      </c>
      <c r="Q398" s="34"/>
      <c r="R398" s="34" t="b">
        <v>1</v>
      </c>
    </row>
    <row r="399" spans="1:18" s="13" customFormat="1">
      <c r="A399" s="34" t="s">
        <v>2053</v>
      </c>
      <c r="B399" s="34" t="s">
        <v>1367</v>
      </c>
      <c r="C399" s="34" t="s">
        <v>3381</v>
      </c>
      <c r="D399" s="34">
        <v>0</v>
      </c>
      <c r="E399" s="34">
        <v>1</v>
      </c>
      <c r="F399" s="34" t="s">
        <v>197</v>
      </c>
      <c r="G399" s="34" t="s">
        <v>198</v>
      </c>
      <c r="H399" s="34"/>
      <c r="I399" s="34">
        <v>0</v>
      </c>
      <c r="J399" s="34" t="s">
        <v>191</v>
      </c>
      <c r="K399" s="34" t="s">
        <v>927</v>
      </c>
      <c r="L399" s="34" t="s">
        <v>2059</v>
      </c>
      <c r="M399" s="34"/>
      <c r="N399" s="34" t="str">
        <f t="shared" si="13"/>
        <v>Effect(OnHitNormal, renas.passive.buff.buffeffect.skilleffect.06)</v>
      </c>
      <c r="O399" s="34">
        <v>0</v>
      </c>
      <c r="P399" s="34">
        <v>0</v>
      </c>
      <c r="Q399" s="34"/>
      <c r="R399" s="34" t="b">
        <v>1</v>
      </c>
    </row>
    <row r="400" spans="1:18" s="13" customFormat="1">
      <c r="A400" s="26" t="s">
        <v>7101</v>
      </c>
      <c r="B400" s="26"/>
      <c r="C400" s="26"/>
      <c r="D400" s="26">
        <v>0</v>
      </c>
      <c r="E400" s="26">
        <v>1</v>
      </c>
      <c r="F400" s="26" t="s">
        <v>197</v>
      </c>
      <c r="G400" s="26" t="s">
        <v>198</v>
      </c>
      <c r="H400" s="26"/>
      <c r="I400" s="26">
        <v>0</v>
      </c>
      <c r="J400" s="26" t="s">
        <v>893</v>
      </c>
      <c r="K400" s="26" t="s">
        <v>2054</v>
      </c>
      <c r="L400" s="26"/>
      <c r="M400" s="26"/>
      <c r="N400" s="26" t="str">
        <f t="shared" si="13"/>
        <v>Active(renas.passive.buff.buffeffect.skilleffect.01)</v>
      </c>
      <c r="O400" s="26">
        <v>0</v>
      </c>
      <c r="P400" s="26">
        <v>0</v>
      </c>
      <c r="Q400" s="26"/>
      <c r="R400" s="26" t="b">
        <v>1</v>
      </c>
    </row>
    <row r="401" spans="1:18" s="13" customFormat="1">
      <c r="A401" s="26" t="s">
        <v>2066</v>
      </c>
      <c r="B401" s="26"/>
      <c r="C401" s="26"/>
      <c r="D401" s="26">
        <v>0</v>
      </c>
      <c r="E401" s="26">
        <v>1</v>
      </c>
      <c r="F401" s="26" t="s">
        <v>197</v>
      </c>
      <c r="G401" s="26" t="s">
        <v>198</v>
      </c>
      <c r="H401" s="26"/>
      <c r="I401" s="26">
        <v>0</v>
      </c>
      <c r="J401" s="26" t="s">
        <v>893</v>
      </c>
      <c r="K401" s="26" t="s">
        <v>2055</v>
      </c>
      <c r="L401" s="26"/>
      <c r="M401" s="26"/>
      <c r="N401" s="26" t="str">
        <f t="shared" si="13"/>
        <v>Active(renas.passive.buff.buffeffect.skilleffect.02)</v>
      </c>
      <c r="O401" s="26">
        <v>0</v>
      </c>
      <c r="P401" s="26">
        <v>0</v>
      </c>
      <c r="Q401" s="26"/>
      <c r="R401" s="26" t="b">
        <v>1</v>
      </c>
    </row>
    <row r="402" spans="1:18" s="13" customFormat="1">
      <c r="A402" s="26" t="s">
        <v>2067</v>
      </c>
      <c r="B402" s="26"/>
      <c r="C402" s="26"/>
      <c r="D402" s="26">
        <v>0</v>
      </c>
      <c r="E402" s="26">
        <v>1</v>
      </c>
      <c r="F402" s="26" t="s">
        <v>197</v>
      </c>
      <c r="G402" s="26" t="s">
        <v>198</v>
      </c>
      <c r="H402" s="26"/>
      <c r="I402" s="26">
        <v>0</v>
      </c>
      <c r="J402" s="26" t="s">
        <v>893</v>
      </c>
      <c r="K402" s="26" t="s">
        <v>2056</v>
      </c>
      <c r="L402" s="26"/>
      <c r="M402" s="26"/>
      <c r="N402" s="26" t="str">
        <f t="shared" si="13"/>
        <v>Active(renas.passive.buff.buffeffect.skilleffect.03)</v>
      </c>
      <c r="O402" s="26">
        <v>0</v>
      </c>
      <c r="P402" s="26">
        <v>0</v>
      </c>
      <c r="Q402" s="26"/>
      <c r="R402" s="26" t="b">
        <v>1</v>
      </c>
    </row>
    <row r="403" spans="1:18" s="13" customFormat="1">
      <c r="A403" s="34" t="s">
        <v>2068</v>
      </c>
      <c r="B403" s="34"/>
      <c r="C403" s="34"/>
      <c r="D403" s="34">
        <v>0</v>
      </c>
      <c r="E403" s="34">
        <v>1</v>
      </c>
      <c r="F403" s="34" t="s">
        <v>197</v>
      </c>
      <c r="G403" s="34" t="s">
        <v>198</v>
      </c>
      <c r="H403" s="34"/>
      <c r="I403" s="34">
        <v>0</v>
      </c>
      <c r="J403" s="34" t="s">
        <v>893</v>
      </c>
      <c r="K403" s="34" t="s">
        <v>2057</v>
      </c>
      <c r="L403" s="34"/>
      <c r="M403" s="34"/>
      <c r="N403" s="34" t="str">
        <f t="shared" si="13"/>
        <v>Active(renas.passive.buff.buffeffect.skilleffect.04)</v>
      </c>
      <c r="O403" s="34">
        <v>0</v>
      </c>
      <c r="P403" s="34">
        <v>0</v>
      </c>
      <c r="Q403" s="34"/>
      <c r="R403" s="34" t="b">
        <v>1</v>
      </c>
    </row>
    <row r="404" spans="1:18" s="13" customFormat="1">
      <c r="A404" s="34" t="s">
        <v>2069</v>
      </c>
      <c r="B404" s="34"/>
      <c r="C404" s="34"/>
      <c r="D404" s="34">
        <v>0</v>
      </c>
      <c r="E404" s="34">
        <v>1</v>
      </c>
      <c r="F404" s="34" t="s">
        <v>197</v>
      </c>
      <c r="G404" s="34" t="s">
        <v>198</v>
      </c>
      <c r="H404" s="34"/>
      <c r="I404" s="34">
        <v>0</v>
      </c>
      <c r="J404" s="34" t="s">
        <v>893</v>
      </c>
      <c r="K404" s="34" t="s">
        <v>2058</v>
      </c>
      <c r="L404" s="34"/>
      <c r="M404" s="34"/>
      <c r="N404" s="34" t="str">
        <f t="shared" si="13"/>
        <v>Active(renas.passive.buff.buffeffect.skilleffect.05)</v>
      </c>
      <c r="O404" s="34">
        <v>0</v>
      </c>
      <c r="P404" s="34">
        <v>0</v>
      </c>
      <c r="Q404" s="34"/>
      <c r="R404" s="34" t="b">
        <v>1</v>
      </c>
    </row>
    <row r="405" spans="1:18" s="13" customFormat="1">
      <c r="A405" s="34" t="s">
        <v>2070</v>
      </c>
      <c r="B405" s="34"/>
      <c r="C405" s="34"/>
      <c r="D405" s="34">
        <v>0</v>
      </c>
      <c r="E405" s="34">
        <v>1</v>
      </c>
      <c r="F405" s="34" t="s">
        <v>197</v>
      </c>
      <c r="G405" s="34" t="s">
        <v>198</v>
      </c>
      <c r="H405" s="34"/>
      <c r="I405" s="34">
        <v>0</v>
      </c>
      <c r="J405" s="34" t="s">
        <v>893</v>
      </c>
      <c r="K405" s="34" t="s">
        <v>2059</v>
      </c>
      <c r="L405" s="34"/>
      <c r="M405" s="34"/>
      <c r="N405" s="34" t="str">
        <f t="shared" si="13"/>
        <v>Active(renas.passive.buff.buffeffect.skilleffect.06)</v>
      </c>
      <c r="O405" s="34">
        <v>0</v>
      </c>
      <c r="P405" s="34">
        <v>0</v>
      </c>
      <c r="Q405" s="34"/>
      <c r="R405" s="34" t="b">
        <v>1</v>
      </c>
    </row>
    <row r="406" spans="1:18" s="13" customFormat="1">
      <c r="A406" s="25" t="s">
        <v>2042</v>
      </c>
      <c r="B406" s="25"/>
      <c r="C406" s="25"/>
      <c r="D406" s="25">
        <v>0</v>
      </c>
      <c r="E406" s="25">
        <v>1</v>
      </c>
      <c r="F406" s="25" t="s">
        <v>197</v>
      </c>
      <c r="G406" s="25" t="s">
        <v>198</v>
      </c>
      <c r="H406" s="25"/>
      <c r="I406" s="25">
        <v>0</v>
      </c>
      <c r="J406" s="25" t="s">
        <v>191</v>
      </c>
      <c r="K406" s="25" t="s">
        <v>927</v>
      </c>
      <c r="L406" s="25" t="s">
        <v>2060</v>
      </c>
      <c r="M406" s="25"/>
      <c r="N406" s="25" t="str">
        <f t="shared" si="13"/>
        <v>Effect(OnHitNormal, renas.passive.hit.event.01)</v>
      </c>
      <c r="O406" s="25">
        <v>3</v>
      </c>
      <c r="P406" s="25">
        <v>0</v>
      </c>
      <c r="Q406" s="25"/>
      <c r="R406" s="25" t="b">
        <v>1</v>
      </c>
    </row>
    <row r="407" spans="1:18" s="13" customFormat="1">
      <c r="A407" s="25" t="s">
        <v>2043</v>
      </c>
      <c r="B407" s="25"/>
      <c r="C407" s="25"/>
      <c r="D407" s="25">
        <v>0</v>
      </c>
      <c r="E407" s="25">
        <v>1</v>
      </c>
      <c r="F407" s="25" t="s">
        <v>197</v>
      </c>
      <c r="G407" s="25" t="s">
        <v>198</v>
      </c>
      <c r="H407" s="25"/>
      <c r="I407" s="25">
        <v>0</v>
      </c>
      <c r="J407" s="25" t="s">
        <v>191</v>
      </c>
      <c r="K407" s="25" t="s">
        <v>927</v>
      </c>
      <c r="L407" s="25" t="s">
        <v>2061</v>
      </c>
      <c r="M407" s="25"/>
      <c r="N407" s="25" t="str">
        <f t="shared" si="13"/>
        <v>Effect(OnHitNormal, renas.passive.hit.event.02)</v>
      </c>
      <c r="O407" s="25">
        <v>3</v>
      </c>
      <c r="P407" s="25">
        <v>0</v>
      </c>
      <c r="Q407" s="25"/>
      <c r="R407" s="25" t="b">
        <v>1</v>
      </c>
    </row>
    <row r="408" spans="1:18" s="13" customFormat="1">
      <c r="A408" s="25" t="s">
        <v>2044</v>
      </c>
      <c r="B408" s="25"/>
      <c r="C408" s="25"/>
      <c r="D408" s="25">
        <v>0</v>
      </c>
      <c r="E408" s="25">
        <v>1</v>
      </c>
      <c r="F408" s="25" t="s">
        <v>197</v>
      </c>
      <c r="G408" s="25" t="s">
        <v>198</v>
      </c>
      <c r="H408" s="25"/>
      <c r="I408" s="25">
        <v>0</v>
      </c>
      <c r="J408" s="25" t="s">
        <v>191</v>
      </c>
      <c r="K408" s="25" t="s">
        <v>927</v>
      </c>
      <c r="L408" s="25" t="s">
        <v>2062</v>
      </c>
      <c r="M408" s="25"/>
      <c r="N408" s="25" t="str">
        <f t="shared" si="13"/>
        <v>Effect(OnHitNormal, renas.passive.hit.event.03)</v>
      </c>
      <c r="O408" s="25">
        <v>3</v>
      </c>
      <c r="P408" s="25">
        <v>0</v>
      </c>
      <c r="Q408" s="25"/>
      <c r="R408" s="25" t="b">
        <v>1</v>
      </c>
    </row>
    <row r="409" spans="1:18" s="13" customFormat="1">
      <c r="A409" s="34" t="s">
        <v>2045</v>
      </c>
      <c r="B409" s="34"/>
      <c r="C409" s="34"/>
      <c r="D409" s="34">
        <v>0</v>
      </c>
      <c r="E409" s="34">
        <v>1</v>
      </c>
      <c r="F409" s="34" t="s">
        <v>197</v>
      </c>
      <c r="G409" s="34" t="s">
        <v>198</v>
      </c>
      <c r="H409" s="34"/>
      <c r="I409" s="34">
        <v>0</v>
      </c>
      <c r="J409" s="34" t="s">
        <v>191</v>
      </c>
      <c r="K409" s="34" t="s">
        <v>927</v>
      </c>
      <c r="L409" s="34" t="s">
        <v>2063</v>
      </c>
      <c r="M409" s="34"/>
      <c r="N409" s="34" t="str">
        <f t="shared" si="13"/>
        <v>Effect(OnHitNormal, renas.passive.hit.event.04)</v>
      </c>
      <c r="O409" s="34">
        <v>3</v>
      </c>
      <c r="P409" s="34">
        <v>0</v>
      </c>
      <c r="Q409" s="34"/>
      <c r="R409" s="34" t="b">
        <v>1</v>
      </c>
    </row>
    <row r="410" spans="1:18" s="13" customFormat="1">
      <c r="A410" s="34" t="s">
        <v>2046</v>
      </c>
      <c r="B410" s="34"/>
      <c r="C410" s="34"/>
      <c r="D410" s="34">
        <v>0</v>
      </c>
      <c r="E410" s="34">
        <v>1</v>
      </c>
      <c r="F410" s="34" t="s">
        <v>197</v>
      </c>
      <c r="G410" s="34" t="s">
        <v>198</v>
      </c>
      <c r="H410" s="34"/>
      <c r="I410" s="34">
        <v>0</v>
      </c>
      <c r="J410" s="34" t="s">
        <v>191</v>
      </c>
      <c r="K410" s="34" t="s">
        <v>927</v>
      </c>
      <c r="L410" s="34" t="s">
        <v>2064</v>
      </c>
      <c r="M410" s="34"/>
      <c r="N410" s="34" t="str">
        <f t="shared" si="13"/>
        <v>Effect(OnHitNormal, renas.passive.hit.event.05)</v>
      </c>
      <c r="O410" s="34">
        <v>3</v>
      </c>
      <c r="P410" s="34">
        <v>0</v>
      </c>
      <c r="Q410" s="34"/>
      <c r="R410" s="34" t="b">
        <v>1</v>
      </c>
    </row>
    <row r="411" spans="1:18" s="13" customFormat="1">
      <c r="A411" s="34" t="s">
        <v>2047</v>
      </c>
      <c r="B411" s="34"/>
      <c r="C411" s="34"/>
      <c r="D411" s="34">
        <v>0</v>
      </c>
      <c r="E411" s="34">
        <v>1</v>
      </c>
      <c r="F411" s="34" t="s">
        <v>197</v>
      </c>
      <c r="G411" s="34" t="s">
        <v>198</v>
      </c>
      <c r="H411" s="34"/>
      <c r="I411" s="34">
        <v>0</v>
      </c>
      <c r="J411" s="34" t="s">
        <v>191</v>
      </c>
      <c r="K411" s="34" t="s">
        <v>927</v>
      </c>
      <c r="L411" s="34" t="s">
        <v>2065</v>
      </c>
      <c r="M411" s="34"/>
      <c r="N411" s="34" t="str">
        <f t="shared" si="13"/>
        <v>Effect(OnHitNormal, renas.passive.hit.event.06)</v>
      </c>
      <c r="O411" s="34">
        <v>3</v>
      </c>
      <c r="P411" s="34">
        <v>0</v>
      </c>
      <c r="Q411" s="34"/>
      <c r="R411" s="34" t="b">
        <v>1</v>
      </c>
    </row>
    <row r="412" spans="1:18" s="143" customFormat="1">
      <c r="A412" s="25" t="s">
        <v>3387</v>
      </c>
      <c r="B412" s="25" t="s">
        <v>1367</v>
      </c>
      <c r="C412" s="25" t="s">
        <v>659</v>
      </c>
      <c r="D412" s="25">
        <v>0</v>
      </c>
      <c r="E412" s="25">
        <v>1</v>
      </c>
      <c r="F412" s="25" t="s">
        <v>197</v>
      </c>
      <c r="G412" s="25" t="s">
        <v>198</v>
      </c>
      <c r="H412" s="25"/>
      <c r="I412" s="25">
        <v>0</v>
      </c>
      <c r="J412" s="25" t="s">
        <v>895</v>
      </c>
      <c r="K412" s="25" t="s">
        <v>896</v>
      </c>
      <c r="L412" s="25" t="s">
        <v>7102</v>
      </c>
      <c r="M412" s="25"/>
      <c r="N412" s="25" t="str">
        <f t="shared" si="13"/>
        <v>SkillEffectModifier(Op, renas.ult.attack.modifier.01)</v>
      </c>
      <c r="O412" s="25">
        <v>0</v>
      </c>
      <c r="P412" s="25">
        <v>0</v>
      </c>
      <c r="Q412" s="25"/>
      <c r="R412" s="25" t="b">
        <v>0</v>
      </c>
    </row>
    <row r="413" spans="1:18" s="153" customFormat="1">
      <c r="A413" s="26" t="s">
        <v>3388</v>
      </c>
      <c r="B413" s="26" t="s">
        <v>1367</v>
      </c>
      <c r="C413" s="26" t="s">
        <v>660</v>
      </c>
      <c r="D413" s="26">
        <v>0</v>
      </c>
      <c r="E413" s="26">
        <v>1</v>
      </c>
      <c r="F413" s="26" t="s">
        <v>197</v>
      </c>
      <c r="G413" s="26" t="s">
        <v>198</v>
      </c>
      <c r="H413" s="26"/>
      <c r="I413" s="26">
        <v>0</v>
      </c>
      <c r="J413" s="26" t="s">
        <v>895</v>
      </c>
      <c r="K413" s="26" t="s">
        <v>896</v>
      </c>
      <c r="L413" s="26" t="s">
        <v>3393</v>
      </c>
      <c r="M413" s="26"/>
      <c r="N413" s="26" t="str">
        <f t="shared" si="13"/>
        <v>SkillEffectModifier(Op, renas.ult.attack.modifier.02)</v>
      </c>
      <c r="O413" s="26">
        <v>0</v>
      </c>
      <c r="P413" s="26">
        <v>0</v>
      </c>
      <c r="Q413" s="26"/>
      <c r="R413" s="26" t="b">
        <v>0</v>
      </c>
    </row>
    <row r="414" spans="1:18" s="153" customFormat="1">
      <c r="A414" s="26" t="s">
        <v>3389</v>
      </c>
      <c r="B414" s="26" t="s">
        <v>1367</v>
      </c>
      <c r="C414" s="26" t="s">
        <v>661</v>
      </c>
      <c r="D414" s="26">
        <v>0</v>
      </c>
      <c r="E414" s="26">
        <v>1</v>
      </c>
      <c r="F414" s="26" t="s">
        <v>197</v>
      </c>
      <c r="G414" s="26" t="s">
        <v>198</v>
      </c>
      <c r="H414" s="26"/>
      <c r="I414" s="26">
        <v>0</v>
      </c>
      <c r="J414" s="26" t="s">
        <v>895</v>
      </c>
      <c r="K414" s="26" t="s">
        <v>896</v>
      </c>
      <c r="L414" s="26" t="s">
        <v>3394</v>
      </c>
      <c r="M414" s="26"/>
      <c r="N414" s="26" t="str">
        <f t="shared" si="13"/>
        <v>SkillEffectModifier(Op, renas.ult.attack.modifier.03)</v>
      </c>
      <c r="O414" s="26">
        <v>0</v>
      </c>
      <c r="P414" s="26">
        <v>0</v>
      </c>
      <c r="Q414" s="26"/>
      <c r="R414" s="26" t="b">
        <v>0</v>
      </c>
    </row>
    <row r="415" spans="1:18" s="153" customFormat="1">
      <c r="A415" s="26" t="s">
        <v>3390</v>
      </c>
      <c r="B415" s="26" t="s">
        <v>1367</v>
      </c>
      <c r="C415" s="26" t="s">
        <v>662</v>
      </c>
      <c r="D415" s="26">
        <v>0</v>
      </c>
      <c r="E415" s="26">
        <v>1</v>
      </c>
      <c r="F415" s="26" t="s">
        <v>197</v>
      </c>
      <c r="G415" s="26" t="s">
        <v>198</v>
      </c>
      <c r="H415" s="26"/>
      <c r="I415" s="26">
        <v>0</v>
      </c>
      <c r="J415" s="26" t="s">
        <v>895</v>
      </c>
      <c r="K415" s="26" t="s">
        <v>896</v>
      </c>
      <c r="L415" s="26" t="s">
        <v>3395</v>
      </c>
      <c r="M415" s="26"/>
      <c r="N415" s="26" t="str">
        <f t="shared" si="13"/>
        <v>SkillEffectModifier(Op, renas.ult.attack.modifier.04)</v>
      </c>
      <c r="O415" s="26">
        <v>0</v>
      </c>
      <c r="P415" s="26">
        <v>0</v>
      </c>
      <c r="Q415" s="26"/>
      <c r="R415" s="26" t="b">
        <v>0</v>
      </c>
    </row>
    <row r="416" spans="1:18" s="153" customFormat="1">
      <c r="A416" s="26" t="s">
        <v>3391</v>
      </c>
      <c r="B416" s="26" t="s">
        <v>1367</v>
      </c>
      <c r="C416" s="26" t="s">
        <v>663</v>
      </c>
      <c r="D416" s="26">
        <v>0</v>
      </c>
      <c r="E416" s="26">
        <v>1</v>
      </c>
      <c r="F416" s="26" t="s">
        <v>197</v>
      </c>
      <c r="G416" s="26" t="s">
        <v>198</v>
      </c>
      <c r="H416" s="26"/>
      <c r="I416" s="26">
        <v>0</v>
      </c>
      <c r="J416" s="26" t="s">
        <v>895</v>
      </c>
      <c r="K416" s="26" t="s">
        <v>896</v>
      </c>
      <c r="L416" s="26" t="s">
        <v>3396</v>
      </c>
      <c r="M416" s="26"/>
      <c r="N416" s="26" t="str">
        <f t="shared" si="13"/>
        <v>SkillEffectModifier(Op, renas.ult.attack.modifier.05)</v>
      </c>
      <c r="O416" s="26">
        <v>0</v>
      </c>
      <c r="P416" s="26">
        <v>0</v>
      </c>
      <c r="Q416" s="26"/>
      <c r="R416" s="26" t="b">
        <v>0</v>
      </c>
    </row>
    <row r="417" spans="1:18" s="153" customFormat="1">
      <c r="A417" s="26" t="s">
        <v>3392</v>
      </c>
      <c r="B417" s="26" t="s">
        <v>1367</v>
      </c>
      <c r="C417" s="26" t="s">
        <v>664</v>
      </c>
      <c r="D417" s="26">
        <v>0</v>
      </c>
      <c r="E417" s="26">
        <v>1</v>
      </c>
      <c r="F417" s="26" t="s">
        <v>197</v>
      </c>
      <c r="G417" s="26" t="s">
        <v>198</v>
      </c>
      <c r="H417" s="26"/>
      <c r="I417" s="26">
        <v>0</v>
      </c>
      <c r="J417" s="26" t="s">
        <v>895</v>
      </c>
      <c r="K417" s="26" t="s">
        <v>896</v>
      </c>
      <c r="L417" s="26" t="s">
        <v>3397</v>
      </c>
      <c r="M417" s="26"/>
      <c r="N417" s="26" t="str">
        <f t="shared" si="13"/>
        <v>SkillEffectModifier(Op, renas.ult.attack.modifier.06)</v>
      </c>
      <c r="O417" s="26">
        <v>0</v>
      </c>
      <c r="P417" s="26">
        <v>0</v>
      </c>
      <c r="Q417" s="26"/>
      <c r="R417" s="26" t="b">
        <v>0</v>
      </c>
    </row>
    <row r="418" spans="1:18" s="153" customFormat="1">
      <c r="A418" s="26" t="s">
        <v>6994</v>
      </c>
      <c r="B418" s="26"/>
      <c r="C418" s="26"/>
      <c r="D418" s="26">
        <v>0</v>
      </c>
      <c r="E418" s="26">
        <v>1</v>
      </c>
      <c r="F418" s="26" t="s">
        <v>197</v>
      </c>
      <c r="G418" s="26" t="s">
        <v>198</v>
      </c>
      <c r="H418" s="26"/>
      <c r="I418" s="26">
        <v>0</v>
      </c>
      <c r="J418" s="26" t="s">
        <v>838</v>
      </c>
      <c r="K418" s="26" t="s">
        <v>870</v>
      </c>
      <c r="L418" s="26">
        <v>175</v>
      </c>
      <c r="M418" s="26"/>
      <c r="N418" s="26" t="str">
        <f t="shared" si="13"/>
        <v>Status(AccuracyRate, 175)</v>
      </c>
      <c r="O418" s="26">
        <v>0</v>
      </c>
      <c r="P418" s="26">
        <v>0</v>
      </c>
      <c r="Q418" s="26"/>
      <c r="R418" s="26" t="b">
        <v>0</v>
      </c>
    </row>
    <row r="419" spans="1:18" s="162" customFormat="1">
      <c r="A419" s="66" t="s">
        <v>3564</v>
      </c>
      <c r="B419" s="44"/>
      <c r="C419" s="44"/>
      <c r="D419" s="44">
        <v>0</v>
      </c>
      <c r="E419" s="44">
        <v>1</v>
      </c>
      <c r="F419" s="44" t="s">
        <v>197</v>
      </c>
      <c r="G419" s="44" t="s">
        <v>198</v>
      </c>
      <c r="H419" s="44"/>
      <c r="I419" s="44">
        <v>0</v>
      </c>
      <c r="J419" s="44" t="s">
        <v>838</v>
      </c>
      <c r="K419" s="44" t="s">
        <v>870</v>
      </c>
      <c r="L419" s="44">
        <v>200</v>
      </c>
      <c r="M419" s="44"/>
      <c r="N419" s="44" t="str">
        <f t="shared" si="13"/>
        <v>Status(AccuracyRate, 200)</v>
      </c>
      <c r="O419" s="44">
        <v>0</v>
      </c>
      <c r="P419" s="44">
        <v>0</v>
      </c>
      <c r="Q419" s="44"/>
      <c r="R419" s="44" t="b">
        <v>0</v>
      </c>
    </row>
    <row r="420" spans="1:18" s="162" customFormat="1">
      <c r="A420" s="66" t="s">
        <v>3565</v>
      </c>
      <c r="B420" s="44"/>
      <c r="C420" s="44"/>
      <c r="D420" s="44">
        <v>0</v>
      </c>
      <c r="E420" s="44">
        <v>1</v>
      </c>
      <c r="F420" s="44" t="s">
        <v>197</v>
      </c>
      <c r="G420" s="44" t="s">
        <v>198</v>
      </c>
      <c r="H420" s="44"/>
      <c r="I420" s="44">
        <v>0</v>
      </c>
      <c r="J420" s="44" t="s">
        <v>838</v>
      </c>
      <c r="K420" s="44" t="s">
        <v>870</v>
      </c>
      <c r="L420" s="44">
        <v>225</v>
      </c>
      <c r="M420" s="44"/>
      <c r="N420" s="44" t="str">
        <f t="shared" si="13"/>
        <v>Status(AccuracyRate, 225)</v>
      </c>
      <c r="O420" s="44">
        <v>0</v>
      </c>
      <c r="P420" s="44">
        <v>0</v>
      </c>
      <c r="Q420" s="44"/>
      <c r="R420" s="44" t="b">
        <v>0</v>
      </c>
    </row>
    <row r="421" spans="1:18" s="162" customFormat="1">
      <c r="A421" s="66" t="s">
        <v>3566</v>
      </c>
      <c r="B421" s="44"/>
      <c r="C421" s="44"/>
      <c r="D421" s="44">
        <v>0</v>
      </c>
      <c r="E421" s="44">
        <v>1</v>
      </c>
      <c r="F421" s="44" t="s">
        <v>197</v>
      </c>
      <c r="G421" s="44" t="s">
        <v>198</v>
      </c>
      <c r="H421" s="44"/>
      <c r="I421" s="44">
        <v>0</v>
      </c>
      <c r="J421" s="44" t="s">
        <v>838</v>
      </c>
      <c r="K421" s="44" t="s">
        <v>870</v>
      </c>
      <c r="L421" s="44">
        <v>250</v>
      </c>
      <c r="M421" s="44"/>
      <c r="N421" s="44" t="str">
        <f t="shared" si="13"/>
        <v>Status(AccuracyRate, 250)</v>
      </c>
      <c r="O421" s="44">
        <v>0</v>
      </c>
      <c r="P421" s="44">
        <v>0</v>
      </c>
      <c r="Q421" s="44"/>
      <c r="R421" s="44" t="b">
        <v>0</v>
      </c>
    </row>
    <row r="422" spans="1:18" s="162" customFormat="1">
      <c r="A422" s="66" t="s">
        <v>3567</v>
      </c>
      <c r="B422" s="44"/>
      <c r="C422" s="44"/>
      <c r="D422" s="44">
        <v>0</v>
      </c>
      <c r="E422" s="44">
        <v>1</v>
      </c>
      <c r="F422" s="44" t="s">
        <v>197</v>
      </c>
      <c r="G422" s="44" t="s">
        <v>198</v>
      </c>
      <c r="H422" s="44"/>
      <c r="I422" s="44">
        <v>0</v>
      </c>
      <c r="J422" s="44" t="s">
        <v>838</v>
      </c>
      <c r="K422" s="44" t="s">
        <v>870</v>
      </c>
      <c r="L422" s="44">
        <v>275</v>
      </c>
      <c r="M422" s="44"/>
      <c r="N422" s="44" t="str">
        <f t="shared" si="13"/>
        <v>Status(AccuracyRate, 275)</v>
      </c>
      <c r="O422" s="44">
        <v>0</v>
      </c>
      <c r="P422" s="44">
        <v>0</v>
      </c>
      <c r="Q422" s="44"/>
      <c r="R422" s="44" t="b">
        <v>0</v>
      </c>
    </row>
    <row r="423" spans="1:18" s="162" customFormat="1">
      <c r="A423" s="66" t="s">
        <v>3568</v>
      </c>
      <c r="B423" s="44"/>
      <c r="C423" s="44"/>
      <c r="D423" s="44">
        <v>0</v>
      </c>
      <c r="E423" s="44">
        <v>1</v>
      </c>
      <c r="F423" s="44" t="s">
        <v>197</v>
      </c>
      <c r="G423" s="44" t="s">
        <v>198</v>
      </c>
      <c r="H423" s="44"/>
      <c r="I423" s="44">
        <v>0</v>
      </c>
      <c r="J423" s="44" t="s">
        <v>838</v>
      </c>
      <c r="K423" s="44" t="s">
        <v>870</v>
      </c>
      <c r="L423" s="44">
        <v>300</v>
      </c>
      <c r="M423" s="44"/>
      <c r="N423" s="44" t="str">
        <f t="shared" si="13"/>
        <v>Status(AccuracyRate, 300)</v>
      </c>
      <c r="O423" s="44">
        <v>0</v>
      </c>
      <c r="P423" s="44">
        <v>0</v>
      </c>
      <c r="Q423" s="44"/>
      <c r="R423" s="44" t="b">
        <v>0</v>
      </c>
    </row>
    <row r="424" spans="1:18" s="162" customFormat="1">
      <c r="A424" s="66" t="s">
        <v>6996</v>
      </c>
      <c r="B424" s="44"/>
      <c r="C424" s="44"/>
      <c r="D424" s="44">
        <v>0</v>
      </c>
      <c r="E424" s="44">
        <v>1</v>
      </c>
      <c r="F424" s="44" t="s">
        <v>197</v>
      </c>
      <c r="G424" s="44" t="s">
        <v>198</v>
      </c>
      <c r="H424" s="44"/>
      <c r="I424" s="44">
        <v>0</v>
      </c>
      <c r="J424" s="44" t="s">
        <v>838</v>
      </c>
      <c r="K424" s="44" t="s">
        <v>872</v>
      </c>
      <c r="L424" s="44">
        <v>-400</v>
      </c>
      <c r="M424" s="44"/>
      <c r="N424" s="44" t="str">
        <f t="shared" si="13"/>
        <v>Status(MoveSpeedRate, -400)</v>
      </c>
      <c r="O424" s="44">
        <v>0</v>
      </c>
      <c r="P424" s="44">
        <v>0</v>
      </c>
      <c r="Q424" s="44"/>
      <c r="R424" s="44" t="b">
        <v>1</v>
      </c>
    </row>
    <row r="425" spans="1:18" s="146" customFormat="1">
      <c r="A425" s="145" t="s">
        <v>7103</v>
      </c>
      <c r="B425" s="145"/>
      <c r="C425" s="145"/>
      <c r="D425" s="145">
        <v>0</v>
      </c>
      <c r="E425" s="145">
        <v>1</v>
      </c>
      <c r="F425" s="145" t="s">
        <v>197</v>
      </c>
      <c r="G425" s="145" t="s">
        <v>198</v>
      </c>
      <c r="H425" s="145"/>
      <c r="I425" s="145">
        <v>0</v>
      </c>
      <c r="J425" s="145" t="s">
        <v>838</v>
      </c>
      <c r="K425" s="145" t="s">
        <v>872</v>
      </c>
      <c r="L425" s="145">
        <v>-300</v>
      </c>
      <c r="M425" s="145"/>
      <c r="N425" s="145" t="str">
        <f t="shared" si="13"/>
        <v>Status(MoveSpeedRate, -300)</v>
      </c>
      <c r="O425" s="145">
        <v>0</v>
      </c>
      <c r="P425" s="145">
        <v>0</v>
      </c>
      <c r="Q425" s="145"/>
      <c r="R425" s="145" t="b">
        <v>1</v>
      </c>
    </row>
    <row r="426" spans="1:18" s="146" customFormat="1">
      <c r="A426" s="145" t="s">
        <v>672</v>
      </c>
      <c r="B426" s="145"/>
      <c r="C426" s="145"/>
      <c r="D426" s="145">
        <v>0</v>
      </c>
      <c r="E426" s="145">
        <v>1</v>
      </c>
      <c r="F426" s="145" t="s">
        <v>197</v>
      </c>
      <c r="G426" s="145" t="s">
        <v>198</v>
      </c>
      <c r="H426" s="145"/>
      <c r="I426" s="145">
        <v>0</v>
      </c>
      <c r="J426" s="145" t="s">
        <v>893</v>
      </c>
      <c r="K426" s="145" t="s">
        <v>968</v>
      </c>
      <c r="L426" s="145"/>
      <c r="M426" s="145"/>
      <c r="N426" s="145" t="str">
        <f>J426&amp;"("&amp;IF(K426="","",K426)&amp;IF(L426="","",", "&amp;L426)&amp;IF(M426="","",", "&amp;M426)&amp;")"</f>
        <v>Active(leila.passive.buff.buffeffect.skilleffect.01)</v>
      </c>
      <c r="O426" s="145">
        <v>0</v>
      </c>
      <c r="P426" s="145">
        <v>0</v>
      </c>
      <c r="Q426" s="145"/>
      <c r="R426" s="145" t="b">
        <v>1</v>
      </c>
    </row>
    <row r="427" spans="1:18" s="12" customFormat="1">
      <c r="A427" s="23" t="s">
        <v>674</v>
      </c>
      <c r="B427" s="23"/>
      <c r="C427" s="23"/>
      <c r="D427" s="23">
        <v>0</v>
      </c>
      <c r="E427" s="23">
        <v>1</v>
      </c>
      <c r="F427" s="23" t="s">
        <v>197</v>
      </c>
      <c r="G427" s="23" t="s">
        <v>198</v>
      </c>
      <c r="H427" s="23"/>
      <c r="I427" s="23">
        <v>0</v>
      </c>
      <c r="J427" s="23" t="s">
        <v>893</v>
      </c>
      <c r="K427" s="23" t="s">
        <v>969</v>
      </c>
      <c r="L427" s="23"/>
      <c r="M427" s="23"/>
      <c r="N427" s="23" t="str">
        <f t="shared" si="13"/>
        <v>Active(leila.passive.buff.buffeffect.skilleffect.02)</v>
      </c>
      <c r="O427" s="23">
        <v>0</v>
      </c>
      <c r="P427" s="23">
        <v>0</v>
      </c>
      <c r="Q427" s="23"/>
      <c r="R427" s="23" t="b">
        <v>1</v>
      </c>
    </row>
    <row r="428" spans="1:18" s="12" customFormat="1">
      <c r="A428" s="23" t="s">
        <v>676</v>
      </c>
      <c r="B428" s="23"/>
      <c r="C428" s="23"/>
      <c r="D428" s="23">
        <v>0</v>
      </c>
      <c r="E428" s="23">
        <v>1</v>
      </c>
      <c r="F428" s="23" t="s">
        <v>197</v>
      </c>
      <c r="G428" s="23" t="s">
        <v>198</v>
      </c>
      <c r="H428" s="23"/>
      <c r="I428" s="23">
        <v>0</v>
      </c>
      <c r="J428" s="23" t="s">
        <v>893</v>
      </c>
      <c r="K428" s="23" t="s">
        <v>970</v>
      </c>
      <c r="L428" s="23"/>
      <c r="M428" s="23"/>
      <c r="N428" s="23" t="str">
        <f t="shared" si="13"/>
        <v>Active(leila.passive.buff.buffeffect.skilleffect.03)</v>
      </c>
      <c r="O428" s="23">
        <v>0</v>
      </c>
      <c r="P428" s="23">
        <v>0</v>
      </c>
      <c r="Q428" s="23"/>
      <c r="R428" s="23" t="b">
        <v>1</v>
      </c>
    </row>
    <row r="429" spans="1:18" s="12" customFormat="1">
      <c r="A429" s="23" t="s">
        <v>678</v>
      </c>
      <c r="B429" s="23"/>
      <c r="C429" s="23"/>
      <c r="D429" s="23">
        <v>0</v>
      </c>
      <c r="E429" s="23">
        <v>1</v>
      </c>
      <c r="F429" s="23" t="s">
        <v>197</v>
      </c>
      <c r="G429" s="23" t="s">
        <v>198</v>
      </c>
      <c r="H429" s="23"/>
      <c r="I429" s="23">
        <v>0</v>
      </c>
      <c r="J429" s="23" t="s">
        <v>893</v>
      </c>
      <c r="K429" s="23" t="s">
        <v>971</v>
      </c>
      <c r="L429" s="23"/>
      <c r="M429" s="23"/>
      <c r="N429" s="23" t="str">
        <f t="shared" si="13"/>
        <v>Active(leila.passive.buff.buffeffect.skilleffect.04)</v>
      </c>
      <c r="O429" s="23">
        <v>0</v>
      </c>
      <c r="P429" s="23">
        <v>0</v>
      </c>
      <c r="Q429" s="23"/>
      <c r="R429" s="23" t="b">
        <v>1</v>
      </c>
    </row>
    <row r="430" spans="1:18" s="12" customFormat="1">
      <c r="A430" s="34" t="s">
        <v>680</v>
      </c>
      <c r="B430" s="34"/>
      <c r="C430" s="34"/>
      <c r="D430" s="34">
        <v>0</v>
      </c>
      <c r="E430" s="34">
        <v>1</v>
      </c>
      <c r="F430" s="34" t="s">
        <v>197</v>
      </c>
      <c r="G430" s="34" t="s">
        <v>198</v>
      </c>
      <c r="H430" s="34"/>
      <c r="I430" s="34">
        <v>0</v>
      </c>
      <c r="J430" s="34" t="s">
        <v>893</v>
      </c>
      <c r="K430" s="34" t="s">
        <v>972</v>
      </c>
      <c r="L430" s="34"/>
      <c r="M430" s="34"/>
      <c r="N430" s="34" t="str">
        <f t="shared" si="13"/>
        <v>Active(leila.passive.buff.buffeffect.skilleffect.05)</v>
      </c>
      <c r="O430" s="34">
        <v>0</v>
      </c>
      <c r="P430" s="34">
        <v>0</v>
      </c>
      <c r="Q430" s="34"/>
      <c r="R430" s="34" t="b">
        <v>1</v>
      </c>
    </row>
    <row r="431" spans="1:18" s="12" customFormat="1">
      <c r="A431" s="34" t="s">
        <v>682</v>
      </c>
      <c r="B431" s="34"/>
      <c r="C431" s="34"/>
      <c r="D431" s="34">
        <v>0</v>
      </c>
      <c r="E431" s="34">
        <v>1</v>
      </c>
      <c r="F431" s="34" t="s">
        <v>197</v>
      </c>
      <c r="G431" s="34" t="s">
        <v>198</v>
      </c>
      <c r="H431" s="34"/>
      <c r="I431" s="34">
        <v>0</v>
      </c>
      <c r="J431" s="34" t="s">
        <v>893</v>
      </c>
      <c r="K431" s="34" t="s">
        <v>973</v>
      </c>
      <c r="L431" s="34"/>
      <c r="M431" s="34"/>
      <c r="N431" s="34" t="str">
        <f t="shared" si="13"/>
        <v>Active(leila.passive.buff.buffeffect.skilleffect.06)</v>
      </c>
      <c r="O431" s="34">
        <v>0</v>
      </c>
      <c r="P431" s="34">
        <v>0</v>
      </c>
      <c r="Q431" s="34"/>
      <c r="R431" s="34" t="b">
        <v>1</v>
      </c>
    </row>
    <row r="432" spans="1:18" s="13" customFormat="1">
      <c r="A432" s="34" t="s">
        <v>7104</v>
      </c>
      <c r="B432" s="34" t="s">
        <v>1367</v>
      </c>
      <c r="C432" s="34" t="s">
        <v>2498</v>
      </c>
      <c r="D432" s="34">
        <v>0</v>
      </c>
      <c r="E432" s="34">
        <v>1</v>
      </c>
      <c r="F432" s="34" t="s">
        <v>197</v>
      </c>
      <c r="G432" s="34" t="s">
        <v>198</v>
      </c>
      <c r="H432" s="34"/>
      <c r="I432" s="34">
        <v>0</v>
      </c>
      <c r="J432" s="34" t="s">
        <v>893</v>
      </c>
      <c r="K432" s="34" t="s">
        <v>2499</v>
      </c>
      <c r="L432" s="34"/>
      <c r="M432" s="34"/>
      <c r="N432" s="34" t="str">
        <f t="shared" si="13"/>
        <v>Active(leila.passive.buff.recharge.bonus.01)</v>
      </c>
      <c r="O432" s="34">
        <v>0</v>
      </c>
      <c r="P432" s="34">
        <v>0</v>
      </c>
      <c r="Q432" s="34"/>
      <c r="R432" s="34" t="b">
        <v>1</v>
      </c>
    </row>
    <row r="433" spans="1:18" s="13" customFormat="1">
      <c r="A433" s="24" t="s">
        <v>2494</v>
      </c>
      <c r="B433" s="24" t="s">
        <v>1367</v>
      </c>
      <c r="C433" s="24" t="s">
        <v>2498</v>
      </c>
      <c r="D433" s="24">
        <v>0</v>
      </c>
      <c r="E433" s="24">
        <v>1</v>
      </c>
      <c r="F433" s="24" t="s">
        <v>197</v>
      </c>
      <c r="G433" s="24" t="s">
        <v>198</v>
      </c>
      <c r="H433" s="24"/>
      <c r="I433" s="24">
        <v>0</v>
      </c>
      <c r="J433" s="24" t="s">
        <v>893</v>
      </c>
      <c r="K433" s="24" t="s">
        <v>2500</v>
      </c>
      <c r="L433" s="24"/>
      <c r="M433" s="24"/>
      <c r="N433" s="24" t="str">
        <f t="shared" si="13"/>
        <v>Active(leila.passive.buff.recharge.bonus.02)</v>
      </c>
      <c r="O433" s="24">
        <v>0</v>
      </c>
      <c r="P433" s="24">
        <v>0</v>
      </c>
      <c r="Q433" s="24"/>
      <c r="R433" s="24" t="b">
        <v>1</v>
      </c>
    </row>
    <row r="434" spans="1:18" s="13" customFormat="1">
      <c r="A434" s="24" t="s">
        <v>2495</v>
      </c>
      <c r="B434" s="24" t="s">
        <v>1367</v>
      </c>
      <c r="C434" s="24" t="s">
        <v>2498</v>
      </c>
      <c r="D434" s="24">
        <v>0</v>
      </c>
      <c r="E434" s="24">
        <v>1</v>
      </c>
      <c r="F434" s="24" t="s">
        <v>197</v>
      </c>
      <c r="G434" s="24" t="s">
        <v>198</v>
      </c>
      <c r="H434" s="24"/>
      <c r="I434" s="24">
        <v>0</v>
      </c>
      <c r="J434" s="24" t="s">
        <v>893</v>
      </c>
      <c r="K434" s="24" t="s">
        <v>2501</v>
      </c>
      <c r="L434" s="24"/>
      <c r="M434" s="24"/>
      <c r="N434" s="24" t="str">
        <f t="shared" si="13"/>
        <v>Active(leila.passive.buff.recharge.bonus.03)</v>
      </c>
      <c r="O434" s="24">
        <v>0</v>
      </c>
      <c r="P434" s="24">
        <v>0</v>
      </c>
      <c r="Q434" s="24"/>
      <c r="R434" s="24" t="b">
        <v>1</v>
      </c>
    </row>
    <row r="435" spans="1:18" s="13" customFormat="1">
      <c r="A435" s="24" t="s">
        <v>7105</v>
      </c>
      <c r="B435" s="24" t="s">
        <v>1367</v>
      </c>
      <c r="C435" s="24" t="s">
        <v>2498</v>
      </c>
      <c r="D435" s="24">
        <v>0</v>
      </c>
      <c r="E435" s="24">
        <v>1</v>
      </c>
      <c r="F435" s="24" t="s">
        <v>197</v>
      </c>
      <c r="G435" s="24" t="s">
        <v>198</v>
      </c>
      <c r="H435" s="24"/>
      <c r="I435" s="24">
        <v>0</v>
      </c>
      <c r="J435" s="24" t="s">
        <v>893</v>
      </c>
      <c r="K435" s="24" t="s">
        <v>2502</v>
      </c>
      <c r="L435" s="24"/>
      <c r="M435" s="24"/>
      <c r="N435" s="24" t="str">
        <f t="shared" si="13"/>
        <v>Active(leila.passive.buff.recharge.bonus.04)</v>
      </c>
      <c r="O435" s="24">
        <v>0</v>
      </c>
      <c r="P435" s="24">
        <v>0</v>
      </c>
      <c r="Q435" s="24"/>
      <c r="R435" s="24" t="b">
        <v>1</v>
      </c>
    </row>
    <row r="436" spans="1:18" s="13" customFormat="1">
      <c r="A436" s="34" t="s">
        <v>2496</v>
      </c>
      <c r="B436" s="34" t="s">
        <v>1367</v>
      </c>
      <c r="C436" s="34" t="s">
        <v>2498</v>
      </c>
      <c r="D436" s="34">
        <v>0</v>
      </c>
      <c r="E436" s="34">
        <v>1</v>
      </c>
      <c r="F436" s="34" t="s">
        <v>197</v>
      </c>
      <c r="G436" s="34" t="s">
        <v>198</v>
      </c>
      <c r="H436" s="34"/>
      <c r="I436" s="34">
        <v>0</v>
      </c>
      <c r="J436" s="34" t="s">
        <v>893</v>
      </c>
      <c r="K436" s="34" t="s">
        <v>2503</v>
      </c>
      <c r="L436" s="34"/>
      <c r="M436" s="34"/>
      <c r="N436" s="34" t="str">
        <f t="shared" si="13"/>
        <v>Active(leila.passive.buff.recharge.bonus.05)</v>
      </c>
      <c r="O436" s="34">
        <v>0</v>
      </c>
      <c r="P436" s="34">
        <v>0</v>
      </c>
      <c r="Q436" s="34"/>
      <c r="R436" s="34" t="b">
        <v>1</v>
      </c>
    </row>
    <row r="437" spans="1:18" s="13" customFormat="1">
      <c r="A437" s="34" t="s">
        <v>2497</v>
      </c>
      <c r="B437" s="34" t="s">
        <v>1367</v>
      </c>
      <c r="C437" s="34" t="s">
        <v>2498</v>
      </c>
      <c r="D437" s="34">
        <v>0</v>
      </c>
      <c r="E437" s="34">
        <v>1</v>
      </c>
      <c r="F437" s="34" t="s">
        <v>197</v>
      </c>
      <c r="G437" s="34" t="s">
        <v>198</v>
      </c>
      <c r="H437" s="34"/>
      <c r="I437" s="34">
        <v>0</v>
      </c>
      <c r="J437" s="34" t="s">
        <v>893</v>
      </c>
      <c r="K437" s="34" t="s">
        <v>2504</v>
      </c>
      <c r="L437" s="34"/>
      <c r="M437" s="34"/>
      <c r="N437" s="34" t="str">
        <f t="shared" si="13"/>
        <v>Active(leila.passive.buff.recharge.bonus.06)</v>
      </c>
      <c r="O437" s="34">
        <v>0</v>
      </c>
      <c r="P437" s="34">
        <v>0</v>
      </c>
      <c r="Q437" s="34"/>
      <c r="R437" s="34" t="b">
        <v>1</v>
      </c>
    </row>
    <row r="438" spans="1:18" s="13" customFormat="1">
      <c r="A438" s="34" t="s">
        <v>7106</v>
      </c>
      <c r="B438" s="34"/>
      <c r="C438" s="34"/>
      <c r="D438" s="34">
        <v>0</v>
      </c>
      <c r="E438" s="34">
        <v>1</v>
      </c>
      <c r="F438" s="34" t="s">
        <v>197</v>
      </c>
      <c r="G438" s="34" t="s">
        <v>198</v>
      </c>
      <c r="H438" s="34"/>
      <c r="I438" s="34">
        <v>0</v>
      </c>
      <c r="J438" s="34" t="s">
        <v>876</v>
      </c>
      <c r="K438" s="34" t="s">
        <v>7107</v>
      </c>
      <c r="L438" s="34" t="s">
        <v>7108</v>
      </c>
      <c r="M438" s="34"/>
      <c r="N438" s="34" t="str">
        <f t="shared" si="13"/>
        <v>Event(EnemyDie, leila.passive.ex.buff.skilleffect.01.01)</v>
      </c>
      <c r="O438" s="34">
        <v>0</v>
      </c>
      <c r="P438" s="34">
        <v>0</v>
      </c>
      <c r="Q438" s="34"/>
      <c r="R438" s="34" t="b">
        <v>1</v>
      </c>
    </row>
    <row r="439" spans="1:18" s="12" customFormat="1">
      <c r="A439" s="23" t="s">
        <v>3022</v>
      </c>
      <c r="B439" s="23"/>
      <c r="C439" s="23"/>
      <c r="D439" s="23">
        <v>0</v>
      </c>
      <c r="E439" s="23">
        <v>1</v>
      </c>
      <c r="F439" s="23" t="s">
        <v>197</v>
      </c>
      <c r="G439" s="23" t="s">
        <v>198</v>
      </c>
      <c r="H439" s="23"/>
      <c r="I439" s="23">
        <v>0</v>
      </c>
      <c r="J439" s="23" t="s">
        <v>876</v>
      </c>
      <c r="K439" s="23" t="s">
        <v>7107</v>
      </c>
      <c r="L439" s="23" t="s">
        <v>3032</v>
      </c>
      <c r="M439" s="23"/>
      <c r="N439" s="23" t="str">
        <f t="shared" si="13"/>
        <v>Event(EnemyDie, leila.passive.ex.buff.skilleffect.01.02)</v>
      </c>
      <c r="O439" s="23">
        <v>0</v>
      </c>
      <c r="P439" s="23">
        <v>0</v>
      </c>
      <c r="Q439" s="23"/>
      <c r="R439" s="23" t="b">
        <v>1</v>
      </c>
    </row>
    <row r="440" spans="1:18" s="12" customFormat="1">
      <c r="A440" s="23" t="s">
        <v>3023</v>
      </c>
      <c r="B440" s="23"/>
      <c r="C440" s="23"/>
      <c r="D440" s="23">
        <v>0</v>
      </c>
      <c r="E440" s="23">
        <v>1</v>
      </c>
      <c r="F440" s="23" t="s">
        <v>197</v>
      </c>
      <c r="G440" s="23" t="s">
        <v>198</v>
      </c>
      <c r="H440" s="23"/>
      <c r="I440" s="23">
        <v>0</v>
      </c>
      <c r="J440" s="23" t="s">
        <v>876</v>
      </c>
      <c r="K440" s="23" t="s">
        <v>7107</v>
      </c>
      <c r="L440" s="23" t="s">
        <v>3033</v>
      </c>
      <c r="M440" s="23"/>
      <c r="N440" s="23" t="str">
        <f t="shared" si="13"/>
        <v>Event(EnemyDie, leila.passive.ex.buff.skilleffect.01.03)</v>
      </c>
      <c r="O440" s="23">
        <v>0</v>
      </c>
      <c r="P440" s="23">
        <v>0</v>
      </c>
      <c r="Q440" s="23"/>
      <c r="R440" s="23" t="b">
        <v>1</v>
      </c>
    </row>
    <row r="441" spans="1:18" s="12" customFormat="1">
      <c r="A441" s="23" t="s">
        <v>3024</v>
      </c>
      <c r="B441" s="23"/>
      <c r="C441" s="23"/>
      <c r="D441" s="23">
        <v>0</v>
      </c>
      <c r="E441" s="23">
        <v>1</v>
      </c>
      <c r="F441" s="23" t="s">
        <v>197</v>
      </c>
      <c r="G441" s="23" t="s">
        <v>198</v>
      </c>
      <c r="H441" s="23"/>
      <c r="I441" s="23">
        <v>0</v>
      </c>
      <c r="J441" s="23" t="s">
        <v>876</v>
      </c>
      <c r="K441" s="23" t="s">
        <v>7107</v>
      </c>
      <c r="L441" s="23" t="s">
        <v>3034</v>
      </c>
      <c r="M441" s="23"/>
      <c r="N441" s="23" t="str">
        <f t="shared" si="13"/>
        <v>Event(EnemyDie, leila.passive.ex.buff.skilleffect.01.04)</v>
      </c>
      <c r="O441" s="23">
        <v>0</v>
      </c>
      <c r="P441" s="23">
        <v>0</v>
      </c>
      <c r="Q441" s="23"/>
      <c r="R441" s="23" t="b">
        <v>1</v>
      </c>
    </row>
    <row r="442" spans="1:18" s="12" customFormat="1">
      <c r="A442" s="34" t="s">
        <v>3025</v>
      </c>
      <c r="B442" s="34"/>
      <c r="C442" s="34"/>
      <c r="D442" s="34">
        <v>0</v>
      </c>
      <c r="E442" s="34">
        <v>1</v>
      </c>
      <c r="F442" s="34" t="s">
        <v>197</v>
      </c>
      <c r="G442" s="34" t="s">
        <v>198</v>
      </c>
      <c r="H442" s="34"/>
      <c r="I442" s="34">
        <v>0</v>
      </c>
      <c r="J442" s="34" t="s">
        <v>876</v>
      </c>
      <c r="K442" s="34" t="s">
        <v>7107</v>
      </c>
      <c r="L442" s="34" t="s">
        <v>3035</v>
      </c>
      <c r="M442" s="34"/>
      <c r="N442" s="34" t="str">
        <f t="shared" si="13"/>
        <v>Event(EnemyDie, leila.passive.ex.buff.skilleffect.01.05)</v>
      </c>
      <c r="O442" s="34">
        <v>0</v>
      </c>
      <c r="P442" s="34">
        <v>0</v>
      </c>
      <c r="Q442" s="34"/>
      <c r="R442" s="34" t="b">
        <v>1</v>
      </c>
    </row>
    <row r="443" spans="1:18" s="12" customFormat="1">
      <c r="A443" s="34" t="s">
        <v>3026</v>
      </c>
      <c r="B443" s="34"/>
      <c r="C443" s="34"/>
      <c r="D443" s="34">
        <v>0</v>
      </c>
      <c r="E443" s="34">
        <v>1</v>
      </c>
      <c r="F443" s="34" t="s">
        <v>197</v>
      </c>
      <c r="G443" s="34" t="s">
        <v>198</v>
      </c>
      <c r="H443" s="34"/>
      <c r="I443" s="34">
        <v>0</v>
      </c>
      <c r="J443" s="34" t="s">
        <v>876</v>
      </c>
      <c r="K443" s="34" t="s">
        <v>7107</v>
      </c>
      <c r="L443" s="34" t="s">
        <v>3036</v>
      </c>
      <c r="M443" s="34"/>
      <c r="N443" s="34" t="str">
        <f t="shared" si="13"/>
        <v>Event(EnemyDie, leila.passive.ex.buff.skilleffect.01.06)</v>
      </c>
      <c r="O443" s="34">
        <v>0</v>
      </c>
      <c r="P443" s="34">
        <v>0</v>
      </c>
      <c r="Q443" s="34"/>
      <c r="R443" s="34" t="b">
        <v>1</v>
      </c>
    </row>
    <row r="444" spans="1:18" s="13" customFormat="1">
      <c r="A444" s="34" t="s">
        <v>7109</v>
      </c>
      <c r="B444" s="34"/>
      <c r="C444" s="34"/>
      <c r="D444" s="34">
        <v>0</v>
      </c>
      <c r="E444" s="34">
        <v>1</v>
      </c>
      <c r="F444" s="34" t="s">
        <v>197</v>
      </c>
      <c r="G444" s="34" t="s">
        <v>198</v>
      </c>
      <c r="H444" s="34"/>
      <c r="I444" s="34">
        <v>0</v>
      </c>
      <c r="J444" s="34" t="s">
        <v>876</v>
      </c>
      <c r="K444" s="34" t="s">
        <v>3194</v>
      </c>
      <c r="L444" s="34" t="s">
        <v>7110</v>
      </c>
      <c r="M444" s="34"/>
      <c r="N444" s="34" t="str">
        <f t="shared" si="13"/>
        <v>Event(AllyDie, leila.passive.ex.buff.skilleffect.02.01)</v>
      </c>
      <c r="O444" s="34">
        <v>0</v>
      </c>
      <c r="P444" s="34">
        <v>0</v>
      </c>
      <c r="Q444" s="34"/>
      <c r="R444" s="34" t="b">
        <v>1</v>
      </c>
    </row>
    <row r="445" spans="1:18" s="12" customFormat="1">
      <c r="A445" s="23" t="s">
        <v>3027</v>
      </c>
      <c r="B445" s="23"/>
      <c r="C445" s="23"/>
      <c r="D445" s="23">
        <v>0</v>
      </c>
      <c r="E445" s="23">
        <v>1</v>
      </c>
      <c r="F445" s="23" t="s">
        <v>197</v>
      </c>
      <c r="G445" s="23" t="s">
        <v>198</v>
      </c>
      <c r="H445" s="23"/>
      <c r="I445" s="23">
        <v>0</v>
      </c>
      <c r="J445" s="23" t="s">
        <v>876</v>
      </c>
      <c r="K445" s="23" t="s">
        <v>3194</v>
      </c>
      <c r="L445" s="23" t="s">
        <v>3037</v>
      </c>
      <c r="M445" s="23"/>
      <c r="N445" s="23" t="str">
        <f t="shared" si="13"/>
        <v>Event(AllyDie, leila.passive.ex.buff.skilleffect.02.02)</v>
      </c>
      <c r="O445" s="23">
        <v>0</v>
      </c>
      <c r="P445" s="23">
        <v>0</v>
      </c>
      <c r="Q445" s="23"/>
      <c r="R445" s="23" t="b">
        <v>1</v>
      </c>
    </row>
    <row r="446" spans="1:18" s="12" customFormat="1">
      <c r="A446" s="23" t="s">
        <v>3028</v>
      </c>
      <c r="B446" s="23"/>
      <c r="C446" s="23"/>
      <c r="D446" s="23">
        <v>0</v>
      </c>
      <c r="E446" s="23">
        <v>1</v>
      </c>
      <c r="F446" s="23" t="s">
        <v>197</v>
      </c>
      <c r="G446" s="23" t="s">
        <v>198</v>
      </c>
      <c r="H446" s="23"/>
      <c r="I446" s="23">
        <v>0</v>
      </c>
      <c r="J446" s="23" t="s">
        <v>876</v>
      </c>
      <c r="K446" s="23" t="s">
        <v>3194</v>
      </c>
      <c r="L446" s="23" t="s">
        <v>3038</v>
      </c>
      <c r="M446" s="23"/>
      <c r="N446" s="23" t="str">
        <f t="shared" si="13"/>
        <v>Event(AllyDie, leila.passive.ex.buff.skilleffect.02.03)</v>
      </c>
      <c r="O446" s="23">
        <v>0</v>
      </c>
      <c r="P446" s="23">
        <v>0</v>
      </c>
      <c r="Q446" s="23"/>
      <c r="R446" s="23" t="b">
        <v>1</v>
      </c>
    </row>
    <row r="447" spans="1:18" s="12" customFormat="1">
      <c r="A447" s="23" t="s">
        <v>3029</v>
      </c>
      <c r="B447" s="23"/>
      <c r="C447" s="23"/>
      <c r="D447" s="23">
        <v>0</v>
      </c>
      <c r="E447" s="23">
        <v>1</v>
      </c>
      <c r="F447" s="23" t="s">
        <v>197</v>
      </c>
      <c r="G447" s="23" t="s">
        <v>198</v>
      </c>
      <c r="H447" s="23"/>
      <c r="I447" s="23">
        <v>0</v>
      </c>
      <c r="J447" s="23" t="s">
        <v>876</v>
      </c>
      <c r="K447" s="23" t="s">
        <v>3194</v>
      </c>
      <c r="L447" s="23" t="s">
        <v>3039</v>
      </c>
      <c r="M447" s="23"/>
      <c r="N447" s="23" t="str">
        <f t="shared" si="13"/>
        <v>Event(AllyDie, leila.passive.ex.buff.skilleffect.02.04)</v>
      </c>
      <c r="O447" s="23">
        <v>0</v>
      </c>
      <c r="P447" s="23">
        <v>0</v>
      </c>
      <c r="Q447" s="23"/>
      <c r="R447" s="23" t="b">
        <v>1</v>
      </c>
    </row>
    <row r="448" spans="1:18" s="12" customFormat="1">
      <c r="A448" s="34" t="s">
        <v>3030</v>
      </c>
      <c r="B448" s="34"/>
      <c r="C448" s="34"/>
      <c r="D448" s="34">
        <v>0</v>
      </c>
      <c r="E448" s="34">
        <v>1</v>
      </c>
      <c r="F448" s="34" t="s">
        <v>197</v>
      </c>
      <c r="G448" s="34" t="s">
        <v>198</v>
      </c>
      <c r="H448" s="34"/>
      <c r="I448" s="34">
        <v>0</v>
      </c>
      <c r="J448" s="34" t="s">
        <v>876</v>
      </c>
      <c r="K448" s="34" t="s">
        <v>3194</v>
      </c>
      <c r="L448" s="34" t="s">
        <v>3040</v>
      </c>
      <c r="M448" s="34"/>
      <c r="N448" s="34" t="str">
        <f t="shared" si="13"/>
        <v>Event(AllyDie, leila.passive.ex.buff.skilleffect.02.05)</v>
      </c>
      <c r="O448" s="34">
        <v>0</v>
      </c>
      <c r="P448" s="34">
        <v>0</v>
      </c>
      <c r="Q448" s="34"/>
      <c r="R448" s="34" t="b">
        <v>1</v>
      </c>
    </row>
    <row r="449" spans="1:18" s="12" customFormat="1">
      <c r="A449" s="34" t="s">
        <v>3031</v>
      </c>
      <c r="B449" s="34"/>
      <c r="C449" s="34"/>
      <c r="D449" s="34">
        <v>0</v>
      </c>
      <c r="E449" s="34">
        <v>1</v>
      </c>
      <c r="F449" s="34" t="s">
        <v>197</v>
      </c>
      <c r="G449" s="34" t="s">
        <v>198</v>
      </c>
      <c r="H449" s="34"/>
      <c r="I449" s="34">
        <v>0</v>
      </c>
      <c r="J449" s="34" t="s">
        <v>876</v>
      </c>
      <c r="K449" s="34" t="s">
        <v>3194</v>
      </c>
      <c r="L449" s="34" t="s">
        <v>3041</v>
      </c>
      <c r="M449" s="34"/>
      <c r="N449" s="34" t="str">
        <f t="shared" si="13"/>
        <v>Event(AllyDie, leila.passive.ex.buff.skilleffect.02.06)</v>
      </c>
      <c r="O449" s="34">
        <v>0</v>
      </c>
      <c r="P449" s="34">
        <v>0</v>
      </c>
      <c r="Q449" s="34"/>
      <c r="R449" s="34" t="b">
        <v>1</v>
      </c>
    </row>
    <row r="450" spans="1:18" s="13" customFormat="1">
      <c r="A450" s="34" t="s">
        <v>7111</v>
      </c>
      <c r="B450" s="34"/>
      <c r="C450" s="34"/>
      <c r="D450" s="34">
        <v>0</v>
      </c>
      <c r="E450" s="34">
        <v>1</v>
      </c>
      <c r="F450" s="34" t="s">
        <v>197</v>
      </c>
      <c r="G450" s="34" t="s">
        <v>198</v>
      </c>
      <c r="H450" s="34"/>
      <c r="I450" s="34">
        <v>0</v>
      </c>
      <c r="J450" s="34" t="s">
        <v>893</v>
      </c>
      <c r="K450" s="34" t="s">
        <v>7112</v>
      </c>
      <c r="L450" s="34"/>
      <c r="M450" s="34"/>
      <c r="N450" s="34" t="str">
        <f t="shared" si="13"/>
        <v>Active(leila.trigger.skilleffect)</v>
      </c>
      <c r="O450" s="34">
        <v>0</v>
      </c>
      <c r="P450" s="34">
        <v>0</v>
      </c>
      <c r="Q450" s="34"/>
      <c r="R450" s="34" t="b">
        <v>1</v>
      </c>
    </row>
    <row r="451" spans="1:18" s="13" customFormat="1">
      <c r="A451" s="34" t="s">
        <v>684</v>
      </c>
      <c r="B451" s="34"/>
      <c r="C451" s="34"/>
      <c r="D451" s="34">
        <v>0</v>
      </c>
      <c r="E451" s="34">
        <v>1</v>
      </c>
      <c r="F451" s="34" t="s">
        <v>2157</v>
      </c>
      <c r="G451" s="34" t="s">
        <v>418</v>
      </c>
      <c r="H451" s="34"/>
      <c r="I451" s="34">
        <v>0</v>
      </c>
      <c r="J451" s="34" t="s">
        <v>1254</v>
      </c>
      <c r="K451" s="34" t="s">
        <v>2145</v>
      </c>
      <c r="L451" s="34"/>
      <c r="M451" s="34"/>
      <c r="N451" s="34" t="str">
        <f t="shared" si="13"/>
        <v>Passive(erica.passive.burn.defdown.buff.01)</v>
      </c>
      <c r="O451" s="34">
        <v>0</v>
      </c>
      <c r="P451" s="34">
        <v>0</v>
      </c>
      <c r="Q451" s="34"/>
      <c r="R451" s="34" t="b">
        <v>1</v>
      </c>
    </row>
    <row r="452" spans="1:18">
      <c r="A452" s="25" t="s">
        <v>686</v>
      </c>
      <c r="B452" s="25"/>
      <c r="C452" s="25"/>
      <c r="D452" s="25">
        <v>0</v>
      </c>
      <c r="E452" s="25">
        <v>1</v>
      </c>
      <c r="F452" s="25" t="s">
        <v>2157</v>
      </c>
      <c r="G452" s="25" t="s">
        <v>418</v>
      </c>
      <c r="H452" s="25"/>
      <c r="I452" s="25">
        <v>0</v>
      </c>
      <c r="J452" s="25" t="s">
        <v>1254</v>
      </c>
      <c r="K452" s="25" t="s">
        <v>2146</v>
      </c>
      <c r="L452" s="25"/>
      <c r="M452" s="25"/>
      <c r="N452" s="25" t="str">
        <f t="shared" si="13"/>
        <v>Passive(erica.passive.burn.defdown.buff.02)</v>
      </c>
      <c r="O452" s="25">
        <v>0</v>
      </c>
      <c r="P452" s="25">
        <v>0</v>
      </c>
      <c r="Q452" s="25"/>
      <c r="R452" s="25" t="b">
        <v>1</v>
      </c>
    </row>
    <row r="453" spans="1:18">
      <c r="A453" s="25" t="s">
        <v>688</v>
      </c>
      <c r="B453" s="25"/>
      <c r="C453" s="25"/>
      <c r="D453" s="25">
        <v>0</v>
      </c>
      <c r="E453" s="25">
        <v>1</v>
      </c>
      <c r="F453" s="25" t="s">
        <v>2157</v>
      </c>
      <c r="G453" s="25" t="s">
        <v>418</v>
      </c>
      <c r="H453" s="25"/>
      <c r="I453" s="25">
        <v>0</v>
      </c>
      <c r="J453" s="25" t="s">
        <v>1254</v>
      </c>
      <c r="K453" s="25" t="s">
        <v>2147</v>
      </c>
      <c r="L453" s="25"/>
      <c r="M453" s="25"/>
      <c r="N453" s="25" t="str">
        <f t="shared" si="13"/>
        <v>Passive(erica.passive.burn.defdown.buff.03)</v>
      </c>
      <c r="O453" s="25">
        <v>0</v>
      </c>
      <c r="P453" s="25">
        <v>0</v>
      </c>
      <c r="Q453" s="25"/>
      <c r="R453" s="25" t="b">
        <v>1</v>
      </c>
    </row>
    <row r="454" spans="1:18">
      <c r="A454" s="25" t="s">
        <v>690</v>
      </c>
      <c r="B454" s="25"/>
      <c r="C454" s="25"/>
      <c r="D454" s="25">
        <v>0</v>
      </c>
      <c r="E454" s="25">
        <v>1</v>
      </c>
      <c r="F454" s="25" t="s">
        <v>2157</v>
      </c>
      <c r="G454" s="25" t="s">
        <v>418</v>
      </c>
      <c r="H454" s="25"/>
      <c r="I454" s="25">
        <v>0</v>
      </c>
      <c r="J454" s="25" t="s">
        <v>1254</v>
      </c>
      <c r="K454" s="25" t="s">
        <v>2148</v>
      </c>
      <c r="L454" s="25"/>
      <c r="M454" s="25"/>
      <c r="N454" s="25" t="str">
        <f t="shared" ref="N454:N517" si="14">J454&amp;"("&amp;IF(K454="","",K454)&amp;IF(L454="","",", "&amp;L454)&amp;IF(M454="","",", "&amp;M454)&amp;")"</f>
        <v>Passive(erica.passive.burn.defdown.buff.04)</v>
      </c>
      <c r="O454" s="25">
        <v>0</v>
      </c>
      <c r="P454" s="25">
        <v>0</v>
      </c>
      <c r="Q454" s="25"/>
      <c r="R454" s="25" t="b">
        <v>1</v>
      </c>
    </row>
    <row r="455" spans="1:18">
      <c r="A455" s="34" t="s">
        <v>692</v>
      </c>
      <c r="B455" s="34"/>
      <c r="C455" s="34"/>
      <c r="D455" s="34">
        <v>0</v>
      </c>
      <c r="E455" s="34">
        <v>1</v>
      </c>
      <c r="F455" s="34" t="s">
        <v>2157</v>
      </c>
      <c r="G455" s="34" t="s">
        <v>418</v>
      </c>
      <c r="H455" s="34"/>
      <c r="I455" s="34">
        <v>0</v>
      </c>
      <c r="J455" s="34" t="s">
        <v>1254</v>
      </c>
      <c r="K455" s="34" t="s">
        <v>2149</v>
      </c>
      <c r="L455" s="34"/>
      <c r="M455" s="34"/>
      <c r="N455" s="34" t="str">
        <f t="shared" si="14"/>
        <v>Passive(erica.passive.burn.defdown.buff.05)</v>
      </c>
      <c r="O455" s="34">
        <v>0</v>
      </c>
      <c r="P455" s="34">
        <v>0</v>
      </c>
      <c r="Q455" s="34"/>
      <c r="R455" s="34" t="b">
        <v>1</v>
      </c>
    </row>
    <row r="456" spans="1:18">
      <c r="A456" s="34" t="s">
        <v>694</v>
      </c>
      <c r="B456" s="34"/>
      <c r="C456" s="34"/>
      <c r="D456" s="34">
        <v>0</v>
      </c>
      <c r="E456" s="34">
        <v>1</v>
      </c>
      <c r="F456" s="34" t="s">
        <v>2157</v>
      </c>
      <c r="G456" s="34" t="s">
        <v>418</v>
      </c>
      <c r="H456" s="34"/>
      <c r="I456" s="34">
        <v>0</v>
      </c>
      <c r="J456" s="34" t="s">
        <v>1254</v>
      </c>
      <c r="K456" s="34" t="s">
        <v>2150</v>
      </c>
      <c r="L456" s="34"/>
      <c r="M456" s="34"/>
      <c r="N456" s="34" t="str">
        <f t="shared" si="14"/>
        <v>Passive(erica.passive.burn.defdown.buff.06)</v>
      </c>
      <c r="O456" s="34">
        <v>0</v>
      </c>
      <c r="P456" s="34">
        <v>0</v>
      </c>
      <c r="Q456" s="34"/>
      <c r="R456" s="34" t="b">
        <v>1</v>
      </c>
    </row>
    <row r="457" spans="1:18" s="13" customFormat="1">
      <c r="A457" s="34" t="s">
        <v>2151</v>
      </c>
      <c r="B457" s="34" t="s">
        <v>8813</v>
      </c>
      <c r="C457" s="34" t="s">
        <v>863</v>
      </c>
      <c r="D457" s="34">
        <v>0</v>
      </c>
      <c r="E457" s="34">
        <v>1</v>
      </c>
      <c r="F457" s="34" t="s">
        <v>197</v>
      </c>
      <c r="G457" s="34" t="s">
        <v>198</v>
      </c>
      <c r="H457" s="34"/>
      <c r="I457" s="34">
        <v>0</v>
      </c>
      <c r="J457" s="34" t="s">
        <v>838</v>
      </c>
      <c r="K457" s="34" t="s">
        <v>897</v>
      </c>
      <c r="L457" s="34">
        <v>-200</v>
      </c>
      <c r="M457" s="34"/>
      <c r="N457" s="34" t="str">
        <f t="shared" si="14"/>
        <v>Status(DefenseRatio, -200)</v>
      </c>
      <c r="O457" s="34">
        <v>0</v>
      </c>
      <c r="P457" s="34">
        <v>500</v>
      </c>
      <c r="Q457" s="34"/>
      <c r="R457" s="34" t="b">
        <v>0</v>
      </c>
    </row>
    <row r="458" spans="1:18" s="13" customFormat="1">
      <c r="A458" s="26" t="s">
        <v>2152</v>
      </c>
      <c r="B458" s="26" t="s">
        <v>8813</v>
      </c>
      <c r="C458" s="26" t="s">
        <v>863</v>
      </c>
      <c r="D458" s="26">
        <v>0</v>
      </c>
      <c r="E458" s="26">
        <v>1</v>
      </c>
      <c r="F458" s="26" t="s">
        <v>197</v>
      </c>
      <c r="G458" s="26" t="s">
        <v>198</v>
      </c>
      <c r="H458" s="26"/>
      <c r="I458" s="26">
        <v>0</v>
      </c>
      <c r="J458" s="26" t="s">
        <v>838</v>
      </c>
      <c r="K458" s="26" t="s">
        <v>897</v>
      </c>
      <c r="L458" s="26">
        <v>-220</v>
      </c>
      <c r="M458" s="26"/>
      <c r="N458" s="26" t="str">
        <f t="shared" si="14"/>
        <v>Status(DefenseRatio, -220)</v>
      </c>
      <c r="O458" s="26">
        <v>0</v>
      </c>
      <c r="P458" s="26">
        <v>500</v>
      </c>
      <c r="Q458" s="26"/>
      <c r="R458" s="26" t="b">
        <v>0</v>
      </c>
    </row>
    <row r="459" spans="1:18" s="13" customFormat="1">
      <c r="A459" s="26" t="s">
        <v>2153</v>
      </c>
      <c r="B459" s="26" t="s">
        <v>8813</v>
      </c>
      <c r="C459" s="26" t="s">
        <v>863</v>
      </c>
      <c r="D459" s="26">
        <v>0</v>
      </c>
      <c r="E459" s="26">
        <v>1</v>
      </c>
      <c r="F459" s="26" t="s">
        <v>197</v>
      </c>
      <c r="G459" s="26" t="s">
        <v>198</v>
      </c>
      <c r="H459" s="26"/>
      <c r="I459" s="26">
        <v>0</v>
      </c>
      <c r="J459" s="26" t="s">
        <v>838</v>
      </c>
      <c r="K459" s="26" t="s">
        <v>897</v>
      </c>
      <c r="L459" s="26">
        <v>-240</v>
      </c>
      <c r="M459" s="26"/>
      <c r="N459" s="26" t="str">
        <f t="shared" si="14"/>
        <v>Status(DefenseRatio, -240)</v>
      </c>
      <c r="O459" s="26">
        <v>0</v>
      </c>
      <c r="P459" s="26">
        <v>500</v>
      </c>
      <c r="Q459" s="26"/>
      <c r="R459" s="26" t="b">
        <v>0</v>
      </c>
    </row>
    <row r="460" spans="1:18" s="13" customFormat="1">
      <c r="A460" s="26" t="s">
        <v>2154</v>
      </c>
      <c r="B460" s="26" t="s">
        <v>8813</v>
      </c>
      <c r="C460" s="26" t="s">
        <v>863</v>
      </c>
      <c r="D460" s="26">
        <v>0</v>
      </c>
      <c r="E460" s="26">
        <v>1</v>
      </c>
      <c r="F460" s="26" t="s">
        <v>197</v>
      </c>
      <c r="G460" s="26" t="s">
        <v>198</v>
      </c>
      <c r="H460" s="26"/>
      <c r="I460" s="26">
        <v>0</v>
      </c>
      <c r="J460" s="26" t="s">
        <v>838</v>
      </c>
      <c r="K460" s="26" t="s">
        <v>897</v>
      </c>
      <c r="L460" s="26">
        <v>-280</v>
      </c>
      <c r="M460" s="26"/>
      <c r="N460" s="26" t="str">
        <f t="shared" si="14"/>
        <v>Status(DefenseRatio, -280)</v>
      </c>
      <c r="O460" s="26">
        <v>0</v>
      </c>
      <c r="P460" s="26">
        <v>500</v>
      </c>
      <c r="Q460" s="26"/>
      <c r="R460" s="26" t="b">
        <v>0</v>
      </c>
    </row>
    <row r="461" spans="1:18" s="13" customFormat="1">
      <c r="A461" s="34" t="s">
        <v>2155</v>
      </c>
      <c r="B461" s="34" t="s">
        <v>8813</v>
      </c>
      <c r="C461" s="34" t="s">
        <v>863</v>
      </c>
      <c r="D461" s="34">
        <v>0</v>
      </c>
      <c r="E461" s="34">
        <v>1</v>
      </c>
      <c r="F461" s="34" t="s">
        <v>197</v>
      </c>
      <c r="G461" s="34" t="s">
        <v>198</v>
      </c>
      <c r="H461" s="34"/>
      <c r="I461" s="34">
        <v>0</v>
      </c>
      <c r="J461" s="34" t="s">
        <v>838</v>
      </c>
      <c r="K461" s="34" t="s">
        <v>897</v>
      </c>
      <c r="L461" s="34">
        <v>-700</v>
      </c>
      <c r="M461" s="34"/>
      <c r="N461" s="34" t="str">
        <f t="shared" si="14"/>
        <v>Status(DefenseRatio, -700)</v>
      </c>
      <c r="O461" s="34">
        <v>0</v>
      </c>
      <c r="P461" s="34">
        <v>500</v>
      </c>
      <c r="Q461" s="34"/>
      <c r="R461" s="34" t="b">
        <v>0</v>
      </c>
    </row>
    <row r="462" spans="1:18" s="13" customFormat="1">
      <c r="A462" s="34" t="s">
        <v>2156</v>
      </c>
      <c r="B462" s="34" t="s">
        <v>8813</v>
      </c>
      <c r="C462" s="34" t="s">
        <v>863</v>
      </c>
      <c r="D462" s="34">
        <v>0</v>
      </c>
      <c r="E462" s="34">
        <v>1</v>
      </c>
      <c r="F462" s="34" t="s">
        <v>197</v>
      </c>
      <c r="G462" s="34" t="s">
        <v>198</v>
      </c>
      <c r="H462" s="34"/>
      <c r="I462" s="34">
        <v>0</v>
      </c>
      <c r="J462" s="34" t="s">
        <v>838</v>
      </c>
      <c r="K462" s="34" t="s">
        <v>897</v>
      </c>
      <c r="L462" s="34">
        <v>-350</v>
      </c>
      <c r="M462" s="34"/>
      <c r="N462" s="34" t="str">
        <f t="shared" si="14"/>
        <v>Status(DefenseRatio, -350)</v>
      </c>
      <c r="O462" s="34">
        <v>0</v>
      </c>
      <c r="P462" s="34">
        <v>500</v>
      </c>
      <c r="Q462" s="34"/>
      <c r="R462" s="34" t="b">
        <v>0</v>
      </c>
    </row>
    <row r="463" spans="1:18" s="13" customFormat="1">
      <c r="A463" s="34" t="s">
        <v>7010</v>
      </c>
      <c r="B463" s="34"/>
      <c r="C463" s="34"/>
      <c r="D463" s="34">
        <v>0</v>
      </c>
      <c r="E463" s="34">
        <v>1</v>
      </c>
      <c r="F463" s="34" t="s">
        <v>417</v>
      </c>
      <c r="G463" s="34" t="s">
        <v>418</v>
      </c>
      <c r="H463" s="34"/>
      <c r="I463" s="34">
        <v>0</v>
      </c>
      <c r="J463" s="34" t="s">
        <v>1254</v>
      </c>
      <c r="K463" s="34" t="s">
        <v>4212</v>
      </c>
      <c r="L463" s="34"/>
      <c r="M463" s="34"/>
      <c r="N463" s="34" t="str">
        <f t="shared" si="14"/>
        <v>Passive(erica.passive.ex.ultdmgup.buff.01)</v>
      </c>
      <c r="O463" s="34">
        <v>0</v>
      </c>
      <c r="P463" s="34">
        <v>0</v>
      </c>
      <c r="Q463" s="34"/>
      <c r="R463" s="34" t="b">
        <v>1</v>
      </c>
    </row>
    <row r="464" spans="1:18">
      <c r="A464" s="25" t="s">
        <v>3674</v>
      </c>
      <c r="B464" s="25"/>
      <c r="C464" s="25"/>
      <c r="D464" s="25">
        <v>0</v>
      </c>
      <c r="E464" s="25">
        <v>1</v>
      </c>
      <c r="F464" s="25" t="s">
        <v>417</v>
      </c>
      <c r="G464" s="25" t="s">
        <v>418</v>
      </c>
      <c r="H464" s="25"/>
      <c r="I464" s="25">
        <v>0</v>
      </c>
      <c r="J464" s="25" t="s">
        <v>1254</v>
      </c>
      <c r="K464" s="25" t="s">
        <v>4213</v>
      </c>
      <c r="L464" s="25"/>
      <c r="M464" s="25"/>
      <c r="N464" s="25" t="str">
        <f t="shared" si="14"/>
        <v>Passive(erica.passive.ex.ultdmgup.buff.02)</v>
      </c>
      <c r="O464" s="25">
        <v>0</v>
      </c>
      <c r="P464" s="25">
        <v>0</v>
      </c>
      <c r="Q464" s="25"/>
      <c r="R464" s="25" t="b">
        <v>1</v>
      </c>
    </row>
    <row r="465" spans="1:18">
      <c r="A465" s="25" t="s">
        <v>3675</v>
      </c>
      <c r="B465" s="25"/>
      <c r="C465" s="25"/>
      <c r="D465" s="25">
        <v>0</v>
      </c>
      <c r="E465" s="25">
        <v>1</v>
      </c>
      <c r="F465" s="25" t="s">
        <v>417</v>
      </c>
      <c r="G465" s="25" t="s">
        <v>418</v>
      </c>
      <c r="H465" s="25"/>
      <c r="I465" s="25">
        <v>0</v>
      </c>
      <c r="J465" s="25" t="s">
        <v>1254</v>
      </c>
      <c r="K465" s="25" t="s">
        <v>4214</v>
      </c>
      <c r="L465" s="25"/>
      <c r="M465" s="25"/>
      <c r="N465" s="25" t="str">
        <f t="shared" si="14"/>
        <v>Passive(erica.passive.ex.ultdmgup.buff.03)</v>
      </c>
      <c r="O465" s="25">
        <v>0</v>
      </c>
      <c r="P465" s="25">
        <v>0</v>
      </c>
      <c r="Q465" s="25"/>
      <c r="R465" s="25" t="b">
        <v>1</v>
      </c>
    </row>
    <row r="466" spans="1:18">
      <c r="A466" s="25" t="s">
        <v>3676</v>
      </c>
      <c r="B466" s="25"/>
      <c r="C466" s="25"/>
      <c r="D466" s="25">
        <v>0</v>
      </c>
      <c r="E466" s="25">
        <v>1</v>
      </c>
      <c r="F466" s="25" t="s">
        <v>417</v>
      </c>
      <c r="G466" s="25" t="s">
        <v>418</v>
      </c>
      <c r="H466" s="25"/>
      <c r="I466" s="25">
        <v>0</v>
      </c>
      <c r="J466" s="25" t="s">
        <v>1254</v>
      </c>
      <c r="K466" s="25" t="s">
        <v>4215</v>
      </c>
      <c r="L466" s="25"/>
      <c r="M466" s="25"/>
      <c r="N466" s="25" t="str">
        <f t="shared" si="14"/>
        <v>Passive(erica.passive.ex.ultdmgup.buff.04)</v>
      </c>
      <c r="O466" s="25">
        <v>0</v>
      </c>
      <c r="P466" s="25">
        <v>0</v>
      </c>
      <c r="Q466" s="25"/>
      <c r="R466" s="25" t="b">
        <v>1</v>
      </c>
    </row>
    <row r="467" spans="1:18">
      <c r="A467" s="34" t="s">
        <v>3677</v>
      </c>
      <c r="B467" s="34"/>
      <c r="C467" s="34"/>
      <c r="D467" s="34">
        <v>0</v>
      </c>
      <c r="E467" s="34">
        <v>1</v>
      </c>
      <c r="F467" s="34" t="s">
        <v>417</v>
      </c>
      <c r="G467" s="34" t="s">
        <v>418</v>
      </c>
      <c r="H467" s="34"/>
      <c r="I467" s="34">
        <v>0</v>
      </c>
      <c r="J467" s="34" t="s">
        <v>1254</v>
      </c>
      <c r="K467" s="34" t="s">
        <v>4216</v>
      </c>
      <c r="L467" s="34"/>
      <c r="M467" s="34"/>
      <c r="N467" s="34" t="str">
        <f t="shared" si="14"/>
        <v>Passive(erica.passive.ex.ultdmgup.buff.05)</v>
      </c>
      <c r="O467" s="34">
        <v>0</v>
      </c>
      <c r="P467" s="34">
        <v>0</v>
      </c>
      <c r="Q467" s="34"/>
      <c r="R467" s="34" t="b">
        <v>1</v>
      </c>
    </row>
    <row r="468" spans="1:18">
      <c r="A468" s="34" t="s">
        <v>3678</v>
      </c>
      <c r="B468" s="34"/>
      <c r="C468" s="34"/>
      <c r="D468" s="34">
        <v>0</v>
      </c>
      <c r="E468" s="34">
        <v>1</v>
      </c>
      <c r="F468" s="34" t="s">
        <v>417</v>
      </c>
      <c r="G468" s="34" t="s">
        <v>418</v>
      </c>
      <c r="H468" s="34"/>
      <c r="I468" s="34">
        <v>0</v>
      </c>
      <c r="J468" s="34" t="s">
        <v>1254</v>
      </c>
      <c r="K468" s="34" t="s">
        <v>4217</v>
      </c>
      <c r="L468" s="34"/>
      <c r="M468" s="34"/>
      <c r="N468" s="34" t="str">
        <f t="shared" si="14"/>
        <v>Passive(erica.passive.ex.ultdmgup.buff.06)</v>
      </c>
      <c r="O468" s="34">
        <v>0</v>
      </c>
      <c r="P468" s="34">
        <v>0</v>
      </c>
      <c r="Q468" s="34"/>
      <c r="R468" s="34" t="b">
        <v>1</v>
      </c>
    </row>
    <row r="469" spans="1:18" s="13" customFormat="1">
      <c r="A469" s="34" t="s">
        <v>4206</v>
      </c>
      <c r="B469" s="34" t="s">
        <v>1234</v>
      </c>
      <c r="C469" s="34" t="s">
        <v>1237</v>
      </c>
      <c r="D469" s="34">
        <v>0</v>
      </c>
      <c r="E469" s="34">
        <v>1</v>
      </c>
      <c r="F469" s="34" t="s">
        <v>197</v>
      </c>
      <c r="G469" s="34" t="s">
        <v>198</v>
      </c>
      <c r="H469" s="34"/>
      <c r="I469" s="34">
        <v>0</v>
      </c>
      <c r="J469" s="34" t="s">
        <v>838</v>
      </c>
      <c r="K469" s="34" t="s">
        <v>999</v>
      </c>
      <c r="L469" s="34">
        <v>300</v>
      </c>
      <c r="M469" s="34"/>
      <c r="N469" s="34" t="str">
        <f t="shared" si="14"/>
        <v>Status(UltimateDamageRate, 300)</v>
      </c>
      <c r="O469" s="34">
        <v>0</v>
      </c>
      <c r="P469" s="34">
        <v>0</v>
      </c>
      <c r="Q469" s="34"/>
      <c r="R469" s="34" t="b">
        <v>1</v>
      </c>
    </row>
    <row r="470" spans="1:18">
      <c r="A470" s="25" t="s">
        <v>4207</v>
      </c>
      <c r="B470" s="25" t="s">
        <v>1234</v>
      </c>
      <c r="C470" s="25" t="s">
        <v>1237</v>
      </c>
      <c r="D470" s="25">
        <v>0</v>
      </c>
      <c r="E470" s="25">
        <v>1</v>
      </c>
      <c r="F470" s="25" t="s">
        <v>197</v>
      </c>
      <c r="G470" s="25" t="s">
        <v>198</v>
      </c>
      <c r="H470" s="25"/>
      <c r="I470" s="25">
        <v>0</v>
      </c>
      <c r="J470" s="25" t="s">
        <v>838</v>
      </c>
      <c r="K470" s="25" t="s">
        <v>999</v>
      </c>
      <c r="L470" s="25">
        <v>350</v>
      </c>
      <c r="M470" s="25"/>
      <c r="N470" s="25" t="str">
        <f t="shared" si="14"/>
        <v>Status(UltimateDamageRate, 350)</v>
      </c>
      <c r="O470" s="25">
        <v>0</v>
      </c>
      <c r="P470" s="25">
        <v>0</v>
      </c>
      <c r="Q470" s="25"/>
      <c r="R470" s="25" t="b">
        <v>1</v>
      </c>
    </row>
    <row r="471" spans="1:18">
      <c r="A471" s="25" t="s">
        <v>4208</v>
      </c>
      <c r="B471" s="25" t="s">
        <v>1234</v>
      </c>
      <c r="C471" s="25" t="s">
        <v>1237</v>
      </c>
      <c r="D471" s="25">
        <v>0</v>
      </c>
      <c r="E471" s="25">
        <v>1</v>
      </c>
      <c r="F471" s="25" t="s">
        <v>197</v>
      </c>
      <c r="G471" s="25" t="s">
        <v>198</v>
      </c>
      <c r="H471" s="25"/>
      <c r="I471" s="25">
        <v>0</v>
      </c>
      <c r="J471" s="25" t="s">
        <v>838</v>
      </c>
      <c r="K471" s="25" t="s">
        <v>999</v>
      </c>
      <c r="L471" s="25">
        <v>400</v>
      </c>
      <c r="M471" s="25"/>
      <c r="N471" s="25" t="str">
        <f t="shared" si="14"/>
        <v>Status(UltimateDamageRate, 400)</v>
      </c>
      <c r="O471" s="25">
        <v>0</v>
      </c>
      <c r="P471" s="25">
        <v>0</v>
      </c>
      <c r="Q471" s="25"/>
      <c r="R471" s="25" t="b">
        <v>1</v>
      </c>
    </row>
    <row r="472" spans="1:18">
      <c r="A472" s="25" t="s">
        <v>4209</v>
      </c>
      <c r="B472" s="25" t="s">
        <v>1234</v>
      </c>
      <c r="C472" s="25" t="s">
        <v>1237</v>
      </c>
      <c r="D472" s="25">
        <v>0</v>
      </c>
      <c r="E472" s="25">
        <v>1</v>
      </c>
      <c r="F472" s="25" t="s">
        <v>197</v>
      </c>
      <c r="G472" s="25" t="s">
        <v>198</v>
      </c>
      <c r="H472" s="25"/>
      <c r="I472" s="25">
        <v>0</v>
      </c>
      <c r="J472" s="25" t="s">
        <v>838</v>
      </c>
      <c r="K472" s="25" t="s">
        <v>999</v>
      </c>
      <c r="L472" s="25">
        <v>450</v>
      </c>
      <c r="M472" s="25"/>
      <c r="N472" s="25" t="str">
        <f t="shared" si="14"/>
        <v>Status(UltimateDamageRate, 450)</v>
      </c>
      <c r="O472" s="25">
        <v>0</v>
      </c>
      <c r="P472" s="25">
        <v>0</v>
      </c>
      <c r="Q472" s="25"/>
      <c r="R472" s="25" t="b">
        <v>1</v>
      </c>
    </row>
    <row r="473" spans="1:18">
      <c r="A473" s="34" t="s">
        <v>4210</v>
      </c>
      <c r="B473" s="34" t="s">
        <v>1234</v>
      </c>
      <c r="C473" s="34" t="s">
        <v>1237</v>
      </c>
      <c r="D473" s="34">
        <v>0</v>
      </c>
      <c r="E473" s="34">
        <v>1</v>
      </c>
      <c r="F473" s="34" t="s">
        <v>197</v>
      </c>
      <c r="G473" s="34" t="s">
        <v>198</v>
      </c>
      <c r="H473" s="34"/>
      <c r="I473" s="34">
        <v>0</v>
      </c>
      <c r="J473" s="34" t="s">
        <v>838</v>
      </c>
      <c r="K473" s="34" t="s">
        <v>999</v>
      </c>
      <c r="L473" s="34">
        <v>450</v>
      </c>
      <c r="M473" s="34"/>
      <c r="N473" s="34" t="str">
        <f t="shared" si="14"/>
        <v>Status(UltimateDamageRate, 450)</v>
      </c>
      <c r="O473" s="34">
        <v>0</v>
      </c>
      <c r="P473" s="34">
        <v>0</v>
      </c>
      <c r="Q473" s="34"/>
      <c r="R473" s="34" t="b">
        <v>1</v>
      </c>
    </row>
    <row r="474" spans="1:18">
      <c r="A474" s="34" t="s">
        <v>4211</v>
      </c>
      <c r="B474" s="34" t="s">
        <v>1234</v>
      </c>
      <c r="C474" s="34" t="s">
        <v>1237</v>
      </c>
      <c r="D474" s="34">
        <v>0</v>
      </c>
      <c r="E474" s="34">
        <v>1</v>
      </c>
      <c r="F474" s="34" t="s">
        <v>197</v>
      </c>
      <c r="G474" s="34" t="s">
        <v>198</v>
      </c>
      <c r="H474" s="34"/>
      <c r="I474" s="34">
        <v>0</v>
      </c>
      <c r="J474" s="34" t="s">
        <v>838</v>
      </c>
      <c r="K474" s="34" t="s">
        <v>999</v>
      </c>
      <c r="L474" s="34">
        <v>500</v>
      </c>
      <c r="M474" s="34"/>
      <c r="N474" s="34" t="str">
        <f t="shared" si="14"/>
        <v>Status(UltimateDamageRate, 500)</v>
      </c>
      <c r="O474" s="34">
        <v>0</v>
      </c>
      <c r="P474" s="34">
        <v>0</v>
      </c>
      <c r="Q474" s="34"/>
      <c r="R474" s="34" t="b">
        <v>1</v>
      </c>
    </row>
    <row r="475" spans="1:18" s="13" customFormat="1">
      <c r="A475" s="34" t="s">
        <v>4245</v>
      </c>
      <c r="B475" s="34"/>
      <c r="C475" s="34"/>
      <c r="D475" s="34">
        <v>0</v>
      </c>
      <c r="E475" s="34">
        <v>1</v>
      </c>
      <c r="F475" s="34" t="s">
        <v>2157</v>
      </c>
      <c r="G475" s="34" t="s">
        <v>198</v>
      </c>
      <c r="H475" s="34"/>
      <c r="I475" s="34">
        <v>0</v>
      </c>
      <c r="J475" s="34" t="s">
        <v>837</v>
      </c>
      <c r="K475" s="34"/>
      <c r="L475" s="34"/>
      <c r="M475" s="34"/>
      <c r="N475" s="34" t="str">
        <f t="shared" si="14"/>
        <v>None()</v>
      </c>
      <c r="O475" s="34">
        <v>0</v>
      </c>
      <c r="P475" s="34">
        <v>0</v>
      </c>
      <c r="Q475" s="34"/>
      <c r="R475" s="34" t="b">
        <v>1</v>
      </c>
    </row>
    <row r="476" spans="1:18">
      <c r="A476" s="108" t="s">
        <v>7113</v>
      </c>
      <c r="B476" s="24"/>
      <c r="C476" s="24"/>
      <c r="D476" s="24">
        <v>0</v>
      </c>
      <c r="E476" s="24">
        <v>1</v>
      </c>
      <c r="F476" s="34" t="s">
        <v>417</v>
      </c>
      <c r="G476" s="34" t="s">
        <v>418</v>
      </c>
      <c r="H476" s="34"/>
      <c r="I476" s="34">
        <v>0</v>
      </c>
      <c r="J476" s="24" t="s">
        <v>1254</v>
      </c>
      <c r="K476" s="24" t="s">
        <v>1826</v>
      </c>
      <c r="L476" s="24"/>
      <c r="M476" s="24"/>
      <c r="N476" s="24" t="str">
        <f t="shared" si="14"/>
        <v>Passive(eiko.passive.crirateup.buff.01)</v>
      </c>
      <c r="O476" s="24">
        <v>0</v>
      </c>
      <c r="P476" s="24">
        <v>0</v>
      </c>
      <c r="Q476" s="24"/>
      <c r="R476" s="24" t="b">
        <v>1</v>
      </c>
    </row>
    <row r="477" spans="1:18">
      <c r="A477" s="108" t="s">
        <v>700</v>
      </c>
      <c r="B477" s="24"/>
      <c r="C477" s="24"/>
      <c r="D477" s="24">
        <v>0</v>
      </c>
      <c r="E477" s="24">
        <v>1</v>
      </c>
      <c r="F477" s="24" t="s">
        <v>417</v>
      </c>
      <c r="G477" s="24" t="s">
        <v>418</v>
      </c>
      <c r="H477" s="24"/>
      <c r="I477" s="24">
        <v>0</v>
      </c>
      <c r="J477" s="24" t="s">
        <v>1254</v>
      </c>
      <c r="K477" s="24" t="s">
        <v>1827</v>
      </c>
      <c r="L477" s="24"/>
      <c r="M477" s="24"/>
      <c r="N477" s="24" t="str">
        <f t="shared" si="14"/>
        <v>Passive(eiko.passive.crirateup.buff.02)</v>
      </c>
      <c r="O477" s="24">
        <v>0</v>
      </c>
      <c r="P477" s="24">
        <v>0</v>
      </c>
      <c r="Q477" s="24"/>
      <c r="R477" s="24" t="b">
        <v>1</v>
      </c>
    </row>
    <row r="478" spans="1:18">
      <c r="A478" s="108" t="s">
        <v>702</v>
      </c>
      <c r="B478" s="24"/>
      <c r="C478" s="24"/>
      <c r="D478" s="24">
        <v>0</v>
      </c>
      <c r="E478" s="24">
        <v>1</v>
      </c>
      <c r="F478" s="24" t="s">
        <v>417</v>
      </c>
      <c r="G478" s="24" t="s">
        <v>418</v>
      </c>
      <c r="H478" s="24"/>
      <c r="I478" s="24">
        <v>0</v>
      </c>
      <c r="J478" s="24" t="s">
        <v>1254</v>
      </c>
      <c r="K478" s="24" t="s">
        <v>1828</v>
      </c>
      <c r="L478" s="24"/>
      <c r="M478" s="24"/>
      <c r="N478" s="24" t="str">
        <f t="shared" si="14"/>
        <v>Passive(eiko.passive.crirateup.buff.03)</v>
      </c>
      <c r="O478" s="24">
        <v>0</v>
      </c>
      <c r="P478" s="24">
        <v>0</v>
      </c>
      <c r="Q478" s="24"/>
      <c r="R478" s="24" t="b">
        <v>1</v>
      </c>
    </row>
    <row r="479" spans="1:18">
      <c r="A479" s="108" t="s">
        <v>704</v>
      </c>
      <c r="B479" s="24"/>
      <c r="C479" s="24"/>
      <c r="D479" s="24">
        <v>0</v>
      </c>
      <c r="E479" s="24">
        <v>1</v>
      </c>
      <c r="F479" s="24" t="s">
        <v>417</v>
      </c>
      <c r="G479" s="24" t="s">
        <v>418</v>
      </c>
      <c r="H479" s="24"/>
      <c r="I479" s="24">
        <v>0</v>
      </c>
      <c r="J479" s="24" t="s">
        <v>1254</v>
      </c>
      <c r="K479" s="24" t="s">
        <v>1829</v>
      </c>
      <c r="L479" s="24"/>
      <c r="M479" s="24"/>
      <c r="N479" s="24" t="str">
        <f t="shared" si="14"/>
        <v>Passive(eiko.passive.crirateup.buff.04)</v>
      </c>
      <c r="O479" s="24">
        <v>0</v>
      </c>
      <c r="P479" s="24">
        <v>0</v>
      </c>
      <c r="Q479" s="24"/>
      <c r="R479" s="24" t="b">
        <v>1</v>
      </c>
    </row>
    <row r="480" spans="1:18">
      <c r="A480" s="37" t="s">
        <v>706</v>
      </c>
      <c r="B480" s="34"/>
      <c r="C480" s="34"/>
      <c r="D480" s="34">
        <v>0</v>
      </c>
      <c r="E480" s="34">
        <v>1</v>
      </c>
      <c r="F480" s="34" t="s">
        <v>417</v>
      </c>
      <c r="G480" s="34" t="s">
        <v>418</v>
      </c>
      <c r="H480" s="34"/>
      <c r="I480" s="34">
        <v>0</v>
      </c>
      <c r="J480" s="34" t="s">
        <v>1254</v>
      </c>
      <c r="K480" s="34" t="s">
        <v>1830</v>
      </c>
      <c r="L480" s="34"/>
      <c r="M480" s="34"/>
      <c r="N480" s="34" t="str">
        <f t="shared" si="14"/>
        <v>Passive(eiko.passive.crirateup.buff.05)</v>
      </c>
      <c r="O480" s="34">
        <v>0</v>
      </c>
      <c r="P480" s="34">
        <v>0</v>
      </c>
      <c r="Q480" s="34"/>
      <c r="R480" s="34" t="b">
        <v>1</v>
      </c>
    </row>
    <row r="481" spans="1:18">
      <c r="A481" s="37" t="s">
        <v>708</v>
      </c>
      <c r="B481" s="34"/>
      <c r="C481" s="34"/>
      <c r="D481" s="34">
        <v>0</v>
      </c>
      <c r="E481" s="34">
        <v>1</v>
      </c>
      <c r="F481" s="34" t="s">
        <v>417</v>
      </c>
      <c r="G481" s="34" t="s">
        <v>418</v>
      </c>
      <c r="H481" s="34"/>
      <c r="I481" s="34">
        <v>0</v>
      </c>
      <c r="J481" s="34" t="s">
        <v>1254</v>
      </c>
      <c r="K481" s="34" t="s">
        <v>1831</v>
      </c>
      <c r="L481" s="34"/>
      <c r="M481" s="34"/>
      <c r="N481" s="34" t="str">
        <f t="shared" si="14"/>
        <v>Passive(eiko.passive.crirateup.buff.06)</v>
      </c>
      <c r="O481" s="34">
        <v>0</v>
      </c>
      <c r="P481" s="34">
        <v>0</v>
      </c>
      <c r="Q481" s="34"/>
      <c r="R481" s="34" t="b">
        <v>1</v>
      </c>
    </row>
    <row r="482" spans="1:18">
      <c r="A482" s="37" t="s">
        <v>7114</v>
      </c>
      <c r="B482" s="34"/>
      <c r="C482" s="34"/>
      <c r="D482" s="34">
        <v>0</v>
      </c>
      <c r="E482" s="34">
        <v>1</v>
      </c>
      <c r="F482" s="34" t="s">
        <v>197</v>
      </c>
      <c r="G482" s="34" t="s">
        <v>198</v>
      </c>
      <c r="H482" s="34"/>
      <c r="I482" s="34">
        <v>0</v>
      </c>
      <c r="J482" s="34" t="s">
        <v>893</v>
      </c>
      <c r="K482" s="34" t="s">
        <v>7115</v>
      </c>
      <c r="L482" s="34"/>
      <c r="M482" s="34"/>
      <c r="N482" s="34" t="str">
        <f t="shared" si="14"/>
        <v>Active(eiko.passive.maindealer.skilleffect)</v>
      </c>
      <c r="O482" s="34">
        <v>0</v>
      </c>
      <c r="P482" s="34">
        <v>0</v>
      </c>
      <c r="Q482" s="34"/>
      <c r="R482" s="34" t="b">
        <v>1</v>
      </c>
    </row>
    <row r="483" spans="1:18">
      <c r="A483" s="108" t="s">
        <v>1832</v>
      </c>
      <c r="B483" s="24"/>
      <c r="C483" s="24"/>
      <c r="D483" s="24">
        <v>0</v>
      </c>
      <c r="E483" s="24">
        <v>1</v>
      </c>
      <c r="F483" s="34" t="s">
        <v>197</v>
      </c>
      <c r="G483" s="34" t="s">
        <v>198</v>
      </c>
      <c r="H483" s="34"/>
      <c r="I483" s="34">
        <v>0</v>
      </c>
      <c r="J483" s="24" t="s">
        <v>838</v>
      </c>
      <c r="K483" s="24" t="s">
        <v>867</v>
      </c>
      <c r="L483" s="24">
        <v>65</v>
      </c>
      <c r="M483" s="24"/>
      <c r="N483" s="24" t="str">
        <f t="shared" si="14"/>
        <v>Status(CriticalRate, 65)</v>
      </c>
      <c r="O483" s="24">
        <v>0</v>
      </c>
      <c r="P483" s="24">
        <v>0</v>
      </c>
      <c r="Q483" s="24"/>
      <c r="R483" s="24" t="b">
        <v>1</v>
      </c>
    </row>
    <row r="484" spans="1:18">
      <c r="A484" s="106" t="s">
        <v>1833</v>
      </c>
      <c r="B484" s="23"/>
      <c r="C484" s="23"/>
      <c r="D484" s="23">
        <v>0</v>
      </c>
      <c r="E484" s="23">
        <v>1</v>
      </c>
      <c r="F484" s="23" t="s">
        <v>197</v>
      </c>
      <c r="G484" s="23" t="s">
        <v>198</v>
      </c>
      <c r="H484" s="23"/>
      <c r="I484" s="23">
        <v>0</v>
      </c>
      <c r="J484" s="23" t="s">
        <v>838</v>
      </c>
      <c r="K484" s="23" t="s">
        <v>867</v>
      </c>
      <c r="L484" s="23">
        <v>70</v>
      </c>
      <c r="M484" s="23"/>
      <c r="N484" s="23" t="str">
        <f t="shared" si="14"/>
        <v>Status(CriticalRate, 70)</v>
      </c>
      <c r="O484" s="23">
        <v>0</v>
      </c>
      <c r="P484" s="23">
        <v>0</v>
      </c>
      <c r="Q484" s="23"/>
      <c r="R484" s="23" t="b">
        <v>1</v>
      </c>
    </row>
    <row r="485" spans="1:18">
      <c r="A485" s="106" t="s">
        <v>1834</v>
      </c>
      <c r="B485" s="23"/>
      <c r="C485" s="23"/>
      <c r="D485" s="23">
        <v>0</v>
      </c>
      <c r="E485" s="23">
        <v>1</v>
      </c>
      <c r="F485" s="23" t="s">
        <v>197</v>
      </c>
      <c r="G485" s="23" t="s">
        <v>198</v>
      </c>
      <c r="H485" s="23"/>
      <c r="I485" s="23">
        <v>0</v>
      </c>
      <c r="J485" s="23" t="s">
        <v>838</v>
      </c>
      <c r="K485" s="23" t="s">
        <v>867</v>
      </c>
      <c r="L485" s="23">
        <v>75</v>
      </c>
      <c r="M485" s="23"/>
      <c r="N485" s="23" t="str">
        <f t="shared" si="14"/>
        <v>Status(CriticalRate, 75)</v>
      </c>
      <c r="O485" s="23">
        <v>0</v>
      </c>
      <c r="P485" s="23">
        <v>0</v>
      </c>
      <c r="Q485" s="23"/>
      <c r="R485" s="23" t="b">
        <v>1</v>
      </c>
    </row>
    <row r="486" spans="1:18">
      <c r="A486" s="106" t="s">
        <v>1835</v>
      </c>
      <c r="B486" s="23"/>
      <c r="C486" s="23"/>
      <c r="D486" s="23">
        <v>0</v>
      </c>
      <c r="E486" s="23">
        <v>1</v>
      </c>
      <c r="F486" s="23" t="s">
        <v>197</v>
      </c>
      <c r="G486" s="23" t="s">
        <v>198</v>
      </c>
      <c r="H486" s="23"/>
      <c r="I486" s="23">
        <v>0</v>
      </c>
      <c r="J486" s="23" t="s">
        <v>838</v>
      </c>
      <c r="K486" s="23" t="s">
        <v>867</v>
      </c>
      <c r="L486" s="23">
        <v>85</v>
      </c>
      <c r="M486" s="23"/>
      <c r="N486" s="23" t="str">
        <f t="shared" si="14"/>
        <v>Status(CriticalRate, 85)</v>
      </c>
      <c r="O486" s="23">
        <v>0</v>
      </c>
      <c r="P486" s="23">
        <v>0</v>
      </c>
      <c r="Q486" s="23"/>
      <c r="R486" s="23" t="b">
        <v>1</v>
      </c>
    </row>
    <row r="487" spans="1:18">
      <c r="A487" s="37" t="s">
        <v>1836</v>
      </c>
      <c r="B487" s="34"/>
      <c r="C487" s="34"/>
      <c r="D487" s="34">
        <v>0</v>
      </c>
      <c r="E487" s="34">
        <v>1</v>
      </c>
      <c r="F487" s="34" t="s">
        <v>197</v>
      </c>
      <c r="G487" s="34" t="s">
        <v>198</v>
      </c>
      <c r="H487" s="34"/>
      <c r="I487" s="34">
        <v>0</v>
      </c>
      <c r="J487" s="34" t="s">
        <v>838</v>
      </c>
      <c r="K487" s="34" t="s">
        <v>867</v>
      </c>
      <c r="L487" s="34">
        <v>100</v>
      </c>
      <c r="M487" s="34"/>
      <c r="N487" s="34" t="str">
        <f t="shared" si="14"/>
        <v>Status(CriticalRate, 100)</v>
      </c>
      <c r="O487" s="34">
        <v>0</v>
      </c>
      <c r="P487" s="34">
        <v>0</v>
      </c>
      <c r="Q487" s="34"/>
      <c r="R487" s="34" t="b">
        <v>1</v>
      </c>
    </row>
    <row r="488" spans="1:18">
      <c r="A488" s="37" t="s">
        <v>1837</v>
      </c>
      <c r="B488" s="34"/>
      <c r="C488" s="34"/>
      <c r="D488" s="34">
        <v>0</v>
      </c>
      <c r="E488" s="34">
        <v>1</v>
      </c>
      <c r="F488" s="34" t="s">
        <v>197</v>
      </c>
      <c r="G488" s="34" t="s">
        <v>198</v>
      </c>
      <c r="H488" s="34"/>
      <c r="I488" s="34">
        <v>0</v>
      </c>
      <c r="J488" s="34" t="s">
        <v>838</v>
      </c>
      <c r="K488" s="34" t="s">
        <v>867</v>
      </c>
      <c r="L488" s="34">
        <v>110</v>
      </c>
      <c r="M488" s="34"/>
      <c r="N488" s="34" t="str">
        <f t="shared" si="14"/>
        <v>Status(CriticalRate, 110)</v>
      </c>
      <c r="O488" s="34">
        <v>0</v>
      </c>
      <c r="P488" s="34">
        <v>0</v>
      </c>
      <c r="Q488" s="34"/>
      <c r="R488" s="34" t="b">
        <v>1</v>
      </c>
    </row>
    <row r="489" spans="1:18">
      <c r="A489" s="37" t="s">
        <v>3466</v>
      </c>
      <c r="B489" s="34"/>
      <c r="C489" s="34"/>
      <c r="D489" s="34">
        <v>0</v>
      </c>
      <c r="E489" s="34">
        <v>1</v>
      </c>
      <c r="F489" s="34" t="s">
        <v>2157</v>
      </c>
      <c r="G489" s="34" t="s">
        <v>418</v>
      </c>
      <c r="H489" s="34"/>
      <c r="I489" s="34">
        <v>0</v>
      </c>
      <c r="J489" s="34" t="s">
        <v>1254</v>
      </c>
      <c r="K489" s="34" t="s">
        <v>3472</v>
      </c>
      <c r="L489" s="34"/>
      <c r="M489" s="34"/>
      <c r="N489" s="34" t="str">
        <f t="shared" si="14"/>
        <v>Passive(eiko.passive.ex.event.buff.01)</v>
      </c>
      <c r="O489" s="34">
        <v>0</v>
      </c>
      <c r="P489" s="34">
        <v>0</v>
      </c>
      <c r="Q489" s="34"/>
      <c r="R489" s="34" t="b">
        <v>1</v>
      </c>
    </row>
    <row r="490" spans="1:18">
      <c r="A490" s="108" t="s">
        <v>3467</v>
      </c>
      <c r="B490" s="24"/>
      <c r="C490" s="24"/>
      <c r="D490" s="24">
        <v>0</v>
      </c>
      <c r="E490" s="24">
        <v>1</v>
      </c>
      <c r="F490" s="24" t="s">
        <v>2157</v>
      </c>
      <c r="G490" s="24" t="s">
        <v>418</v>
      </c>
      <c r="H490" s="24"/>
      <c r="I490" s="24">
        <v>0</v>
      </c>
      <c r="J490" s="24" t="s">
        <v>1254</v>
      </c>
      <c r="K490" s="24" t="s">
        <v>3473</v>
      </c>
      <c r="L490" s="24"/>
      <c r="M490" s="24"/>
      <c r="N490" s="24" t="str">
        <f t="shared" si="14"/>
        <v>Passive(eiko.passive.ex.event.buff.02)</v>
      </c>
      <c r="O490" s="24">
        <v>0</v>
      </c>
      <c r="P490" s="24">
        <v>0</v>
      </c>
      <c r="Q490" s="24"/>
      <c r="R490" s="24" t="b">
        <v>1</v>
      </c>
    </row>
    <row r="491" spans="1:18">
      <c r="A491" s="108" t="s">
        <v>3468</v>
      </c>
      <c r="B491" s="24"/>
      <c r="C491" s="24"/>
      <c r="D491" s="24">
        <v>0</v>
      </c>
      <c r="E491" s="24">
        <v>1</v>
      </c>
      <c r="F491" s="24" t="s">
        <v>2157</v>
      </c>
      <c r="G491" s="24" t="s">
        <v>418</v>
      </c>
      <c r="H491" s="24"/>
      <c r="I491" s="24">
        <v>0</v>
      </c>
      <c r="J491" s="24" t="s">
        <v>1254</v>
      </c>
      <c r="K491" s="24" t="s">
        <v>3474</v>
      </c>
      <c r="L491" s="24"/>
      <c r="M491" s="24"/>
      <c r="N491" s="24" t="str">
        <f t="shared" si="14"/>
        <v>Passive(eiko.passive.ex.event.buff.03)</v>
      </c>
      <c r="O491" s="24">
        <v>0</v>
      </c>
      <c r="P491" s="24">
        <v>0</v>
      </c>
      <c r="Q491" s="24"/>
      <c r="R491" s="24" t="b">
        <v>1</v>
      </c>
    </row>
    <row r="492" spans="1:18">
      <c r="A492" s="108" t="s">
        <v>3469</v>
      </c>
      <c r="B492" s="24"/>
      <c r="C492" s="24"/>
      <c r="D492" s="24">
        <v>0</v>
      </c>
      <c r="E492" s="24">
        <v>1</v>
      </c>
      <c r="F492" s="24" t="s">
        <v>2157</v>
      </c>
      <c r="G492" s="24" t="s">
        <v>418</v>
      </c>
      <c r="H492" s="24"/>
      <c r="I492" s="24">
        <v>0</v>
      </c>
      <c r="J492" s="24" t="s">
        <v>1254</v>
      </c>
      <c r="K492" s="24" t="s">
        <v>3475</v>
      </c>
      <c r="L492" s="24"/>
      <c r="M492" s="24"/>
      <c r="N492" s="24" t="str">
        <f t="shared" si="14"/>
        <v>Passive(eiko.passive.ex.event.buff.04)</v>
      </c>
      <c r="O492" s="24">
        <v>0</v>
      </c>
      <c r="P492" s="24">
        <v>0</v>
      </c>
      <c r="Q492" s="24"/>
      <c r="R492" s="24" t="b">
        <v>1</v>
      </c>
    </row>
    <row r="493" spans="1:18">
      <c r="A493" s="37" t="s">
        <v>3470</v>
      </c>
      <c r="B493" s="34"/>
      <c r="C493" s="34"/>
      <c r="D493" s="34">
        <v>0</v>
      </c>
      <c r="E493" s="34">
        <v>1</v>
      </c>
      <c r="F493" s="34" t="s">
        <v>2157</v>
      </c>
      <c r="G493" s="34" t="s">
        <v>418</v>
      </c>
      <c r="H493" s="34"/>
      <c r="I493" s="34">
        <v>0</v>
      </c>
      <c r="J493" s="34" t="s">
        <v>1254</v>
      </c>
      <c r="K493" s="34" t="s">
        <v>3476</v>
      </c>
      <c r="L493" s="34"/>
      <c r="M493" s="34"/>
      <c r="N493" s="34" t="str">
        <f t="shared" si="14"/>
        <v>Passive(eiko.passive.ex.event.buff.05)</v>
      </c>
      <c r="O493" s="34">
        <v>0</v>
      </c>
      <c r="P493" s="34">
        <v>0</v>
      </c>
      <c r="Q493" s="34"/>
      <c r="R493" s="34" t="b">
        <v>1</v>
      </c>
    </row>
    <row r="494" spans="1:18">
      <c r="A494" s="37" t="s">
        <v>3471</v>
      </c>
      <c r="B494" s="34"/>
      <c r="C494" s="34"/>
      <c r="D494" s="34">
        <v>0</v>
      </c>
      <c r="E494" s="34">
        <v>1</v>
      </c>
      <c r="F494" s="34" t="s">
        <v>2157</v>
      </c>
      <c r="G494" s="34" t="s">
        <v>418</v>
      </c>
      <c r="H494" s="34"/>
      <c r="I494" s="34">
        <v>0</v>
      </c>
      <c r="J494" s="34" t="s">
        <v>1254</v>
      </c>
      <c r="K494" s="34" t="s">
        <v>3477</v>
      </c>
      <c r="L494" s="34"/>
      <c r="M494" s="34"/>
      <c r="N494" s="34" t="str">
        <f t="shared" si="14"/>
        <v>Passive(eiko.passive.ex.event.buff.06)</v>
      </c>
      <c r="O494" s="34">
        <v>0</v>
      </c>
      <c r="P494" s="34">
        <v>0</v>
      </c>
      <c r="Q494" s="34"/>
      <c r="R494" s="34" t="b">
        <v>1</v>
      </c>
    </row>
    <row r="495" spans="1:18">
      <c r="A495" s="10" t="s">
        <v>710</v>
      </c>
      <c r="B495" s="6"/>
      <c r="C495" s="6"/>
      <c r="D495" s="6">
        <v>0</v>
      </c>
      <c r="E495" s="6">
        <v>1</v>
      </c>
      <c r="F495" s="6" t="s">
        <v>2157</v>
      </c>
      <c r="G495" s="6" t="s">
        <v>418</v>
      </c>
      <c r="H495" s="6"/>
      <c r="I495" s="6">
        <v>0</v>
      </c>
      <c r="J495" s="6" t="s">
        <v>1254</v>
      </c>
      <c r="K495" s="6" t="s">
        <v>2167</v>
      </c>
      <c r="L495" s="6"/>
      <c r="M495" s="6"/>
      <c r="N495" s="6" t="str">
        <f t="shared" si="14"/>
        <v>Passive(crimson.passive.receivehealdown.buff.01)</v>
      </c>
      <c r="O495" s="6">
        <v>0</v>
      </c>
      <c r="P495" s="6">
        <v>0</v>
      </c>
      <c r="Q495" s="6"/>
      <c r="R495" s="6" t="b">
        <v>1</v>
      </c>
    </row>
    <row r="496" spans="1:18">
      <c r="A496" s="6" t="s">
        <v>712</v>
      </c>
      <c r="B496" s="6"/>
      <c r="C496" s="6"/>
      <c r="D496" s="6">
        <v>0</v>
      </c>
      <c r="E496" s="6">
        <v>1</v>
      </c>
      <c r="F496" s="6" t="s">
        <v>2157</v>
      </c>
      <c r="G496" s="6" t="s">
        <v>418</v>
      </c>
      <c r="H496" s="6"/>
      <c r="I496" s="6">
        <v>0</v>
      </c>
      <c r="J496" s="6" t="s">
        <v>1254</v>
      </c>
      <c r="K496" s="6" t="s">
        <v>2168</v>
      </c>
      <c r="L496" s="6"/>
      <c r="M496" s="6"/>
      <c r="N496" s="6" t="str">
        <f t="shared" si="14"/>
        <v>Passive(crimson.passive.receivehealdown.buff.02)</v>
      </c>
      <c r="O496" s="6">
        <v>0</v>
      </c>
      <c r="P496" s="6">
        <v>0</v>
      </c>
      <c r="Q496" s="6"/>
      <c r="R496" s="6" t="b">
        <v>1</v>
      </c>
    </row>
    <row r="497" spans="1:18">
      <c r="A497" s="6" t="s">
        <v>714</v>
      </c>
      <c r="B497" s="6"/>
      <c r="C497" s="6"/>
      <c r="D497" s="6">
        <v>0</v>
      </c>
      <c r="E497" s="6">
        <v>1</v>
      </c>
      <c r="F497" s="6" t="s">
        <v>2157</v>
      </c>
      <c r="G497" s="6" t="s">
        <v>418</v>
      </c>
      <c r="H497" s="6"/>
      <c r="I497" s="6">
        <v>0</v>
      </c>
      <c r="J497" s="6" t="s">
        <v>1254</v>
      </c>
      <c r="K497" s="6" t="s">
        <v>2169</v>
      </c>
      <c r="L497" s="6"/>
      <c r="M497" s="6"/>
      <c r="N497" s="6" t="str">
        <f t="shared" si="14"/>
        <v>Passive(crimson.passive.receivehealdown.buff.03)</v>
      </c>
      <c r="O497" s="6">
        <v>0</v>
      </c>
      <c r="P497" s="6">
        <v>0</v>
      </c>
      <c r="Q497" s="6"/>
      <c r="R497" s="6" t="b">
        <v>1</v>
      </c>
    </row>
    <row r="498" spans="1:18">
      <c r="A498" s="6" t="s">
        <v>716</v>
      </c>
      <c r="B498" s="6"/>
      <c r="C498" s="6"/>
      <c r="D498" s="6">
        <v>0</v>
      </c>
      <c r="E498" s="6">
        <v>1</v>
      </c>
      <c r="F498" s="6" t="s">
        <v>2157</v>
      </c>
      <c r="G498" s="6" t="s">
        <v>418</v>
      </c>
      <c r="H498" s="6"/>
      <c r="I498" s="6">
        <v>0</v>
      </c>
      <c r="J498" s="6" t="s">
        <v>1254</v>
      </c>
      <c r="K498" s="6" t="s">
        <v>2170</v>
      </c>
      <c r="L498" s="6"/>
      <c r="M498" s="6"/>
      <c r="N498" s="6" t="str">
        <f t="shared" si="14"/>
        <v>Passive(crimson.passive.receivehealdown.buff.04)</v>
      </c>
      <c r="O498" s="6">
        <v>0</v>
      </c>
      <c r="P498" s="6">
        <v>0</v>
      </c>
      <c r="Q498" s="6"/>
      <c r="R498" s="6" t="b">
        <v>1</v>
      </c>
    </row>
    <row r="499" spans="1:18">
      <c r="A499" s="34" t="s">
        <v>2175</v>
      </c>
      <c r="B499" s="34"/>
      <c r="C499" s="34"/>
      <c r="D499" s="34">
        <v>0</v>
      </c>
      <c r="E499" s="34">
        <v>1</v>
      </c>
      <c r="F499" s="34" t="s">
        <v>2157</v>
      </c>
      <c r="G499" s="34" t="s">
        <v>418</v>
      </c>
      <c r="H499" s="34"/>
      <c r="I499" s="34">
        <v>0</v>
      </c>
      <c r="J499" s="34" t="s">
        <v>1254</v>
      </c>
      <c r="K499" s="34" t="s">
        <v>2181</v>
      </c>
      <c r="L499" s="34"/>
      <c r="M499" s="34"/>
      <c r="N499" s="34" t="str">
        <f t="shared" si="14"/>
        <v>Passive(crimson.passive.receivehealdown.buff.05)</v>
      </c>
      <c r="O499" s="34">
        <v>0</v>
      </c>
      <c r="P499" s="34">
        <v>0</v>
      </c>
      <c r="Q499" s="34"/>
      <c r="R499" s="34" t="b">
        <v>1</v>
      </c>
    </row>
    <row r="500" spans="1:18">
      <c r="A500" s="34" t="s">
        <v>2176</v>
      </c>
      <c r="B500" s="34"/>
      <c r="C500" s="34"/>
      <c r="D500" s="34">
        <v>0</v>
      </c>
      <c r="E500" s="34">
        <v>1</v>
      </c>
      <c r="F500" s="34" t="s">
        <v>2157</v>
      </c>
      <c r="G500" s="34" t="s">
        <v>418</v>
      </c>
      <c r="H500" s="34"/>
      <c r="I500" s="34">
        <v>0</v>
      </c>
      <c r="J500" s="34" t="s">
        <v>1254</v>
      </c>
      <c r="K500" s="34" t="s">
        <v>2182</v>
      </c>
      <c r="L500" s="34"/>
      <c r="M500" s="34"/>
      <c r="N500" s="34" t="str">
        <f t="shared" si="14"/>
        <v>Passive(crimson.passive.receivehealdown.buff.06)</v>
      </c>
      <c r="O500" s="34">
        <v>0</v>
      </c>
      <c r="P500" s="34">
        <v>0</v>
      </c>
      <c r="Q500" s="34"/>
      <c r="R500" s="34" t="b">
        <v>1</v>
      </c>
    </row>
    <row r="501" spans="1:18">
      <c r="A501" s="6" t="s">
        <v>8773</v>
      </c>
      <c r="B501" s="6"/>
      <c r="C501" s="6"/>
      <c r="D501" s="6">
        <v>0</v>
      </c>
      <c r="E501" s="6">
        <v>1</v>
      </c>
      <c r="F501" s="6" t="s">
        <v>197</v>
      </c>
      <c r="G501" s="6" t="s">
        <v>198</v>
      </c>
      <c r="H501" s="6"/>
      <c r="I501" s="6">
        <v>0</v>
      </c>
      <c r="J501" s="6" t="s">
        <v>191</v>
      </c>
      <c r="K501" s="6" t="s">
        <v>927</v>
      </c>
      <c r="L501" s="6" t="s">
        <v>8774</v>
      </c>
      <c r="M501" s="6"/>
      <c r="N501" s="6" t="str">
        <f t="shared" si="14"/>
        <v>Effect(OnHitNormal, crimson.passive.hit.bleed.skilleffect.01)</v>
      </c>
      <c r="O501" s="6">
        <v>0</v>
      </c>
      <c r="P501" s="6">
        <v>0</v>
      </c>
      <c r="Q501" s="6"/>
      <c r="R501" s="6" t="b">
        <v>1</v>
      </c>
    </row>
    <row r="502" spans="1:18">
      <c r="A502" s="6" t="s">
        <v>8762</v>
      </c>
      <c r="B502" s="6"/>
      <c r="C502" s="6"/>
      <c r="D502" s="6">
        <v>0</v>
      </c>
      <c r="E502" s="6">
        <v>1</v>
      </c>
      <c r="F502" s="6" t="s">
        <v>197</v>
      </c>
      <c r="G502" s="6" t="s">
        <v>198</v>
      </c>
      <c r="H502" s="6"/>
      <c r="I502" s="6">
        <v>0</v>
      </c>
      <c r="J502" s="6" t="s">
        <v>191</v>
      </c>
      <c r="K502" s="6" t="s">
        <v>927</v>
      </c>
      <c r="L502" s="6" t="s">
        <v>8775</v>
      </c>
      <c r="M502" s="6"/>
      <c r="N502" s="6" t="str">
        <f t="shared" si="14"/>
        <v>Effect(OnHitNormal, crimson.passive.hit.bleed.skilleffect.02)</v>
      </c>
      <c r="O502" s="6">
        <v>0</v>
      </c>
      <c r="P502" s="6">
        <v>0</v>
      </c>
      <c r="Q502" s="6"/>
      <c r="R502" s="6" t="b">
        <v>1</v>
      </c>
    </row>
    <row r="503" spans="1:18">
      <c r="A503" s="6" t="s">
        <v>8763</v>
      </c>
      <c r="B503" s="6"/>
      <c r="C503" s="6"/>
      <c r="D503" s="6">
        <v>0</v>
      </c>
      <c r="E503" s="6">
        <v>1</v>
      </c>
      <c r="F503" s="6" t="s">
        <v>197</v>
      </c>
      <c r="G503" s="6" t="s">
        <v>198</v>
      </c>
      <c r="H503" s="6"/>
      <c r="I503" s="6">
        <v>0</v>
      </c>
      <c r="J503" s="6" t="s">
        <v>191</v>
      </c>
      <c r="K503" s="6" t="s">
        <v>927</v>
      </c>
      <c r="L503" s="6" t="s">
        <v>8776</v>
      </c>
      <c r="M503" s="6"/>
      <c r="N503" s="6" t="str">
        <f t="shared" si="14"/>
        <v>Effect(OnHitNormal, crimson.passive.hit.bleed.skilleffect.03)</v>
      </c>
      <c r="O503" s="6">
        <v>0</v>
      </c>
      <c r="P503" s="6">
        <v>0</v>
      </c>
      <c r="Q503" s="6"/>
      <c r="R503" s="6" t="b">
        <v>1</v>
      </c>
    </row>
    <row r="504" spans="1:18">
      <c r="A504" s="6" t="s">
        <v>8764</v>
      </c>
      <c r="B504" s="6"/>
      <c r="C504" s="6"/>
      <c r="D504" s="6">
        <v>0</v>
      </c>
      <c r="E504" s="6">
        <v>1</v>
      </c>
      <c r="F504" s="6" t="s">
        <v>197</v>
      </c>
      <c r="G504" s="6" t="s">
        <v>198</v>
      </c>
      <c r="H504" s="6"/>
      <c r="I504" s="6">
        <v>0</v>
      </c>
      <c r="J504" s="6" t="s">
        <v>191</v>
      </c>
      <c r="K504" s="6" t="s">
        <v>927</v>
      </c>
      <c r="L504" s="6" t="s">
        <v>8777</v>
      </c>
      <c r="M504" s="6"/>
      <c r="N504" s="6" t="str">
        <f t="shared" si="14"/>
        <v>Effect(OnHitNormal, crimson.passive.hit.bleed.skilleffect.04)</v>
      </c>
      <c r="O504" s="6">
        <v>0</v>
      </c>
      <c r="P504" s="6">
        <v>0</v>
      </c>
      <c r="Q504" s="6"/>
      <c r="R504" s="6" t="b">
        <v>1</v>
      </c>
    </row>
    <row r="505" spans="1:18">
      <c r="A505" s="34" t="s">
        <v>8765</v>
      </c>
      <c r="B505" s="34"/>
      <c r="C505" s="34"/>
      <c r="D505" s="34">
        <v>0</v>
      </c>
      <c r="E505" s="34">
        <v>1</v>
      </c>
      <c r="F505" s="34" t="s">
        <v>197</v>
      </c>
      <c r="G505" s="34" t="s">
        <v>198</v>
      </c>
      <c r="H505" s="34"/>
      <c r="I505" s="34">
        <v>0</v>
      </c>
      <c r="J505" s="34" t="s">
        <v>191</v>
      </c>
      <c r="K505" s="34" t="s">
        <v>927</v>
      </c>
      <c r="L505" s="34" t="s">
        <v>8778</v>
      </c>
      <c r="M505" s="34"/>
      <c r="N505" s="34" t="str">
        <f t="shared" si="14"/>
        <v>Effect(OnHitNormal, crimson.passive.hit.bleed.skilleffect.05)</v>
      </c>
      <c r="O505" s="34">
        <v>0</v>
      </c>
      <c r="P505" s="34">
        <v>0</v>
      </c>
      <c r="Q505" s="34"/>
      <c r="R505" s="34" t="b">
        <v>1</v>
      </c>
    </row>
    <row r="506" spans="1:18">
      <c r="A506" s="34" t="s">
        <v>8766</v>
      </c>
      <c r="B506" s="34"/>
      <c r="C506" s="34"/>
      <c r="D506" s="34">
        <v>0</v>
      </c>
      <c r="E506" s="34">
        <v>1</v>
      </c>
      <c r="F506" s="34" t="s">
        <v>197</v>
      </c>
      <c r="G506" s="34" t="s">
        <v>198</v>
      </c>
      <c r="H506" s="34"/>
      <c r="I506" s="34">
        <v>0</v>
      </c>
      <c r="J506" s="34" t="s">
        <v>191</v>
      </c>
      <c r="K506" s="34" t="s">
        <v>927</v>
      </c>
      <c r="L506" s="34" t="s">
        <v>8779</v>
      </c>
      <c r="M506" s="34"/>
      <c r="N506" s="34" t="str">
        <f t="shared" si="14"/>
        <v>Effect(OnHitNormal, crimson.passive.hit.bleed.skilleffect.06)</v>
      </c>
      <c r="O506" s="34">
        <v>0</v>
      </c>
      <c r="P506" s="34">
        <v>0</v>
      </c>
      <c r="Q506" s="34"/>
      <c r="R506" s="34" t="b">
        <v>1</v>
      </c>
    </row>
    <row r="507" spans="1:18">
      <c r="A507" s="41" t="s">
        <v>2171</v>
      </c>
      <c r="B507" s="41" t="s">
        <v>8813</v>
      </c>
      <c r="C507" s="41" t="s">
        <v>865</v>
      </c>
      <c r="D507" s="41">
        <v>0</v>
      </c>
      <c r="E507" s="41">
        <v>1</v>
      </c>
      <c r="F507" s="41" t="s">
        <v>197</v>
      </c>
      <c r="G507" s="41" t="s">
        <v>198</v>
      </c>
      <c r="H507" s="41"/>
      <c r="I507" s="41">
        <v>0</v>
      </c>
      <c r="J507" s="41" t="s">
        <v>838</v>
      </c>
      <c r="K507" s="41" t="s">
        <v>874</v>
      </c>
      <c r="L507" s="41">
        <v>-550</v>
      </c>
      <c r="M507" s="41"/>
      <c r="N507" s="41" t="str">
        <f t="shared" si="14"/>
        <v>Status(ReceiveRecoveryRate, -550)</v>
      </c>
      <c r="O507" s="41">
        <v>0</v>
      </c>
      <c r="P507" s="41">
        <v>0</v>
      </c>
      <c r="Q507" s="41"/>
      <c r="R507" s="41" t="b">
        <v>1</v>
      </c>
    </row>
    <row r="508" spans="1:18">
      <c r="A508" s="41" t="s">
        <v>2172</v>
      </c>
      <c r="B508" s="41" t="s">
        <v>8813</v>
      </c>
      <c r="C508" s="41" t="s">
        <v>865</v>
      </c>
      <c r="D508" s="41">
        <v>0</v>
      </c>
      <c r="E508" s="41">
        <v>1</v>
      </c>
      <c r="F508" s="41" t="s">
        <v>197</v>
      </c>
      <c r="G508" s="41" t="s">
        <v>198</v>
      </c>
      <c r="H508" s="41"/>
      <c r="I508" s="41">
        <v>0</v>
      </c>
      <c r="J508" s="41" t="s">
        <v>838</v>
      </c>
      <c r="K508" s="41" t="s">
        <v>874</v>
      </c>
      <c r="L508" s="41">
        <v>-600</v>
      </c>
      <c r="M508" s="41"/>
      <c r="N508" s="41" t="str">
        <f t="shared" si="14"/>
        <v>Status(ReceiveRecoveryRate, -600)</v>
      </c>
      <c r="O508" s="41">
        <v>0</v>
      </c>
      <c r="P508" s="41">
        <v>0</v>
      </c>
      <c r="Q508" s="41"/>
      <c r="R508" s="41" t="b">
        <v>1</v>
      </c>
    </row>
    <row r="509" spans="1:18">
      <c r="A509" s="41" t="s">
        <v>2173</v>
      </c>
      <c r="B509" s="41" t="s">
        <v>8813</v>
      </c>
      <c r="C509" s="41" t="s">
        <v>865</v>
      </c>
      <c r="D509" s="41">
        <v>0</v>
      </c>
      <c r="E509" s="41">
        <v>1</v>
      </c>
      <c r="F509" s="41" t="s">
        <v>197</v>
      </c>
      <c r="G509" s="41" t="s">
        <v>198</v>
      </c>
      <c r="H509" s="41"/>
      <c r="I509" s="41">
        <v>0</v>
      </c>
      <c r="J509" s="41" t="s">
        <v>838</v>
      </c>
      <c r="K509" s="41" t="s">
        <v>874</v>
      </c>
      <c r="L509" s="41">
        <v>-650</v>
      </c>
      <c r="M509" s="41"/>
      <c r="N509" s="41" t="str">
        <f t="shared" si="14"/>
        <v>Status(ReceiveRecoveryRate, -650)</v>
      </c>
      <c r="O509" s="41">
        <v>0</v>
      </c>
      <c r="P509" s="41">
        <v>0</v>
      </c>
      <c r="Q509" s="41"/>
      <c r="R509" s="41" t="b">
        <v>1</v>
      </c>
    </row>
    <row r="510" spans="1:18">
      <c r="A510" s="41" t="s">
        <v>2174</v>
      </c>
      <c r="B510" s="41" t="s">
        <v>8813</v>
      </c>
      <c r="C510" s="41" t="s">
        <v>865</v>
      </c>
      <c r="D510" s="41">
        <v>0</v>
      </c>
      <c r="E510" s="41">
        <v>1</v>
      </c>
      <c r="F510" s="41" t="s">
        <v>197</v>
      </c>
      <c r="G510" s="41" t="s">
        <v>198</v>
      </c>
      <c r="H510" s="41"/>
      <c r="I510" s="41">
        <v>0</v>
      </c>
      <c r="J510" s="41" t="s">
        <v>838</v>
      </c>
      <c r="K510" s="41" t="s">
        <v>874</v>
      </c>
      <c r="L510" s="41">
        <v>-700</v>
      </c>
      <c r="M510" s="41"/>
      <c r="N510" s="41" t="str">
        <f t="shared" si="14"/>
        <v>Status(ReceiveRecoveryRate, -700)</v>
      </c>
      <c r="O510" s="41">
        <v>0</v>
      </c>
      <c r="P510" s="41">
        <v>0</v>
      </c>
      <c r="Q510" s="41"/>
      <c r="R510" s="41" t="b">
        <v>1</v>
      </c>
    </row>
    <row r="511" spans="1:18">
      <c r="A511" s="34" t="s">
        <v>2177</v>
      </c>
      <c r="B511" s="34" t="s">
        <v>8813</v>
      </c>
      <c r="C511" s="34" t="s">
        <v>865</v>
      </c>
      <c r="D511" s="34">
        <v>0</v>
      </c>
      <c r="E511" s="34">
        <v>1</v>
      </c>
      <c r="F511" s="34" t="s">
        <v>197</v>
      </c>
      <c r="G511" s="34" t="s">
        <v>198</v>
      </c>
      <c r="H511" s="34"/>
      <c r="I511" s="34">
        <v>0</v>
      </c>
      <c r="J511" s="34" t="s">
        <v>838</v>
      </c>
      <c r="K511" s="34" t="s">
        <v>874</v>
      </c>
      <c r="L511" s="34">
        <v>-750</v>
      </c>
      <c r="M511" s="34"/>
      <c r="N511" s="34" t="str">
        <f t="shared" si="14"/>
        <v>Status(ReceiveRecoveryRate, -750)</v>
      </c>
      <c r="O511" s="34">
        <v>0</v>
      </c>
      <c r="P511" s="34">
        <v>0</v>
      </c>
      <c r="Q511" s="34"/>
      <c r="R511" s="34" t="b">
        <v>1</v>
      </c>
    </row>
    <row r="512" spans="1:18">
      <c r="A512" s="34" t="s">
        <v>2178</v>
      </c>
      <c r="B512" s="34" t="s">
        <v>8813</v>
      </c>
      <c r="C512" s="34" t="s">
        <v>865</v>
      </c>
      <c r="D512" s="34">
        <v>0</v>
      </c>
      <c r="E512" s="34">
        <v>1</v>
      </c>
      <c r="F512" s="34" t="s">
        <v>197</v>
      </c>
      <c r="G512" s="34" t="s">
        <v>198</v>
      </c>
      <c r="H512" s="34"/>
      <c r="I512" s="34">
        <v>0</v>
      </c>
      <c r="J512" s="34" t="s">
        <v>838</v>
      </c>
      <c r="K512" s="34" t="s">
        <v>874</v>
      </c>
      <c r="L512" s="34">
        <v>-750</v>
      </c>
      <c r="M512" s="34"/>
      <c r="N512" s="34" t="str">
        <f t="shared" si="14"/>
        <v>Status(ReceiveRecoveryRate, -750)</v>
      </c>
      <c r="O512" s="34">
        <v>0</v>
      </c>
      <c r="P512" s="34">
        <v>0</v>
      </c>
      <c r="Q512" s="34"/>
      <c r="R512" s="34" t="b">
        <v>1</v>
      </c>
    </row>
    <row r="513" spans="1:18">
      <c r="A513" s="6" t="s">
        <v>8801</v>
      </c>
      <c r="B513" s="6"/>
      <c r="C513" s="6"/>
      <c r="D513" s="6">
        <v>0</v>
      </c>
      <c r="E513" s="6">
        <v>1</v>
      </c>
      <c r="F513" s="6" t="s">
        <v>197</v>
      </c>
      <c r="G513" s="6" t="s">
        <v>198</v>
      </c>
      <c r="H513" s="6"/>
      <c r="I513" s="6">
        <v>0</v>
      </c>
      <c r="J513" s="6" t="s">
        <v>876</v>
      </c>
      <c r="K513" s="6" t="s">
        <v>1758</v>
      </c>
      <c r="L513" s="6" t="s">
        <v>8783</v>
      </c>
      <c r="M513" s="6" t="s">
        <v>3976</v>
      </c>
      <c r="N513" s="6" t="str">
        <f t="shared" si="14"/>
        <v>Event(FireSkill, crimson.passive.ex.atkup.middle.skilleffect.01, FireCondition(Ultimate))</v>
      </c>
      <c r="O513" s="6">
        <v>0</v>
      </c>
      <c r="P513" s="6">
        <v>0</v>
      </c>
      <c r="Q513" s="6"/>
      <c r="R513" s="6" t="b">
        <v>1</v>
      </c>
    </row>
    <row r="514" spans="1:18">
      <c r="A514" s="6" t="s">
        <v>8802</v>
      </c>
      <c r="B514" s="6"/>
      <c r="C514" s="6"/>
      <c r="D514" s="6">
        <v>0</v>
      </c>
      <c r="E514" s="6">
        <v>1</v>
      </c>
      <c r="F514" s="6" t="s">
        <v>197</v>
      </c>
      <c r="G514" s="6" t="s">
        <v>198</v>
      </c>
      <c r="H514" s="6"/>
      <c r="I514" s="6">
        <v>0</v>
      </c>
      <c r="J514" s="6" t="s">
        <v>876</v>
      </c>
      <c r="K514" s="6" t="s">
        <v>1758</v>
      </c>
      <c r="L514" s="6" t="s">
        <v>8784</v>
      </c>
      <c r="M514" s="6" t="s">
        <v>3976</v>
      </c>
      <c r="N514" s="6" t="str">
        <f t="shared" si="14"/>
        <v>Event(FireSkill, crimson.passive.ex.atkup.middle.skilleffect.02, FireCondition(Ultimate))</v>
      </c>
      <c r="O514" s="6">
        <v>0</v>
      </c>
      <c r="P514" s="6">
        <v>0</v>
      </c>
      <c r="Q514" s="6"/>
      <c r="R514" s="6" t="b">
        <v>1</v>
      </c>
    </row>
    <row r="515" spans="1:18">
      <c r="A515" s="6" t="s">
        <v>8804</v>
      </c>
      <c r="B515" s="6"/>
      <c r="C515" s="6"/>
      <c r="D515" s="6">
        <v>0</v>
      </c>
      <c r="E515" s="6">
        <v>1</v>
      </c>
      <c r="F515" s="6" t="s">
        <v>197</v>
      </c>
      <c r="G515" s="6" t="s">
        <v>198</v>
      </c>
      <c r="H515" s="6"/>
      <c r="I515" s="6">
        <v>0</v>
      </c>
      <c r="J515" s="6" t="s">
        <v>876</v>
      </c>
      <c r="K515" s="6" t="s">
        <v>1758</v>
      </c>
      <c r="L515" s="6" t="s">
        <v>8786</v>
      </c>
      <c r="M515" s="6" t="s">
        <v>3976</v>
      </c>
      <c r="N515" s="6" t="str">
        <f t="shared" si="14"/>
        <v>Event(FireSkill, crimson.passive.ex.atkup.middle.skilleffect.03, FireCondition(Ultimate))</v>
      </c>
      <c r="O515" s="6">
        <v>0</v>
      </c>
      <c r="P515" s="6">
        <v>0</v>
      </c>
      <c r="Q515" s="6"/>
      <c r="R515" s="6" t="b">
        <v>1</v>
      </c>
    </row>
    <row r="516" spans="1:18">
      <c r="A516" s="6" t="s">
        <v>8803</v>
      </c>
      <c r="B516" s="6"/>
      <c r="C516" s="6"/>
      <c r="D516" s="6">
        <v>0</v>
      </c>
      <c r="E516" s="6">
        <v>1</v>
      </c>
      <c r="F516" s="6" t="s">
        <v>197</v>
      </c>
      <c r="G516" s="6" t="s">
        <v>198</v>
      </c>
      <c r="H516" s="6"/>
      <c r="I516" s="6">
        <v>0</v>
      </c>
      <c r="J516" s="6" t="s">
        <v>876</v>
      </c>
      <c r="K516" s="6" t="s">
        <v>1758</v>
      </c>
      <c r="L516" s="6" t="s">
        <v>8785</v>
      </c>
      <c r="M516" s="6" t="s">
        <v>3976</v>
      </c>
      <c r="N516" s="6" t="str">
        <f t="shared" si="14"/>
        <v>Event(FireSkill, crimson.passive.ex.atkup.middle.skilleffect.04, FireCondition(Ultimate))</v>
      </c>
      <c r="O516" s="6">
        <v>0</v>
      </c>
      <c r="P516" s="6">
        <v>0</v>
      </c>
      <c r="Q516" s="6"/>
      <c r="R516" s="6" t="b">
        <v>1</v>
      </c>
    </row>
    <row r="517" spans="1:18">
      <c r="A517" s="34" t="s">
        <v>8805</v>
      </c>
      <c r="B517" s="34"/>
      <c r="C517" s="34"/>
      <c r="D517" s="34">
        <v>0</v>
      </c>
      <c r="E517" s="34">
        <v>1</v>
      </c>
      <c r="F517" s="34" t="s">
        <v>197</v>
      </c>
      <c r="G517" s="34" t="s">
        <v>198</v>
      </c>
      <c r="H517" s="34"/>
      <c r="I517" s="34">
        <v>0</v>
      </c>
      <c r="J517" s="34" t="s">
        <v>876</v>
      </c>
      <c r="K517" s="34" t="s">
        <v>1758</v>
      </c>
      <c r="L517" s="34" t="s">
        <v>8787</v>
      </c>
      <c r="M517" s="34" t="s">
        <v>3976</v>
      </c>
      <c r="N517" s="34" t="str">
        <f t="shared" si="14"/>
        <v>Event(FireSkill, crimson.passive.ex.atkup.middle.skilleffect.05, FireCondition(Ultimate))</v>
      </c>
      <c r="O517" s="34">
        <v>0</v>
      </c>
      <c r="P517" s="34">
        <v>0</v>
      </c>
      <c r="Q517" s="34"/>
      <c r="R517" s="34" t="b">
        <v>1</v>
      </c>
    </row>
    <row r="518" spans="1:18">
      <c r="A518" s="34" t="s">
        <v>8806</v>
      </c>
      <c r="B518" s="34"/>
      <c r="C518" s="34"/>
      <c r="D518" s="34">
        <v>0</v>
      </c>
      <c r="E518" s="34">
        <v>1</v>
      </c>
      <c r="F518" s="34" t="s">
        <v>197</v>
      </c>
      <c r="G518" s="34" t="s">
        <v>198</v>
      </c>
      <c r="H518" s="34"/>
      <c r="I518" s="34">
        <v>0</v>
      </c>
      <c r="J518" s="34" t="s">
        <v>876</v>
      </c>
      <c r="K518" s="34" t="s">
        <v>1758</v>
      </c>
      <c r="L518" s="34" t="s">
        <v>8788</v>
      </c>
      <c r="M518" s="34" t="s">
        <v>3976</v>
      </c>
      <c r="N518" s="34" t="str">
        <f t="shared" ref="N518:N542" si="15">J518&amp;"("&amp;IF(K518="","",K518)&amp;IF(L518="","",", "&amp;L518)&amp;IF(M518="","",", "&amp;M518)&amp;")"</f>
        <v>Event(FireSkill, crimson.passive.ex.atkup.middle.skilleffect.06, FireCondition(Ultimate))</v>
      </c>
      <c r="O518" s="34">
        <v>0</v>
      </c>
      <c r="P518" s="34">
        <v>0</v>
      </c>
      <c r="Q518" s="34"/>
      <c r="R518" s="34" t="b">
        <v>1</v>
      </c>
    </row>
    <row r="519" spans="1:18">
      <c r="A519" s="148" t="s">
        <v>8795</v>
      </c>
      <c r="B519" s="41"/>
      <c r="C519" s="41"/>
      <c r="D519" s="41">
        <v>0</v>
      </c>
      <c r="E519" s="41">
        <v>1</v>
      </c>
      <c r="F519" s="41" t="s">
        <v>197</v>
      </c>
      <c r="G519" s="41" t="s">
        <v>198</v>
      </c>
      <c r="H519" s="41"/>
      <c r="I519" s="41">
        <v>0</v>
      </c>
      <c r="J519" s="41" t="s">
        <v>876</v>
      </c>
      <c r="K519" s="41" t="s">
        <v>1758</v>
      </c>
      <c r="L519" s="41" t="s">
        <v>8807</v>
      </c>
      <c r="M519" s="41" t="s">
        <v>3976</v>
      </c>
      <c r="N519" s="41" t="str">
        <f t="shared" si="15"/>
        <v>Event(FireSkill, crimson.passive.ex.atkup.back.skilleffect.01, FireCondition(Ultimate))</v>
      </c>
      <c r="O519" s="41">
        <v>0</v>
      </c>
      <c r="P519" s="41">
        <v>0</v>
      </c>
      <c r="Q519" s="41"/>
      <c r="R519" s="41" t="b">
        <v>1</v>
      </c>
    </row>
    <row r="520" spans="1:18">
      <c r="A520" s="148" t="s">
        <v>8796</v>
      </c>
      <c r="B520" s="41"/>
      <c r="C520" s="41"/>
      <c r="D520" s="41">
        <v>0</v>
      </c>
      <c r="E520" s="41">
        <v>1</v>
      </c>
      <c r="F520" s="41" t="s">
        <v>197</v>
      </c>
      <c r="G520" s="41" t="s">
        <v>198</v>
      </c>
      <c r="H520" s="41"/>
      <c r="I520" s="41">
        <v>0</v>
      </c>
      <c r="J520" s="41" t="s">
        <v>876</v>
      </c>
      <c r="K520" s="41" t="s">
        <v>1758</v>
      </c>
      <c r="L520" s="41" t="s">
        <v>8808</v>
      </c>
      <c r="M520" s="41" t="s">
        <v>3976</v>
      </c>
      <c r="N520" s="41" t="str">
        <f t="shared" si="15"/>
        <v>Event(FireSkill, crimson.passive.ex.atkup.back.skilleffect.02, FireCondition(Ultimate))</v>
      </c>
      <c r="O520" s="41">
        <v>0</v>
      </c>
      <c r="P520" s="41">
        <v>0</v>
      </c>
      <c r="Q520" s="41"/>
      <c r="R520" s="41" t="b">
        <v>1</v>
      </c>
    </row>
    <row r="521" spans="1:18">
      <c r="A521" s="148" t="s">
        <v>8797</v>
      </c>
      <c r="B521" s="41"/>
      <c r="C521" s="41"/>
      <c r="D521" s="41">
        <v>0</v>
      </c>
      <c r="E521" s="41">
        <v>1</v>
      </c>
      <c r="F521" s="41" t="s">
        <v>197</v>
      </c>
      <c r="G521" s="41" t="s">
        <v>198</v>
      </c>
      <c r="H521" s="41"/>
      <c r="I521" s="41">
        <v>0</v>
      </c>
      <c r="J521" s="41" t="s">
        <v>876</v>
      </c>
      <c r="K521" s="41" t="s">
        <v>1758</v>
      </c>
      <c r="L521" s="41" t="s">
        <v>8809</v>
      </c>
      <c r="M521" s="41" t="s">
        <v>3976</v>
      </c>
      <c r="N521" s="41" t="str">
        <f t="shared" si="15"/>
        <v>Event(FireSkill, crimson.passive.ex.atkup.back.skilleffect.03, FireCondition(Ultimate))</v>
      </c>
      <c r="O521" s="41">
        <v>0</v>
      </c>
      <c r="P521" s="41">
        <v>0</v>
      </c>
      <c r="Q521" s="41"/>
      <c r="R521" s="41" t="b">
        <v>1</v>
      </c>
    </row>
    <row r="522" spans="1:18">
      <c r="A522" s="148" t="s">
        <v>8798</v>
      </c>
      <c r="B522" s="41"/>
      <c r="C522" s="41"/>
      <c r="D522" s="41">
        <v>0</v>
      </c>
      <c r="E522" s="41">
        <v>1</v>
      </c>
      <c r="F522" s="41" t="s">
        <v>197</v>
      </c>
      <c r="G522" s="41" t="s">
        <v>198</v>
      </c>
      <c r="H522" s="41"/>
      <c r="I522" s="41">
        <v>0</v>
      </c>
      <c r="J522" s="41" t="s">
        <v>876</v>
      </c>
      <c r="K522" s="41" t="s">
        <v>1758</v>
      </c>
      <c r="L522" s="41" t="s">
        <v>8810</v>
      </c>
      <c r="M522" s="41" t="s">
        <v>3976</v>
      </c>
      <c r="N522" s="41" t="str">
        <f t="shared" si="15"/>
        <v>Event(FireSkill, crimson.passive.ex.atkup.back.skilleffect.04, FireCondition(Ultimate))</v>
      </c>
      <c r="O522" s="41">
        <v>0</v>
      </c>
      <c r="P522" s="41">
        <v>0</v>
      </c>
      <c r="Q522" s="41"/>
      <c r="R522" s="41" t="b">
        <v>1</v>
      </c>
    </row>
    <row r="523" spans="1:18">
      <c r="A523" s="40" t="s">
        <v>8799</v>
      </c>
      <c r="B523" s="34"/>
      <c r="C523" s="34"/>
      <c r="D523" s="34">
        <v>0</v>
      </c>
      <c r="E523" s="34">
        <v>1</v>
      </c>
      <c r="F523" s="34" t="s">
        <v>197</v>
      </c>
      <c r="G523" s="34" t="s">
        <v>198</v>
      </c>
      <c r="H523" s="34"/>
      <c r="I523" s="34">
        <v>0</v>
      </c>
      <c r="J523" s="34" t="s">
        <v>876</v>
      </c>
      <c r="K523" s="34" t="s">
        <v>1758</v>
      </c>
      <c r="L523" s="34" t="s">
        <v>8811</v>
      </c>
      <c r="M523" s="34" t="s">
        <v>3976</v>
      </c>
      <c r="N523" s="34" t="str">
        <f t="shared" si="15"/>
        <v>Event(FireSkill, crimson.passive.ex.atkup.back.skilleffect.05, FireCondition(Ultimate))</v>
      </c>
      <c r="O523" s="34">
        <v>0</v>
      </c>
      <c r="P523" s="34">
        <v>0</v>
      </c>
      <c r="Q523" s="34"/>
      <c r="R523" s="34" t="b">
        <v>1</v>
      </c>
    </row>
    <row r="524" spans="1:18">
      <c r="A524" s="40" t="s">
        <v>8800</v>
      </c>
      <c r="B524" s="34"/>
      <c r="C524" s="34"/>
      <c r="D524" s="34">
        <v>0</v>
      </c>
      <c r="E524" s="34">
        <v>1</v>
      </c>
      <c r="F524" s="34" t="s">
        <v>197</v>
      </c>
      <c r="G524" s="34" t="s">
        <v>198</v>
      </c>
      <c r="H524" s="34"/>
      <c r="I524" s="34">
        <v>0</v>
      </c>
      <c r="J524" s="34" t="s">
        <v>876</v>
      </c>
      <c r="K524" s="34" t="s">
        <v>1758</v>
      </c>
      <c r="L524" s="34" t="s">
        <v>8812</v>
      </c>
      <c r="M524" s="34" t="s">
        <v>3976</v>
      </c>
      <c r="N524" s="34" t="str">
        <f t="shared" ref="N524" si="16">J524&amp;"("&amp;IF(K524="","",K524)&amp;IF(L524="","",", "&amp;L524)&amp;IF(M524="","",", "&amp;M524)&amp;")"</f>
        <v>Event(FireSkill, crimson.passive.ex.atkup.back.skilleffect.06, FireCondition(Ultimate))</v>
      </c>
      <c r="O524" s="34">
        <v>0</v>
      </c>
      <c r="P524" s="34">
        <v>0</v>
      </c>
      <c r="Q524" s="34"/>
      <c r="R524" s="34" t="b">
        <v>1</v>
      </c>
    </row>
    <row r="525" spans="1:18">
      <c r="A525" s="6" t="s">
        <v>8767</v>
      </c>
      <c r="B525" s="6"/>
      <c r="C525" s="6"/>
      <c r="D525" s="6">
        <v>0</v>
      </c>
      <c r="E525" s="6">
        <v>1</v>
      </c>
      <c r="F525" s="6" t="s">
        <v>417</v>
      </c>
      <c r="G525" s="6" t="s">
        <v>418</v>
      </c>
      <c r="H525" s="6"/>
      <c r="I525" s="6">
        <v>0</v>
      </c>
      <c r="J525" s="6" t="s">
        <v>1254</v>
      </c>
      <c r="K525" s="6" t="s">
        <v>8742</v>
      </c>
      <c r="L525" s="6"/>
      <c r="M525" s="6"/>
      <c r="N525" s="6" t="str">
        <f t="shared" si="15"/>
        <v>Passive(crimson.passive.ex.attribute.buff.01)</v>
      </c>
      <c r="O525" s="6">
        <v>0</v>
      </c>
      <c r="P525" s="6">
        <v>0</v>
      </c>
      <c r="Q525" s="6"/>
      <c r="R525" s="6" t="b">
        <v>1</v>
      </c>
    </row>
    <row r="526" spans="1:18">
      <c r="A526" s="6" t="s">
        <v>8768</v>
      </c>
      <c r="B526" s="6"/>
      <c r="C526" s="6"/>
      <c r="D526" s="6">
        <v>0</v>
      </c>
      <c r="E526" s="6">
        <v>1</v>
      </c>
      <c r="F526" s="6" t="s">
        <v>417</v>
      </c>
      <c r="G526" s="6" t="s">
        <v>418</v>
      </c>
      <c r="H526" s="6"/>
      <c r="I526" s="6">
        <v>0</v>
      </c>
      <c r="J526" s="6" t="s">
        <v>1254</v>
      </c>
      <c r="K526" s="6" t="s">
        <v>8744</v>
      </c>
      <c r="L526" s="6"/>
      <c r="M526" s="6"/>
      <c r="N526" s="6" t="str">
        <f t="shared" si="15"/>
        <v>Passive(crimson.passive.ex.attribute.buff.02)</v>
      </c>
      <c r="O526" s="6">
        <v>0</v>
      </c>
      <c r="P526" s="6">
        <v>0</v>
      </c>
      <c r="Q526" s="6"/>
      <c r="R526" s="6" t="b">
        <v>1</v>
      </c>
    </row>
    <row r="527" spans="1:18">
      <c r="A527" s="6" t="s">
        <v>8769</v>
      </c>
      <c r="B527" s="6"/>
      <c r="C527" s="6"/>
      <c r="D527" s="6">
        <v>0</v>
      </c>
      <c r="E527" s="6">
        <v>1</v>
      </c>
      <c r="F527" s="6" t="s">
        <v>417</v>
      </c>
      <c r="G527" s="6" t="s">
        <v>418</v>
      </c>
      <c r="H527" s="6"/>
      <c r="I527" s="6">
        <v>0</v>
      </c>
      <c r="J527" s="6" t="s">
        <v>1254</v>
      </c>
      <c r="K527" s="6" t="s">
        <v>8746</v>
      </c>
      <c r="L527" s="6"/>
      <c r="M527" s="6"/>
      <c r="N527" s="6" t="str">
        <f t="shared" si="15"/>
        <v>Passive(crimson.passive.ex.attribute.buff.03)</v>
      </c>
      <c r="O527" s="6">
        <v>0</v>
      </c>
      <c r="P527" s="6">
        <v>0</v>
      </c>
      <c r="Q527" s="6"/>
      <c r="R527" s="6" t="b">
        <v>1</v>
      </c>
    </row>
    <row r="528" spans="1:18">
      <c r="A528" s="6" t="s">
        <v>8770</v>
      </c>
      <c r="B528" s="6"/>
      <c r="C528" s="6"/>
      <c r="D528" s="6">
        <v>0</v>
      </c>
      <c r="E528" s="6">
        <v>1</v>
      </c>
      <c r="F528" s="6" t="s">
        <v>417</v>
      </c>
      <c r="G528" s="6" t="s">
        <v>418</v>
      </c>
      <c r="H528" s="6"/>
      <c r="I528" s="6">
        <v>0</v>
      </c>
      <c r="J528" s="6" t="s">
        <v>1254</v>
      </c>
      <c r="K528" s="6" t="s">
        <v>8748</v>
      </c>
      <c r="L528" s="6"/>
      <c r="M528" s="6"/>
      <c r="N528" s="6" t="str">
        <f t="shared" si="15"/>
        <v>Passive(crimson.passive.ex.attribute.buff.04)</v>
      </c>
      <c r="O528" s="6">
        <v>0</v>
      </c>
      <c r="P528" s="6">
        <v>0</v>
      </c>
      <c r="Q528" s="6"/>
      <c r="R528" s="6" t="b">
        <v>1</v>
      </c>
    </row>
    <row r="529" spans="1:18">
      <c r="A529" s="34" t="s">
        <v>8771</v>
      </c>
      <c r="B529" s="34"/>
      <c r="C529" s="34"/>
      <c r="D529" s="34">
        <v>0</v>
      </c>
      <c r="E529" s="34">
        <v>1</v>
      </c>
      <c r="F529" s="34" t="s">
        <v>417</v>
      </c>
      <c r="G529" s="34" t="s">
        <v>418</v>
      </c>
      <c r="H529" s="34"/>
      <c r="I529" s="34">
        <v>0</v>
      </c>
      <c r="J529" s="34" t="s">
        <v>1254</v>
      </c>
      <c r="K529" s="34" t="s">
        <v>8750</v>
      </c>
      <c r="L529" s="34"/>
      <c r="M529" s="34"/>
      <c r="N529" s="34" t="str">
        <f t="shared" si="15"/>
        <v>Passive(crimson.passive.ex.attribute.buff.05)</v>
      </c>
      <c r="O529" s="34">
        <v>0</v>
      </c>
      <c r="P529" s="34">
        <v>0</v>
      </c>
      <c r="Q529" s="34"/>
      <c r="R529" s="34" t="b">
        <v>1</v>
      </c>
    </row>
    <row r="530" spans="1:18">
      <c r="A530" s="34" t="s">
        <v>8772</v>
      </c>
      <c r="B530" s="34"/>
      <c r="C530" s="34"/>
      <c r="D530" s="34">
        <v>0</v>
      </c>
      <c r="E530" s="34">
        <v>1</v>
      </c>
      <c r="F530" s="34" t="s">
        <v>417</v>
      </c>
      <c r="G530" s="34" t="s">
        <v>418</v>
      </c>
      <c r="H530" s="34"/>
      <c r="I530" s="34">
        <v>0</v>
      </c>
      <c r="J530" s="34" t="s">
        <v>1254</v>
      </c>
      <c r="K530" s="34" t="s">
        <v>8752</v>
      </c>
      <c r="L530" s="34"/>
      <c r="M530" s="34"/>
      <c r="N530" s="34" t="str">
        <f t="shared" si="15"/>
        <v>Passive(crimson.passive.ex.attribute.buff.06)</v>
      </c>
      <c r="O530" s="34">
        <v>0</v>
      </c>
      <c r="P530" s="34">
        <v>0</v>
      </c>
      <c r="Q530" s="34"/>
      <c r="R530" s="34" t="b">
        <v>1</v>
      </c>
    </row>
    <row r="531" spans="1:18">
      <c r="A531" s="41" t="s">
        <v>4687</v>
      </c>
      <c r="B531" s="41"/>
      <c r="C531" s="41"/>
      <c r="D531" s="41">
        <v>0</v>
      </c>
      <c r="E531" s="41">
        <v>1</v>
      </c>
      <c r="F531" s="41" t="s">
        <v>197</v>
      </c>
      <c r="G531" s="41" t="s">
        <v>198</v>
      </c>
      <c r="H531" s="41"/>
      <c r="I531" s="41">
        <v>0</v>
      </c>
      <c r="J531" s="41" t="s">
        <v>961</v>
      </c>
      <c r="K531" s="41" t="s">
        <v>908</v>
      </c>
      <c r="L531" s="41">
        <v>180</v>
      </c>
      <c r="M531" s="41" t="s">
        <v>865</v>
      </c>
      <c r="N531" s="41" t="str">
        <f t="shared" si="15"/>
        <v>StatusTargetBuffEffect(AttackRatio, 180, Bleed)</v>
      </c>
      <c r="O531" s="41">
        <v>0</v>
      </c>
      <c r="P531" s="41">
        <v>0</v>
      </c>
      <c r="Q531" s="41"/>
      <c r="R531" s="41" t="b">
        <v>1</v>
      </c>
    </row>
    <row r="532" spans="1:18">
      <c r="A532" s="41" t="s">
        <v>3107</v>
      </c>
      <c r="B532" s="41"/>
      <c r="C532" s="41"/>
      <c r="D532" s="41">
        <v>0</v>
      </c>
      <c r="E532" s="41">
        <v>1</v>
      </c>
      <c r="F532" s="41" t="s">
        <v>197</v>
      </c>
      <c r="G532" s="41" t="s">
        <v>198</v>
      </c>
      <c r="H532" s="41"/>
      <c r="I532" s="41">
        <v>0</v>
      </c>
      <c r="J532" s="41" t="s">
        <v>961</v>
      </c>
      <c r="K532" s="41" t="s">
        <v>908</v>
      </c>
      <c r="L532" s="41">
        <v>200</v>
      </c>
      <c r="M532" s="41" t="s">
        <v>865</v>
      </c>
      <c r="N532" s="41" t="str">
        <f t="shared" si="15"/>
        <v>StatusTargetBuffEffect(AttackRatio, 200, Bleed)</v>
      </c>
      <c r="O532" s="41">
        <v>0</v>
      </c>
      <c r="P532" s="41">
        <v>0</v>
      </c>
      <c r="Q532" s="41"/>
      <c r="R532" s="41" t="b">
        <v>1</v>
      </c>
    </row>
    <row r="533" spans="1:18">
      <c r="A533" s="41" t="s">
        <v>3108</v>
      </c>
      <c r="B533" s="41"/>
      <c r="C533" s="41"/>
      <c r="D533" s="41">
        <v>0</v>
      </c>
      <c r="E533" s="41">
        <v>1</v>
      </c>
      <c r="F533" s="41" t="s">
        <v>197</v>
      </c>
      <c r="G533" s="41" t="s">
        <v>198</v>
      </c>
      <c r="H533" s="41"/>
      <c r="I533" s="41">
        <v>0</v>
      </c>
      <c r="J533" s="41" t="s">
        <v>961</v>
      </c>
      <c r="K533" s="41" t="s">
        <v>908</v>
      </c>
      <c r="L533" s="41">
        <v>220</v>
      </c>
      <c r="M533" s="41" t="s">
        <v>865</v>
      </c>
      <c r="N533" s="41" t="str">
        <f t="shared" si="15"/>
        <v>StatusTargetBuffEffect(AttackRatio, 220, Bleed)</v>
      </c>
      <c r="O533" s="41">
        <v>0</v>
      </c>
      <c r="P533" s="41">
        <v>0</v>
      </c>
      <c r="Q533" s="41"/>
      <c r="R533" s="41" t="b">
        <v>1</v>
      </c>
    </row>
    <row r="534" spans="1:18">
      <c r="A534" s="41" t="s">
        <v>3109</v>
      </c>
      <c r="B534" s="41"/>
      <c r="C534" s="41"/>
      <c r="D534" s="41">
        <v>0</v>
      </c>
      <c r="E534" s="41">
        <v>1</v>
      </c>
      <c r="F534" s="41" t="s">
        <v>197</v>
      </c>
      <c r="G534" s="41" t="s">
        <v>198</v>
      </c>
      <c r="H534" s="41"/>
      <c r="I534" s="41">
        <v>0</v>
      </c>
      <c r="J534" s="41" t="s">
        <v>961</v>
      </c>
      <c r="K534" s="41" t="s">
        <v>908</v>
      </c>
      <c r="L534" s="41">
        <v>250</v>
      </c>
      <c r="M534" s="41" t="s">
        <v>865</v>
      </c>
      <c r="N534" s="41" t="str">
        <f t="shared" si="15"/>
        <v>StatusTargetBuffEffect(AttackRatio, 250, Bleed)</v>
      </c>
      <c r="O534" s="41">
        <v>0</v>
      </c>
      <c r="P534" s="41">
        <v>0</v>
      </c>
      <c r="Q534" s="41"/>
      <c r="R534" s="41" t="b">
        <v>1</v>
      </c>
    </row>
    <row r="535" spans="1:18">
      <c r="A535" s="34" t="s">
        <v>3110</v>
      </c>
      <c r="B535" s="34"/>
      <c r="C535" s="34"/>
      <c r="D535" s="34">
        <v>0</v>
      </c>
      <c r="E535" s="34">
        <v>1</v>
      </c>
      <c r="F535" s="34" t="s">
        <v>197</v>
      </c>
      <c r="G535" s="34" t="s">
        <v>198</v>
      </c>
      <c r="H535" s="34"/>
      <c r="I535" s="34">
        <v>0</v>
      </c>
      <c r="J535" s="34" t="s">
        <v>961</v>
      </c>
      <c r="K535" s="34" t="s">
        <v>908</v>
      </c>
      <c r="L535" s="34">
        <v>90</v>
      </c>
      <c r="M535" s="34" t="s">
        <v>865</v>
      </c>
      <c r="N535" s="34" t="str">
        <f t="shared" si="15"/>
        <v>StatusTargetBuffEffect(AttackRatio, 90, Bleed)</v>
      </c>
      <c r="O535" s="34">
        <v>0</v>
      </c>
      <c r="P535" s="34">
        <v>0</v>
      </c>
      <c r="Q535" s="34"/>
      <c r="R535" s="34" t="b">
        <v>1</v>
      </c>
    </row>
    <row r="536" spans="1:18">
      <c r="A536" s="34" t="s">
        <v>3111</v>
      </c>
      <c r="B536" s="34"/>
      <c r="C536" s="34"/>
      <c r="D536" s="34">
        <v>0</v>
      </c>
      <c r="E536" s="34">
        <v>1</v>
      </c>
      <c r="F536" s="34" t="s">
        <v>197</v>
      </c>
      <c r="G536" s="34" t="s">
        <v>198</v>
      </c>
      <c r="H536" s="34"/>
      <c r="I536" s="34">
        <v>0</v>
      </c>
      <c r="J536" s="34" t="s">
        <v>961</v>
      </c>
      <c r="K536" s="34" t="s">
        <v>908</v>
      </c>
      <c r="L536" s="34">
        <v>90</v>
      </c>
      <c r="M536" s="34" t="s">
        <v>865</v>
      </c>
      <c r="N536" s="34" t="str">
        <f t="shared" si="15"/>
        <v>StatusTargetBuffEffect(AttackRatio, 90, Bleed)</v>
      </c>
      <c r="O536" s="34">
        <v>0</v>
      </c>
      <c r="P536" s="34">
        <v>0</v>
      </c>
      <c r="Q536" s="34"/>
      <c r="R536" s="34" t="b">
        <v>1</v>
      </c>
    </row>
    <row r="537" spans="1:18">
      <c r="A537" s="6" t="s">
        <v>8743</v>
      </c>
      <c r="B537" s="6" t="s">
        <v>1234</v>
      </c>
      <c r="C537" s="6" t="s">
        <v>8782</v>
      </c>
      <c r="D537" s="6">
        <v>0</v>
      </c>
      <c r="E537" s="6">
        <v>1</v>
      </c>
      <c r="F537" s="6" t="s">
        <v>197</v>
      </c>
      <c r="G537" s="6" t="s">
        <v>198</v>
      </c>
      <c r="H537" s="6"/>
      <c r="I537" s="6">
        <v>0</v>
      </c>
      <c r="J537" s="6" t="s">
        <v>961</v>
      </c>
      <c r="K537" s="6" t="s">
        <v>935</v>
      </c>
      <c r="L537" s="6">
        <v>350</v>
      </c>
      <c r="M537" s="6" t="s">
        <v>865</v>
      </c>
      <c r="N537" s="6" t="str">
        <f t="shared" si="15"/>
        <v>StatusTargetBuffEffect(AreaDamageRate, 350, Bleed)</v>
      </c>
      <c r="O537" s="6">
        <v>0</v>
      </c>
      <c r="P537" s="6">
        <v>0</v>
      </c>
      <c r="Q537" s="6"/>
      <c r="R537" s="6" t="b">
        <v>1</v>
      </c>
    </row>
    <row r="538" spans="1:18">
      <c r="A538" s="6" t="s">
        <v>8745</v>
      </c>
      <c r="B538" s="6" t="s">
        <v>1234</v>
      </c>
      <c r="C538" s="6" t="s">
        <v>1235</v>
      </c>
      <c r="D538" s="6">
        <v>0</v>
      </c>
      <c r="E538" s="6">
        <v>1</v>
      </c>
      <c r="F538" s="6" t="s">
        <v>197</v>
      </c>
      <c r="G538" s="6" t="s">
        <v>198</v>
      </c>
      <c r="H538" s="6"/>
      <c r="I538" s="6">
        <v>0</v>
      </c>
      <c r="J538" s="6" t="s">
        <v>961</v>
      </c>
      <c r="K538" s="6" t="s">
        <v>935</v>
      </c>
      <c r="L538" s="6">
        <v>400</v>
      </c>
      <c r="M538" s="6" t="s">
        <v>865</v>
      </c>
      <c r="N538" s="6" t="str">
        <f t="shared" si="15"/>
        <v>StatusTargetBuffEffect(AreaDamageRate, 400, Bleed)</v>
      </c>
      <c r="O538" s="6">
        <v>0</v>
      </c>
      <c r="P538" s="6">
        <v>0</v>
      </c>
      <c r="Q538" s="6"/>
      <c r="R538" s="6" t="b">
        <v>1</v>
      </c>
    </row>
    <row r="539" spans="1:18">
      <c r="A539" s="6" t="s">
        <v>8747</v>
      </c>
      <c r="B539" s="6" t="s">
        <v>1234</v>
      </c>
      <c r="C539" s="6" t="s">
        <v>1235</v>
      </c>
      <c r="D539" s="6">
        <v>0</v>
      </c>
      <c r="E539" s="6">
        <v>1</v>
      </c>
      <c r="F539" s="6" t="s">
        <v>197</v>
      </c>
      <c r="G539" s="6" t="s">
        <v>198</v>
      </c>
      <c r="H539" s="6"/>
      <c r="I539" s="6">
        <v>0</v>
      </c>
      <c r="J539" s="6" t="s">
        <v>961</v>
      </c>
      <c r="K539" s="6" t="s">
        <v>935</v>
      </c>
      <c r="L539" s="6">
        <v>450</v>
      </c>
      <c r="M539" s="6" t="s">
        <v>865</v>
      </c>
      <c r="N539" s="6" t="str">
        <f t="shared" si="15"/>
        <v>StatusTargetBuffEffect(AreaDamageRate, 450, Bleed)</v>
      </c>
      <c r="O539" s="6">
        <v>0</v>
      </c>
      <c r="P539" s="6">
        <v>0</v>
      </c>
      <c r="Q539" s="6"/>
      <c r="R539" s="6" t="b">
        <v>1</v>
      </c>
    </row>
    <row r="540" spans="1:18">
      <c r="A540" s="6" t="s">
        <v>8749</v>
      </c>
      <c r="B540" s="6" t="s">
        <v>1234</v>
      </c>
      <c r="C540" s="6" t="s">
        <v>1235</v>
      </c>
      <c r="D540" s="6">
        <v>0</v>
      </c>
      <c r="E540" s="6">
        <v>1</v>
      </c>
      <c r="F540" s="6" t="s">
        <v>197</v>
      </c>
      <c r="G540" s="6" t="s">
        <v>198</v>
      </c>
      <c r="H540" s="6"/>
      <c r="I540" s="6">
        <v>0</v>
      </c>
      <c r="J540" s="6" t="s">
        <v>961</v>
      </c>
      <c r="K540" s="6" t="s">
        <v>935</v>
      </c>
      <c r="L540" s="6">
        <v>500</v>
      </c>
      <c r="M540" s="6" t="s">
        <v>865</v>
      </c>
      <c r="N540" s="6" t="str">
        <f t="shared" si="15"/>
        <v>StatusTargetBuffEffect(AreaDamageRate, 500, Bleed)</v>
      </c>
      <c r="O540" s="6">
        <v>0</v>
      </c>
      <c r="P540" s="6">
        <v>0</v>
      </c>
      <c r="Q540" s="6"/>
      <c r="R540" s="6" t="b">
        <v>1</v>
      </c>
    </row>
    <row r="541" spans="1:18">
      <c r="A541" s="34" t="s">
        <v>8751</v>
      </c>
      <c r="B541" s="34" t="s">
        <v>1234</v>
      </c>
      <c r="C541" s="34" t="s">
        <v>1235</v>
      </c>
      <c r="D541" s="34">
        <v>0</v>
      </c>
      <c r="E541" s="34">
        <v>1</v>
      </c>
      <c r="F541" s="34" t="s">
        <v>197</v>
      </c>
      <c r="G541" s="34" t="s">
        <v>198</v>
      </c>
      <c r="H541" s="34"/>
      <c r="I541" s="34">
        <v>0</v>
      </c>
      <c r="J541" s="34" t="s">
        <v>961</v>
      </c>
      <c r="K541" s="34" t="s">
        <v>935</v>
      </c>
      <c r="L541" s="34">
        <v>500</v>
      </c>
      <c r="M541" s="34" t="s">
        <v>865</v>
      </c>
      <c r="N541" s="34" t="str">
        <f t="shared" si="15"/>
        <v>StatusTargetBuffEffect(AreaDamageRate, 500, Bleed)</v>
      </c>
      <c r="O541" s="34">
        <v>0</v>
      </c>
      <c r="P541" s="34">
        <v>0</v>
      </c>
      <c r="Q541" s="34"/>
      <c r="R541" s="34" t="b">
        <v>1</v>
      </c>
    </row>
    <row r="542" spans="1:18">
      <c r="A542" s="34" t="s">
        <v>8753</v>
      </c>
      <c r="B542" s="34" t="s">
        <v>1234</v>
      </c>
      <c r="C542" s="34" t="s">
        <v>1235</v>
      </c>
      <c r="D542" s="34">
        <v>0</v>
      </c>
      <c r="E542" s="34">
        <v>1</v>
      </c>
      <c r="F542" s="34" t="s">
        <v>197</v>
      </c>
      <c r="G542" s="34" t="s">
        <v>198</v>
      </c>
      <c r="H542" s="34"/>
      <c r="I542" s="34">
        <v>0</v>
      </c>
      <c r="J542" s="34" t="s">
        <v>961</v>
      </c>
      <c r="K542" s="34" t="s">
        <v>935</v>
      </c>
      <c r="L542" s="34">
        <v>500</v>
      </c>
      <c r="M542" s="34" t="s">
        <v>865</v>
      </c>
      <c r="N542" s="34" t="str">
        <f t="shared" si="15"/>
        <v>StatusTargetBuffEffect(AreaDamageRate, 500, Bleed)</v>
      </c>
      <c r="O542" s="34">
        <v>0</v>
      </c>
      <c r="P542" s="34">
        <v>0</v>
      </c>
      <c r="Q542" s="34"/>
      <c r="R542" s="34" t="b">
        <v>1</v>
      </c>
    </row>
    <row r="543" spans="1:18">
      <c r="A543" s="26" t="s">
        <v>2934</v>
      </c>
      <c r="B543" s="26" t="s">
        <v>1414</v>
      </c>
      <c r="C543" s="26" t="s">
        <v>2990</v>
      </c>
      <c r="D543" s="26">
        <v>0</v>
      </c>
      <c r="E543" s="26">
        <v>1</v>
      </c>
      <c r="F543" s="26" t="s">
        <v>197</v>
      </c>
      <c r="G543" s="26" t="s">
        <v>198</v>
      </c>
      <c r="H543" s="26"/>
      <c r="I543" s="26">
        <v>0</v>
      </c>
      <c r="J543" s="26" t="s">
        <v>838</v>
      </c>
      <c r="K543" s="26" t="s">
        <v>1945</v>
      </c>
      <c r="L543" s="26">
        <v>100</v>
      </c>
      <c r="M543" s="26"/>
      <c r="N543" s="26" t="str">
        <f t="shared" ref="N543:N605" si="17">J543&amp;"("&amp;IF(K543="","",K543)&amp;IF(L543="","",", "&amp;L543)&amp;IF(M543="","",", "&amp;M543)&amp;")"</f>
        <v>Status(ActiveDamageRate, 100)</v>
      </c>
      <c r="O543" s="26">
        <v>0</v>
      </c>
      <c r="P543" s="26">
        <v>0</v>
      </c>
      <c r="Q543" s="26"/>
      <c r="R543" s="26" t="b">
        <v>1</v>
      </c>
    </row>
    <row r="544" spans="1:18">
      <c r="A544" s="26" t="s">
        <v>2935</v>
      </c>
      <c r="B544" s="26" t="s">
        <v>1414</v>
      </c>
      <c r="C544" s="26" t="s">
        <v>2990</v>
      </c>
      <c r="D544" s="26">
        <v>0</v>
      </c>
      <c r="E544" s="26">
        <v>1</v>
      </c>
      <c r="F544" s="26" t="s">
        <v>197</v>
      </c>
      <c r="G544" s="26" t="s">
        <v>198</v>
      </c>
      <c r="H544" s="26"/>
      <c r="I544" s="26">
        <v>0</v>
      </c>
      <c r="J544" s="26" t="s">
        <v>838</v>
      </c>
      <c r="K544" s="26" t="s">
        <v>1945</v>
      </c>
      <c r="L544" s="26">
        <v>100</v>
      </c>
      <c r="M544" s="26"/>
      <c r="N544" s="26" t="str">
        <f t="shared" si="17"/>
        <v>Status(ActiveDamageRate, 100)</v>
      </c>
      <c r="O544" s="26">
        <v>0</v>
      </c>
      <c r="P544" s="26">
        <v>0</v>
      </c>
      <c r="Q544" s="26"/>
      <c r="R544" s="26" t="b">
        <v>1</v>
      </c>
    </row>
    <row r="545" spans="1:18">
      <c r="A545" s="26" t="s">
        <v>2936</v>
      </c>
      <c r="B545" s="26" t="s">
        <v>1414</v>
      </c>
      <c r="C545" s="26" t="s">
        <v>2990</v>
      </c>
      <c r="D545" s="26">
        <v>0</v>
      </c>
      <c r="E545" s="26">
        <v>1</v>
      </c>
      <c r="F545" s="26" t="s">
        <v>197</v>
      </c>
      <c r="G545" s="26" t="s">
        <v>198</v>
      </c>
      <c r="H545" s="26"/>
      <c r="I545" s="26">
        <v>0</v>
      </c>
      <c r="J545" s="26" t="s">
        <v>838</v>
      </c>
      <c r="K545" s="26" t="s">
        <v>1945</v>
      </c>
      <c r="L545" s="26">
        <v>100</v>
      </c>
      <c r="M545" s="26"/>
      <c r="N545" s="26" t="str">
        <f t="shared" si="17"/>
        <v>Status(ActiveDamageRate, 100)</v>
      </c>
      <c r="O545" s="26">
        <v>0</v>
      </c>
      <c r="P545" s="26">
        <v>0</v>
      </c>
      <c r="Q545" s="26"/>
      <c r="R545" s="26" t="b">
        <v>1</v>
      </c>
    </row>
    <row r="546" spans="1:18">
      <c r="A546" s="26" t="s">
        <v>2937</v>
      </c>
      <c r="B546" s="26" t="s">
        <v>1414</v>
      </c>
      <c r="C546" s="26" t="s">
        <v>2990</v>
      </c>
      <c r="D546" s="26">
        <v>0</v>
      </c>
      <c r="E546" s="26">
        <v>1</v>
      </c>
      <c r="F546" s="26" t="s">
        <v>197</v>
      </c>
      <c r="G546" s="26" t="s">
        <v>198</v>
      </c>
      <c r="H546" s="26"/>
      <c r="I546" s="26">
        <v>0</v>
      </c>
      <c r="J546" s="26" t="s">
        <v>838</v>
      </c>
      <c r="K546" s="26" t="s">
        <v>1945</v>
      </c>
      <c r="L546" s="26">
        <v>100</v>
      </c>
      <c r="M546" s="26"/>
      <c r="N546" s="26" t="str">
        <f t="shared" si="17"/>
        <v>Status(ActiveDamageRate, 100)</v>
      </c>
      <c r="O546" s="26">
        <v>0</v>
      </c>
      <c r="P546" s="26">
        <v>0</v>
      </c>
      <c r="Q546" s="26"/>
      <c r="R546" s="26" t="b">
        <v>1</v>
      </c>
    </row>
    <row r="547" spans="1:18">
      <c r="A547" s="34" t="s">
        <v>2938</v>
      </c>
      <c r="B547" s="34" t="s">
        <v>1414</v>
      </c>
      <c r="C547" s="34" t="s">
        <v>2990</v>
      </c>
      <c r="D547" s="34">
        <v>0</v>
      </c>
      <c r="E547" s="34">
        <v>1</v>
      </c>
      <c r="F547" s="34" t="s">
        <v>197</v>
      </c>
      <c r="G547" s="34" t="s">
        <v>198</v>
      </c>
      <c r="H547" s="34"/>
      <c r="I547" s="34">
        <v>0</v>
      </c>
      <c r="J547" s="34" t="s">
        <v>838</v>
      </c>
      <c r="K547" s="34" t="s">
        <v>1945</v>
      </c>
      <c r="L547" s="34">
        <v>100</v>
      </c>
      <c r="M547" s="34"/>
      <c r="N547" s="34" t="str">
        <f t="shared" si="17"/>
        <v>Status(ActiveDamageRate, 100)</v>
      </c>
      <c r="O547" s="34">
        <v>0</v>
      </c>
      <c r="P547" s="34">
        <v>0</v>
      </c>
      <c r="Q547" s="34"/>
      <c r="R547" s="34" t="b">
        <v>1</v>
      </c>
    </row>
    <row r="548" spans="1:18">
      <c r="A548" s="34" t="s">
        <v>2939</v>
      </c>
      <c r="B548" s="34" t="s">
        <v>1414</v>
      </c>
      <c r="C548" s="34" t="s">
        <v>2990</v>
      </c>
      <c r="D548" s="34">
        <v>0</v>
      </c>
      <c r="E548" s="34">
        <v>1</v>
      </c>
      <c r="F548" s="34" t="s">
        <v>197</v>
      </c>
      <c r="G548" s="34" t="s">
        <v>198</v>
      </c>
      <c r="H548" s="34"/>
      <c r="I548" s="34">
        <v>0</v>
      </c>
      <c r="J548" s="34" t="s">
        <v>838</v>
      </c>
      <c r="K548" s="34" t="s">
        <v>1945</v>
      </c>
      <c r="L548" s="34">
        <v>180</v>
      </c>
      <c r="M548" s="34"/>
      <c r="N548" s="34" t="str">
        <f t="shared" si="17"/>
        <v>Status(ActiveDamageRate, 180)</v>
      </c>
      <c r="O548" s="34">
        <v>0</v>
      </c>
      <c r="P548" s="34">
        <v>0</v>
      </c>
      <c r="Q548" s="34"/>
      <c r="R548" s="34" t="b">
        <v>1</v>
      </c>
    </row>
    <row r="549" spans="1:18">
      <c r="A549" s="34" t="s">
        <v>2940</v>
      </c>
      <c r="B549" s="34" t="s">
        <v>1414</v>
      </c>
      <c r="C549" s="34" t="s">
        <v>2990</v>
      </c>
      <c r="D549" s="34">
        <v>0</v>
      </c>
      <c r="E549" s="34">
        <v>1</v>
      </c>
      <c r="F549" s="34" t="s">
        <v>197</v>
      </c>
      <c r="G549" s="34" t="s">
        <v>198</v>
      </c>
      <c r="H549" s="34"/>
      <c r="I549" s="34">
        <v>0</v>
      </c>
      <c r="J549" s="34" t="s">
        <v>838</v>
      </c>
      <c r="K549" s="34" t="s">
        <v>1945</v>
      </c>
      <c r="L549" s="34">
        <v>180</v>
      </c>
      <c r="M549" s="34"/>
      <c r="N549" s="34" t="str">
        <f t="shared" si="17"/>
        <v>Status(ActiveDamageRate, 180)</v>
      </c>
      <c r="O549" s="34">
        <v>0</v>
      </c>
      <c r="P549" s="34">
        <v>0</v>
      </c>
      <c r="Q549" s="34"/>
      <c r="R549" s="34" t="b">
        <v>1</v>
      </c>
    </row>
    <row r="550" spans="1:18">
      <c r="A550" s="34" t="s">
        <v>1009</v>
      </c>
      <c r="B550" s="34"/>
      <c r="C550" s="34"/>
      <c r="D550" s="34">
        <v>0</v>
      </c>
      <c r="E550" s="34">
        <v>1</v>
      </c>
      <c r="F550" s="34" t="s">
        <v>197</v>
      </c>
      <c r="G550" s="34" t="s">
        <v>198</v>
      </c>
      <c r="H550" s="34"/>
      <c r="I550" s="34">
        <v>0</v>
      </c>
      <c r="J550" s="34" t="s">
        <v>895</v>
      </c>
      <c r="K550" s="34" t="s">
        <v>896</v>
      </c>
      <c r="L550" s="34" t="str">
        <f>A550&amp;".skilleffectmodifier"</f>
        <v>ferrel.ult.ex.buff.buffeffect.skilleffectmodifier</v>
      </c>
      <c r="M550" s="34"/>
      <c r="N550" s="34" t="str">
        <f t="shared" si="17"/>
        <v>SkillEffectModifier(Op, ferrel.ult.ex.buff.buffeffect.skilleffectmodifier)</v>
      </c>
      <c r="O550" s="34">
        <v>0</v>
      </c>
      <c r="P550" s="34">
        <v>0</v>
      </c>
      <c r="Q550" s="34"/>
      <c r="R550" s="34" t="b">
        <v>0</v>
      </c>
    </row>
    <row r="551" spans="1:18">
      <c r="A551" s="68" t="s">
        <v>2833</v>
      </c>
      <c r="B551" s="44"/>
      <c r="C551" s="44"/>
      <c r="D551" s="44">
        <v>0</v>
      </c>
      <c r="E551" s="44">
        <v>1</v>
      </c>
      <c r="F551" s="44" t="s">
        <v>197</v>
      </c>
      <c r="G551" s="44" t="s">
        <v>198</v>
      </c>
      <c r="H551" s="44"/>
      <c r="I551" s="44">
        <v>0</v>
      </c>
      <c r="J551" s="44" t="s">
        <v>893</v>
      </c>
      <c r="K551" s="44" t="s">
        <v>2840</v>
      </c>
      <c r="L551" s="44"/>
      <c r="M551" s="44"/>
      <c r="N551" s="44" t="str">
        <f t="shared" si="17"/>
        <v>Active(ferrel.ult.B.effect.buff.skilleffect.01)</v>
      </c>
      <c r="O551" s="44">
        <v>0</v>
      </c>
      <c r="P551" s="44">
        <v>1000</v>
      </c>
      <c r="Q551" s="44"/>
      <c r="R551" s="44" t="b">
        <v>1</v>
      </c>
    </row>
    <row r="552" spans="1:18" s="143" customFormat="1">
      <c r="A552" s="25" t="s">
        <v>2834</v>
      </c>
      <c r="B552" s="25"/>
      <c r="C552" s="25"/>
      <c r="D552" s="25">
        <v>0</v>
      </c>
      <c r="E552" s="25">
        <v>1</v>
      </c>
      <c r="F552" s="25" t="s">
        <v>197</v>
      </c>
      <c r="G552" s="25" t="s">
        <v>198</v>
      </c>
      <c r="H552" s="25"/>
      <c r="I552" s="25">
        <v>0</v>
      </c>
      <c r="J552" s="25" t="s">
        <v>893</v>
      </c>
      <c r="K552" s="25" t="s">
        <v>2841</v>
      </c>
      <c r="L552" s="25"/>
      <c r="M552" s="25"/>
      <c r="N552" s="25" t="str">
        <f t="shared" si="17"/>
        <v>Active(ferrel.ult.B.effect.buff.skilleffect.02)</v>
      </c>
      <c r="O552" s="25">
        <v>0</v>
      </c>
      <c r="P552" s="25">
        <v>1000</v>
      </c>
      <c r="Q552" s="25"/>
      <c r="R552" s="25" t="b">
        <v>1</v>
      </c>
    </row>
    <row r="553" spans="1:18" s="143" customFormat="1">
      <c r="A553" s="25" t="s">
        <v>2835</v>
      </c>
      <c r="B553" s="25"/>
      <c r="C553" s="25"/>
      <c r="D553" s="25">
        <v>0</v>
      </c>
      <c r="E553" s="25">
        <v>1</v>
      </c>
      <c r="F553" s="25" t="s">
        <v>197</v>
      </c>
      <c r="G553" s="25" t="s">
        <v>198</v>
      </c>
      <c r="H553" s="25"/>
      <c r="I553" s="25">
        <v>0</v>
      </c>
      <c r="J553" s="25" t="s">
        <v>893</v>
      </c>
      <c r="K553" s="25" t="s">
        <v>2842</v>
      </c>
      <c r="L553" s="25"/>
      <c r="M553" s="25"/>
      <c r="N553" s="25" t="str">
        <f t="shared" si="17"/>
        <v>Active(ferrel.ult.B.effect.buff.skilleffect.03)</v>
      </c>
      <c r="O553" s="25">
        <v>0</v>
      </c>
      <c r="P553" s="25">
        <v>1000</v>
      </c>
      <c r="Q553" s="25"/>
      <c r="R553" s="25" t="b">
        <v>1</v>
      </c>
    </row>
    <row r="554" spans="1:18" s="143" customFormat="1">
      <c r="A554" s="25" t="s">
        <v>2836</v>
      </c>
      <c r="B554" s="25"/>
      <c r="C554" s="25"/>
      <c r="D554" s="25">
        <v>0</v>
      </c>
      <c r="E554" s="25">
        <v>1</v>
      </c>
      <c r="F554" s="25" t="s">
        <v>197</v>
      </c>
      <c r="G554" s="25" t="s">
        <v>198</v>
      </c>
      <c r="H554" s="25"/>
      <c r="I554" s="25">
        <v>0</v>
      </c>
      <c r="J554" s="25" t="s">
        <v>893</v>
      </c>
      <c r="K554" s="25" t="s">
        <v>2843</v>
      </c>
      <c r="L554" s="25"/>
      <c r="M554" s="25"/>
      <c r="N554" s="25" t="str">
        <f t="shared" si="17"/>
        <v>Active(ferrel.ult.B.effect.buff.skilleffect.04)</v>
      </c>
      <c r="O554" s="25">
        <v>0</v>
      </c>
      <c r="P554" s="25">
        <v>1000</v>
      </c>
      <c r="Q554" s="25"/>
      <c r="R554" s="25" t="b">
        <v>1</v>
      </c>
    </row>
    <row r="555" spans="1:18" s="143" customFormat="1">
      <c r="A555" s="25" t="s">
        <v>2837</v>
      </c>
      <c r="B555" s="25"/>
      <c r="C555" s="25"/>
      <c r="D555" s="25">
        <v>0</v>
      </c>
      <c r="E555" s="25">
        <v>1</v>
      </c>
      <c r="F555" s="25" t="s">
        <v>197</v>
      </c>
      <c r="G555" s="25" t="s">
        <v>198</v>
      </c>
      <c r="H555" s="25"/>
      <c r="I555" s="25">
        <v>0</v>
      </c>
      <c r="J555" s="25" t="s">
        <v>893</v>
      </c>
      <c r="K555" s="25" t="s">
        <v>2844</v>
      </c>
      <c r="L555" s="25"/>
      <c r="M555" s="25"/>
      <c r="N555" s="25" t="str">
        <f t="shared" si="17"/>
        <v>Active(ferrel.ult.B.effect.buff.skilleffect.05)</v>
      </c>
      <c r="O555" s="25">
        <v>0</v>
      </c>
      <c r="P555" s="25">
        <v>1000</v>
      </c>
      <c r="Q555" s="25"/>
      <c r="R555" s="25" t="b">
        <v>1</v>
      </c>
    </row>
    <row r="556" spans="1:18" s="143" customFormat="1">
      <c r="A556" s="25" t="s">
        <v>2838</v>
      </c>
      <c r="B556" s="25"/>
      <c r="C556" s="25"/>
      <c r="D556" s="25">
        <v>0</v>
      </c>
      <c r="E556" s="25">
        <v>1</v>
      </c>
      <c r="F556" s="25" t="s">
        <v>197</v>
      </c>
      <c r="G556" s="25" t="s">
        <v>198</v>
      </c>
      <c r="H556" s="25"/>
      <c r="I556" s="25">
        <v>0</v>
      </c>
      <c r="J556" s="25" t="s">
        <v>893</v>
      </c>
      <c r="K556" s="25" t="s">
        <v>2845</v>
      </c>
      <c r="L556" s="25"/>
      <c r="M556" s="25"/>
      <c r="N556" s="25" t="str">
        <f t="shared" si="17"/>
        <v>Active(ferrel.ult.B.effect.buff.skilleffect.06)</v>
      </c>
      <c r="O556" s="25">
        <v>0</v>
      </c>
      <c r="P556" s="25">
        <v>1000</v>
      </c>
      <c r="Q556" s="25"/>
      <c r="R556" s="25" t="b">
        <v>1</v>
      </c>
    </row>
    <row r="557" spans="1:18" s="153" customFormat="1">
      <c r="A557" s="26" t="s">
        <v>2839</v>
      </c>
      <c r="B557" s="26"/>
      <c r="C557" s="26"/>
      <c r="D557" s="26">
        <v>0</v>
      </c>
      <c r="E557" s="26">
        <v>1</v>
      </c>
      <c r="F557" s="26" t="s">
        <v>197</v>
      </c>
      <c r="G557" s="26" t="s">
        <v>198</v>
      </c>
      <c r="H557" s="26"/>
      <c r="I557" s="26">
        <v>0</v>
      </c>
      <c r="J557" s="26" t="s">
        <v>893</v>
      </c>
      <c r="K557" s="26" t="s">
        <v>2846</v>
      </c>
      <c r="L557" s="26"/>
      <c r="M557" s="26"/>
      <c r="N557" s="26" t="str">
        <f t="shared" si="17"/>
        <v>Active(ferrel.ult.B.effect.buff.skilleffect.07)</v>
      </c>
      <c r="O557" s="26">
        <v>0</v>
      </c>
      <c r="P557" s="26">
        <v>1000</v>
      </c>
      <c r="Q557" s="26"/>
      <c r="R557" s="26" t="b">
        <v>1</v>
      </c>
    </row>
    <row r="558" spans="1:18" s="153" customFormat="1">
      <c r="A558" s="26" t="s">
        <v>6924</v>
      </c>
      <c r="B558" s="26"/>
      <c r="C558" s="26"/>
      <c r="D558" s="26">
        <v>0</v>
      </c>
      <c r="E558" s="26">
        <v>1</v>
      </c>
      <c r="F558" s="26" t="s">
        <v>197</v>
      </c>
      <c r="G558" s="26" t="s">
        <v>198</v>
      </c>
      <c r="H558" s="26"/>
      <c r="I558" s="26">
        <v>0</v>
      </c>
      <c r="J558" s="26" t="s">
        <v>893</v>
      </c>
      <c r="K558" s="26" t="s">
        <v>7116</v>
      </c>
      <c r="L558" s="26"/>
      <c r="M558" s="26"/>
      <c r="N558" s="26" t="str">
        <f t="shared" si="17"/>
        <v>Active(ferrel.passive.buff.buffeffect.skilleffect.01)</v>
      </c>
      <c r="O558" s="26">
        <v>0</v>
      </c>
      <c r="P558" s="26">
        <v>0</v>
      </c>
      <c r="Q558" s="26"/>
      <c r="R558" s="26" t="b">
        <v>1</v>
      </c>
    </row>
    <row r="559" spans="1:18">
      <c r="A559" s="25" t="s">
        <v>6925</v>
      </c>
      <c r="B559" s="25"/>
      <c r="C559" s="25"/>
      <c r="D559" s="25">
        <v>0</v>
      </c>
      <c r="E559" s="25">
        <v>1</v>
      </c>
      <c r="F559" s="25" t="s">
        <v>197</v>
      </c>
      <c r="G559" s="25" t="s">
        <v>198</v>
      </c>
      <c r="H559" s="25"/>
      <c r="I559" s="25">
        <v>0</v>
      </c>
      <c r="J559" s="25" t="s">
        <v>893</v>
      </c>
      <c r="K559" s="25" t="s">
        <v>7070</v>
      </c>
      <c r="L559" s="25"/>
      <c r="M559" s="25"/>
      <c r="N559" s="25" t="str">
        <f t="shared" si="17"/>
        <v>Active(ferrel.passive.buff.buffeffect.skilleffect.02)</v>
      </c>
      <c r="O559" s="25">
        <v>0</v>
      </c>
      <c r="P559" s="25">
        <v>0</v>
      </c>
      <c r="Q559" s="25"/>
      <c r="R559" s="25" t="b">
        <v>1</v>
      </c>
    </row>
    <row r="560" spans="1:18">
      <c r="A560" s="25" t="s">
        <v>6926</v>
      </c>
      <c r="B560" s="25"/>
      <c r="C560" s="25"/>
      <c r="D560" s="25">
        <v>0</v>
      </c>
      <c r="E560" s="25">
        <v>1</v>
      </c>
      <c r="F560" s="25" t="s">
        <v>197</v>
      </c>
      <c r="G560" s="25" t="s">
        <v>198</v>
      </c>
      <c r="H560" s="25"/>
      <c r="I560" s="25">
        <v>0</v>
      </c>
      <c r="J560" s="25" t="s">
        <v>893</v>
      </c>
      <c r="K560" s="25" t="s">
        <v>7071</v>
      </c>
      <c r="L560" s="25"/>
      <c r="M560" s="25"/>
      <c r="N560" s="25" t="str">
        <f t="shared" si="17"/>
        <v>Active(ferrel.passive.buff.buffeffect.skilleffect.03)</v>
      </c>
      <c r="O560" s="25">
        <v>0</v>
      </c>
      <c r="P560" s="25">
        <v>0</v>
      </c>
      <c r="Q560" s="25"/>
      <c r="R560" s="25" t="b">
        <v>1</v>
      </c>
    </row>
    <row r="561" spans="1:18">
      <c r="A561" s="25" t="s">
        <v>6927</v>
      </c>
      <c r="B561" s="25"/>
      <c r="C561" s="25"/>
      <c r="D561" s="25">
        <v>0</v>
      </c>
      <c r="E561" s="25">
        <v>1</v>
      </c>
      <c r="F561" s="25" t="s">
        <v>197</v>
      </c>
      <c r="G561" s="25" t="s">
        <v>198</v>
      </c>
      <c r="H561" s="25"/>
      <c r="I561" s="25">
        <v>0</v>
      </c>
      <c r="J561" s="25" t="s">
        <v>893</v>
      </c>
      <c r="K561" s="25" t="s">
        <v>7117</v>
      </c>
      <c r="L561" s="25"/>
      <c r="M561" s="25"/>
      <c r="N561" s="25" t="str">
        <f t="shared" si="17"/>
        <v>Active(ferrel.passive.buff.buffeffect.skilleffect.04)</v>
      </c>
      <c r="O561" s="25">
        <v>0</v>
      </c>
      <c r="P561" s="25">
        <v>0</v>
      </c>
      <c r="Q561" s="25"/>
      <c r="R561" s="25" t="b">
        <v>1</v>
      </c>
    </row>
    <row r="562" spans="1:18">
      <c r="A562" s="34" t="s">
        <v>6928</v>
      </c>
      <c r="B562" s="34"/>
      <c r="C562" s="34"/>
      <c r="D562" s="34">
        <v>0</v>
      </c>
      <c r="E562" s="34">
        <v>1</v>
      </c>
      <c r="F562" s="34" t="s">
        <v>197</v>
      </c>
      <c r="G562" s="34" t="s">
        <v>198</v>
      </c>
      <c r="H562" s="34"/>
      <c r="I562" s="34">
        <v>0</v>
      </c>
      <c r="J562" s="34" t="s">
        <v>893</v>
      </c>
      <c r="K562" s="34" t="s">
        <v>7072</v>
      </c>
      <c r="L562" s="34"/>
      <c r="M562" s="34"/>
      <c r="N562" s="34" t="str">
        <f t="shared" si="17"/>
        <v>Active(ferrel.passive.buff.buffeffect.skilleffect.05)</v>
      </c>
      <c r="O562" s="34">
        <v>0</v>
      </c>
      <c r="P562" s="34">
        <v>0</v>
      </c>
      <c r="Q562" s="34"/>
      <c r="R562" s="34" t="b">
        <v>1</v>
      </c>
    </row>
    <row r="563" spans="1:18">
      <c r="A563" s="34" t="s">
        <v>6929</v>
      </c>
      <c r="B563" s="34"/>
      <c r="C563" s="34"/>
      <c r="D563" s="34">
        <v>0</v>
      </c>
      <c r="E563" s="34">
        <v>1</v>
      </c>
      <c r="F563" s="34" t="s">
        <v>197</v>
      </c>
      <c r="G563" s="34" t="s">
        <v>198</v>
      </c>
      <c r="H563" s="34"/>
      <c r="I563" s="34">
        <v>0</v>
      </c>
      <c r="J563" s="34" t="s">
        <v>893</v>
      </c>
      <c r="K563" s="34" t="s">
        <v>7073</v>
      </c>
      <c r="L563" s="34"/>
      <c r="M563" s="34"/>
      <c r="N563" s="34" t="str">
        <f t="shared" si="17"/>
        <v>Active(ferrel.passive.buff.buffeffect.skilleffect.06)</v>
      </c>
      <c r="O563" s="34">
        <v>0</v>
      </c>
      <c r="P563" s="34">
        <v>0</v>
      </c>
      <c r="Q563" s="34"/>
      <c r="R563" s="34" t="b">
        <v>1</v>
      </c>
    </row>
    <row r="564" spans="1:18">
      <c r="A564" s="34" t="s">
        <v>2990</v>
      </c>
      <c r="B564" s="34"/>
      <c r="C564" s="34"/>
      <c r="D564" s="34">
        <v>0</v>
      </c>
      <c r="E564" s="34">
        <v>1</v>
      </c>
      <c r="F564" s="34" t="s">
        <v>197</v>
      </c>
      <c r="G564" s="34" t="s">
        <v>198</v>
      </c>
      <c r="H564" s="34"/>
      <c r="I564" s="34">
        <v>0</v>
      </c>
      <c r="J564" s="34" t="s">
        <v>837</v>
      </c>
      <c r="K564" s="34"/>
      <c r="L564" s="34"/>
      <c r="M564" s="34"/>
      <c r="N564" s="34" t="str">
        <f t="shared" si="17"/>
        <v>None()</v>
      </c>
      <c r="O564" s="34">
        <v>0</v>
      </c>
      <c r="P564" s="34">
        <v>0</v>
      </c>
      <c r="Q564" s="34"/>
      <c r="R564" s="34" t="b">
        <v>1</v>
      </c>
    </row>
    <row r="565" spans="1:18">
      <c r="A565" s="25" t="s">
        <v>7118</v>
      </c>
      <c r="B565" s="25"/>
      <c r="C565" s="25"/>
      <c r="D565" s="25">
        <v>0</v>
      </c>
      <c r="E565" s="25">
        <v>1</v>
      </c>
      <c r="F565" s="25" t="s">
        <v>197</v>
      </c>
      <c r="G565" s="25" t="s">
        <v>198</v>
      </c>
      <c r="H565" s="25"/>
      <c r="I565" s="25">
        <v>0</v>
      </c>
      <c r="J565" s="25" t="s">
        <v>838</v>
      </c>
      <c r="K565" s="25" t="s">
        <v>1945</v>
      </c>
      <c r="L565" s="25">
        <v>160</v>
      </c>
      <c r="M565" s="25"/>
      <c r="N565" s="25" t="str">
        <f t="shared" si="17"/>
        <v>Status(ActiveDamageRate, 160)</v>
      </c>
      <c r="O565" s="25">
        <v>0</v>
      </c>
      <c r="P565" s="25">
        <v>0</v>
      </c>
      <c r="Q565" s="25"/>
      <c r="R565" s="25" t="b">
        <v>1</v>
      </c>
    </row>
    <row r="566" spans="1:18">
      <c r="A566" s="25" t="s">
        <v>1935</v>
      </c>
      <c r="B566" s="25"/>
      <c r="C566" s="25"/>
      <c r="D566" s="25">
        <v>0</v>
      </c>
      <c r="E566" s="25">
        <v>1</v>
      </c>
      <c r="F566" s="25" t="s">
        <v>197</v>
      </c>
      <c r="G566" s="25" t="s">
        <v>198</v>
      </c>
      <c r="H566" s="25"/>
      <c r="I566" s="25">
        <v>0</v>
      </c>
      <c r="J566" s="25" t="s">
        <v>838</v>
      </c>
      <c r="K566" s="25" t="s">
        <v>1945</v>
      </c>
      <c r="L566" s="25">
        <v>180</v>
      </c>
      <c r="M566" s="25"/>
      <c r="N566" s="25" t="str">
        <f t="shared" si="17"/>
        <v>Status(ActiveDamageRate, 180)</v>
      </c>
      <c r="O566" s="25">
        <v>0</v>
      </c>
      <c r="P566" s="25">
        <v>0</v>
      </c>
      <c r="Q566" s="25"/>
      <c r="R566" s="25" t="b">
        <v>1</v>
      </c>
    </row>
    <row r="567" spans="1:18">
      <c r="A567" s="25" t="s">
        <v>1936</v>
      </c>
      <c r="B567" s="25"/>
      <c r="C567" s="25"/>
      <c r="D567" s="25">
        <v>0</v>
      </c>
      <c r="E567" s="25">
        <v>1</v>
      </c>
      <c r="F567" s="25" t="s">
        <v>197</v>
      </c>
      <c r="G567" s="25" t="s">
        <v>198</v>
      </c>
      <c r="H567" s="25"/>
      <c r="I567" s="25">
        <v>0</v>
      </c>
      <c r="J567" s="25" t="s">
        <v>838</v>
      </c>
      <c r="K567" s="25" t="s">
        <v>1945</v>
      </c>
      <c r="L567" s="25">
        <v>200</v>
      </c>
      <c r="M567" s="25"/>
      <c r="N567" s="25" t="str">
        <f t="shared" si="17"/>
        <v>Status(ActiveDamageRate, 200)</v>
      </c>
      <c r="O567" s="25">
        <v>0</v>
      </c>
      <c r="P567" s="25">
        <v>0</v>
      </c>
      <c r="Q567" s="25"/>
      <c r="R567" s="25" t="b">
        <v>1</v>
      </c>
    </row>
    <row r="568" spans="1:18">
      <c r="A568" s="34" t="s">
        <v>1937</v>
      </c>
      <c r="B568" s="34"/>
      <c r="C568" s="34"/>
      <c r="D568" s="34">
        <v>0</v>
      </c>
      <c r="E568" s="34">
        <v>1</v>
      </c>
      <c r="F568" s="34" t="s">
        <v>197</v>
      </c>
      <c r="G568" s="34" t="s">
        <v>198</v>
      </c>
      <c r="H568" s="34"/>
      <c r="I568" s="34">
        <v>0</v>
      </c>
      <c r="J568" s="34" t="s">
        <v>838</v>
      </c>
      <c r="K568" s="34" t="s">
        <v>1945</v>
      </c>
      <c r="L568" s="34">
        <v>220</v>
      </c>
      <c r="M568" s="34"/>
      <c r="N568" s="34" t="str">
        <f t="shared" si="17"/>
        <v>Status(ActiveDamageRate, 220)</v>
      </c>
      <c r="O568" s="34">
        <v>0</v>
      </c>
      <c r="P568" s="34">
        <v>0</v>
      </c>
      <c r="Q568" s="34"/>
      <c r="R568" s="34" t="b">
        <v>1</v>
      </c>
    </row>
    <row r="569" spans="1:18">
      <c r="A569" s="34" t="s">
        <v>1938</v>
      </c>
      <c r="B569" s="34"/>
      <c r="C569" s="34"/>
      <c r="D569" s="34">
        <v>0</v>
      </c>
      <c r="E569" s="34">
        <v>1</v>
      </c>
      <c r="F569" s="34" t="s">
        <v>197</v>
      </c>
      <c r="G569" s="34" t="s">
        <v>198</v>
      </c>
      <c r="H569" s="34"/>
      <c r="I569" s="34">
        <v>0</v>
      </c>
      <c r="J569" s="34" t="s">
        <v>838</v>
      </c>
      <c r="K569" s="34" t="s">
        <v>1945</v>
      </c>
      <c r="L569" s="34">
        <v>250</v>
      </c>
      <c r="M569" s="34"/>
      <c r="N569" s="34" t="str">
        <f t="shared" si="17"/>
        <v>Status(ActiveDamageRate, 250)</v>
      </c>
      <c r="O569" s="34">
        <v>0</v>
      </c>
      <c r="P569" s="34">
        <v>0</v>
      </c>
      <c r="Q569" s="34"/>
      <c r="R569" s="34" t="b">
        <v>1</v>
      </c>
    </row>
    <row r="570" spans="1:18">
      <c r="A570" s="34" t="s">
        <v>1939</v>
      </c>
      <c r="B570" s="34"/>
      <c r="C570" s="34"/>
      <c r="D570" s="34">
        <v>0</v>
      </c>
      <c r="E570" s="34">
        <v>1</v>
      </c>
      <c r="F570" s="34" t="s">
        <v>197</v>
      </c>
      <c r="G570" s="34" t="s">
        <v>198</v>
      </c>
      <c r="H570" s="34"/>
      <c r="I570" s="34">
        <v>0</v>
      </c>
      <c r="J570" s="34" t="s">
        <v>838</v>
      </c>
      <c r="K570" s="34" t="s">
        <v>1945</v>
      </c>
      <c r="L570" s="34">
        <v>180</v>
      </c>
      <c r="M570" s="34"/>
      <c r="N570" s="34" t="str">
        <f t="shared" si="17"/>
        <v>Status(ActiveDamageRate, 180)</v>
      </c>
      <c r="O570" s="34">
        <v>0</v>
      </c>
      <c r="P570" s="34">
        <v>0</v>
      </c>
      <c r="Q570" s="34"/>
      <c r="R570" s="34" t="b">
        <v>1</v>
      </c>
    </row>
    <row r="571" spans="1:18" s="152" customFormat="1">
      <c r="A571" s="151" t="s">
        <v>7119</v>
      </c>
      <c r="B571" s="151"/>
      <c r="C571" s="151"/>
      <c r="D571" s="151">
        <v>0</v>
      </c>
      <c r="E571" s="151">
        <v>1</v>
      </c>
      <c r="F571" s="151" t="s">
        <v>197</v>
      </c>
      <c r="G571" s="151" t="s">
        <v>198</v>
      </c>
      <c r="H571" s="151"/>
      <c r="I571" s="151">
        <v>0</v>
      </c>
      <c r="J571" s="151" t="s">
        <v>838</v>
      </c>
      <c r="K571" s="151" t="s">
        <v>868</v>
      </c>
      <c r="L571" s="151">
        <v>160</v>
      </c>
      <c r="M571" s="151"/>
      <c r="N571" s="151" t="str">
        <f t="shared" si="17"/>
        <v>Status(IgnoreDefenseRate, 160)</v>
      </c>
      <c r="O571" s="151">
        <v>0</v>
      </c>
      <c r="P571" s="151">
        <v>0</v>
      </c>
      <c r="Q571" s="151"/>
      <c r="R571" s="151" t="b">
        <v>1</v>
      </c>
    </row>
    <row r="572" spans="1:18" s="152" customFormat="1">
      <c r="A572" s="151" t="s">
        <v>1940</v>
      </c>
      <c r="B572" s="151"/>
      <c r="C572" s="151"/>
      <c r="D572" s="151">
        <v>0</v>
      </c>
      <c r="E572" s="151">
        <v>1</v>
      </c>
      <c r="F572" s="151" t="s">
        <v>197</v>
      </c>
      <c r="G572" s="151" t="s">
        <v>198</v>
      </c>
      <c r="H572" s="151"/>
      <c r="I572" s="151">
        <v>0</v>
      </c>
      <c r="J572" s="151" t="s">
        <v>838</v>
      </c>
      <c r="K572" s="151" t="s">
        <v>868</v>
      </c>
      <c r="L572" s="151">
        <v>180</v>
      </c>
      <c r="M572" s="151"/>
      <c r="N572" s="151" t="str">
        <f t="shared" si="17"/>
        <v>Status(IgnoreDefenseRate, 180)</v>
      </c>
      <c r="O572" s="151">
        <v>0</v>
      </c>
      <c r="P572" s="151">
        <v>0</v>
      </c>
      <c r="Q572" s="151"/>
      <c r="R572" s="151" t="b">
        <v>1</v>
      </c>
    </row>
    <row r="573" spans="1:18">
      <c r="A573" s="26" t="s">
        <v>1941</v>
      </c>
      <c r="B573" s="26"/>
      <c r="C573" s="26"/>
      <c r="D573" s="26">
        <v>0</v>
      </c>
      <c r="E573" s="26">
        <v>1</v>
      </c>
      <c r="F573" s="26" t="s">
        <v>197</v>
      </c>
      <c r="G573" s="26" t="s">
        <v>198</v>
      </c>
      <c r="H573" s="26"/>
      <c r="I573" s="26">
        <v>0</v>
      </c>
      <c r="J573" s="26" t="s">
        <v>838</v>
      </c>
      <c r="K573" s="26" t="s">
        <v>868</v>
      </c>
      <c r="L573" s="26">
        <v>200</v>
      </c>
      <c r="M573" s="26"/>
      <c r="N573" s="26" t="str">
        <f t="shared" si="17"/>
        <v>Status(IgnoreDefenseRate, 200)</v>
      </c>
      <c r="O573" s="26">
        <v>0</v>
      </c>
      <c r="P573" s="26">
        <v>0</v>
      </c>
      <c r="Q573" s="26"/>
      <c r="R573" s="26" t="b">
        <v>1</v>
      </c>
    </row>
    <row r="574" spans="1:18">
      <c r="A574" s="26" t="s">
        <v>1942</v>
      </c>
      <c r="B574" s="26"/>
      <c r="C574" s="26"/>
      <c r="D574" s="26">
        <v>0</v>
      </c>
      <c r="E574" s="26">
        <v>1</v>
      </c>
      <c r="F574" s="26" t="s">
        <v>197</v>
      </c>
      <c r="G574" s="26" t="s">
        <v>198</v>
      </c>
      <c r="H574" s="26"/>
      <c r="I574" s="26">
        <v>0</v>
      </c>
      <c r="J574" s="26" t="s">
        <v>838</v>
      </c>
      <c r="K574" s="26" t="s">
        <v>868</v>
      </c>
      <c r="L574" s="26">
        <v>220</v>
      </c>
      <c r="M574" s="26"/>
      <c r="N574" s="26" t="str">
        <f t="shared" si="17"/>
        <v>Status(IgnoreDefenseRate, 220)</v>
      </c>
      <c r="O574" s="26">
        <v>0</v>
      </c>
      <c r="P574" s="26">
        <v>0</v>
      </c>
      <c r="Q574" s="26"/>
      <c r="R574" s="26" t="b">
        <v>1</v>
      </c>
    </row>
    <row r="575" spans="1:18">
      <c r="A575" s="26" t="s">
        <v>1943</v>
      </c>
      <c r="B575" s="26"/>
      <c r="C575" s="26"/>
      <c r="D575" s="26">
        <v>0</v>
      </c>
      <c r="E575" s="26">
        <v>1</v>
      </c>
      <c r="F575" s="26" t="s">
        <v>197</v>
      </c>
      <c r="G575" s="26" t="s">
        <v>198</v>
      </c>
      <c r="H575" s="26"/>
      <c r="I575" s="26">
        <v>0</v>
      </c>
      <c r="J575" s="26" t="s">
        <v>838</v>
      </c>
      <c r="K575" s="26" t="s">
        <v>868</v>
      </c>
      <c r="L575" s="26">
        <v>250</v>
      </c>
      <c r="M575" s="26"/>
      <c r="N575" s="26" t="str">
        <f t="shared" si="17"/>
        <v>Status(IgnoreDefenseRate, 250)</v>
      </c>
      <c r="O575" s="26">
        <v>0</v>
      </c>
      <c r="P575" s="26">
        <v>0</v>
      </c>
      <c r="Q575" s="26"/>
      <c r="R575" s="26" t="b">
        <v>1</v>
      </c>
    </row>
    <row r="576" spans="1:18">
      <c r="A576" s="34" t="s">
        <v>1944</v>
      </c>
      <c r="B576" s="34"/>
      <c r="C576" s="34"/>
      <c r="D576" s="34">
        <v>0</v>
      </c>
      <c r="E576" s="34">
        <v>1</v>
      </c>
      <c r="F576" s="34" t="s">
        <v>197</v>
      </c>
      <c r="G576" s="34" t="s">
        <v>198</v>
      </c>
      <c r="H576" s="34"/>
      <c r="I576" s="34">
        <v>0</v>
      </c>
      <c r="J576" s="34" t="s">
        <v>838</v>
      </c>
      <c r="K576" s="34" t="s">
        <v>868</v>
      </c>
      <c r="L576" s="34">
        <v>200</v>
      </c>
      <c r="M576" s="34"/>
      <c r="N576" s="34" t="str">
        <f t="shared" si="17"/>
        <v>Status(IgnoreDefenseRate, 200)</v>
      </c>
      <c r="O576" s="34">
        <v>0</v>
      </c>
      <c r="P576" s="34">
        <v>0</v>
      </c>
      <c r="Q576" s="34"/>
      <c r="R576" s="34" t="b">
        <v>1</v>
      </c>
    </row>
    <row r="577" spans="1:18">
      <c r="A577" s="34" t="s">
        <v>2984</v>
      </c>
      <c r="B577" s="34"/>
      <c r="C577" s="34"/>
      <c r="D577" s="34">
        <v>0</v>
      </c>
      <c r="E577" s="34">
        <v>1</v>
      </c>
      <c r="F577" s="34" t="s">
        <v>3006</v>
      </c>
      <c r="G577" s="34" t="s">
        <v>418</v>
      </c>
      <c r="H577" s="34"/>
      <c r="I577" s="34">
        <v>0</v>
      </c>
      <c r="J577" s="34" t="s">
        <v>1254</v>
      </c>
      <c r="K577" s="34" t="s">
        <v>7033</v>
      </c>
      <c r="L577" s="34"/>
      <c r="M577" s="34"/>
      <c r="N577" s="34" t="str">
        <f t="shared" si="17"/>
        <v>Passive(ferrel.passive.ex.ally.buff.01)</v>
      </c>
      <c r="O577" s="34">
        <v>0</v>
      </c>
      <c r="P577" s="34">
        <v>0</v>
      </c>
      <c r="Q577" s="34"/>
      <c r="R577" s="34" t="b">
        <v>1</v>
      </c>
    </row>
    <row r="578" spans="1:18">
      <c r="A578" s="34" t="s">
        <v>2985</v>
      </c>
      <c r="B578" s="34"/>
      <c r="C578" s="34"/>
      <c r="D578" s="34">
        <v>0</v>
      </c>
      <c r="E578" s="34">
        <v>1</v>
      </c>
      <c r="F578" s="34" t="s">
        <v>3006</v>
      </c>
      <c r="G578" s="34" t="s">
        <v>418</v>
      </c>
      <c r="H578" s="34"/>
      <c r="I578" s="34">
        <v>0</v>
      </c>
      <c r="J578" s="34" t="s">
        <v>1254</v>
      </c>
      <c r="K578" s="34" t="s">
        <v>3007</v>
      </c>
      <c r="L578" s="34"/>
      <c r="M578" s="34"/>
      <c r="N578" s="34" t="str">
        <f t="shared" si="17"/>
        <v>Passive(ferrel.passive.ex.ally.buff.02)</v>
      </c>
      <c r="O578" s="34">
        <v>0</v>
      </c>
      <c r="P578" s="34">
        <v>0</v>
      </c>
      <c r="Q578" s="34"/>
      <c r="R578" s="34" t="b">
        <v>1</v>
      </c>
    </row>
    <row r="579" spans="1:18">
      <c r="A579" s="25" t="s">
        <v>2986</v>
      </c>
      <c r="B579" s="25"/>
      <c r="C579" s="25"/>
      <c r="D579" s="25">
        <v>0</v>
      </c>
      <c r="E579" s="25">
        <v>1</v>
      </c>
      <c r="F579" s="25" t="s">
        <v>3006</v>
      </c>
      <c r="G579" s="25" t="s">
        <v>418</v>
      </c>
      <c r="H579" s="25"/>
      <c r="I579" s="25">
        <v>0</v>
      </c>
      <c r="J579" s="25" t="s">
        <v>1254</v>
      </c>
      <c r="K579" s="25" t="s">
        <v>3008</v>
      </c>
      <c r="L579" s="25"/>
      <c r="M579" s="25"/>
      <c r="N579" s="25" t="str">
        <f t="shared" si="17"/>
        <v>Passive(ferrel.passive.ex.ally.buff.03)</v>
      </c>
      <c r="O579" s="25">
        <v>0</v>
      </c>
      <c r="P579" s="25">
        <v>0</v>
      </c>
      <c r="Q579" s="25"/>
      <c r="R579" s="25" t="b">
        <v>1</v>
      </c>
    </row>
    <row r="580" spans="1:18">
      <c r="A580" s="25" t="s">
        <v>2987</v>
      </c>
      <c r="B580" s="25"/>
      <c r="C580" s="25"/>
      <c r="D580" s="25">
        <v>0</v>
      </c>
      <c r="E580" s="25">
        <v>1</v>
      </c>
      <c r="F580" s="25" t="s">
        <v>3006</v>
      </c>
      <c r="G580" s="25" t="s">
        <v>418</v>
      </c>
      <c r="H580" s="25"/>
      <c r="I580" s="25">
        <v>0</v>
      </c>
      <c r="J580" s="25" t="s">
        <v>1254</v>
      </c>
      <c r="K580" s="25" t="s">
        <v>3009</v>
      </c>
      <c r="L580" s="25"/>
      <c r="M580" s="25"/>
      <c r="N580" s="25" t="str">
        <f t="shared" si="17"/>
        <v>Passive(ferrel.passive.ex.ally.buff.04)</v>
      </c>
      <c r="O580" s="25">
        <v>0</v>
      </c>
      <c r="P580" s="25">
        <v>0</v>
      </c>
      <c r="Q580" s="25"/>
      <c r="R580" s="25" t="b">
        <v>1</v>
      </c>
    </row>
    <row r="581" spans="1:18">
      <c r="A581" s="25" t="s">
        <v>2988</v>
      </c>
      <c r="B581" s="25"/>
      <c r="C581" s="25"/>
      <c r="D581" s="25">
        <v>0</v>
      </c>
      <c r="E581" s="25">
        <v>1</v>
      </c>
      <c r="F581" s="25" t="s">
        <v>3006</v>
      </c>
      <c r="G581" s="25" t="s">
        <v>418</v>
      </c>
      <c r="H581" s="25"/>
      <c r="I581" s="25">
        <v>0</v>
      </c>
      <c r="J581" s="25" t="s">
        <v>1254</v>
      </c>
      <c r="K581" s="25" t="s">
        <v>3010</v>
      </c>
      <c r="L581" s="25"/>
      <c r="M581" s="25"/>
      <c r="N581" s="25" t="str">
        <f t="shared" si="17"/>
        <v>Passive(ferrel.passive.ex.ally.buff.05)</v>
      </c>
      <c r="O581" s="25">
        <v>0</v>
      </c>
      <c r="P581" s="25">
        <v>0</v>
      </c>
      <c r="Q581" s="25"/>
      <c r="R581" s="25" t="b">
        <v>1</v>
      </c>
    </row>
    <row r="582" spans="1:18">
      <c r="A582" s="34" t="s">
        <v>2989</v>
      </c>
      <c r="B582" s="34"/>
      <c r="C582" s="34"/>
      <c r="D582" s="34">
        <v>0</v>
      </c>
      <c r="E582" s="34">
        <v>1</v>
      </c>
      <c r="F582" s="34" t="s">
        <v>3006</v>
      </c>
      <c r="G582" s="34" t="s">
        <v>418</v>
      </c>
      <c r="H582" s="34"/>
      <c r="I582" s="34">
        <v>0</v>
      </c>
      <c r="J582" s="34" t="s">
        <v>1254</v>
      </c>
      <c r="K582" s="34" t="s">
        <v>3011</v>
      </c>
      <c r="L582" s="34"/>
      <c r="M582" s="34"/>
      <c r="N582" s="34" t="str">
        <f t="shared" si="17"/>
        <v>Passive(ferrel.passive.ex.ally.buff.06)</v>
      </c>
      <c r="O582" s="34">
        <v>0</v>
      </c>
      <c r="P582" s="34">
        <v>0</v>
      </c>
      <c r="Q582" s="34"/>
      <c r="R582" s="34" t="b">
        <v>1</v>
      </c>
    </row>
    <row r="583" spans="1:18">
      <c r="A583" s="34" t="s">
        <v>2967</v>
      </c>
      <c r="B583" s="34"/>
      <c r="C583" s="34"/>
      <c r="D583" s="34">
        <v>0</v>
      </c>
      <c r="E583" s="34">
        <v>1</v>
      </c>
      <c r="F583" s="34" t="s">
        <v>197</v>
      </c>
      <c r="G583" s="34" t="s">
        <v>198</v>
      </c>
      <c r="H583" s="34"/>
      <c r="I583" s="34">
        <v>0</v>
      </c>
      <c r="J583" s="34" t="s">
        <v>191</v>
      </c>
      <c r="K583" s="34" t="s">
        <v>923</v>
      </c>
      <c r="L583" s="34" t="s">
        <v>7120</v>
      </c>
      <c r="M583" s="34"/>
      <c r="N583" s="34" t="str">
        <f t="shared" si="17"/>
        <v>Effect(OnHit, ferrel.passive.ex.buff.buffeffect.skilleffect.01)</v>
      </c>
      <c r="O583" s="34">
        <v>0</v>
      </c>
      <c r="P583" s="34">
        <v>0</v>
      </c>
      <c r="Q583" s="34"/>
      <c r="R583" s="34" t="b">
        <v>1</v>
      </c>
    </row>
    <row r="584" spans="1:18">
      <c r="A584" s="34" t="s">
        <v>2968</v>
      </c>
      <c r="B584" s="34"/>
      <c r="C584" s="34"/>
      <c r="D584" s="34">
        <v>0</v>
      </c>
      <c r="E584" s="34">
        <v>1</v>
      </c>
      <c r="F584" s="34" t="s">
        <v>197</v>
      </c>
      <c r="G584" s="34" t="s">
        <v>198</v>
      </c>
      <c r="H584" s="34"/>
      <c r="I584" s="34">
        <v>0</v>
      </c>
      <c r="J584" s="34" t="s">
        <v>191</v>
      </c>
      <c r="K584" s="34" t="s">
        <v>923</v>
      </c>
      <c r="L584" s="34" t="s">
        <v>2973</v>
      </c>
      <c r="M584" s="34"/>
      <c r="N584" s="34" t="str">
        <f t="shared" si="17"/>
        <v>Effect(OnHit, ferrel.passive.ex.buff.buffeffect.skilleffect.02)</v>
      </c>
      <c r="O584" s="34">
        <v>0</v>
      </c>
      <c r="P584" s="34">
        <v>0</v>
      </c>
      <c r="Q584" s="34"/>
      <c r="R584" s="34" t="b">
        <v>1</v>
      </c>
    </row>
    <row r="585" spans="1:18">
      <c r="A585" s="25" t="s">
        <v>2969</v>
      </c>
      <c r="B585" s="25"/>
      <c r="C585" s="25"/>
      <c r="D585" s="25">
        <v>0</v>
      </c>
      <c r="E585" s="25">
        <v>1</v>
      </c>
      <c r="F585" s="25" t="s">
        <v>197</v>
      </c>
      <c r="G585" s="25" t="s">
        <v>198</v>
      </c>
      <c r="H585" s="25"/>
      <c r="I585" s="25">
        <v>0</v>
      </c>
      <c r="J585" s="25" t="s">
        <v>191</v>
      </c>
      <c r="K585" s="25" t="s">
        <v>923</v>
      </c>
      <c r="L585" s="25" t="s">
        <v>2974</v>
      </c>
      <c r="M585" s="25"/>
      <c r="N585" s="25" t="str">
        <f t="shared" si="17"/>
        <v>Effect(OnHit, ferrel.passive.ex.buff.buffeffect.skilleffect.03)</v>
      </c>
      <c r="O585" s="25">
        <v>0</v>
      </c>
      <c r="P585" s="25">
        <v>0</v>
      </c>
      <c r="Q585" s="25"/>
      <c r="R585" s="25" t="b">
        <v>1</v>
      </c>
    </row>
    <row r="586" spans="1:18">
      <c r="A586" s="25" t="s">
        <v>2970</v>
      </c>
      <c r="B586" s="25"/>
      <c r="C586" s="25"/>
      <c r="D586" s="25">
        <v>0</v>
      </c>
      <c r="E586" s="25">
        <v>1</v>
      </c>
      <c r="F586" s="25" t="s">
        <v>197</v>
      </c>
      <c r="G586" s="25" t="s">
        <v>198</v>
      </c>
      <c r="H586" s="25"/>
      <c r="I586" s="25">
        <v>0</v>
      </c>
      <c r="J586" s="25" t="s">
        <v>191</v>
      </c>
      <c r="K586" s="25" t="s">
        <v>923</v>
      </c>
      <c r="L586" s="25" t="s">
        <v>2975</v>
      </c>
      <c r="M586" s="25"/>
      <c r="N586" s="25" t="str">
        <f t="shared" si="17"/>
        <v>Effect(OnHit, ferrel.passive.ex.buff.buffeffect.skilleffect.04)</v>
      </c>
      <c r="O586" s="25">
        <v>0</v>
      </c>
      <c r="P586" s="25">
        <v>0</v>
      </c>
      <c r="Q586" s="25"/>
      <c r="R586" s="25" t="b">
        <v>1</v>
      </c>
    </row>
    <row r="587" spans="1:18">
      <c r="A587" s="25" t="s">
        <v>2971</v>
      </c>
      <c r="B587" s="25"/>
      <c r="C587" s="25"/>
      <c r="D587" s="25">
        <v>0</v>
      </c>
      <c r="E587" s="25">
        <v>1</v>
      </c>
      <c r="F587" s="25" t="s">
        <v>197</v>
      </c>
      <c r="G587" s="25" t="s">
        <v>198</v>
      </c>
      <c r="H587" s="25"/>
      <c r="I587" s="25">
        <v>0</v>
      </c>
      <c r="J587" s="25" t="s">
        <v>191</v>
      </c>
      <c r="K587" s="25" t="s">
        <v>923</v>
      </c>
      <c r="L587" s="25" t="s">
        <v>2976</v>
      </c>
      <c r="M587" s="25"/>
      <c r="N587" s="25" t="str">
        <f t="shared" si="17"/>
        <v>Effect(OnHit, ferrel.passive.ex.buff.buffeffect.skilleffect.05)</v>
      </c>
      <c r="O587" s="25">
        <v>0</v>
      </c>
      <c r="P587" s="25">
        <v>0</v>
      </c>
      <c r="Q587" s="25"/>
      <c r="R587" s="25" t="b">
        <v>1</v>
      </c>
    </row>
    <row r="588" spans="1:18">
      <c r="A588" s="34" t="s">
        <v>2972</v>
      </c>
      <c r="B588" s="34"/>
      <c r="C588" s="34"/>
      <c r="D588" s="34">
        <v>0</v>
      </c>
      <c r="E588" s="34">
        <v>1</v>
      </c>
      <c r="F588" s="34" t="s">
        <v>197</v>
      </c>
      <c r="G588" s="34" t="s">
        <v>198</v>
      </c>
      <c r="H588" s="34"/>
      <c r="I588" s="34">
        <v>0</v>
      </c>
      <c r="J588" s="34" t="s">
        <v>191</v>
      </c>
      <c r="K588" s="34" t="s">
        <v>923</v>
      </c>
      <c r="L588" s="34" t="s">
        <v>2977</v>
      </c>
      <c r="M588" s="34"/>
      <c r="N588" s="34" t="str">
        <f t="shared" si="17"/>
        <v>Effect(OnHit, ferrel.passive.ex.buff.buffeffect.skilleffect.06)</v>
      </c>
      <c r="O588" s="34">
        <v>0</v>
      </c>
      <c r="P588" s="34">
        <v>0</v>
      </c>
      <c r="Q588" s="34"/>
      <c r="R588" s="34" t="b">
        <v>1</v>
      </c>
    </row>
    <row r="589" spans="1:18">
      <c r="A589" s="34" t="s">
        <v>7034</v>
      </c>
      <c r="B589" s="34" t="s">
        <v>1414</v>
      </c>
      <c r="C589" s="34" t="s">
        <v>2990</v>
      </c>
      <c r="D589" s="34">
        <v>0</v>
      </c>
      <c r="E589" s="34">
        <v>1</v>
      </c>
      <c r="F589" s="34" t="s">
        <v>197</v>
      </c>
      <c r="G589" s="34" t="s">
        <v>198</v>
      </c>
      <c r="H589" s="34"/>
      <c r="I589" s="34">
        <v>0</v>
      </c>
      <c r="J589" s="34" t="s">
        <v>191</v>
      </c>
      <c r="K589" s="34" t="s">
        <v>923</v>
      </c>
      <c r="L589" s="34" t="s">
        <v>7120</v>
      </c>
      <c r="M589" s="34"/>
      <c r="N589" s="34" t="str">
        <f t="shared" si="17"/>
        <v>Effect(OnHit, ferrel.passive.ex.buff.buffeffect.skilleffect.01)</v>
      </c>
      <c r="O589" s="34">
        <v>0</v>
      </c>
      <c r="P589" s="34">
        <v>0</v>
      </c>
      <c r="Q589" s="34"/>
      <c r="R589" s="34" t="b">
        <v>1</v>
      </c>
    </row>
    <row r="590" spans="1:18">
      <c r="A590" s="34" t="s">
        <v>3012</v>
      </c>
      <c r="B590" s="34" t="s">
        <v>1414</v>
      </c>
      <c r="C590" s="34" t="s">
        <v>2990</v>
      </c>
      <c r="D590" s="34">
        <v>0</v>
      </c>
      <c r="E590" s="34">
        <v>1</v>
      </c>
      <c r="F590" s="34" t="s">
        <v>197</v>
      </c>
      <c r="G590" s="34" t="s">
        <v>198</v>
      </c>
      <c r="H590" s="34"/>
      <c r="I590" s="34">
        <v>0</v>
      </c>
      <c r="J590" s="34" t="s">
        <v>191</v>
      </c>
      <c r="K590" s="34" t="s">
        <v>923</v>
      </c>
      <c r="L590" s="34" t="s">
        <v>2973</v>
      </c>
      <c r="M590" s="34"/>
      <c r="N590" s="34" t="str">
        <f t="shared" si="17"/>
        <v>Effect(OnHit, ferrel.passive.ex.buff.buffeffect.skilleffect.02)</v>
      </c>
      <c r="O590" s="34">
        <v>0</v>
      </c>
      <c r="P590" s="34">
        <v>0</v>
      </c>
      <c r="Q590" s="34"/>
      <c r="R590" s="34" t="b">
        <v>1</v>
      </c>
    </row>
    <row r="591" spans="1:18">
      <c r="A591" s="25" t="s">
        <v>3013</v>
      </c>
      <c r="B591" s="25" t="s">
        <v>1414</v>
      </c>
      <c r="C591" s="25" t="s">
        <v>2990</v>
      </c>
      <c r="D591" s="25">
        <v>0</v>
      </c>
      <c r="E591" s="25">
        <v>1</v>
      </c>
      <c r="F591" s="25" t="s">
        <v>197</v>
      </c>
      <c r="G591" s="25" t="s">
        <v>198</v>
      </c>
      <c r="H591" s="25"/>
      <c r="I591" s="25">
        <v>0</v>
      </c>
      <c r="J591" s="25" t="s">
        <v>191</v>
      </c>
      <c r="K591" s="25" t="s">
        <v>923</v>
      </c>
      <c r="L591" s="25" t="s">
        <v>2974</v>
      </c>
      <c r="M591" s="25"/>
      <c r="N591" s="25" t="str">
        <f t="shared" si="17"/>
        <v>Effect(OnHit, ferrel.passive.ex.buff.buffeffect.skilleffect.03)</v>
      </c>
      <c r="O591" s="25">
        <v>0</v>
      </c>
      <c r="P591" s="25">
        <v>0</v>
      </c>
      <c r="Q591" s="25"/>
      <c r="R591" s="25" t="b">
        <v>1</v>
      </c>
    </row>
    <row r="592" spans="1:18">
      <c r="A592" s="25" t="s">
        <v>3014</v>
      </c>
      <c r="B592" s="25" t="s">
        <v>1414</v>
      </c>
      <c r="C592" s="25" t="s">
        <v>2990</v>
      </c>
      <c r="D592" s="25">
        <v>0</v>
      </c>
      <c r="E592" s="25">
        <v>1</v>
      </c>
      <c r="F592" s="25" t="s">
        <v>197</v>
      </c>
      <c r="G592" s="25" t="s">
        <v>198</v>
      </c>
      <c r="H592" s="25"/>
      <c r="I592" s="25">
        <v>0</v>
      </c>
      <c r="J592" s="25" t="s">
        <v>191</v>
      </c>
      <c r="K592" s="25" t="s">
        <v>923</v>
      </c>
      <c r="L592" s="25" t="s">
        <v>2975</v>
      </c>
      <c r="M592" s="25"/>
      <c r="N592" s="25" t="str">
        <f t="shared" si="17"/>
        <v>Effect(OnHit, ferrel.passive.ex.buff.buffeffect.skilleffect.04)</v>
      </c>
      <c r="O592" s="25">
        <v>0</v>
      </c>
      <c r="P592" s="25">
        <v>0</v>
      </c>
      <c r="Q592" s="25"/>
      <c r="R592" s="25" t="b">
        <v>1</v>
      </c>
    </row>
    <row r="593" spans="1:18">
      <c r="A593" s="25" t="s">
        <v>3015</v>
      </c>
      <c r="B593" s="25" t="s">
        <v>1414</v>
      </c>
      <c r="C593" s="25" t="s">
        <v>2990</v>
      </c>
      <c r="D593" s="25">
        <v>0</v>
      </c>
      <c r="E593" s="25">
        <v>1</v>
      </c>
      <c r="F593" s="25" t="s">
        <v>197</v>
      </c>
      <c r="G593" s="25" t="s">
        <v>198</v>
      </c>
      <c r="H593" s="25"/>
      <c r="I593" s="25">
        <v>0</v>
      </c>
      <c r="J593" s="25" t="s">
        <v>191</v>
      </c>
      <c r="K593" s="25" t="s">
        <v>923</v>
      </c>
      <c r="L593" s="25" t="s">
        <v>2976</v>
      </c>
      <c r="M593" s="25"/>
      <c r="N593" s="25" t="str">
        <f t="shared" si="17"/>
        <v>Effect(OnHit, ferrel.passive.ex.buff.buffeffect.skilleffect.05)</v>
      </c>
      <c r="O593" s="25">
        <v>0</v>
      </c>
      <c r="P593" s="25">
        <v>0</v>
      </c>
      <c r="Q593" s="25"/>
      <c r="R593" s="25" t="b">
        <v>1</v>
      </c>
    </row>
    <row r="594" spans="1:18">
      <c r="A594" s="34" t="s">
        <v>3016</v>
      </c>
      <c r="B594" s="34" t="s">
        <v>1414</v>
      </c>
      <c r="C594" s="34" t="s">
        <v>2990</v>
      </c>
      <c r="D594" s="34">
        <v>0</v>
      </c>
      <c r="E594" s="34">
        <v>1</v>
      </c>
      <c r="F594" s="34" t="s">
        <v>197</v>
      </c>
      <c r="G594" s="34" t="s">
        <v>198</v>
      </c>
      <c r="H594" s="34"/>
      <c r="I594" s="34">
        <v>0</v>
      </c>
      <c r="J594" s="34" t="s">
        <v>191</v>
      </c>
      <c r="K594" s="34" t="s">
        <v>923</v>
      </c>
      <c r="L594" s="34" t="s">
        <v>2977</v>
      </c>
      <c r="M594" s="34"/>
      <c r="N594" s="34" t="str">
        <f t="shared" si="17"/>
        <v>Effect(OnHit, ferrel.passive.ex.buff.buffeffect.skilleffect.06)</v>
      </c>
      <c r="O594" s="34">
        <v>0</v>
      </c>
      <c r="P594" s="34">
        <v>0</v>
      </c>
      <c r="Q594" s="34"/>
      <c r="R594" s="34" t="b">
        <v>1</v>
      </c>
    </row>
    <row r="595" spans="1:18">
      <c r="A595" s="34" t="s">
        <v>3435</v>
      </c>
      <c r="B595" s="34"/>
      <c r="C595" s="34"/>
      <c r="D595" s="34">
        <v>0</v>
      </c>
      <c r="E595" s="34">
        <v>1</v>
      </c>
      <c r="F595" s="34" t="s">
        <v>197</v>
      </c>
      <c r="G595" s="34" t="s">
        <v>198</v>
      </c>
      <c r="H595" s="34"/>
      <c r="I595" s="34">
        <v>0</v>
      </c>
      <c r="J595" s="34" t="s">
        <v>916</v>
      </c>
      <c r="K595" s="34" t="s">
        <v>917</v>
      </c>
      <c r="L595" s="34"/>
      <c r="M595" s="34"/>
      <c r="N595" s="34" t="str">
        <f t="shared" si="17"/>
        <v>ChangeSkill(Normal)</v>
      </c>
      <c r="O595" s="34">
        <v>0</v>
      </c>
      <c r="P595" s="34">
        <v>0</v>
      </c>
      <c r="Q595" s="34"/>
      <c r="R595" s="34" t="b">
        <v>1</v>
      </c>
    </row>
    <row r="596" spans="1:18">
      <c r="A596" s="34" t="s">
        <v>7121</v>
      </c>
      <c r="B596" s="34"/>
      <c r="C596" s="34"/>
      <c r="D596" s="34">
        <v>0</v>
      </c>
      <c r="E596" s="34">
        <v>1</v>
      </c>
      <c r="F596" s="34" t="s">
        <v>197</v>
      </c>
      <c r="G596" s="34" t="s">
        <v>198</v>
      </c>
      <c r="H596" s="34"/>
      <c r="I596" s="34">
        <v>0</v>
      </c>
      <c r="J596" s="34" t="s">
        <v>838</v>
      </c>
      <c r="K596" s="34" t="s">
        <v>918</v>
      </c>
      <c r="L596" s="34">
        <v>100000</v>
      </c>
      <c r="M596" s="34"/>
      <c r="N596" s="34" t="str">
        <f t="shared" si="17"/>
        <v>Status(AttackSpeedRate, 100000)</v>
      </c>
      <c r="O596" s="34">
        <v>0</v>
      </c>
      <c r="P596" s="34">
        <v>0</v>
      </c>
      <c r="Q596" s="34"/>
      <c r="R596" s="34" t="b">
        <v>1</v>
      </c>
    </row>
    <row r="597" spans="1:18">
      <c r="A597" s="43" t="s">
        <v>3766</v>
      </c>
      <c r="B597" s="25"/>
      <c r="C597" s="25"/>
      <c r="D597" s="25">
        <v>0</v>
      </c>
      <c r="E597" s="25">
        <v>1</v>
      </c>
      <c r="F597" s="25" t="s">
        <v>197</v>
      </c>
      <c r="G597" s="25" t="s">
        <v>198</v>
      </c>
      <c r="H597" s="25"/>
      <c r="I597" s="25">
        <v>0</v>
      </c>
      <c r="J597" s="25" t="s">
        <v>191</v>
      </c>
      <c r="K597" s="25" t="s">
        <v>927</v>
      </c>
      <c r="L597" s="25" t="s">
        <v>7122</v>
      </c>
      <c r="M597" s="25"/>
      <c r="N597" s="25" t="str">
        <f t="shared" si="17"/>
        <v>Effect(OnHitNormal, ino.ult.B.pre.buff.buffeffect.skilleffect.01)</v>
      </c>
      <c r="O597" s="25">
        <v>0</v>
      </c>
      <c r="P597" s="25">
        <v>0</v>
      </c>
      <c r="Q597" s="25"/>
      <c r="R597" s="25" t="b">
        <v>1</v>
      </c>
    </row>
    <row r="598" spans="1:18">
      <c r="A598" s="43" t="s">
        <v>3767</v>
      </c>
      <c r="B598" s="25"/>
      <c r="C598" s="25"/>
      <c r="D598" s="25">
        <v>0</v>
      </c>
      <c r="E598" s="25">
        <v>1</v>
      </c>
      <c r="F598" s="25" t="s">
        <v>197</v>
      </c>
      <c r="G598" s="25" t="s">
        <v>198</v>
      </c>
      <c r="H598" s="25"/>
      <c r="I598" s="25">
        <v>0</v>
      </c>
      <c r="J598" s="25" t="s">
        <v>191</v>
      </c>
      <c r="K598" s="25" t="s">
        <v>927</v>
      </c>
      <c r="L598" s="25" t="s">
        <v>3773</v>
      </c>
      <c r="M598" s="25"/>
      <c r="N598" s="25" t="str">
        <f t="shared" si="17"/>
        <v>Effect(OnHitNormal, ino.ult.B.pre.buff.buffeffect.skilleffect.02)</v>
      </c>
      <c r="O598" s="25">
        <v>0</v>
      </c>
      <c r="P598" s="25">
        <v>0</v>
      </c>
      <c r="Q598" s="25"/>
      <c r="R598" s="25" t="b">
        <v>1</v>
      </c>
    </row>
    <row r="599" spans="1:18">
      <c r="A599" s="43" t="s">
        <v>3768</v>
      </c>
      <c r="B599" s="25"/>
      <c r="C599" s="25"/>
      <c r="D599" s="25">
        <v>0</v>
      </c>
      <c r="E599" s="25">
        <v>1</v>
      </c>
      <c r="F599" s="25" t="s">
        <v>197</v>
      </c>
      <c r="G599" s="25" t="s">
        <v>198</v>
      </c>
      <c r="H599" s="25"/>
      <c r="I599" s="25">
        <v>0</v>
      </c>
      <c r="J599" s="25" t="s">
        <v>191</v>
      </c>
      <c r="K599" s="25" t="s">
        <v>927</v>
      </c>
      <c r="L599" s="25" t="s">
        <v>3774</v>
      </c>
      <c r="M599" s="25"/>
      <c r="N599" s="25" t="str">
        <f t="shared" si="17"/>
        <v>Effect(OnHitNormal, ino.ult.B.pre.buff.buffeffect.skilleffect.03)</v>
      </c>
      <c r="O599" s="25">
        <v>0</v>
      </c>
      <c r="P599" s="25">
        <v>0</v>
      </c>
      <c r="Q599" s="25"/>
      <c r="R599" s="25" t="b">
        <v>1</v>
      </c>
    </row>
    <row r="600" spans="1:18">
      <c r="A600" s="40" t="s">
        <v>3769</v>
      </c>
      <c r="B600" s="34"/>
      <c r="C600" s="34"/>
      <c r="D600" s="34">
        <v>0</v>
      </c>
      <c r="E600" s="34">
        <v>1</v>
      </c>
      <c r="F600" s="34" t="s">
        <v>197</v>
      </c>
      <c r="G600" s="34" t="s">
        <v>198</v>
      </c>
      <c r="H600" s="34"/>
      <c r="I600" s="34">
        <v>0</v>
      </c>
      <c r="J600" s="34" t="s">
        <v>191</v>
      </c>
      <c r="K600" s="34" t="s">
        <v>927</v>
      </c>
      <c r="L600" s="34" t="s">
        <v>3775</v>
      </c>
      <c r="M600" s="34"/>
      <c r="N600" s="34" t="str">
        <f t="shared" si="17"/>
        <v>Effect(OnHitNormal, ino.ult.B.pre.buff.buffeffect.skilleffect.04)</v>
      </c>
      <c r="O600" s="34">
        <v>0</v>
      </c>
      <c r="P600" s="34">
        <v>0</v>
      </c>
      <c r="Q600" s="34"/>
      <c r="R600" s="34" t="b">
        <v>1</v>
      </c>
    </row>
    <row r="601" spans="1:18">
      <c r="A601" s="40" t="s">
        <v>3770</v>
      </c>
      <c r="B601" s="34"/>
      <c r="C601" s="34"/>
      <c r="D601" s="34">
        <v>0</v>
      </c>
      <c r="E601" s="34">
        <v>1</v>
      </c>
      <c r="F601" s="34" t="s">
        <v>197</v>
      </c>
      <c r="G601" s="34" t="s">
        <v>198</v>
      </c>
      <c r="H601" s="34"/>
      <c r="I601" s="34">
        <v>0</v>
      </c>
      <c r="J601" s="34" t="s">
        <v>191</v>
      </c>
      <c r="K601" s="34" t="s">
        <v>927</v>
      </c>
      <c r="L601" s="34" t="s">
        <v>3776</v>
      </c>
      <c r="M601" s="34"/>
      <c r="N601" s="34" t="str">
        <f t="shared" si="17"/>
        <v>Effect(OnHitNormal, ino.ult.B.pre.buff.buffeffect.skilleffect.05)</v>
      </c>
      <c r="O601" s="34">
        <v>0</v>
      </c>
      <c r="P601" s="34">
        <v>0</v>
      </c>
      <c r="Q601" s="34"/>
      <c r="R601" s="34" t="b">
        <v>1</v>
      </c>
    </row>
    <row r="602" spans="1:18">
      <c r="A602" s="40" t="s">
        <v>3771</v>
      </c>
      <c r="B602" s="34"/>
      <c r="C602" s="34"/>
      <c r="D602" s="34">
        <v>0</v>
      </c>
      <c r="E602" s="34">
        <v>1</v>
      </c>
      <c r="F602" s="34" t="s">
        <v>197</v>
      </c>
      <c r="G602" s="34" t="s">
        <v>198</v>
      </c>
      <c r="H602" s="34"/>
      <c r="I602" s="34">
        <v>0</v>
      </c>
      <c r="J602" s="34" t="s">
        <v>191</v>
      </c>
      <c r="K602" s="34" t="s">
        <v>927</v>
      </c>
      <c r="L602" s="34" t="s">
        <v>3777</v>
      </c>
      <c r="M602" s="34"/>
      <c r="N602" s="34" t="str">
        <f t="shared" si="17"/>
        <v>Effect(OnHitNormal, ino.ult.B.pre.buff.buffeffect.skilleffect.06)</v>
      </c>
      <c r="O602" s="34">
        <v>0</v>
      </c>
      <c r="P602" s="34">
        <v>0</v>
      </c>
      <c r="Q602" s="34"/>
      <c r="R602" s="34" t="b">
        <v>1</v>
      </c>
    </row>
    <row r="603" spans="1:18" s="13" customFormat="1">
      <c r="A603" s="44" t="s">
        <v>3772</v>
      </c>
      <c r="B603" s="44"/>
      <c r="C603" s="44"/>
      <c r="D603" s="44">
        <v>0</v>
      </c>
      <c r="E603" s="44">
        <v>1</v>
      </c>
      <c r="F603" s="44" t="s">
        <v>197</v>
      </c>
      <c r="G603" s="44" t="s">
        <v>198</v>
      </c>
      <c r="H603" s="44"/>
      <c r="I603" s="44">
        <v>0</v>
      </c>
      <c r="J603" s="44" t="s">
        <v>191</v>
      </c>
      <c r="K603" s="44" t="s">
        <v>927</v>
      </c>
      <c r="L603" s="44" t="s">
        <v>3778</v>
      </c>
      <c r="M603" s="44"/>
      <c r="N603" s="44" t="str">
        <f t="shared" si="17"/>
        <v>Effect(OnHitNormal, ino.ult.B.pre.buff.buffeffect.skilleffect.07)</v>
      </c>
      <c r="O603" s="44">
        <v>0</v>
      </c>
      <c r="P603" s="44">
        <v>0</v>
      </c>
      <c r="Q603" s="44"/>
      <c r="R603" s="44" t="b">
        <v>1</v>
      </c>
    </row>
    <row r="604" spans="1:18">
      <c r="A604" s="34" t="s">
        <v>3785</v>
      </c>
      <c r="B604" s="34"/>
      <c r="C604" s="34"/>
      <c r="D604" s="34">
        <v>0</v>
      </c>
      <c r="E604" s="34">
        <v>1</v>
      </c>
      <c r="F604" s="34" t="s">
        <v>197</v>
      </c>
      <c r="G604" s="34" t="s">
        <v>198</v>
      </c>
      <c r="H604" s="34"/>
      <c r="I604" s="34">
        <v>0</v>
      </c>
      <c r="J604" s="34" t="s">
        <v>838</v>
      </c>
      <c r="K604" s="34" t="s">
        <v>897</v>
      </c>
      <c r="L604" s="34">
        <v>-160</v>
      </c>
      <c r="M604" s="34"/>
      <c r="N604" s="34" t="str">
        <f t="shared" si="17"/>
        <v>Status(DefenseRatio, -160)</v>
      </c>
      <c r="O604" s="34">
        <v>0</v>
      </c>
      <c r="P604" s="34">
        <v>0</v>
      </c>
      <c r="Q604" s="34"/>
      <c r="R604" s="34" t="b">
        <v>1</v>
      </c>
    </row>
    <row r="605" spans="1:18" s="142" customFormat="1">
      <c r="A605" s="39" t="s">
        <v>3786</v>
      </c>
      <c r="B605" s="23"/>
      <c r="C605" s="23"/>
      <c r="D605" s="23">
        <v>0</v>
      </c>
      <c r="E605" s="23">
        <v>1</v>
      </c>
      <c r="F605" s="23" t="s">
        <v>197</v>
      </c>
      <c r="G605" s="23" t="s">
        <v>198</v>
      </c>
      <c r="H605" s="23"/>
      <c r="I605" s="23">
        <v>0</v>
      </c>
      <c r="J605" s="23" t="s">
        <v>838</v>
      </c>
      <c r="K605" s="23" t="s">
        <v>897</v>
      </c>
      <c r="L605" s="23">
        <v>-240</v>
      </c>
      <c r="M605" s="23"/>
      <c r="N605" s="23" t="str">
        <f t="shared" si="17"/>
        <v>Status(DefenseRatio, -240)</v>
      </c>
      <c r="O605" s="23">
        <v>0</v>
      </c>
      <c r="P605" s="23">
        <v>0</v>
      </c>
      <c r="Q605" s="23"/>
      <c r="R605" s="23" t="b">
        <v>1</v>
      </c>
    </row>
    <row r="606" spans="1:18" s="142" customFormat="1">
      <c r="A606" s="23" t="s">
        <v>3787</v>
      </c>
      <c r="B606" s="23"/>
      <c r="C606" s="23"/>
      <c r="D606" s="23">
        <v>0</v>
      </c>
      <c r="E606" s="23">
        <v>1</v>
      </c>
      <c r="F606" s="23" t="s">
        <v>197</v>
      </c>
      <c r="G606" s="23" t="s">
        <v>198</v>
      </c>
      <c r="H606" s="23"/>
      <c r="I606" s="23">
        <v>0</v>
      </c>
      <c r="J606" s="23" t="s">
        <v>838</v>
      </c>
      <c r="K606" s="23" t="s">
        <v>897</v>
      </c>
      <c r="L606" s="23">
        <v>-320</v>
      </c>
      <c r="M606" s="23"/>
      <c r="N606" s="23" t="str">
        <f t="shared" ref="N606:N666" si="18">J606&amp;"("&amp;IF(K606="","",K606)&amp;IF(L606="","",", "&amp;L606)&amp;IF(M606="","",", "&amp;M606)&amp;")"</f>
        <v>Status(DefenseRatio, -320)</v>
      </c>
      <c r="O606" s="23">
        <v>0</v>
      </c>
      <c r="P606" s="23">
        <v>0</v>
      </c>
      <c r="Q606" s="23"/>
      <c r="R606" s="23" t="b">
        <v>1</v>
      </c>
    </row>
    <row r="607" spans="1:18" s="142" customFormat="1">
      <c r="A607" s="23" t="s">
        <v>3788</v>
      </c>
      <c r="B607" s="23"/>
      <c r="C607" s="23"/>
      <c r="D607" s="23">
        <v>0</v>
      </c>
      <c r="E607" s="23">
        <v>1</v>
      </c>
      <c r="F607" s="23" t="s">
        <v>197</v>
      </c>
      <c r="G607" s="23" t="s">
        <v>198</v>
      </c>
      <c r="H607" s="23"/>
      <c r="I607" s="23">
        <v>0</v>
      </c>
      <c r="J607" s="23" t="s">
        <v>838</v>
      </c>
      <c r="K607" s="23" t="s">
        <v>897</v>
      </c>
      <c r="L607" s="23">
        <v>-400</v>
      </c>
      <c r="M607" s="23"/>
      <c r="N607" s="23" t="str">
        <f t="shared" si="18"/>
        <v>Status(DefenseRatio, -400)</v>
      </c>
      <c r="O607" s="23">
        <v>0</v>
      </c>
      <c r="P607" s="23">
        <v>0</v>
      </c>
      <c r="Q607" s="23"/>
      <c r="R607" s="23" t="b">
        <v>1</v>
      </c>
    </row>
    <row r="608" spans="1:18" s="142" customFormat="1">
      <c r="A608" s="23" t="s">
        <v>3789</v>
      </c>
      <c r="B608" s="23"/>
      <c r="C608" s="23"/>
      <c r="D608" s="23">
        <v>0</v>
      </c>
      <c r="E608" s="23">
        <v>1</v>
      </c>
      <c r="F608" s="23" t="s">
        <v>197</v>
      </c>
      <c r="G608" s="23" t="s">
        <v>198</v>
      </c>
      <c r="H608" s="23"/>
      <c r="I608" s="23">
        <v>0</v>
      </c>
      <c r="J608" s="23" t="s">
        <v>838</v>
      </c>
      <c r="K608" s="23" t="s">
        <v>897</v>
      </c>
      <c r="L608" s="23">
        <v>-480</v>
      </c>
      <c r="M608" s="23"/>
      <c r="N608" s="23" t="str">
        <f t="shared" si="18"/>
        <v>Status(DefenseRatio, -480)</v>
      </c>
      <c r="O608" s="23">
        <v>0</v>
      </c>
      <c r="P608" s="23">
        <v>0</v>
      </c>
      <c r="Q608" s="23"/>
      <c r="R608" s="23" t="b">
        <v>1</v>
      </c>
    </row>
    <row r="609" spans="1:18" s="142" customFormat="1">
      <c r="A609" s="23" t="s">
        <v>3790</v>
      </c>
      <c r="B609" s="23"/>
      <c r="C609" s="23"/>
      <c r="D609" s="23">
        <v>0</v>
      </c>
      <c r="E609" s="23">
        <v>1</v>
      </c>
      <c r="F609" s="23" t="s">
        <v>197</v>
      </c>
      <c r="G609" s="23" t="s">
        <v>198</v>
      </c>
      <c r="H609" s="23"/>
      <c r="I609" s="23">
        <v>0</v>
      </c>
      <c r="J609" s="23" t="s">
        <v>838</v>
      </c>
      <c r="K609" s="23" t="s">
        <v>897</v>
      </c>
      <c r="L609" s="23">
        <v>-400</v>
      </c>
      <c r="M609" s="23"/>
      <c r="N609" s="23" t="str">
        <f t="shared" si="18"/>
        <v>Status(DefenseRatio, -400)</v>
      </c>
      <c r="O609" s="23">
        <v>0</v>
      </c>
      <c r="P609" s="23">
        <v>0</v>
      </c>
      <c r="Q609" s="23"/>
      <c r="R609" s="23" t="b">
        <v>1</v>
      </c>
    </row>
    <row r="610" spans="1:18">
      <c r="A610" s="34" t="s">
        <v>3791</v>
      </c>
      <c r="B610" s="34"/>
      <c r="C610" s="34"/>
      <c r="D610" s="34">
        <v>0</v>
      </c>
      <c r="E610" s="34">
        <v>1</v>
      </c>
      <c r="F610" s="34" t="s">
        <v>197</v>
      </c>
      <c r="G610" s="34" t="s">
        <v>198</v>
      </c>
      <c r="H610" s="34"/>
      <c r="I610" s="34">
        <v>0</v>
      </c>
      <c r="J610" s="34" t="s">
        <v>838</v>
      </c>
      <c r="K610" s="34" t="s">
        <v>897</v>
      </c>
      <c r="L610" s="34">
        <v>-440</v>
      </c>
      <c r="M610" s="34"/>
      <c r="N610" s="34" t="str">
        <f t="shared" si="18"/>
        <v>Status(DefenseRatio, -440)</v>
      </c>
      <c r="O610" s="34">
        <v>0</v>
      </c>
      <c r="P610" s="34">
        <v>0</v>
      </c>
      <c r="Q610" s="34"/>
      <c r="R610" s="34" t="b">
        <v>1</v>
      </c>
    </row>
    <row r="611" spans="1:18">
      <c r="A611" s="34" t="s">
        <v>7123</v>
      </c>
      <c r="B611" s="34"/>
      <c r="C611" s="34"/>
      <c r="D611" s="34">
        <v>0</v>
      </c>
      <c r="E611" s="34">
        <v>1</v>
      </c>
      <c r="F611" s="34" t="s">
        <v>197</v>
      </c>
      <c r="G611" s="34" t="s">
        <v>198</v>
      </c>
      <c r="H611" s="34"/>
      <c r="I611" s="34">
        <v>0</v>
      </c>
      <c r="J611" s="34" t="s">
        <v>838</v>
      </c>
      <c r="K611" s="34" t="s">
        <v>918</v>
      </c>
      <c r="L611" s="34">
        <v>600</v>
      </c>
      <c r="M611" s="34"/>
      <c r="N611" s="34" t="str">
        <f t="shared" si="18"/>
        <v>Status(AttackSpeedRate, 600)</v>
      </c>
      <c r="O611" s="34">
        <v>0</v>
      </c>
      <c r="P611" s="34">
        <v>0</v>
      </c>
      <c r="Q611" s="34"/>
      <c r="R611" s="34" t="b">
        <v>1</v>
      </c>
    </row>
    <row r="612" spans="1:18" s="142" customFormat="1">
      <c r="A612" s="39" t="s">
        <v>3436</v>
      </c>
      <c r="B612" s="23"/>
      <c r="C612" s="23"/>
      <c r="D612" s="23">
        <v>0</v>
      </c>
      <c r="E612" s="23">
        <v>1</v>
      </c>
      <c r="F612" s="23" t="s">
        <v>197</v>
      </c>
      <c r="G612" s="23" t="s">
        <v>198</v>
      </c>
      <c r="H612" s="23"/>
      <c r="I612" s="23">
        <v>0</v>
      </c>
      <c r="J612" s="23" t="s">
        <v>838</v>
      </c>
      <c r="K612" s="23" t="s">
        <v>918</v>
      </c>
      <c r="L612" s="23">
        <v>650</v>
      </c>
      <c r="M612" s="23"/>
      <c r="N612" s="23" t="str">
        <f t="shared" si="18"/>
        <v>Status(AttackSpeedRate, 650)</v>
      </c>
      <c r="O612" s="23">
        <v>0</v>
      </c>
      <c r="P612" s="23">
        <v>0</v>
      </c>
      <c r="Q612" s="23"/>
      <c r="R612" s="23" t="b">
        <v>1</v>
      </c>
    </row>
    <row r="613" spans="1:18" s="142" customFormat="1">
      <c r="A613" s="23" t="s">
        <v>3437</v>
      </c>
      <c r="B613" s="23"/>
      <c r="C613" s="23"/>
      <c r="D613" s="23">
        <v>0</v>
      </c>
      <c r="E613" s="23">
        <v>1</v>
      </c>
      <c r="F613" s="23" t="s">
        <v>197</v>
      </c>
      <c r="G613" s="23" t="s">
        <v>198</v>
      </c>
      <c r="H613" s="23"/>
      <c r="I613" s="23">
        <v>0</v>
      </c>
      <c r="J613" s="23" t="s">
        <v>838</v>
      </c>
      <c r="K613" s="23" t="s">
        <v>918</v>
      </c>
      <c r="L613" s="23">
        <v>700</v>
      </c>
      <c r="M613" s="23"/>
      <c r="N613" s="23" t="str">
        <f t="shared" si="18"/>
        <v>Status(AttackSpeedRate, 700)</v>
      </c>
      <c r="O613" s="23">
        <v>0</v>
      </c>
      <c r="P613" s="23">
        <v>0</v>
      </c>
      <c r="Q613" s="23"/>
      <c r="R613" s="23" t="b">
        <v>1</v>
      </c>
    </row>
    <row r="614" spans="1:18" s="142" customFormat="1">
      <c r="A614" s="23" t="s">
        <v>3438</v>
      </c>
      <c r="B614" s="23"/>
      <c r="C614" s="23"/>
      <c r="D614" s="23">
        <v>0</v>
      </c>
      <c r="E614" s="23">
        <v>1</v>
      </c>
      <c r="F614" s="23" t="s">
        <v>197</v>
      </c>
      <c r="G614" s="23" t="s">
        <v>198</v>
      </c>
      <c r="H614" s="23"/>
      <c r="I614" s="23">
        <v>0</v>
      </c>
      <c r="J614" s="23" t="s">
        <v>838</v>
      </c>
      <c r="K614" s="23" t="s">
        <v>918</v>
      </c>
      <c r="L614" s="23">
        <v>800</v>
      </c>
      <c r="M614" s="23"/>
      <c r="N614" s="23" t="str">
        <f t="shared" si="18"/>
        <v>Status(AttackSpeedRate, 800)</v>
      </c>
      <c r="O614" s="23">
        <v>0</v>
      </c>
      <c r="P614" s="23">
        <v>0</v>
      </c>
      <c r="Q614" s="23"/>
      <c r="R614" s="23" t="b">
        <v>1</v>
      </c>
    </row>
    <row r="615" spans="1:18" s="142" customFormat="1">
      <c r="A615" s="23" t="s">
        <v>3439</v>
      </c>
      <c r="B615" s="23"/>
      <c r="C615" s="23"/>
      <c r="D615" s="23">
        <v>0</v>
      </c>
      <c r="E615" s="23">
        <v>1</v>
      </c>
      <c r="F615" s="23" t="s">
        <v>197</v>
      </c>
      <c r="G615" s="23" t="s">
        <v>198</v>
      </c>
      <c r="H615" s="23"/>
      <c r="I615" s="23">
        <v>0</v>
      </c>
      <c r="J615" s="23" t="s">
        <v>838</v>
      </c>
      <c r="K615" s="23" t="s">
        <v>918</v>
      </c>
      <c r="L615" s="23">
        <v>900</v>
      </c>
      <c r="M615" s="23"/>
      <c r="N615" s="23" t="str">
        <f t="shared" si="18"/>
        <v>Status(AttackSpeedRate, 900)</v>
      </c>
      <c r="O615" s="23">
        <v>0</v>
      </c>
      <c r="P615" s="23">
        <v>0</v>
      </c>
      <c r="Q615" s="23"/>
      <c r="R615" s="23" t="b">
        <v>1</v>
      </c>
    </row>
    <row r="616" spans="1:18" s="142" customFormat="1">
      <c r="A616" s="23" t="s">
        <v>3440</v>
      </c>
      <c r="B616" s="23"/>
      <c r="C616" s="23"/>
      <c r="D616" s="23">
        <v>0</v>
      </c>
      <c r="E616" s="23">
        <v>1</v>
      </c>
      <c r="F616" s="23" t="s">
        <v>197</v>
      </c>
      <c r="G616" s="23" t="s">
        <v>198</v>
      </c>
      <c r="H616" s="23"/>
      <c r="I616" s="23">
        <v>0</v>
      </c>
      <c r="J616" s="23" t="s">
        <v>838</v>
      </c>
      <c r="K616" s="23" t="s">
        <v>918</v>
      </c>
      <c r="L616" s="23">
        <v>955</v>
      </c>
      <c r="M616" s="23"/>
      <c r="N616" s="23" t="str">
        <f t="shared" si="18"/>
        <v>Status(AttackSpeedRate, 955)</v>
      </c>
      <c r="O616" s="23">
        <v>0</v>
      </c>
      <c r="P616" s="23">
        <v>0</v>
      </c>
      <c r="Q616" s="23"/>
      <c r="R616" s="23" t="b">
        <v>1</v>
      </c>
    </row>
    <row r="617" spans="1:18">
      <c r="A617" s="34" t="s">
        <v>3441</v>
      </c>
      <c r="B617" s="34"/>
      <c r="C617" s="34"/>
      <c r="D617" s="34">
        <v>0</v>
      </c>
      <c r="E617" s="34">
        <v>1</v>
      </c>
      <c r="F617" s="34" t="s">
        <v>197</v>
      </c>
      <c r="G617" s="34" t="s">
        <v>198</v>
      </c>
      <c r="H617" s="34"/>
      <c r="I617" s="34">
        <v>0</v>
      </c>
      <c r="J617" s="34" t="s">
        <v>838</v>
      </c>
      <c r="K617" s="34" t="s">
        <v>918</v>
      </c>
      <c r="L617" s="34">
        <v>1030</v>
      </c>
      <c r="M617" s="34"/>
      <c r="N617" s="34" t="str">
        <f t="shared" si="18"/>
        <v>Status(AttackSpeedRate, 1030)</v>
      </c>
      <c r="O617" s="34">
        <v>0</v>
      </c>
      <c r="P617" s="34">
        <v>0</v>
      </c>
      <c r="Q617" s="34"/>
      <c r="R617" s="34" t="b">
        <v>1</v>
      </c>
    </row>
    <row r="618" spans="1:18">
      <c r="A618" s="34" t="s">
        <v>4411</v>
      </c>
      <c r="B618" s="34"/>
      <c r="C618" s="34"/>
      <c r="D618" s="34">
        <v>0</v>
      </c>
      <c r="E618" s="34">
        <v>1</v>
      </c>
      <c r="F618" s="34" t="s">
        <v>197</v>
      </c>
      <c r="G618" s="34" t="s">
        <v>198</v>
      </c>
      <c r="H618" s="34"/>
      <c r="I618" s="34">
        <v>0</v>
      </c>
      <c r="J618" s="34" t="s">
        <v>895</v>
      </c>
      <c r="K618" s="34" t="s">
        <v>896</v>
      </c>
      <c r="L618" s="34" t="s">
        <v>7124</v>
      </c>
      <c r="M618" s="34"/>
      <c r="N618" s="34" t="str">
        <f t="shared" si="18"/>
        <v>SkillEffectModifier(Op, ino.ult.B.skilleffect.modifier.01)</v>
      </c>
      <c r="O618" s="34">
        <v>0</v>
      </c>
      <c r="P618" s="34">
        <v>0</v>
      </c>
      <c r="Q618" s="34"/>
      <c r="R618" s="34" t="b">
        <v>1</v>
      </c>
    </row>
    <row r="619" spans="1:18" s="142" customFormat="1">
      <c r="A619" s="39" t="s">
        <v>4412</v>
      </c>
      <c r="B619" s="23"/>
      <c r="C619" s="23"/>
      <c r="D619" s="23">
        <v>0</v>
      </c>
      <c r="E619" s="23">
        <v>1</v>
      </c>
      <c r="F619" s="23" t="s">
        <v>197</v>
      </c>
      <c r="G619" s="23" t="s">
        <v>198</v>
      </c>
      <c r="H619" s="23"/>
      <c r="I619" s="23">
        <v>0</v>
      </c>
      <c r="J619" s="23" t="s">
        <v>895</v>
      </c>
      <c r="K619" s="23" t="s">
        <v>896</v>
      </c>
      <c r="L619" s="23" t="s">
        <v>4417</v>
      </c>
      <c r="M619" s="23"/>
      <c r="N619" s="23" t="str">
        <f t="shared" si="18"/>
        <v>SkillEffectModifier(Op, ino.ult.B.skilleffect.modifier.02)</v>
      </c>
      <c r="O619" s="23">
        <v>0</v>
      </c>
      <c r="P619" s="23">
        <v>0</v>
      </c>
      <c r="Q619" s="23"/>
      <c r="R619" s="23" t="b">
        <v>1</v>
      </c>
    </row>
    <row r="620" spans="1:18" s="142" customFormat="1">
      <c r="A620" s="23" t="s">
        <v>4413</v>
      </c>
      <c r="B620" s="23"/>
      <c r="C620" s="23"/>
      <c r="D620" s="23">
        <v>0</v>
      </c>
      <c r="E620" s="23">
        <v>1</v>
      </c>
      <c r="F620" s="23" t="s">
        <v>197</v>
      </c>
      <c r="G620" s="23" t="s">
        <v>198</v>
      </c>
      <c r="H620" s="23"/>
      <c r="I620" s="23">
        <v>0</v>
      </c>
      <c r="J620" s="23" t="s">
        <v>895</v>
      </c>
      <c r="K620" s="23" t="s">
        <v>896</v>
      </c>
      <c r="L620" s="23" t="s">
        <v>4418</v>
      </c>
      <c r="M620" s="23"/>
      <c r="N620" s="23" t="str">
        <f t="shared" si="18"/>
        <v>SkillEffectModifier(Op, ino.ult.B.skilleffect.modifier.03)</v>
      </c>
      <c r="O620" s="23">
        <v>0</v>
      </c>
      <c r="P620" s="23">
        <v>0</v>
      </c>
      <c r="Q620" s="23"/>
      <c r="R620" s="23" t="b">
        <v>1</v>
      </c>
    </row>
    <row r="621" spans="1:18" s="142" customFormat="1">
      <c r="A621" s="23" t="s">
        <v>4414</v>
      </c>
      <c r="B621" s="23"/>
      <c r="C621" s="23"/>
      <c r="D621" s="23">
        <v>0</v>
      </c>
      <c r="E621" s="23">
        <v>1</v>
      </c>
      <c r="F621" s="23" t="s">
        <v>197</v>
      </c>
      <c r="G621" s="23" t="s">
        <v>198</v>
      </c>
      <c r="H621" s="23"/>
      <c r="I621" s="23">
        <v>0</v>
      </c>
      <c r="J621" s="23" t="s">
        <v>895</v>
      </c>
      <c r="K621" s="23" t="s">
        <v>896</v>
      </c>
      <c r="L621" s="23" t="s">
        <v>4419</v>
      </c>
      <c r="M621" s="23"/>
      <c r="N621" s="23" t="str">
        <f t="shared" si="18"/>
        <v>SkillEffectModifier(Op, ino.ult.B.skilleffect.modifier.04)</v>
      </c>
      <c r="O621" s="23">
        <v>0</v>
      </c>
      <c r="P621" s="23">
        <v>0</v>
      </c>
      <c r="Q621" s="23"/>
      <c r="R621" s="23" t="b">
        <v>1</v>
      </c>
    </row>
    <row r="622" spans="1:18" s="142" customFormat="1">
      <c r="A622" s="23" t="s">
        <v>4415</v>
      </c>
      <c r="B622" s="23"/>
      <c r="C622" s="23"/>
      <c r="D622" s="23">
        <v>0</v>
      </c>
      <c r="E622" s="23">
        <v>1</v>
      </c>
      <c r="F622" s="23" t="s">
        <v>197</v>
      </c>
      <c r="G622" s="23" t="s">
        <v>198</v>
      </c>
      <c r="H622" s="23"/>
      <c r="I622" s="23">
        <v>0</v>
      </c>
      <c r="J622" s="23" t="s">
        <v>895</v>
      </c>
      <c r="K622" s="23" t="s">
        <v>896</v>
      </c>
      <c r="L622" s="23" t="s">
        <v>4420</v>
      </c>
      <c r="M622" s="23"/>
      <c r="N622" s="23" t="str">
        <f t="shared" si="18"/>
        <v>SkillEffectModifier(Op, ino.ult.B.skilleffect.modifier.05)</v>
      </c>
      <c r="O622" s="23">
        <v>0</v>
      </c>
      <c r="P622" s="23">
        <v>0</v>
      </c>
      <c r="Q622" s="23"/>
      <c r="R622" s="23" t="b">
        <v>1</v>
      </c>
    </row>
    <row r="623" spans="1:18" s="142" customFormat="1">
      <c r="A623" s="23" t="s">
        <v>4416</v>
      </c>
      <c r="B623" s="23"/>
      <c r="C623" s="23"/>
      <c r="D623" s="23">
        <v>0</v>
      </c>
      <c r="E623" s="23">
        <v>1</v>
      </c>
      <c r="F623" s="23" t="s">
        <v>197</v>
      </c>
      <c r="G623" s="23" t="s">
        <v>198</v>
      </c>
      <c r="H623" s="23"/>
      <c r="I623" s="23">
        <v>0</v>
      </c>
      <c r="J623" s="23" t="s">
        <v>895</v>
      </c>
      <c r="K623" s="23" t="s">
        <v>896</v>
      </c>
      <c r="L623" s="23" t="s">
        <v>4421</v>
      </c>
      <c r="M623" s="23"/>
      <c r="N623" s="23" t="str">
        <f t="shared" si="18"/>
        <v>SkillEffectModifier(Op, ino.ult.B.skilleffect.modifier.06)</v>
      </c>
      <c r="O623" s="23">
        <v>0</v>
      </c>
      <c r="P623" s="23">
        <v>0</v>
      </c>
      <c r="Q623" s="23"/>
      <c r="R623" s="23" t="b">
        <v>1</v>
      </c>
    </row>
    <row r="624" spans="1:18">
      <c r="A624" s="34" t="s">
        <v>7125</v>
      </c>
      <c r="B624" s="34"/>
      <c r="C624" s="34"/>
      <c r="D624" s="34">
        <v>0</v>
      </c>
      <c r="E624" s="34">
        <v>1</v>
      </c>
      <c r="F624" s="34" t="s">
        <v>197</v>
      </c>
      <c r="G624" s="34" t="s">
        <v>198</v>
      </c>
      <c r="H624" s="34"/>
      <c r="I624" s="34">
        <v>0</v>
      </c>
      <c r="J624" s="34" t="s">
        <v>191</v>
      </c>
      <c r="K624" s="34" t="s">
        <v>927</v>
      </c>
      <c r="L624" s="34" t="s">
        <v>7126</v>
      </c>
      <c r="M624" s="34"/>
      <c r="N624" s="34" t="str">
        <f t="shared" si="18"/>
        <v>Effect(OnHitNormal, ino.passive.buff.buffeffect.skilleffect.01.01)</v>
      </c>
      <c r="O624" s="34">
        <v>0</v>
      </c>
      <c r="P624" s="34">
        <v>0</v>
      </c>
      <c r="Q624" s="34"/>
      <c r="R624" s="34" t="b">
        <v>1</v>
      </c>
    </row>
    <row r="625" spans="1:18">
      <c r="A625" s="34" t="s">
        <v>4110</v>
      </c>
      <c r="B625" s="34"/>
      <c r="C625" s="34"/>
      <c r="D625" s="34">
        <v>0</v>
      </c>
      <c r="E625" s="34">
        <v>1</v>
      </c>
      <c r="F625" s="34" t="s">
        <v>197</v>
      </c>
      <c r="G625" s="34" t="s">
        <v>198</v>
      </c>
      <c r="H625" s="34"/>
      <c r="I625" s="34">
        <v>0</v>
      </c>
      <c r="J625" s="34" t="s">
        <v>191</v>
      </c>
      <c r="K625" s="34" t="s">
        <v>927</v>
      </c>
      <c r="L625" s="34" t="s">
        <v>4115</v>
      </c>
      <c r="M625" s="34"/>
      <c r="N625" s="34" t="str">
        <f t="shared" si="18"/>
        <v>Effect(OnHitNormal, ino.passive.buff.buffeffect.skilleffect.01.02)</v>
      </c>
      <c r="O625" s="34">
        <v>0</v>
      </c>
      <c r="P625" s="34">
        <v>0</v>
      </c>
      <c r="Q625" s="34"/>
      <c r="R625" s="34" t="b">
        <v>1</v>
      </c>
    </row>
    <row r="626" spans="1:18" s="142" customFormat="1">
      <c r="A626" s="39" t="s">
        <v>4111</v>
      </c>
      <c r="B626" s="23"/>
      <c r="C626" s="23"/>
      <c r="D626" s="23">
        <v>0</v>
      </c>
      <c r="E626" s="23">
        <v>1</v>
      </c>
      <c r="F626" s="23" t="s">
        <v>197</v>
      </c>
      <c r="G626" s="23" t="s">
        <v>198</v>
      </c>
      <c r="H626" s="23"/>
      <c r="I626" s="23">
        <v>0</v>
      </c>
      <c r="J626" s="23" t="s">
        <v>191</v>
      </c>
      <c r="K626" s="23" t="s">
        <v>927</v>
      </c>
      <c r="L626" s="23" t="s">
        <v>4116</v>
      </c>
      <c r="M626" s="23"/>
      <c r="N626" s="23" t="str">
        <f t="shared" si="18"/>
        <v>Effect(OnHitNormal, ino.passive.buff.buffeffect.skilleffect.01.03)</v>
      </c>
      <c r="O626" s="23">
        <v>0</v>
      </c>
      <c r="P626" s="23">
        <v>0</v>
      </c>
      <c r="Q626" s="23"/>
      <c r="R626" s="23" t="b">
        <v>1</v>
      </c>
    </row>
    <row r="627" spans="1:18" s="142" customFormat="1">
      <c r="A627" s="23" t="s">
        <v>4112</v>
      </c>
      <c r="B627" s="23"/>
      <c r="C627" s="23"/>
      <c r="D627" s="23">
        <v>0</v>
      </c>
      <c r="E627" s="23">
        <v>1</v>
      </c>
      <c r="F627" s="23" t="s">
        <v>197</v>
      </c>
      <c r="G627" s="23" t="s">
        <v>198</v>
      </c>
      <c r="H627" s="23"/>
      <c r="I627" s="23">
        <v>0</v>
      </c>
      <c r="J627" s="23" t="s">
        <v>191</v>
      </c>
      <c r="K627" s="23" t="s">
        <v>927</v>
      </c>
      <c r="L627" s="23" t="s">
        <v>4117</v>
      </c>
      <c r="M627" s="23"/>
      <c r="N627" s="23" t="str">
        <f t="shared" si="18"/>
        <v>Effect(OnHitNormal, ino.passive.buff.buffeffect.skilleffect.01.04)</v>
      </c>
      <c r="O627" s="23">
        <v>0</v>
      </c>
      <c r="P627" s="23">
        <v>0</v>
      </c>
      <c r="Q627" s="23"/>
      <c r="R627" s="23" t="b">
        <v>1</v>
      </c>
    </row>
    <row r="628" spans="1:18" s="142" customFormat="1">
      <c r="A628" s="23" t="s">
        <v>4113</v>
      </c>
      <c r="B628" s="23"/>
      <c r="C628" s="23"/>
      <c r="D628" s="23">
        <v>0</v>
      </c>
      <c r="E628" s="23">
        <v>1</v>
      </c>
      <c r="F628" s="23" t="s">
        <v>197</v>
      </c>
      <c r="G628" s="23" t="s">
        <v>198</v>
      </c>
      <c r="H628" s="23"/>
      <c r="I628" s="23">
        <v>0</v>
      </c>
      <c r="J628" s="23" t="s">
        <v>191</v>
      </c>
      <c r="K628" s="23" t="s">
        <v>927</v>
      </c>
      <c r="L628" s="23" t="s">
        <v>4118</v>
      </c>
      <c r="M628" s="23"/>
      <c r="N628" s="23" t="str">
        <f t="shared" si="18"/>
        <v>Effect(OnHitNormal, ino.passive.buff.buffeffect.skilleffect.01.05)</v>
      </c>
      <c r="O628" s="23">
        <v>0</v>
      </c>
      <c r="P628" s="23">
        <v>0</v>
      </c>
      <c r="Q628" s="23"/>
      <c r="R628" s="23" t="b">
        <v>1</v>
      </c>
    </row>
    <row r="629" spans="1:18" s="142" customFormat="1">
      <c r="A629" s="23" t="s">
        <v>4114</v>
      </c>
      <c r="B629" s="23"/>
      <c r="C629" s="23"/>
      <c r="D629" s="23">
        <v>0</v>
      </c>
      <c r="E629" s="23">
        <v>1</v>
      </c>
      <c r="F629" s="23" t="s">
        <v>197</v>
      </c>
      <c r="G629" s="23" t="s">
        <v>198</v>
      </c>
      <c r="H629" s="23"/>
      <c r="I629" s="23">
        <v>0</v>
      </c>
      <c r="J629" s="23" t="s">
        <v>191</v>
      </c>
      <c r="K629" s="23" t="s">
        <v>927</v>
      </c>
      <c r="L629" s="23" t="s">
        <v>4119</v>
      </c>
      <c r="M629" s="23"/>
      <c r="N629" s="23" t="str">
        <f t="shared" si="18"/>
        <v>Effect(OnHitNormal, ino.passive.buff.buffeffect.skilleffect.01.06)</v>
      </c>
      <c r="O629" s="23">
        <v>0</v>
      </c>
      <c r="P629" s="23">
        <v>0</v>
      </c>
      <c r="Q629" s="23"/>
      <c r="R629" s="23" t="b">
        <v>1</v>
      </c>
    </row>
    <row r="630" spans="1:18" s="142" customFormat="1">
      <c r="A630" s="23" t="s">
        <v>7127</v>
      </c>
      <c r="B630" s="23"/>
      <c r="C630" s="23"/>
      <c r="D630" s="23">
        <v>0</v>
      </c>
      <c r="E630" s="23">
        <v>1</v>
      </c>
      <c r="F630" s="23" t="s">
        <v>197</v>
      </c>
      <c r="G630" s="23" t="s">
        <v>198</v>
      </c>
      <c r="H630" s="23"/>
      <c r="I630" s="23">
        <v>0</v>
      </c>
      <c r="J630" s="23" t="s">
        <v>191</v>
      </c>
      <c r="K630" s="23" t="s">
        <v>927</v>
      </c>
      <c r="L630" s="23" t="s">
        <v>7128</v>
      </c>
      <c r="M630" s="23"/>
      <c r="N630" s="23" t="str">
        <f t="shared" si="18"/>
        <v>Effect(OnHitNormal, ino.passive.buff.buffeffect.skilleffect.02.01)</v>
      </c>
      <c r="O630" s="23">
        <v>0</v>
      </c>
      <c r="P630" s="23">
        <v>0</v>
      </c>
      <c r="Q630" s="23"/>
      <c r="R630" s="23" t="b">
        <v>1</v>
      </c>
    </row>
    <row r="631" spans="1:18">
      <c r="A631" s="34" t="s">
        <v>4120</v>
      </c>
      <c r="B631" s="34"/>
      <c r="C631" s="34"/>
      <c r="D631" s="34">
        <v>0</v>
      </c>
      <c r="E631" s="34">
        <v>1</v>
      </c>
      <c r="F631" s="34" t="s">
        <v>197</v>
      </c>
      <c r="G631" s="34" t="s">
        <v>198</v>
      </c>
      <c r="H631" s="34"/>
      <c r="I631" s="34">
        <v>0</v>
      </c>
      <c r="J631" s="34" t="s">
        <v>191</v>
      </c>
      <c r="K631" s="34" t="s">
        <v>927</v>
      </c>
      <c r="L631" s="34" t="s">
        <v>4125</v>
      </c>
      <c r="M631" s="34"/>
      <c r="N631" s="34" t="str">
        <f t="shared" si="18"/>
        <v>Effect(OnHitNormal, ino.passive.buff.buffeffect.skilleffect.02.02)</v>
      </c>
      <c r="O631" s="34">
        <v>0</v>
      </c>
      <c r="P631" s="34">
        <v>0</v>
      </c>
      <c r="Q631" s="34"/>
      <c r="R631" s="34" t="b">
        <v>1</v>
      </c>
    </row>
    <row r="632" spans="1:18">
      <c r="A632" s="23" t="s">
        <v>4121</v>
      </c>
      <c r="B632" s="23"/>
      <c r="C632" s="23"/>
      <c r="D632" s="23">
        <v>0</v>
      </c>
      <c r="E632" s="23">
        <v>1</v>
      </c>
      <c r="F632" s="23" t="s">
        <v>197</v>
      </c>
      <c r="G632" s="23" t="s">
        <v>198</v>
      </c>
      <c r="H632" s="23"/>
      <c r="I632" s="23">
        <v>0</v>
      </c>
      <c r="J632" s="23" t="s">
        <v>191</v>
      </c>
      <c r="K632" s="23" t="s">
        <v>927</v>
      </c>
      <c r="L632" s="23" t="s">
        <v>4126</v>
      </c>
      <c r="M632" s="23"/>
      <c r="N632" s="23" t="str">
        <f t="shared" si="18"/>
        <v>Effect(OnHitNormal, ino.passive.buff.buffeffect.skilleffect.02.03)</v>
      </c>
      <c r="O632" s="23">
        <v>0</v>
      </c>
      <c r="P632" s="23">
        <v>0</v>
      </c>
      <c r="Q632" s="23"/>
      <c r="R632" s="23" t="b">
        <v>1</v>
      </c>
    </row>
    <row r="633" spans="1:18">
      <c r="A633" s="23" t="s">
        <v>4122</v>
      </c>
      <c r="B633" s="23"/>
      <c r="C633" s="23"/>
      <c r="D633" s="23">
        <v>0</v>
      </c>
      <c r="E633" s="23">
        <v>1</v>
      </c>
      <c r="F633" s="23" t="s">
        <v>197</v>
      </c>
      <c r="G633" s="23" t="s">
        <v>198</v>
      </c>
      <c r="H633" s="23"/>
      <c r="I633" s="23">
        <v>0</v>
      </c>
      <c r="J633" s="23" t="s">
        <v>191</v>
      </c>
      <c r="K633" s="23" t="s">
        <v>927</v>
      </c>
      <c r="L633" s="23" t="s">
        <v>4127</v>
      </c>
      <c r="M633" s="23"/>
      <c r="N633" s="23" t="str">
        <f t="shared" si="18"/>
        <v>Effect(OnHitNormal, ino.passive.buff.buffeffect.skilleffect.02.04)</v>
      </c>
      <c r="O633" s="23">
        <v>0</v>
      </c>
      <c r="P633" s="23">
        <v>0</v>
      </c>
      <c r="Q633" s="23"/>
      <c r="R633" s="23" t="b">
        <v>1</v>
      </c>
    </row>
    <row r="634" spans="1:18">
      <c r="A634" s="23" t="s">
        <v>4123</v>
      </c>
      <c r="B634" s="23"/>
      <c r="C634" s="23"/>
      <c r="D634" s="23">
        <v>0</v>
      </c>
      <c r="E634" s="23">
        <v>1</v>
      </c>
      <c r="F634" s="23" t="s">
        <v>197</v>
      </c>
      <c r="G634" s="23" t="s">
        <v>198</v>
      </c>
      <c r="H634" s="23"/>
      <c r="I634" s="23">
        <v>0</v>
      </c>
      <c r="J634" s="23" t="s">
        <v>191</v>
      </c>
      <c r="K634" s="23" t="s">
        <v>927</v>
      </c>
      <c r="L634" s="23" t="s">
        <v>4128</v>
      </c>
      <c r="M634" s="23"/>
      <c r="N634" s="23" t="str">
        <f t="shared" si="18"/>
        <v>Effect(OnHitNormal, ino.passive.buff.buffeffect.skilleffect.02.05)</v>
      </c>
      <c r="O634" s="23">
        <v>0</v>
      </c>
      <c r="P634" s="23">
        <v>0</v>
      </c>
      <c r="Q634" s="23"/>
      <c r="R634" s="23" t="b">
        <v>1</v>
      </c>
    </row>
    <row r="635" spans="1:18">
      <c r="A635" s="34" t="s">
        <v>4124</v>
      </c>
      <c r="B635" s="34"/>
      <c r="C635" s="34"/>
      <c r="D635" s="34">
        <v>0</v>
      </c>
      <c r="E635" s="34">
        <v>1</v>
      </c>
      <c r="F635" s="34" t="s">
        <v>197</v>
      </c>
      <c r="G635" s="34" t="s">
        <v>198</v>
      </c>
      <c r="H635" s="34"/>
      <c r="I635" s="34">
        <v>0</v>
      </c>
      <c r="J635" s="34" t="s">
        <v>191</v>
      </c>
      <c r="K635" s="34" t="s">
        <v>927</v>
      </c>
      <c r="L635" s="34" t="s">
        <v>4129</v>
      </c>
      <c r="M635" s="34"/>
      <c r="N635" s="34" t="str">
        <f t="shared" si="18"/>
        <v>Effect(OnHitNormal, ino.passive.buff.buffeffect.skilleffect.02.06)</v>
      </c>
      <c r="O635" s="34">
        <v>0</v>
      </c>
      <c r="P635" s="34">
        <v>0</v>
      </c>
      <c r="Q635" s="34"/>
      <c r="R635" s="34" t="b">
        <v>1</v>
      </c>
    </row>
    <row r="636" spans="1:18">
      <c r="A636" s="34" t="s">
        <v>7129</v>
      </c>
      <c r="B636" s="34"/>
      <c r="C636" s="34"/>
      <c r="D636" s="34">
        <v>0</v>
      </c>
      <c r="E636" s="34">
        <v>1</v>
      </c>
      <c r="F636" s="34" t="s">
        <v>197</v>
      </c>
      <c r="G636" s="34" t="s">
        <v>198</v>
      </c>
      <c r="H636" s="34"/>
      <c r="I636" s="34">
        <v>0</v>
      </c>
      <c r="J636" s="34" t="s">
        <v>191</v>
      </c>
      <c r="K636" s="34" t="s">
        <v>927</v>
      </c>
      <c r="L636" s="34" t="s">
        <v>7130</v>
      </c>
      <c r="M636" s="34"/>
      <c r="N636" s="34" t="str">
        <f t="shared" si="18"/>
        <v>Effect(OnHitNormal, ino.passive.ex.buff.buffeffect.skilleffect.01.01)</v>
      </c>
      <c r="O636" s="34">
        <v>0</v>
      </c>
      <c r="P636" s="34">
        <v>0</v>
      </c>
      <c r="Q636" s="34"/>
      <c r="R636" s="34" t="b">
        <v>1</v>
      </c>
    </row>
    <row r="637" spans="1:18">
      <c r="A637" s="34" t="s">
        <v>3574</v>
      </c>
      <c r="B637" s="34"/>
      <c r="C637" s="34"/>
      <c r="D637" s="34">
        <v>0</v>
      </c>
      <c r="E637" s="34">
        <v>1</v>
      </c>
      <c r="F637" s="34" t="s">
        <v>197</v>
      </c>
      <c r="G637" s="34" t="s">
        <v>198</v>
      </c>
      <c r="H637" s="34"/>
      <c r="I637" s="34">
        <v>0</v>
      </c>
      <c r="J637" s="34" t="s">
        <v>191</v>
      </c>
      <c r="K637" s="34" t="s">
        <v>927</v>
      </c>
      <c r="L637" s="34" t="s">
        <v>3579</v>
      </c>
      <c r="M637" s="34"/>
      <c r="N637" s="34" t="str">
        <f t="shared" si="18"/>
        <v>Effect(OnHitNormal, ino.passive.ex.buff.buffeffect.skilleffect.01.02)</v>
      </c>
      <c r="O637" s="34">
        <v>0</v>
      </c>
      <c r="P637" s="34">
        <v>0</v>
      </c>
      <c r="Q637" s="34"/>
      <c r="R637" s="34" t="b">
        <v>1</v>
      </c>
    </row>
    <row r="638" spans="1:18">
      <c r="A638" s="23" t="s">
        <v>3575</v>
      </c>
      <c r="B638" s="23"/>
      <c r="C638" s="23"/>
      <c r="D638" s="23">
        <v>0</v>
      </c>
      <c r="E638" s="23">
        <v>1</v>
      </c>
      <c r="F638" s="23" t="s">
        <v>197</v>
      </c>
      <c r="G638" s="23" t="s">
        <v>198</v>
      </c>
      <c r="H638" s="23"/>
      <c r="I638" s="23">
        <v>0</v>
      </c>
      <c r="J638" s="23" t="s">
        <v>191</v>
      </c>
      <c r="K638" s="23" t="s">
        <v>927</v>
      </c>
      <c r="L638" s="23" t="s">
        <v>3580</v>
      </c>
      <c r="M638" s="23"/>
      <c r="N638" s="23" t="str">
        <f t="shared" si="18"/>
        <v>Effect(OnHitNormal, ino.passive.ex.buff.buffeffect.skilleffect.01.03)</v>
      </c>
      <c r="O638" s="23">
        <v>0</v>
      </c>
      <c r="P638" s="23">
        <v>0</v>
      </c>
      <c r="Q638" s="23"/>
      <c r="R638" s="23" t="b">
        <v>1</v>
      </c>
    </row>
    <row r="639" spans="1:18">
      <c r="A639" s="23" t="s">
        <v>3576</v>
      </c>
      <c r="B639" s="23"/>
      <c r="C639" s="23"/>
      <c r="D639" s="23">
        <v>0</v>
      </c>
      <c r="E639" s="23">
        <v>1</v>
      </c>
      <c r="F639" s="23" t="s">
        <v>197</v>
      </c>
      <c r="G639" s="23" t="s">
        <v>198</v>
      </c>
      <c r="H639" s="23"/>
      <c r="I639" s="23">
        <v>0</v>
      </c>
      <c r="J639" s="23" t="s">
        <v>191</v>
      </c>
      <c r="K639" s="23" t="s">
        <v>927</v>
      </c>
      <c r="L639" s="23" t="s">
        <v>3581</v>
      </c>
      <c r="M639" s="23"/>
      <c r="N639" s="23" t="str">
        <f t="shared" si="18"/>
        <v>Effect(OnHitNormal, ino.passive.ex.buff.buffeffect.skilleffect.01.04)</v>
      </c>
      <c r="O639" s="23">
        <v>0</v>
      </c>
      <c r="P639" s="23">
        <v>0</v>
      </c>
      <c r="Q639" s="23"/>
      <c r="R639" s="23" t="b">
        <v>1</v>
      </c>
    </row>
    <row r="640" spans="1:18">
      <c r="A640" s="23" t="s">
        <v>3577</v>
      </c>
      <c r="B640" s="23"/>
      <c r="C640" s="23"/>
      <c r="D640" s="23">
        <v>0</v>
      </c>
      <c r="E640" s="23">
        <v>1</v>
      </c>
      <c r="F640" s="23" t="s">
        <v>197</v>
      </c>
      <c r="G640" s="23" t="s">
        <v>198</v>
      </c>
      <c r="H640" s="23"/>
      <c r="I640" s="23">
        <v>0</v>
      </c>
      <c r="J640" s="23" t="s">
        <v>191</v>
      </c>
      <c r="K640" s="23" t="s">
        <v>927</v>
      </c>
      <c r="L640" s="23" t="s">
        <v>3582</v>
      </c>
      <c r="M640" s="23"/>
      <c r="N640" s="23" t="str">
        <f t="shared" si="18"/>
        <v>Effect(OnHitNormal, ino.passive.ex.buff.buffeffect.skilleffect.01.05)</v>
      </c>
      <c r="O640" s="23">
        <v>0</v>
      </c>
      <c r="P640" s="23">
        <v>0</v>
      </c>
      <c r="Q640" s="23"/>
      <c r="R640" s="23" t="b">
        <v>1</v>
      </c>
    </row>
    <row r="641" spans="1:18">
      <c r="A641" s="34" t="s">
        <v>3578</v>
      </c>
      <c r="B641" s="34"/>
      <c r="C641" s="34"/>
      <c r="D641" s="34">
        <v>0</v>
      </c>
      <c r="E641" s="34">
        <v>1</v>
      </c>
      <c r="F641" s="34" t="s">
        <v>197</v>
      </c>
      <c r="G641" s="34" t="s">
        <v>198</v>
      </c>
      <c r="H641" s="34"/>
      <c r="I641" s="34">
        <v>0</v>
      </c>
      <c r="J641" s="34" t="s">
        <v>191</v>
      </c>
      <c r="K641" s="34" t="s">
        <v>927</v>
      </c>
      <c r="L641" s="34" t="s">
        <v>3583</v>
      </c>
      <c r="M641" s="34"/>
      <c r="N641" s="34" t="str">
        <f t="shared" si="18"/>
        <v>Effect(OnHitNormal, ino.passive.ex.buff.buffeffect.skilleffect.01.06)</v>
      </c>
      <c r="O641" s="34">
        <v>0</v>
      </c>
      <c r="P641" s="34">
        <v>0</v>
      </c>
      <c r="Q641" s="34"/>
      <c r="R641" s="34" t="b">
        <v>1</v>
      </c>
    </row>
    <row r="642" spans="1:18">
      <c r="A642" s="34" t="s">
        <v>7131</v>
      </c>
      <c r="B642" s="34"/>
      <c r="C642" s="34"/>
      <c r="D642" s="34">
        <v>0</v>
      </c>
      <c r="E642" s="34">
        <v>1</v>
      </c>
      <c r="F642" s="34" t="s">
        <v>197</v>
      </c>
      <c r="G642" s="34" t="s">
        <v>198</v>
      </c>
      <c r="H642" s="34"/>
      <c r="I642" s="34">
        <v>0</v>
      </c>
      <c r="J642" s="34" t="s">
        <v>191</v>
      </c>
      <c r="K642" s="34" t="s">
        <v>927</v>
      </c>
      <c r="L642" s="34" t="s">
        <v>7132</v>
      </c>
      <c r="M642" s="34"/>
      <c r="N642" s="34" t="str">
        <f t="shared" si="18"/>
        <v>Effect(OnHitNormal, ino.passive.ex.buff.buffeffect.skilleffect.02.01)</v>
      </c>
      <c r="O642" s="34">
        <v>0</v>
      </c>
      <c r="P642" s="34">
        <v>0</v>
      </c>
      <c r="Q642" s="34"/>
      <c r="R642" s="34" t="b">
        <v>1</v>
      </c>
    </row>
    <row r="643" spans="1:18">
      <c r="A643" s="34" t="s">
        <v>4130</v>
      </c>
      <c r="B643" s="34"/>
      <c r="C643" s="34"/>
      <c r="D643" s="34">
        <v>0</v>
      </c>
      <c r="E643" s="34">
        <v>1</v>
      </c>
      <c r="F643" s="34" t="s">
        <v>197</v>
      </c>
      <c r="G643" s="34" t="s">
        <v>198</v>
      </c>
      <c r="H643" s="34"/>
      <c r="I643" s="34">
        <v>0</v>
      </c>
      <c r="J643" s="34" t="s">
        <v>191</v>
      </c>
      <c r="K643" s="34" t="s">
        <v>927</v>
      </c>
      <c r="L643" s="34" t="s">
        <v>4135</v>
      </c>
      <c r="M643" s="34"/>
      <c r="N643" s="34" t="str">
        <f t="shared" si="18"/>
        <v>Effect(OnHitNormal, ino.passive.ex.buff.buffeffect.skilleffect.02.02)</v>
      </c>
      <c r="O643" s="34">
        <v>0</v>
      </c>
      <c r="P643" s="34">
        <v>0</v>
      </c>
      <c r="Q643" s="34"/>
      <c r="R643" s="34" t="b">
        <v>1</v>
      </c>
    </row>
    <row r="644" spans="1:18">
      <c r="A644" s="23" t="s">
        <v>4131</v>
      </c>
      <c r="B644" s="23"/>
      <c r="C644" s="23"/>
      <c r="D644" s="23">
        <v>0</v>
      </c>
      <c r="E644" s="23">
        <v>1</v>
      </c>
      <c r="F644" s="23" t="s">
        <v>197</v>
      </c>
      <c r="G644" s="23" t="s">
        <v>198</v>
      </c>
      <c r="H644" s="23"/>
      <c r="I644" s="23">
        <v>0</v>
      </c>
      <c r="J644" s="23" t="s">
        <v>191</v>
      </c>
      <c r="K644" s="23" t="s">
        <v>927</v>
      </c>
      <c r="L644" s="23" t="s">
        <v>4136</v>
      </c>
      <c r="M644" s="23"/>
      <c r="N644" s="23" t="str">
        <f t="shared" si="18"/>
        <v>Effect(OnHitNormal, ino.passive.ex.buff.buffeffect.skilleffect.02.03)</v>
      </c>
      <c r="O644" s="23">
        <v>0</v>
      </c>
      <c r="P644" s="23">
        <v>0</v>
      </c>
      <c r="Q644" s="23"/>
      <c r="R644" s="23" t="b">
        <v>1</v>
      </c>
    </row>
    <row r="645" spans="1:18">
      <c r="A645" s="23" t="s">
        <v>4132</v>
      </c>
      <c r="B645" s="23"/>
      <c r="C645" s="23"/>
      <c r="D645" s="23">
        <v>0</v>
      </c>
      <c r="E645" s="23">
        <v>1</v>
      </c>
      <c r="F645" s="23" t="s">
        <v>197</v>
      </c>
      <c r="G645" s="23" t="s">
        <v>198</v>
      </c>
      <c r="H645" s="23"/>
      <c r="I645" s="23">
        <v>0</v>
      </c>
      <c r="J645" s="23" t="s">
        <v>191</v>
      </c>
      <c r="K645" s="23" t="s">
        <v>927</v>
      </c>
      <c r="L645" s="23" t="s">
        <v>4137</v>
      </c>
      <c r="M645" s="23"/>
      <c r="N645" s="23" t="str">
        <f t="shared" si="18"/>
        <v>Effect(OnHitNormal, ino.passive.ex.buff.buffeffect.skilleffect.02.04)</v>
      </c>
      <c r="O645" s="23">
        <v>0</v>
      </c>
      <c r="P645" s="23">
        <v>0</v>
      </c>
      <c r="Q645" s="23"/>
      <c r="R645" s="23" t="b">
        <v>1</v>
      </c>
    </row>
    <row r="646" spans="1:18">
      <c r="A646" s="23" t="s">
        <v>4133</v>
      </c>
      <c r="B646" s="23"/>
      <c r="C646" s="23"/>
      <c r="D646" s="23">
        <v>0</v>
      </c>
      <c r="E646" s="23">
        <v>1</v>
      </c>
      <c r="F646" s="23" t="s">
        <v>197</v>
      </c>
      <c r="G646" s="23" t="s">
        <v>198</v>
      </c>
      <c r="H646" s="23"/>
      <c r="I646" s="23">
        <v>0</v>
      </c>
      <c r="J646" s="23" t="s">
        <v>191</v>
      </c>
      <c r="K646" s="23" t="s">
        <v>927</v>
      </c>
      <c r="L646" s="23" t="s">
        <v>4138</v>
      </c>
      <c r="M646" s="23"/>
      <c r="N646" s="23" t="str">
        <f t="shared" si="18"/>
        <v>Effect(OnHitNormal, ino.passive.ex.buff.buffeffect.skilleffect.02.05)</v>
      </c>
      <c r="O646" s="23">
        <v>0</v>
      </c>
      <c r="P646" s="23">
        <v>0</v>
      </c>
      <c r="Q646" s="23"/>
      <c r="R646" s="23" t="b">
        <v>1</v>
      </c>
    </row>
    <row r="647" spans="1:18">
      <c r="A647" s="34" t="s">
        <v>4134</v>
      </c>
      <c r="B647" s="34"/>
      <c r="C647" s="34"/>
      <c r="D647" s="34">
        <v>0</v>
      </c>
      <c r="E647" s="34">
        <v>1</v>
      </c>
      <c r="F647" s="34" t="s">
        <v>197</v>
      </c>
      <c r="G647" s="34" t="s">
        <v>198</v>
      </c>
      <c r="H647" s="34"/>
      <c r="I647" s="34">
        <v>0</v>
      </c>
      <c r="J647" s="34" t="s">
        <v>191</v>
      </c>
      <c r="K647" s="34" t="s">
        <v>927</v>
      </c>
      <c r="L647" s="34" t="s">
        <v>4139</v>
      </c>
      <c r="M647" s="34"/>
      <c r="N647" s="34" t="str">
        <f t="shared" si="18"/>
        <v>Effect(OnHitNormal, ino.passive.ex.buff.buffeffect.skilleffect.02.06)</v>
      </c>
      <c r="O647" s="34">
        <v>0</v>
      </c>
      <c r="P647" s="34">
        <v>0</v>
      </c>
      <c r="Q647" s="34"/>
      <c r="R647" s="34" t="b">
        <v>1</v>
      </c>
    </row>
    <row r="648" spans="1:18">
      <c r="A648" s="34" t="s">
        <v>4140</v>
      </c>
      <c r="B648" s="34"/>
      <c r="C648" s="34"/>
      <c r="D648" s="34">
        <v>0</v>
      </c>
      <c r="E648" s="34">
        <v>1</v>
      </c>
      <c r="F648" s="34" t="s">
        <v>197</v>
      </c>
      <c r="G648" s="34" t="s">
        <v>198</v>
      </c>
      <c r="H648" s="34"/>
      <c r="I648" s="34">
        <v>0</v>
      </c>
      <c r="J648" s="34" t="s">
        <v>837</v>
      </c>
      <c r="K648" s="34"/>
      <c r="L648" s="34"/>
      <c r="M648" s="34"/>
      <c r="N648" s="34" t="str">
        <f t="shared" si="18"/>
        <v>None()</v>
      </c>
      <c r="O648" s="34">
        <v>0</v>
      </c>
      <c r="P648" s="34">
        <v>0</v>
      </c>
      <c r="Q648" s="34"/>
      <c r="R648" s="34" t="b">
        <v>1</v>
      </c>
    </row>
    <row r="649" spans="1:18">
      <c r="A649" s="34" t="s">
        <v>730</v>
      </c>
      <c r="B649" s="34"/>
      <c r="C649" s="34"/>
      <c r="D649" s="34">
        <v>0</v>
      </c>
      <c r="E649" s="34">
        <v>1</v>
      </c>
      <c r="F649" s="34" t="s">
        <v>197</v>
      </c>
      <c r="G649" s="34" t="s">
        <v>198</v>
      </c>
      <c r="H649" s="34"/>
      <c r="I649" s="34">
        <v>0</v>
      </c>
      <c r="J649" s="34" t="s">
        <v>191</v>
      </c>
      <c r="K649" s="34" t="s">
        <v>927</v>
      </c>
      <c r="L649" s="34" t="s">
        <v>7133</v>
      </c>
      <c r="M649" s="34"/>
      <c r="N649" s="34" t="str">
        <f t="shared" si="18"/>
        <v>Effect(OnHitNormal, mana.passive.buff.buffeffect.skilleffect.01)</v>
      </c>
      <c r="O649" s="34">
        <v>0</v>
      </c>
      <c r="P649" s="34">
        <v>0</v>
      </c>
      <c r="Q649" s="34"/>
      <c r="R649" s="34" t="b">
        <v>1</v>
      </c>
    </row>
    <row r="650" spans="1:18">
      <c r="A650" s="23" t="s">
        <v>732</v>
      </c>
      <c r="B650" s="23"/>
      <c r="C650" s="23"/>
      <c r="D650" s="23">
        <v>0</v>
      </c>
      <c r="E650" s="23">
        <v>1</v>
      </c>
      <c r="F650" s="23" t="s">
        <v>197</v>
      </c>
      <c r="G650" s="23" t="s">
        <v>198</v>
      </c>
      <c r="H650" s="23"/>
      <c r="I650" s="23">
        <v>0</v>
      </c>
      <c r="J650" s="23" t="s">
        <v>191</v>
      </c>
      <c r="K650" s="23" t="s">
        <v>927</v>
      </c>
      <c r="L650" s="23" t="s">
        <v>975</v>
      </c>
      <c r="M650" s="23"/>
      <c r="N650" s="23" t="str">
        <f t="shared" si="18"/>
        <v>Effect(OnHitNormal, mana.passive.buff.buffeffect.skilleffect.02)</v>
      </c>
      <c r="O650" s="23">
        <v>0</v>
      </c>
      <c r="P650" s="23">
        <v>0</v>
      </c>
      <c r="Q650" s="23"/>
      <c r="R650" s="23" t="b">
        <v>1</v>
      </c>
    </row>
    <row r="651" spans="1:18">
      <c r="A651" s="23" t="s">
        <v>734</v>
      </c>
      <c r="B651" s="23"/>
      <c r="C651" s="23"/>
      <c r="D651" s="23">
        <v>0</v>
      </c>
      <c r="E651" s="23">
        <v>1</v>
      </c>
      <c r="F651" s="23" t="s">
        <v>197</v>
      </c>
      <c r="G651" s="23" t="s">
        <v>198</v>
      </c>
      <c r="H651" s="23"/>
      <c r="I651" s="23">
        <v>0</v>
      </c>
      <c r="J651" s="23" t="s">
        <v>191</v>
      </c>
      <c r="K651" s="23" t="s">
        <v>927</v>
      </c>
      <c r="L651" s="23" t="s">
        <v>976</v>
      </c>
      <c r="M651" s="23"/>
      <c r="N651" s="23" t="str">
        <f t="shared" si="18"/>
        <v>Effect(OnHitNormal, mana.passive.buff.buffeffect.skilleffect.03)</v>
      </c>
      <c r="O651" s="23">
        <v>0</v>
      </c>
      <c r="P651" s="23">
        <v>0</v>
      </c>
      <c r="Q651" s="23"/>
      <c r="R651" s="23" t="b">
        <v>1</v>
      </c>
    </row>
    <row r="652" spans="1:18">
      <c r="A652" s="23" t="s">
        <v>736</v>
      </c>
      <c r="B652" s="23"/>
      <c r="C652" s="23"/>
      <c r="D652" s="23">
        <v>0</v>
      </c>
      <c r="E652" s="23">
        <v>1</v>
      </c>
      <c r="F652" s="23" t="s">
        <v>197</v>
      </c>
      <c r="G652" s="23" t="s">
        <v>198</v>
      </c>
      <c r="H652" s="23"/>
      <c r="I652" s="23">
        <v>0</v>
      </c>
      <c r="J652" s="23" t="s">
        <v>191</v>
      </c>
      <c r="K652" s="23" t="s">
        <v>927</v>
      </c>
      <c r="L652" s="23" t="s">
        <v>977</v>
      </c>
      <c r="M652" s="23"/>
      <c r="N652" s="23" t="str">
        <f t="shared" si="18"/>
        <v>Effect(OnHitNormal, mana.passive.buff.buffeffect.skilleffect.04)</v>
      </c>
      <c r="O652" s="23">
        <v>0</v>
      </c>
      <c r="P652" s="23">
        <v>0</v>
      </c>
      <c r="Q652" s="23"/>
      <c r="R652" s="23" t="b">
        <v>1</v>
      </c>
    </row>
    <row r="653" spans="1:18">
      <c r="A653" s="34" t="s">
        <v>738</v>
      </c>
      <c r="B653" s="34"/>
      <c r="C653" s="34"/>
      <c r="D653" s="34">
        <v>0</v>
      </c>
      <c r="E653" s="34">
        <v>1</v>
      </c>
      <c r="F653" s="34" t="s">
        <v>197</v>
      </c>
      <c r="G653" s="34" t="s">
        <v>198</v>
      </c>
      <c r="H653" s="34"/>
      <c r="I653" s="34">
        <v>0</v>
      </c>
      <c r="J653" s="34" t="s">
        <v>191</v>
      </c>
      <c r="K653" s="34" t="s">
        <v>927</v>
      </c>
      <c r="L653" s="34" t="s">
        <v>978</v>
      </c>
      <c r="M653" s="34"/>
      <c r="N653" s="34" t="str">
        <f t="shared" si="18"/>
        <v>Effect(OnHitNormal, mana.passive.buff.buffeffect.skilleffect.05)</v>
      </c>
      <c r="O653" s="34">
        <v>0</v>
      </c>
      <c r="P653" s="34">
        <v>0</v>
      </c>
      <c r="Q653" s="34"/>
      <c r="R653" s="34" t="b">
        <v>1</v>
      </c>
    </row>
    <row r="654" spans="1:18">
      <c r="A654" s="34" t="s">
        <v>740</v>
      </c>
      <c r="B654" s="34"/>
      <c r="C654" s="34"/>
      <c r="D654" s="34">
        <v>0</v>
      </c>
      <c r="E654" s="34">
        <v>1</v>
      </c>
      <c r="F654" s="34" t="s">
        <v>197</v>
      </c>
      <c r="G654" s="34" t="s">
        <v>198</v>
      </c>
      <c r="H654" s="34"/>
      <c r="I654" s="34">
        <v>0</v>
      </c>
      <c r="J654" s="34" t="s">
        <v>191</v>
      </c>
      <c r="K654" s="34" t="s">
        <v>927</v>
      </c>
      <c r="L654" s="34" t="s">
        <v>979</v>
      </c>
      <c r="M654" s="34"/>
      <c r="N654" s="34" t="str">
        <f t="shared" si="18"/>
        <v>Effect(OnHitNormal, mana.passive.buff.buffeffect.skilleffect.06)</v>
      </c>
      <c r="O654" s="34">
        <v>0</v>
      </c>
      <c r="P654" s="34">
        <v>0</v>
      </c>
      <c r="Q654" s="34"/>
      <c r="R654" s="34" t="b">
        <v>1</v>
      </c>
    </row>
    <row r="655" spans="1:18">
      <c r="A655" s="34" t="s">
        <v>742</v>
      </c>
      <c r="B655" s="34"/>
      <c r="C655" s="34"/>
      <c r="D655" s="34">
        <v>0</v>
      </c>
      <c r="E655" s="34">
        <v>1</v>
      </c>
      <c r="F655" s="34" t="s">
        <v>197</v>
      </c>
      <c r="G655" s="34" t="s">
        <v>198</v>
      </c>
      <c r="H655" s="34"/>
      <c r="I655" s="34">
        <v>0</v>
      </c>
      <c r="J655" s="34" t="s">
        <v>838</v>
      </c>
      <c r="K655" s="34" t="s">
        <v>908</v>
      </c>
      <c r="L655" s="34">
        <v>240</v>
      </c>
      <c r="M655" s="34"/>
      <c r="N655" s="34" t="str">
        <f t="shared" si="18"/>
        <v>Status(AttackRatio, 240)</v>
      </c>
      <c r="O655" s="34">
        <v>0</v>
      </c>
      <c r="P655" s="34">
        <v>0</v>
      </c>
      <c r="Q655" s="34"/>
      <c r="R655" s="34" t="b">
        <v>1</v>
      </c>
    </row>
    <row r="656" spans="1:18">
      <c r="A656" s="34" t="s">
        <v>744</v>
      </c>
      <c r="B656" s="34"/>
      <c r="C656" s="34"/>
      <c r="D656" s="34">
        <v>0</v>
      </c>
      <c r="E656" s="34">
        <v>1</v>
      </c>
      <c r="F656" s="34" t="s">
        <v>197</v>
      </c>
      <c r="G656" s="34" t="s">
        <v>198</v>
      </c>
      <c r="H656" s="34"/>
      <c r="I656" s="34">
        <v>0</v>
      </c>
      <c r="J656" s="34" t="s">
        <v>838</v>
      </c>
      <c r="K656" s="34" t="s">
        <v>908</v>
      </c>
      <c r="L656" s="34">
        <v>260</v>
      </c>
      <c r="M656" s="34"/>
      <c r="N656" s="34" t="str">
        <f t="shared" si="18"/>
        <v>Status(AttackRatio, 260)</v>
      </c>
      <c r="O656" s="34">
        <v>0</v>
      </c>
      <c r="P656" s="34">
        <v>0</v>
      </c>
      <c r="Q656" s="34"/>
      <c r="R656" s="34" t="b">
        <v>1</v>
      </c>
    </row>
    <row r="657" spans="1:18">
      <c r="A657" s="25" t="s">
        <v>746</v>
      </c>
      <c r="B657" s="25"/>
      <c r="C657" s="25"/>
      <c r="D657" s="25">
        <v>0</v>
      </c>
      <c r="E657" s="25">
        <v>1</v>
      </c>
      <c r="F657" s="25" t="s">
        <v>197</v>
      </c>
      <c r="G657" s="25" t="s">
        <v>198</v>
      </c>
      <c r="H657" s="25"/>
      <c r="I657" s="25">
        <v>0</v>
      </c>
      <c r="J657" s="25" t="s">
        <v>838</v>
      </c>
      <c r="K657" s="25" t="s">
        <v>908</v>
      </c>
      <c r="L657" s="25">
        <v>300</v>
      </c>
      <c r="M657" s="25"/>
      <c r="N657" s="25" t="str">
        <f t="shared" si="18"/>
        <v>Status(AttackRatio, 300)</v>
      </c>
      <c r="O657" s="25">
        <v>0</v>
      </c>
      <c r="P657" s="25">
        <v>0</v>
      </c>
      <c r="Q657" s="25"/>
      <c r="R657" s="25" t="b">
        <v>1</v>
      </c>
    </row>
    <row r="658" spans="1:18">
      <c r="A658" s="25" t="s">
        <v>748</v>
      </c>
      <c r="B658" s="25"/>
      <c r="C658" s="25"/>
      <c r="D658" s="25">
        <v>0</v>
      </c>
      <c r="E658" s="25">
        <v>1</v>
      </c>
      <c r="F658" s="25" t="s">
        <v>197</v>
      </c>
      <c r="G658" s="25" t="s">
        <v>198</v>
      </c>
      <c r="H658" s="25"/>
      <c r="I658" s="25">
        <v>0</v>
      </c>
      <c r="J658" s="25" t="s">
        <v>838</v>
      </c>
      <c r="K658" s="25" t="s">
        <v>908</v>
      </c>
      <c r="L658" s="25">
        <v>350</v>
      </c>
      <c r="M658" s="25"/>
      <c r="N658" s="25" t="str">
        <f t="shared" si="18"/>
        <v>Status(AttackRatio, 350)</v>
      </c>
      <c r="O658" s="25">
        <v>0</v>
      </c>
      <c r="P658" s="25">
        <v>0</v>
      </c>
      <c r="Q658" s="25"/>
      <c r="R658" s="25" t="b">
        <v>1</v>
      </c>
    </row>
    <row r="659" spans="1:18">
      <c r="A659" s="25" t="s">
        <v>750</v>
      </c>
      <c r="B659" s="25"/>
      <c r="C659" s="25"/>
      <c r="D659" s="25">
        <v>0</v>
      </c>
      <c r="E659" s="25">
        <v>1</v>
      </c>
      <c r="F659" s="25" t="s">
        <v>197</v>
      </c>
      <c r="G659" s="25" t="s">
        <v>198</v>
      </c>
      <c r="H659" s="25"/>
      <c r="I659" s="25">
        <v>0</v>
      </c>
      <c r="J659" s="25" t="s">
        <v>838</v>
      </c>
      <c r="K659" s="25" t="s">
        <v>908</v>
      </c>
      <c r="L659" s="25">
        <v>400</v>
      </c>
      <c r="M659" s="25"/>
      <c r="N659" s="25" t="str">
        <f t="shared" si="18"/>
        <v>Status(AttackRatio, 400)</v>
      </c>
      <c r="O659" s="25">
        <v>0</v>
      </c>
      <c r="P659" s="25">
        <v>0</v>
      </c>
      <c r="Q659" s="25"/>
      <c r="R659" s="25" t="b">
        <v>1</v>
      </c>
    </row>
    <row r="660" spans="1:18">
      <c r="A660" s="34" t="s">
        <v>752</v>
      </c>
      <c r="B660" s="34"/>
      <c r="C660" s="34"/>
      <c r="D660" s="34">
        <v>0</v>
      </c>
      <c r="E660" s="34">
        <v>1</v>
      </c>
      <c r="F660" s="34" t="s">
        <v>197</v>
      </c>
      <c r="G660" s="34" t="s">
        <v>198</v>
      </c>
      <c r="H660" s="34"/>
      <c r="I660" s="34">
        <v>0</v>
      </c>
      <c r="J660" s="34" t="s">
        <v>838</v>
      </c>
      <c r="K660" s="34" t="s">
        <v>908</v>
      </c>
      <c r="L660" s="34">
        <v>400</v>
      </c>
      <c r="M660" s="34"/>
      <c r="N660" s="34" t="str">
        <f t="shared" si="18"/>
        <v>Status(AttackRatio, 400)</v>
      </c>
      <c r="O660" s="34">
        <v>0</v>
      </c>
      <c r="P660" s="25">
        <v>0</v>
      </c>
      <c r="Q660" s="34"/>
      <c r="R660" s="34" t="b">
        <v>1</v>
      </c>
    </row>
    <row r="661" spans="1:18">
      <c r="A661" s="34" t="s">
        <v>754</v>
      </c>
      <c r="B661" s="34"/>
      <c r="C661" s="34"/>
      <c r="D661" s="34">
        <v>0</v>
      </c>
      <c r="E661" s="34">
        <v>1</v>
      </c>
      <c r="F661" s="34" t="s">
        <v>197</v>
      </c>
      <c r="G661" s="34" t="s">
        <v>198</v>
      </c>
      <c r="H661" s="34"/>
      <c r="I661" s="34">
        <v>0</v>
      </c>
      <c r="J661" s="34" t="s">
        <v>838</v>
      </c>
      <c r="K661" s="34" t="s">
        <v>926</v>
      </c>
      <c r="L661" s="34">
        <v>400</v>
      </c>
      <c r="M661" s="34"/>
      <c r="N661" s="34" t="str">
        <f t="shared" si="18"/>
        <v>Status(CriticalDamageRate, 400)</v>
      </c>
      <c r="O661" s="34">
        <v>0</v>
      </c>
      <c r="P661" s="25">
        <v>0</v>
      </c>
      <c r="Q661" s="34"/>
      <c r="R661" s="34" t="b">
        <v>1</v>
      </c>
    </row>
    <row r="662" spans="1:18">
      <c r="A662" s="34" t="s">
        <v>756</v>
      </c>
      <c r="B662" s="34"/>
      <c r="C662" s="34"/>
      <c r="D662" s="34">
        <v>0</v>
      </c>
      <c r="E662" s="34">
        <v>1</v>
      </c>
      <c r="F662" s="34" t="s">
        <v>197</v>
      </c>
      <c r="G662" s="34" t="s">
        <v>198</v>
      </c>
      <c r="H662" s="34"/>
      <c r="I662" s="34">
        <v>0</v>
      </c>
      <c r="J662" s="34" t="s">
        <v>838</v>
      </c>
      <c r="K662" s="34" t="s">
        <v>926</v>
      </c>
      <c r="L662" s="34">
        <v>450</v>
      </c>
      <c r="M662" s="34"/>
      <c r="N662" s="34" t="str">
        <f t="shared" si="18"/>
        <v>Status(CriticalDamageRate, 450)</v>
      </c>
      <c r="O662" s="34">
        <v>0</v>
      </c>
      <c r="P662" s="25">
        <v>0</v>
      </c>
      <c r="Q662" s="34"/>
      <c r="R662" s="34" t="b">
        <v>1</v>
      </c>
    </row>
    <row r="663" spans="1:18">
      <c r="A663" s="23" t="s">
        <v>758</v>
      </c>
      <c r="B663" s="23"/>
      <c r="C663" s="23"/>
      <c r="D663" s="23">
        <v>0</v>
      </c>
      <c r="E663" s="23">
        <v>1</v>
      </c>
      <c r="F663" s="23" t="s">
        <v>197</v>
      </c>
      <c r="G663" s="23" t="s">
        <v>198</v>
      </c>
      <c r="H663" s="23"/>
      <c r="I663" s="23">
        <v>0</v>
      </c>
      <c r="J663" s="23" t="s">
        <v>838</v>
      </c>
      <c r="K663" s="23" t="s">
        <v>926</v>
      </c>
      <c r="L663" s="23">
        <v>500</v>
      </c>
      <c r="M663" s="23"/>
      <c r="N663" s="23" t="str">
        <f t="shared" si="18"/>
        <v>Status(CriticalDamageRate, 500)</v>
      </c>
      <c r="O663" s="23">
        <v>0</v>
      </c>
      <c r="P663" s="23">
        <v>0</v>
      </c>
      <c r="Q663" s="23"/>
      <c r="R663" s="23" t="b">
        <v>1</v>
      </c>
    </row>
    <row r="664" spans="1:18">
      <c r="A664" s="23" t="s">
        <v>760</v>
      </c>
      <c r="B664" s="23"/>
      <c r="C664" s="23"/>
      <c r="D664" s="23">
        <v>0</v>
      </c>
      <c r="E664" s="23">
        <v>1</v>
      </c>
      <c r="F664" s="23" t="s">
        <v>197</v>
      </c>
      <c r="G664" s="23" t="s">
        <v>198</v>
      </c>
      <c r="H664" s="23"/>
      <c r="I664" s="23">
        <v>0</v>
      </c>
      <c r="J664" s="23" t="s">
        <v>838</v>
      </c>
      <c r="K664" s="23" t="s">
        <v>926</v>
      </c>
      <c r="L664" s="23">
        <v>600</v>
      </c>
      <c r="M664" s="23"/>
      <c r="N664" s="23" t="str">
        <f t="shared" si="18"/>
        <v>Status(CriticalDamageRate, 600)</v>
      </c>
      <c r="O664" s="23">
        <v>0</v>
      </c>
      <c r="P664" s="23">
        <v>0</v>
      </c>
      <c r="Q664" s="23"/>
      <c r="R664" s="23" t="b">
        <v>1</v>
      </c>
    </row>
    <row r="665" spans="1:18">
      <c r="A665" s="23" t="s">
        <v>762</v>
      </c>
      <c r="B665" s="23"/>
      <c r="C665" s="23"/>
      <c r="D665" s="23">
        <v>0</v>
      </c>
      <c r="E665" s="23">
        <v>1</v>
      </c>
      <c r="F665" s="23" t="s">
        <v>197</v>
      </c>
      <c r="G665" s="23" t="s">
        <v>198</v>
      </c>
      <c r="H665" s="23"/>
      <c r="I665" s="23">
        <v>0</v>
      </c>
      <c r="J665" s="23" t="s">
        <v>838</v>
      </c>
      <c r="K665" s="23" t="s">
        <v>926</v>
      </c>
      <c r="L665" s="23">
        <v>700</v>
      </c>
      <c r="M665" s="23"/>
      <c r="N665" s="23" t="str">
        <f t="shared" si="18"/>
        <v>Status(CriticalDamageRate, 700)</v>
      </c>
      <c r="O665" s="23">
        <v>0</v>
      </c>
      <c r="P665" s="23">
        <v>0</v>
      </c>
      <c r="Q665" s="23"/>
      <c r="R665" s="23" t="b">
        <v>1</v>
      </c>
    </row>
    <row r="666" spans="1:18">
      <c r="A666" s="34" t="s">
        <v>764</v>
      </c>
      <c r="B666" s="34"/>
      <c r="C666" s="34"/>
      <c r="D666" s="34">
        <v>0</v>
      </c>
      <c r="E666" s="34">
        <v>1</v>
      </c>
      <c r="F666" s="34" t="s">
        <v>197</v>
      </c>
      <c r="G666" s="34" t="s">
        <v>198</v>
      </c>
      <c r="H666" s="34"/>
      <c r="I666" s="34">
        <v>0</v>
      </c>
      <c r="J666" s="34" t="s">
        <v>838</v>
      </c>
      <c r="K666" s="34" t="s">
        <v>926</v>
      </c>
      <c r="L666" s="34">
        <v>450</v>
      </c>
      <c r="M666" s="34"/>
      <c r="N666" s="34" t="str">
        <f t="shared" si="18"/>
        <v>Status(CriticalDamageRate, 450)</v>
      </c>
      <c r="O666" s="34">
        <v>0</v>
      </c>
      <c r="P666" s="34">
        <v>0</v>
      </c>
      <c r="Q666" s="34"/>
      <c r="R666" s="34" t="b">
        <v>1</v>
      </c>
    </row>
    <row r="667" spans="1:18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</row>
    <row r="668" spans="1:1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spans="1:18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1:18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1:18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1:18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spans="1:18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</row>
    <row r="674" spans="1:18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</sheetData>
  <phoneticPr fontId="3" type="noConversion"/>
  <conditionalFormatting sqref="A1:A1048576">
    <cfRule type="duplicateValues" dxfId="154" priority="138"/>
  </conditionalFormatting>
  <conditionalFormatting sqref="A1:XFD1048576">
    <cfRule type="cellIs" dxfId="153" priority="133" operator="equal">
      <formula>TRUE</formula>
    </cfRule>
    <cfRule type="cellIs" dxfId="152" priority="134" operator="equal">
      <formula>FALSE</formula>
    </cfRule>
    <cfRule type="cellIs" dxfId="151" priority="135" operator="equal">
      <formula>0</formula>
    </cfRule>
    <cfRule type="cellIs" dxfId="150" priority="136" operator="equal">
      <formula>"Single"</formula>
    </cfRule>
    <cfRule type="cellIs" dxfId="149" priority="137" operator="equal">
      <formula>"Self"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358"/>
  <sheetViews>
    <sheetView zoomScale="85" zoomScaleNormal="85" workbookViewId="0">
      <pane xSplit="1" ySplit="4" topLeftCell="B168" activePane="bottomRight" state="frozen"/>
      <selection activeCell="A270" sqref="A270"/>
      <selection pane="topRight" activeCell="A270" sqref="A270"/>
      <selection pane="bottomLeft" activeCell="A270" sqref="A270"/>
      <selection pane="bottomRight" activeCell="D190" sqref="D190"/>
    </sheetView>
  </sheetViews>
  <sheetFormatPr defaultColWidth="69.5" defaultRowHeight="16.5"/>
  <cols>
    <col min="1" max="1" width="40.875" bestFit="1" customWidth="1"/>
    <col min="2" max="2" width="16.625" bestFit="1" customWidth="1"/>
    <col min="3" max="3" width="24.25" bestFit="1" customWidth="1"/>
    <col min="4" max="4" width="10.125" bestFit="1" customWidth="1"/>
    <col min="5" max="5" width="9.625" bestFit="1" customWidth="1"/>
    <col min="6" max="6" width="9.5" bestFit="1" customWidth="1"/>
    <col min="7" max="7" width="43.25" bestFit="1" customWidth="1"/>
    <col min="8" max="8" width="12.25" bestFit="1" customWidth="1"/>
    <col min="9" max="9" width="12.125" bestFit="1" customWidth="1"/>
    <col min="10" max="10" width="13" bestFit="1" customWidth="1"/>
    <col min="11" max="11" width="9" bestFit="1" customWidth="1"/>
    <col min="12" max="12" width="71.375" bestFit="1" customWidth="1"/>
    <col min="13" max="13" width="26.875" bestFit="1" customWidth="1"/>
    <col min="14" max="14" width="31.875" bestFit="1" customWidth="1"/>
    <col min="15" max="15" width="32.375" bestFit="1" customWidth="1"/>
    <col min="16" max="16" width="31.75" bestFit="1" customWidth="1"/>
    <col min="17" max="17" width="13" bestFit="1" customWidth="1"/>
    <col min="18" max="18" width="9" bestFit="1" customWidth="1"/>
  </cols>
  <sheetData>
    <row r="1" spans="1:18" ht="33" customHeight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6571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2" t="s">
        <v>23</v>
      </c>
      <c r="H2" s="5" t="s">
        <v>24</v>
      </c>
      <c r="I2" s="5" t="s">
        <v>25</v>
      </c>
      <c r="J2" s="1" t="s">
        <v>26</v>
      </c>
      <c r="K2" s="1" t="s">
        <v>27</v>
      </c>
      <c r="L2" s="1" t="s">
        <v>28</v>
      </c>
      <c r="M2" s="1" t="s">
        <v>883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4" t="s">
        <v>37</v>
      </c>
      <c r="F3" s="4" t="s">
        <v>37</v>
      </c>
      <c r="G3" s="2" t="s">
        <v>38</v>
      </c>
      <c r="H3" s="5" t="s">
        <v>39</v>
      </c>
      <c r="I3" s="5" t="s">
        <v>40</v>
      </c>
      <c r="J3" s="1" t="s">
        <v>40</v>
      </c>
      <c r="K3" s="1" t="s">
        <v>40</v>
      </c>
      <c r="L3" s="1" t="s">
        <v>41</v>
      </c>
      <c r="M3" s="1" t="s">
        <v>883</v>
      </c>
      <c r="N3" s="1" t="s">
        <v>36</v>
      </c>
      <c r="O3" s="1" t="s">
        <v>36</v>
      </c>
      <c r="P3" s="1" t="s">
        <v>36</v>
      </c>
      <c r="Q3" s="1" t="s">
        <v>40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4" t="s">
        <v>42</v>
      </c>
      <c r="F4" s="4" t="s">
        <v>42</v>
      </c>
      <c r="G4" s="2" t="s">
        <v>42</v>
      </c>
      <c r="H4" s="5" t="s">
        <v>42</v>
      </c>
      <c r="I4" s="5" t="s">
        <v>42</v>
      </c>
      <c r="J4" s="1" t="s">
        <v>42</v>
      </c>
      <c r="K4" s="1" t="s">
        <v>42</v>
      </c>
      <c r="L4" s="1" t="s">
        <v>43</v>
      </c>
      <c r="M4" s="1" t="s">
        <v>883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42</v>
      </c>
    </row>
    <row r="5" spans="1:18" ht="33">
      <c r="A5" s="24" t="s">
        <v>7142</v>
      </c>
      <c r="B5" s="24"/>
      <c r="C5" s="24"/>
      <c r="D5" s="24">
        <v>3000</v>
      </c>
      <c r="E5" s="24">
        <v>0</v>
      </c>
      <c r="F5" s="24">
        <v>0</v>
      </c>
      <c r="G5" s="38" t="s">
        <v>7143</v>
      </c>
      <c r="H5" s="24"/>
      <c r="I5" s="24" t="b">
        <v>1</v>
      </c>
      <c r="J5" s="24" t="b">
        <v>0</v>
      </c>
      <c r="K5" s="24" t="b">
        <v>1</v>
      </c>
      <c r="L5" s="24" t="s">
        <v>7144</v>
      </c>
      <c r="M5" s="24" t="s">
        <v>5742</v>
      </c>
      <c r="N5" s="24" t="s">
        <v>5744</v>
      </c>
      <c r="O5" s="24" t="s">
        <v>5742</v>
      </c>
      <c r="P5" s="24" t="s">
        <v>7145</v>
      </c>
      <c r="Q5" s="24" t="b">
        <v>0</v>
      </c>
      <c r="R5" s="24" t="b">
        <v>0</v>
      </c>
    </row>
    <row r="6" spans="1:18" ht="33">
      <c r="A6" s="24" t="s">
        <v>4703</v>
      </c>
      <c r="B6" s="24"/>
      <c r="C6" s="24"/>
      <c r="D6" s="24">
        <v>3000</v>
      </c>
      <c r="E6" s="24">
        <v>0</v>
      </c>
      <c r="F6" s="24">
        <v>0</v>
      </c>
      <c r="G6" s="38" t="s">
        <v>5907</v>
      </c>
      <c r="H6" s="24"/>
      <c r="I6" s="24" t="b">
        <v>1</v>
      </c>
      <c r="J6" s="24" t="b">
        <v>0</v>
      </c>
      <c r="K6" s="24" t="b">
        <v>1</v>
      </c>
      <c r="L6" s="24" t="s">
        <v>7144</v>
      </c>
      <c r="M6" s="24" t="s">
        <v>5742</v>
      </c>
      <c r="N6" s="24" t="s">
        <v>5744</v>
      </c>
      <c r="O6" s="24" t="s">
        <v>5742</v>
      </c>
      <c r="P6" s="24" t="s">
        <v>7145</v>
      </c>
      <c r="Q6" s="24" t="b">
        <v>0</v>
      </c>
      <c r="R6" s="24" t="b">
        <v>0</v>
      </c>
    </row>
    <row r="7" spans="1:18" ht="33">
      <c r="A7" s="24" t="s">
        <v>4704</v>
      </c>
      <c r="B7" s="24"/>
      <c r="C7" s="24"/>
      <c r="D7" s="24">
        <v>3000</v>
      </c>
      <c r="E7" s="24">
        <v>0</v>
      </c>
      <c r="F7" s="24">
        <v>0</v>
      </c>
      <c r="G7" s="38" t="s">
        <v>5908</v>
      </c>
      <c r="H7" s="24"/>
      <c r="I7" s="24" t="b">
        <v>1</v>
      </c>
      <c r="J7" s="24" t="b">
        <v>0</v>
      </c>
      <c r="K7" s="24" t="b">
        <v>1</v>
      </c>
      <c r="L7" s="24" t="s">
        <v>7144</v>
      </c>
      <c r="M7" s="24" t="s">
        <v>5742</v>
      </c>
      <c r="N7" s="24" t="s">
        <v>5744</v>
      </c>
      <c r="O7" s="24" t="s">
        <v>5742</v>
      </c>
      <c r="P7" s="24" t="s">
        <v>7145</v>
      </c>
      <c r="Q7" s="24" t="b">
        <v>0</v>
      </c>
      <c r="R7" s="24" t="b">
        <v>0</v>
      </c>
    </row>
    <row r="8" spans="1:18" ht="33">
      <c r="A8" s="24" t="s">
        <v>4705</v>
      </c>
      <c r="B8" s="24"/>
      <c r="C8" s="24"/>
      <c r="D8" s="24">
        <v>3000</v>
      </c>
      <c r="E8" s="24">
        <v>0</v>
      </c>
      <c r="F8" s="24">
        <v>0</v>
      </c>
      <c r="G8" s="38" t="s">
        <v>5909</v>
      </c>
      <c r="H8" s="24"/>
      <c r="I8" s="24" t="b">
        <v>1</v>
      </c>
      <c r="J8" s="24" t="b">
        <v>0</v>
      </c>
      <c r="K8" s="24" t="b">
        <v>1</v>
      </c>
      <c r="L8" s="24" t="s">
        <v>7144</v>
      </c>
      <c r="M8" s="24" t="s">
        <v>5742</v>
      </c>
      <c r="N8" s="24" t="s">
        <v>5744</v>
      </c>
      <c r="O8" s="24" t="s">
        <v>5742</v>
      </c>
      <c r="P8" s="24" t="s">
        <v>7145</v>
      </c>
      <c r="Q8" s="24" t="b">
        <v>0</v>
      </c>
      <c r="R8" s="24" t="b">
        <v>0</v>
      </c>
    </row>
    <row r="9" spans="1:18" ht="33">
      <c r="A9" s="24" t="s">
        <v>4706</v>
      </c>
      <c r="B9" s="24"/>
      <c r="C9" s="24"/>
      <c r="D9" s="24">
        <v>3000</v>
      </c>
      <c r="E9" s="24">
        <v>0</v>
      </c>
      <c r="F9" s="24">
        <v>0</v>
      </c>
      <c r="G9" s="38" t="s">
        <v>5910</v>
      </c>
      <c r="H9" s="24"/>
      <c r="I9" s="24" t="b">
        <v>1</v>
      </c>
      <c r="J9" s="24" t="b">
        <v>0</v>
      </c>
      <c r="K9" s="24" t="b">
        <v>1</v>
      </c>
      <c r="L9" s="24" t="s">
        <v>7144</v>
      </c>
      <c r="M9" s="24" t="s">
        <v>5742</v>
      </c>
      <c r="N9" s="24" t="s">
        <v>5744</v>
      </c>
      <c r="O9" s="24" t="s">
        <v>5742</v>
      </c>
      <c r="P9" s="24" t="s">
        <v>7145</v>
      </c>
      <c r="Q9" s="24" t="b">
        <v>0</v>
      </c>
      <c r="R9" s="24" t="b">
        <v>0</v>
      </c>
    </row>
    <row r="10" spans="1:18" ht="33">
      <c r="A10" s="24" t="s">
        <v>4707</v>
      </c>
      <c r="B10" s="24"/>
      <c r="C10" s="24"/>
      <c r="D10" s="24">
        <v>3000</v>
      </c>
      <c r="E10" s="24">
        <v>0</v>
      </c>
      <c r="F10" s="24">
        <v>0</v>
      </c>
      <c r="G10" s="38" t="s">
        <v>5911</v>
      </c>
      <c r="H10" s="24"/>
      <c r="I10" s="24" t="b">
        <v>1</v>
      </c>
      <c r="J10" s="24" t="b">
        <v>0</v>
      </c>
      <c r="K10" s="24" t="b">
        <v>1</v>
      </c>
      <c r="L10" s="24" t="s">
        <v>7144</v>
      </c>
      <c r="M10" s="24" t="s">
        <v>5742</v>
      </c>
      <c r="N10" s="24" t="s">
        <v>5744</v>
      </c>
      <c r="O10" s="24" t="s">
        <v>5742</v>
      </c>
      <c r="P10" s="24" t="s">
        <v>7145</v>
      </c>
      <c r="Q10" s="24" t="b">
        <v>0</v>
      </c>
      <c r="R10" s="24" t="b">
        <v>0</v>
      </c>
    </row>
    <row r="11" spans="1:18" ht="33">
      <c r="A11" s="24" t="s">
        <v>4708</v>
      </c>
      <c r="B11" s="24"/>
      <c r="C11" s="24"/>
      <c r="D11" s="24">
        <v>3000</v>
      </c>
      <c r="E11" s="24">
        <v>0</v>
      </c>
      <c r="F11" s="24">
        <v>0</v>
      </c>
      <c r="G11" s="38" t="s">
        <v>5912</v>
      </c>
      <c r="H11" s="24"/>
      <c r="I11" s="24" t="b">
        <v>1</v>
      </c>
      <c r="J11" s="24" t="b">
        <v>0</v>
      </c>
      <c r="K11" s="24" t="b">
        <v>1</v>
      </c>
      <c r="L11" s="24" t="s">
        <v>7144</v>
      </c>
      <c r="M11" s="24" t="s">
        <v>5742</v>
      </c>
      <c r="N11" s="24" t="s">
        <v>5744</v>
      </c>
      <c r="O11" s="24" t="s">
        <v>5742</v>
      </c>
      <c r="P11" s="24" t="s">
        <v>7145</v>
      </c>
      <c r="Q11" s="24" t="b">
        <v>0</v>
      </c>
      <c r="R11" s="24" t="b">
        <v>0</v>
      </c>
    </row>
    <row r="12" spans="1:18">
      <c r="A12" s="34" t="s">
        <v>7146</v>
      </c>
      <c r="B12" s="34"/>
      <c r="C12" s="34"/>
      <c r="D12" s="34">
        <v>0</v>
      </c>
      <c r="E12" s="34">
        <v>3</v>
      </c>
      <c r="F12" s="34">
        <v>1</v>
      </c>
      <c r="G12" s="34" t="s">
        <v>122</v>
      </c>
      <c r="H12" s="34"/>
      <c r="I12" s="34" t="b">
        <v>1</v>
      </c>
      <c r="J12" s="34" t="b">
        <v>0</v>
      </c>
      <c r="K12" s="34" t="b">
        <v>1</v>
      </c>
      <c r="L12" s="34" t="s">
        <v>7147</v>
      </c>
      <c r="M12" s="34" t="s">
        <v>5740</v>
      </c>
      <c r="N12" s="34" t="s">
        <v>5743</v>
      </c>
      <c r="O12" s="34" t="s">
        <v>5740</v>
      </c>
      <c r="P12" s="34" t="s">
        <v>7148</v>
      </c>
      <c r="Q12" s="34" t="b">
        <v>0</v>
      </c>
      <c r="R12" s="34" t="b">
        <v>0</v>
      </c>
    </row>
    <row r="13" spans="1:18">
      <c r="A13" s="34" t="s">
        <v>7149</v>
      </c>
      <c r="B13" s="34"/>
      <c r="C13" s="34"/>
      <c r="D13" s="34">
        <v>0</v>
      </c>
      <c r="E13" s="34">
        <v>0</v>
      </c>
      <c r="F13" s="34">
        <v>0</v>
      </c>
      <c r="G13" s="34" t="s">
        <v>4715</v>
      </c>
      <c r="H13" s="34"/>
      <c r="I13" s="34" t="b">
        <v>1</v>
      </c>
      <c r="J13" s="34" t="b">
        <v>0</v>
      </c>
      <c r="K13" s="34" t="b">
        <v>1</v>
      </c>
      <c r="L13" s="34"/>
      <c r="M13" s="34"/>
      <c r="N13" s="34" t="s">
        <v>7150</v>
      </c>
      <c r="O13" s="34" t="s">
        <v>7150</v>
      </c>
      <c r="P13" s="34" t="s">
        <v>7150</v>
      </c>
      <c r="Q13" s="34" t="b">
        <v>0</v>
      </c>
      <c r="R13" s="34" t="b">
        <v>0</v>
      </c>
    </row>
    <row r="14" spans="1:18">
      <c r="A14" s="34" t="s">
        <v>4730</v>
      </c>
      <c r="B14" s="34"/>
      <c r="C14" s="34"/>
      <c r="D14" s="34">
        <v>0</v>
      </c>
      <c r="E14" s="34">
        <v>0</v>
      </c>
      <c r="F14" s="34">
        <v>0</v>
      </c>
      <c r="G14" s="34" t="s">
        <v>4716</v>
      </c>
      <c r="H14" s="34"/>
      <c r="I14" s="34" t="b">
        <v>1</v>
      </c>
      <c r="J14" s="34" t="b">
        <v>0</v>
      </c>
      <c r="K14" s="34" t="b">
        <v>1</v>
      </c>
      <c r="L14" s="34"/>
      <c r="M14" s="34"/>
      <c r="N14" s="34" t="s">
        <v>7150</v>
      </c>
      <c r="O14" s="34" t="s">
        <v>7150</v>
      </c>
      <c r="P14" s="34" t="s">
        <v>7150</v>
      </c>
      <c r="Q14" s="34" t="b">
        <v>0</v>
      </c>
      <c r="R14" s="34" t="b">
        <v>0</v>
      </c>
    </row>
    <row r="15" spans="1:18">
      <c r="A15" s="34" t="s">
        <v>4731</v>
      </c>
      <c r="B15" s="34"/>
      <c r="C15" s="34"/>
      <c r="D15" s="34">
        <v>0</v>
      </c>
      <c r="E15" s="34">
        <v>0</v>
      </c>
      <c r="F15" s="34">
        <v>0</v>
      </c>
      <c r="G15" s="34" t="s">
        <v>4717</v>
      </c>
      <c r="H15" s="34"/>
      <c r="I15" s="34" t="b">
        <v>1</v>
      </c>
      <c r="J15" s="34" t="b">
        <v>0</v>
      </c>
      <c r="K15" s="34" t="b">
        <v>1</v>
      </c>
      <c r="L15" s="34"/>
      <c r="M15" s="34"/>
      <c r="N15" s="34" t="s">
        <v>7150</v>
      </c>
      <c r="O15" s="34" t="s">
        <v>7150</v>
      </c>
      <c r="P15" s="34" t="s">
        <v>7150</v>
      </c>
      <c r="Q15" s="34" t="b">
        <v>0</v>
      </c>
      <c r="R15" s="34" t="b">
        <v>0</v>
      </c>
    </row>
    <row r="16" spans="1:18">
      <c r="A16" s="34" t="s">
        <v>4732</v>
      </c>
      <c r="B16" s="34"/>
      <c r="C16" s="34"/>
      <c r="D16" s="34">
        <v>0</v>
      </c>
      <c r="E16" s="34">
        <v>0</v>
      </c>
      <c r="F16" s="34">
        <v>0</v>
      </c>
      <c r="G16" s="34" t="s">
        <v>4718</v>
      </c>
      <c r="H16" s="34"/>
      <c r="I16" s="34" t="b">
        <v>1</v>
      </c>
      <c r="J16" s="34" t="b">
        <v>0</v>
      </c>
      <c r="K16" s="34" t="b">
        <v>1</v>
      </c>
      <c r="L16" s="34"/>
      <c r="M16" s="34"/>
      <c r="N16" s="34" t="s">
        <v>7150</v>
      </c>
      <c r="O16" s="34" t="s">
        <v>7150</v>
      </c>
      <c r="P16" s="34" t="s">
        <v>7150</v>
      </c>
      <c r="Q16" s="34" t="b">
        <v>0</v>
      </c>
      <c r="R16" s="34" t="b">
        <v>0</v>
      </c>
    </row>
    <row r="17" spans="1:18">
      <c r="A17" s="34" t="s">
        <v>4733</v>
      </c>
      <c r="B17" s="34"/>
      <c r="C17" s="34"/>
      <c r="D17" s="34">
        <v>0</v>
      </c>
      <c r="E17" s="34">
        <v>0</v>
      </c>
      <c r="F17" s="34">
        <v>0</v>
      </c>
      <c r="G17" s="34" t="s">
        <v>4719</v>
      </c>
      <c r="H17" s="34"/>
      <c r="I17" s="34" t="b">
        <v>1</v>
      </c>
      <c r="J17" s="34" t="b">
        <v>0</v>
      </c>
      <c r="K17" s="34" t="b">
        <v>1</v>
      </c>
      <c r="L17" s="34"/>
      <c r="M17" s="34"/>
      <c r="N17" s="34" t="s">
        <v>7150</v>
      </c>
      <c r="O17" s="34" t="s">
        <v>7150</v>
      </c>
      <c r="P17" s="34" t="s">
        <v>7150</v>
      </c>
      <c r="Q17" s="34" t="b">
        <v>0</v>
      </c>
      <c r="R17" s="34" t="b">
        <v>0</v>
      </c>
    </row>
    <row r="18" spans="1:18">
      <c r="A18" s="34" t="s">
        <v>4734</v>
      </c>
      <c r="B18" s="34"/>
      <c r="C18" s="34"/>
      <c r="D18" s="34">
        <v>0</v>
      </c>
      <c r="E18" s="34">
        <v>0</v>
      </c>
      <c r="F18" s="34">
        <v>0</v>
      </c>
      <c r="G18" s="34" t="s">
        <v>4720</v>
      </c>
      <c r="H18" s="34"/>
      <c r="I18" s="34" t="b">
        <v>1</v>
      </c>
      <c r="J18" s="34" t="b">
        <v>0</v>
      </c>
      <c r="K18" s="34" t="b">
        <v>1</v>
      </c>
      <c r="L18" s="34"/>
      <c r="M18" s="34"/>
      <c r="N18" s="34" t="s">
        <v>7150</v>
      </c>
      <c r="O18" s="34" t="s">
        <v>7150</v>
      </c>
      <c r="P18" s="34" t="s">
        <v>7150</v>
      </c>
      <c r="Q18" s="34" t="b">
        <v>0</v>
      </c>
      <c r="R18" s="34" t="b">
        <v>0</v>
      </c>
    </row>
    <row r="19" spans="1:18">
      <c r="A19" s="34" t="s">
        <v>4735</v>
      </c>
      <c r="B19" s="34"/>
      <c r="C19" s="34"/>
      <c r="D19" s="34">
        <v>0</v>
      </c>
      <c r="E19" s="34">
        <v>0</v>
      </c>
      <c r="F19" s="34">
        <v>0</v>
      </c>
      <c r="G19" s="34" t="s">
        <v>4721</v>
      </c>
      <c r="H19" s="34"/>
      <c r="I19" s="34" t="b">
        <v>1</v>
      </c>
      <c r="J19" s="34" t="b">
        <v>0</v>
      </c>
      <c r="K19" s="34" t="b">
        <v>1</v>
      </c>
      <c r="L19" s="34"/>
      <c r="M19" s="34"/>
      <c r="N19" s="34" t="s">
        <v>7150</v>
      </c>
      <c r="O19" s="34" t="s">
        <v>7150</v>
      </c>
      <c r="P19" s="34" t="s">
        <v>7150</v>
      </c>
      <c r="Q19" s="34" t="b">
        <v>0</v>
      </c>
      <c r="R19" s="34" t="b">
        <v>0</v>
      </c>
    </row>
    <row r="20" spans="1:18" s="154" customFormat="1">
      <c r="A20" s="51" t="s">
        <v>7151</v>
      </c>
      <c r="B20" s="51"/>
      <c r="C20" s="51"/>
      <c r="D20" s="51">
        <v>0</v>
      </c>
      <c r="E20" s="51">
        <v>0</v>
      </c>
      <c r="F20" s="51">
        <v>0</v>
      </c>
      <c r="G20" s="51" t="s">
        <v>122</v>
      </c>
      <c r="H20" s="51"/>
      <c r="I20" s="34" t="b">
        <v>1</v>
      </c>
      <c r="J20" s="51" t="b">
        <v>0</v>
      </c>
      <c r="K20" s="51" t="b">
        <v>1</v>
      </c>
      <c r="L20" s="51" t="s">
        <v>4506</v>
      </c>
      <c r="M20" s="51"/>
      <c r="N20" s="51" t="s">
        <v>7150</v>
      </c>
      <c r="O20" s="51" t="s">
        <v>7150</v>
      </c>
      <c r="P20" s="51" t="s">
        <v>7150</v>
      </c>
      <c r="Q20" s="51" t="b">
        <v>0</v>
      </c>
      <c r="R20" s="51" t="b">
        <v>0</v>
      </c>
    </row>
    <row r="21" spans="1:18" s="154" customFormat="1">
      <c r="A21" s="51" t="s">
        <v>7152</v>
      </c>
      <c r="B21" s="51"/>
      <c r="C21" s="51"/>
      <c r="D21" s="51">
        <v>0</v>
      </c>
      <c r="E21" s="51">
        <v>0</v>
      </c>
      <c r="F21" s="51">
        <v>0</v>
      </c>
      <c r="G21" s="51" t="s">
        <v>4722</v>
      </c>
      <c r="H21" s="51"/>
      <c r="I21" s="34" t="b">
        <v>1</v>
      </c>
      <c r="J21" s="51" t="b">
        <v>0</v>
      </c>
      <c r="K21" s="51" t="b">
        <v>1</v>
      </c>
      <c r="L21" s="51"/>
      <c r="M21" s="51"/>
      <c r="N21" s="51" t="s">
        <v>7150</v>
      </c>
      <c r="O21" s="51" t="s">
        <v>7150</v>
      </c>
      <c r="P21" s="51" t="s">
        <v>7150</v>
      </c>
      <c r="Q21" s="51" t="b">
        <v>0</v>
      </c>
      <c r="R21" s="51" t="b">
        <v>0</v>
      </c>
    </row>
    <row r="22" spans="1:18" s="154" customFormat="1">
      <c r="A22" s="51" t="s">
        <v>4736</v>
      </c>
      <c r="B22" s="51"/>
      <c r="C22" s="51"/>
      <c r="D22" s="51">
        <v>0</v>
      </c>
      <c r="E22" s="51">
        <v>0</v>
      </c>
      <c r="F22" s="51">
        <v>0</v>
      </c>
      <c r="G22" s="51" t="s">
        <v>4723</v>
      </c>
      <c r="H22" s="51"/>
      <c r="I22" s="34" t="b">
        <v>1</v>
      </c>
      <c r="J22" s="51" t="b">
        <v>0</v>
      </c>
      <c r="K22" s="51" t="b">
        <v>1</v>
      </c>
      <c r="L22" s="51"/>
      <c r="M22" s="51"/>
      <c r="N22" s="51" t="s">
        <v>7150</v>
      </c>
      <c r="O22" s="51" t="s">
        <v>7150</v>
      </c>
      <c r="P22" s="51" t="s">
        <v>7150</v>
      </c>
      <c r="Q22" s="51" t="b">
        <v>0</v>
      </c>
      <c r="R22" s="51" t="b">
        <v>0</v>
      </c>
    </row>
    <row r="23" spans="1:18" s="154" customFormat="1">
      <c r="A23" s="51" t="s">
        <v>4737</v>
      </c>
      <c r="B23" s="51"/>
      <c r="C23" s="51"/>
      <c r="D23" s="51">
        <v>0</v>
      </c>
      <c r="E23" s="51">
        <v>0</v>
      </c>
      <c r="F23" s="51">
        <v>0</v>
      </c>
      <c r="G23" s="51" t="s">
        <v>4724</v>
      </c>
      <c r="H23" s="51"/>
      <c r="I23" s="34" t="b">
        <v>1</v>
      </c>
      <c r="J23" s="51" t="b">
        <v>0</v>
      </c>
      <c r="K23" s="51" t="b">
        <v>1</v>
      </c>
      <c r="L23" s="51"/>
      <c r="M23" s="51"/>
      <c r="N23" s="51" t="s">
        <v>7150</v>
      </c>
      <c r="O23" s="51" t="s">
        <v>7150</v>
      </c>
      <c r="P23" s="51" t="s">
        <v>7150</v>
      </c>
      <c r="Q23" s="51" t="b">
        <v>0</v>
      </c>
      <c r="R23" s="51" t="b">
        <v>0</v>
      </c>
    </row>
    <row r="24" spans="1:18" s="154" customFormat="1">
      <c r="A24" s="51" t="s">
        <v>4738</v>
      </c>
      <c r="B24" s="51"/>
      <c r="C24" s="51"/>
      <c r="D24" s="51">
        <v>0</v>
      </c>
      <c r="E24" s="51">
        <v>0</v>
      </c>
      <c r="F24" s="51">
        <v>0</v>
      </c>
      <c r="G24" s="51" t="s">
        <v>4725</v>
      </c>
      <c r="H24" s="51"/>
      <c r="I24" s="34" t="b">
        <v>1</v>
      </c>
      <c r="J24" s="51" t="b">
        <v>0</v>
      </c>
      <c r="K24" s="51" t="b">
        <v>1</v>
      </c>
      <c r="L24" s="51"/>
      <c r="M24" s="51"/>
      <c r="N24" s="51" t="s">
        <v>7150</v>
      </c>
      <c r="O24" s="51" t="s">
        <v>7150</v>
      </c>
      <c r="P24" s="51" t="s">
        <v>7150</v>
      </c>
      <c r="Q24" s="51" t="b">
        <v>0</v>
      </c>
      <c r="R24" s="51" t="b">
        <v>0</v>
      </c>
    </row>
    <row r="25" spans="1:18" s="154" customFormat="1">
      <c r="A25" s="51" t="s">
        <v>4739</v>
      </c>
      <c r="B25" s="51"/>
      <c r="C25" s="51"/>
      <c r="D25" s="51">
        <v>0</v>
      </c>
      <c r="E25" s="51">
        <v>0</v>
      </c>
      <c r="F25" s="51">
        <v>0</v>
      </c>
      <c r="G25" s="51" t="s">
        <v>4726</v>
      </c>
      <c r="H25" s="51"/>
      <c r="I25" s="34" t="b">
        <v>1</v>
      </c>
      <c r="J25" s="51" t="b">
        <v>0</v>
      </c>
      <c r="K25" s="51" t="b">
        <v>1</v>
      </c>
      <c r="L25" s="51"/>
      <c r="M25" s="51"/>
      <c r="N25" s="51" t="s">
        <v>7150</v>
      </c>
      <c r="O25" s="51" t="s">
        <v>7150</v>
      </c>
      <c r="P25" s="51" t="s">
        <v>7150</v>
      </c>
      <c r="Q25" s="51" t="b">
        <v>0</v>
      </c>
      <c r="R25" s="51" t="b">
        <v>0</v>
      </c>
    </row>
    <row r="26" spans="1:18" s="154" customFormat="1">
      <c r="A26" s="51" t="s">
        <v>4740</v>
      </c>
      <c r="B26" s="51"/>
      <c r="C26" s="51"/>
      <c r="D26" s="51">
        <v>0</v>
      </c>
      <c r="E26" s="51">
        <v>0</v>
      </c>
      <c r="F26" s="51">
        <v>0</v>
      </c>
      <c r="G26" s="51" t="s">
        <v>4727</v>
      </c>
      <c r="H26" s="51"/>
      <c r="I26" s="34" t="b">
        <v>1</v>
      </c>
      <c r="J26" s="51" t="b">
        <v>0</v>
      </c>
      <c r="K26" s="51" t="b">
        <v>1</v>
      </c>
      <c r="L26" s="51"/>
      <c r="M26" s="51"/>
      <c r="N26" s="51" t="s">
        <v>7150</v>
      </c>
      <c r="O26" s="51" t="s">
        <v>7150</v>
      </c>
      <c r="P26" s="51" t="s">
        <v>7150</v>
      </c>
      <c r="Q26" s="51" t="b">
        <v>0</v>
      </c>
      <c r="R26" s="51" t="b">
        <v>0</v>
      </c>
    </row>
    <row r="27" spans="1:18" s="154" customFormat="1">
      <c r="A27" s="51" t="s">
        <v>4741</v>
      </c>
      <c r="B27" s="51"/>
      <c r="C27" s="51"/>
      <c r="D27" s="51">
        <v>0</v>
      </c>
      <c r="E27" s="51">
        <v>0</v>
      </c>
      <c r="F27" s="51">
        <v>0</v>
      </c>
      <c r="G27" s="51" t="s">
        <v>4728</v>
      </c>
      <c r="H27" s="51"/>
      <c r="I27" s="34" t="b">
        <v>1</v>
      </c>
      <c r="J27" s="51" t="b">
        <v>0</v>
      </c>
      <c r="K27" s="51" t="b">
        <v>1</v>
      </c>
      <c r="L27" s="51"/>
      <c r="M27" s="51"/>
      <c r="N27" s="51" t="s">
        <v>7150</v>
      </c>
      <c r="O27" s="51" t="s">
        <v>7150</v>
      </c>
      <c r="P27" s="51" t="s">
        <v>7150</v>
      </c>
      <c r="Q27" s="51" t="b">
        <v>0</v>
      </c>
      <c r="R27" s="51" t="b">
        <v>0</v>
      </c>
    </row>
    <row r="28" spans="1:18">
      <c r="A28" s="34" t="s">
        <v>7153</v>
      </c>
      <c r="B28" s="34"/>
      <c r="C28" s="34"/>
      <c r="D28" s="34">
        <v>0</v>
      </c>
      <c r="E28" s="34">
        <v>0</v>
      </c>
      <c r="F28" s="34">
        <v>0</v>
      </c>
      <c r="G28" s="34" t="s">
        <v>122</v>
      </c>
      <c r="H28" s="34"/>
      <c r="I28" s="34" t="b">
        <v>1</v>
      </c>
      <c r="J28" s="34" t="b">
        <v>0</v>
      </c>
      <c r="K28" s="34" t="b">
        <v>1</v>
      </c>
      <c r="L28" s="34" t="s">
        <v>4507</v>
      </c>
      <c r="M28" s="34"/>
      <c r="N28" s="34" t="s">
        <v>7150</v>
      </c>
      <c r="O28" s="34" t="s">
        <v>7150</v>
      </c>
      <c r="P28" s="34" t="s">
        <v>7150</v>
      </c>
      <c r="Q28" s="34" t="b">
        <v>0</v>
      </c>
      <c r="R28" s="34" t="b">
        <v>0</v>
      </c>
    </row>
    <row r="29" spans="1:18">
      <c r="A29" s="34" t="s">
        <v>7154</v>
      </c>
      <c r="B29" s="34"/>
      <c r="C29" s="34"/>
      <c r="D29" s="34">
        <v>0</v>
      </c>
      <c r="E29" s="34">
        <v>0</v>
      </c>
      <c r="F29" s="34">
        <v>0</v>
      </c>
      <c r="G29" s="34" t="s">
        <v>4760</v>
      </c>
      <c r="H29" s="34"/>
      <c r="I29" s="34" t="b">
        <v>1</v>
      </c>
      <c r="J29" s="34" t="b">
        <v>0</v>
      </c>
      <c r="K29" s="34" t="b">
        <v>1</v>
      </c>
      <c r="L29" s="34"/>
      <c r="M29" s="34"/>
      <c r="N29" s="34" t="s">
        <v>7150</v>
      </c>
      <c r="O29" s="34" t="s">
        <v>7150</v>
      </c>
      <c r="P29" s="34" t="s">
        <v>7150</v>
      </c>
      <c r="Q29" s="34" t="b">
        <v>0</v>
      </c>
      <c r="R29" s="34" t="b">
        <v>0</v>
      </c>
    </row>
    <row r="30" spans="1:18">
      <c r="A30" s="34" t="s">
        <v>4742</v>
      </c>
      <c r="B30" s="34"/>
      <c r="C30" s="34"/>
      <c r="D30" s="34">
        <v>0</v>
      </c>
      <c r="E30" s="34">
        <v>0</v>
      </c>
      <c r="F30" s="34">
        <v>0</v>
      </c>
      <c r="G30" s="34" t="s">
        <v>4761</v>
      </c>
      <c r="H30" s="34"/>
      <c r="I30" s="34" t="b">
        <v>1</v>
      </c>
      <c r="J30" s="34" t="b">
        <v>0</v>
      </c>
      <c r="K30" s="34" t="b">
        <v>1</v>
      </c>
      <c r="L30" s="34"/>
      <c r="M30" s="34"/>
      <c r="N30" s="34" t="s">
        <v>7150</v>
      </c>
      <c r="O30" s="34" t="s">
        <v>7150</v>
      </c>
      <c r="P30" s="34" t="s">
        <v>7150</v>
      </c>
      <c r="Q30" s="34" t="b">
        <v>0</v>
      </c>
      <c r="R30" s="34" t="b">
        <v>0</v>
      </c>
    </row>
    <row r="31" spans="1:18">
      <c r="A31" s="34" t="s">
        <v>4743</v>
      </c>
      <c r="B31" s="34"/>
      <c r="C31" s="34"/>
      <c r="D31" s="34">
        <v>0</v>
      </c>
      <c r="E31" s="34">
        <v>0</v>
      </c>
      <c r="F31" s="34">
        <v>0</v>
      </c>
      <c r="G31" s="34" t="s">
        <v>4762</v>
      </c>
      <c r="H31" s="34"/>
      <c r="I31" s="34" t="b">
        <v>1</v>
      </c>
      <c r="J31" s="34" t="b">
        <v>0</v>
      </c>
      <c r="K31" s="34" t="b">
        <v>1</v>
      </c>
      <c r="L31" s="34"/>
      <c r="M31" s="34"/>
      <c r="N31" s="34" t="s">
        <v>7150</v>
      </c>
      <c r="O31" s="34" t="s">
        <v>7150</v>
      </c>
      <c r="P31" s="34" t="s">
        <v>7150</v>
      </c>
      <c r="Q31" s="34" t="b">
        <v>0</v>
      </c>
      <c r="R31" s="34" t="b">
        <v>0</v>
      </c>
    </row>
    <row r="32" spans="1:18">
      <c r="A32" s="34" t="s">
        <v>4744</v>
      </c>
      <c r="B32" s="34"/>
      <c r="C32" s="34"/>
      <c r="D32" s="34">
        <v>0</v>
      </c>
      <c r="E32" s="34">
        <v>0</v>
      </c>
      <c r="F32" s="34">
        <v>0</v>
      </c>
      <c r="G32" s="34" t="s">
        <v>4763</v>
      </c>
      <c r="H32" s="34"/>
      <c r="I32" s="34" t="b">
        <v>1</v>
      </c>
      <c r="J32" s="34" t="b">
        <v>0</v>
      </c>
      <c r="K32" s="34" t="b">
        <v>1</v>
      </c>
      <c r="L32" s="34"/>
      <c r="M32" s="34"/>
      <c r="N32" s="34" t="s">
        <v>7150</v>
      </c>
      <c r="O32" s="34" t="s">
        <v>7150</v>
      </c>
      <c r="P32" s="34" t="s">
        <v>7150</v>
      </c>
      <c r="Q32" s="34" t="b">
        <v>0</v>
      </c>
      <c r="R32" s="34" t="b">
        <v>0</v>
      </c>
    </row>
    <row r="33" spans="1:18">
      <c r="A33" s="34" t="s">
        <v>4745</v>
      </c>
      <c r="B33" s="34"/>
      <c r="C33" s="34"/>
      <c r="D33" s="34">
        <v>0</v>
      </c>
      <c r="E33" s="34">
        <v>0</v>
      </c>
      <c r="F33" s="34">
        <v>0</v>
      </c>
      <c r="G33" s="34" t="s">
        <v>4764</v>
      </c>
      <c r="H33" s="34"/>
      <c r="I33" s="34" t="b">
        <v>1</v>
      </c>
      <c r="J33" s="34" t="b">
        <v>0</v>
      </c>
      <c r="K33" s="34" t="b">
        <v>1</v>
      </c>
      <c r="L33" s="34"/>
      <c r="M33" s="34"/>
      <c r="N33" s="34" t="s">
        <v>7150</v>
      </c>
      <c r="O33" s="34" t="s">
        <v>7150</v>
      </c>
      <c r="P33" s="34" t="s">
        <v>7150</v>
      </c>
      <c r="Q33" s="34" t="b">
        <v>0</v>
      </c>
      <c r="R33" s="34" t="b">
        <v>0</v>
      </c>
    </row>
    <row r="34" spans="1:18">
      <c r="A34" s="34" t="s">
        <v>4746</v>
      </c>
      <c r="B34" s="34"/>
      <c r="C34" s="34"/>
      <c r="D34" s="34">
        <v>0</v>
      </c>
      <c r="E34" s="34">
        <v>0</v>
      </c>
      <c r="F34" s="34">
        <v>0</v>
      </c>
      <c r="G34" s="34" t="s">
        <v>4765</v>
      </c>
      <c r="H34" s="34"/>
      <c r="I34" s="34" t="b">
        <v>1</v>
      </c>
      <c r="J34" s="34" t="b">
        <v>0</v>
      </c>
      <c r="K34" s="34" t="b">
        <v>1</v>
      </c>
      <c r="L34" s="34"/>
      <c r="M34" s="34"/>
      <c r="N34" s="34" t="s">
        <v>7150</v>
      </c>
      <c r="O34" s="34" t="s">
        <v>7150</v>
      </c>
      <c r="P34" s="34" t="s">
        <v>7150</v>
      </c>
      <c r="Q34" s="34" t="b">
        <v>0</v>
      </c>
      <c r="R34" s="34" t="b">
        <v>0</v>
      </c>
    </row>
    <row r="35" spans="1:18">
      <c r="A35" s="34" t="s">
        <v>4747</v>
      </c>
      <c r="B35" s="34"/>
      <c r="C35" s="34"/>
      <c r="D35" s="34">
        <v>0</v>
      </c>
      <c r="E35" s="34">
        <v>0</v>
      </c>
      <c r="F35" s="34">
        <v>0</v>
      </c>
      <c r="G35" s="34" t="s">
        <v>4766</v>
      </c>
      <c r="H35" s="34"/>
      <c r="I35" s="34" t="b">
        <v>1</v>
      </c>
      <c r="J35" s="34" t="b">
        <v>0</v>
      </c>
      <c r="K35" s="34" t="b">
        <v>1</v>
      </c>
      <c r="L35" s="34"/>
      <c r="M35" s="34"/>
      <c r="N35" s="34" t="s">
        <v>7150</v>
      </c>
      <c r="O35" s="34" t="s">
        <v>7150</v>
      </c>
      <c r="P35" s="34" t="s">
        <v>7150</v>
      </c>
      <c r="Q35" s="34" t="b">
        <v>0</v>
      </c>
      <c r="R35" s="34" t="b">
        <v>0</v>
      </c>
    </row>
    <row r="36" spans="1:18">
      <c r="A36" s="23" t="s">
        <v>766</v>
      </c>
      <c r="B36" s="23"/>
      <c r="C36" s="23"/>
      <c r="D36" s="23">
        <v>6000</v>
      </c>
      <c r="E36" s="23">
        <v>0</v>
      </c>
      <c r="F36" s="23">
        <v>0</v>
      </c>
      <c r="G36" s="23" t="s">
        <v>1611</v>
      </c>
      <c r="H36" s="23"/>
      <c r="I36" s="23" t="b">
        <v>0</v>
      </c>
      <c r="J36" s="23" t="b">
        <v>0</v>
      </c>
      <c r="K36" s="23" t="b">
        <v>0</v>
      </c>
      <c r="L36" s="23" t="s">
        <v>175</v>
      </c>
      <c r="M36" s="23" t="s">
        <v>1611</v>
      </c>
      <c r="N36" s="23" t="str">
        <f>_xlfn.IFNA(VLOOKUP($M36,Buff.CM!$A:$O,13,FALSE),"")</f>
        <v>icon_battle_eprechargerate_down</v>
      </c>
      <c r="O36" s="23" t="str">
        <f>_xlfn.IFNA(VLOOKUP($M36,Buff.CM!$A:$O,14,FALSE),"")</f>
        <v>Buff.Name.RechargeRate.Down.03</v>
      </c>
      <c r="P36" s="23" t="str">
        <f>_xlfn.IFNA(VLOOKUP($M36,Buff.CM!$A:$O,15,FALSE),"")</f>
        <v>Buff.Desc.RechargeRate.Down.03</v>
      </c>
      <c r="Q36" s="23" t="b">
        <v>0</v>
      </c>
      <c r="R36" s="23" t="b">
        <v>0</v>
      </c>
    </row>
    <row r="37" spans="1:18">
      <c r="A37" s="23" t="s">
        <v>767</v>
      </c>
      <c r="B37" s="23"/>
      <c r="C37" s="23"/>
      <c r="D37" s="23">
        <v>7000</v>
      </c>
      <c r="E37" s="23">
        <v>0</v>
      </c>
      <c r="F37" s="23">
        <v>0</v>
      </c>
      <c r="G37" s="23" t="s">
        <v>1611</v>
      </c>
      <c r="H37" s="23"/>
      <c r="I37" s="23" t="b">
        <v>0</v>
      </c>
      <c r="J37" s="23" t="b">
        <v>0</v>
      </c>
      <c r="K37" s="23" t="b">
        <v>0</v>
      </c>
      <c r="L37" s="23" t="s">
        <v>175</v>
      </c>
      <c r="M37" s="23" t="s">
        <v>1611</v>
      </c>
      <c r="N37" s="23" t="str">
        <f>_xlfn.IFNA(VLOOKUP($M37,Buff.CM!$A:$O,13,FALSE),"")</f>
        <v>icon_battle_eprechargerate_down</v>
      </c>
      <c r="O37" s="23" t="str">
        <f>_xlfn.IFNA(VLOOKUP($M37,Buff.CM!$A:$O,14,FALSE),"")</f>
        <v>Buff.Name.RechargeRate.Down.03</v>
      </c>
      <c r="P37" s="23" t="str">
        <f>_xlfn.IFNA(VLOOKUP($M37,Buff.CM!$A:$O,15,FALSE),"")</f>
        <v>Buff.Desc.RechargeRate.Down.03</v>
      </c>
      <c r="Q37" s="23" t="b">
        <v>0</v>
      </c>
      <c r="R37" s="23" t="b">
        <v>0</v>
      </c>
    </row>
    <row r="38" spans="1:18">
      <c r="A38" s="23" t="s">
        <v>768</v>
      </c>
      <c r="B38" s="23"/>
      <c r="C38" s="23"/>
      <c r="D38" s="23">
        <v>8000</v>
      </c>
      <c r="E38" s="23">
        <v>0</v>
      </c>
      <c r="F38" s="23">
        <v>0</v>
      </c>
      <c r="G38" s="23" t="s">
        <v>1612</v>
      </c>
      <c r="H38" s="23"/>
      <c r="I38" s="23" t="b">
        <v>0</v>
      </c>
      <c r="J38" s="23" t="b">
        <v>0</v>
      </c>
      <c r="K38" s="23" t="b">
        <v>0</v>
      </c>
      <c r="L38" s="23" t="s">
        <v>175</v>
      </c>
      <c r="M38" s="23" t="s">
        <v>1612</v>
      </c>
      <c r="N38" s="23" t="str">
        <f>_xlfn.IFNA(VLOOKUP($M38,Buff.CM!$A:$O,13,FALSE),"")</f>
        <v>icon_battle_eprechargerate_down</v>
      </c>
      <c r="O38" s="23" t="str">
        <f>_xlfn.IFNA(VLOOKUP($M38,Buff.CM!$A:$O,14,FALSE),"")</f>
        <v>Buff.Name.RechargeRate.Down.04</v>
      </c>
      <c r="P38" s="23" t="str">
        <f>_xlfn.IFNA(VLOOKUP($M38,Buff.CM!$A:$O,15,FALSE),"")</f>
        <v>Buff.Desc.RechargeRate.Down.04</v>
      </c>
      <c r="Q38" s="23" t="b">
        <v>0</v>
      </c>
      <c r="R38" s="23" t="b">
        <v>0</v>
      </c>
    </row>
    <row r="39" spans="1:18">
      <c r="A39" s="23" t="s">
        <v>3808</v>
      </c>
      <c r="B39" s="23"/>
      <c r="C39" s="23"/>
      <c r="D39" s="23">
        <v>10000</v>
      </c>
      <c r="E39" s="23">
        <v>0</v>
      </c>
      <c r="F39" s="23">
        <v>0</v>
      </c>
      <c r="G39" s="23" t="s">
        <v>1612</v>
      </c>
      <c r="H39" s="23"/>
      <c r="I39" s="23" t="b">
        <v>0</v>
      </c>
      <c r="J39" s="23" t="b">
        <v>0</v>
      </c>
      <c r="K39" s="23" t="b">
        <v>0</v>
      </c>
      <c r="L39" s="23" t="s">
        <v>175</v>
      </c>
      <c r="M39" s="23" t="s">
        <v>1612</v>
      </c>
      <c r="N39" s="23" t="str">
        <f>_xlfn.IFNA(VLOOKUP($M39,Buff.CM!$A:$O,13,FALSE),"")</f>
        <v>icon_battle_eprechargerate_down</v>
      </c>
      <c r="O39" s="23" t="str">
        <f>_xlfn.IFNA(VLOOKUP($M39,Buff.CM!$A:$O,14,FALSE),"")</f>
        <v>Buff.Name.RechargeRate.Down.04</v>
      </c>
      <c r="P39" s="23" t="str">
        <f>_xlfn.IFNA(VLOOKUP($M39,Buff.CM!$A:$O,15,FALSE),"")</f>
        <v>Buff.Desc.RechargeRate.Down.04</v>
      </c>
      <c r="Q39" s="23" t="b">
        <v>0</v>
      </c>
      <c r="R39" s="23" t="b">
        <v>0</v>
      </c>
    </row>
    <row r="40" spans="1:18">
      <c r="A40" s="24" t="s">
        <v>769</v>
      </c>
      <c r="B40" s="24"/>
      <c r="C40" s="24"/>
      <c r="D40" s="24">
        <v>5000</v>
      </c>
      <c r="E40" s="24">
        <v>0</v>
      </c>
      <c r="F40" s="24">
        <v>0</v>
      </c>
      <c r="G40" s="24" t="s">
        <v>7292</v>
      </c>
      <c r="H40" s="24"/>
      <c r="I40" s="24" t="b">
        <v>0</v>
      </c>
      <c r="J40" s="24" t="b">
        <v>0</v>
      </c>
      <c r="K40" s="24" t="b">
        <v>1</v>
      </c>
      <c r="L40" s="24" t="s">
        <v>66</v>
      </c>
      <c r="M40" s="24" t="s">
        <v>1513</v>
      </c>
      <c r="N40" s="24" t="str">
        <f>_xlfn.IFNA(VLOOKUP($M40,Buff.CM!$A:$O,13,FALSE),"")</f>
        <v>icon_battle_eprechargerate</v>
      </c>
      <c r="O40" s="24" t="str">
        <f>_xlfn.IFNA(VLOOKUP($M40,Buff.CM!$A:$O,14,FALSE),"")</f>
        <v>Buff.Name.RechargeRate.Up.04</v>
      </c>
      <c r="P40" s="24" t="str">
        <f>_xlfn.IFNA(VLOOKUP($M40,Buff.CM!$A:$O,15,FALSE),"")</f>
        <v>Buff.Desc.RechargeRate.Up.04</v>
      </c>
      <c r="Q40" s="24" t="b">
        <v>0</v>
      </c>
      <c r="R40" s="24" t="b">
        <v>0</v>
      </c>
    </row>
    <row r="41" spans="1:18">
      <c r="A41" s="24" t="s">
        <v>770</v>
      </c>
      <c r="B41" s="24"/>
      <c r="C41" s="24"/>
      <c r="D41" s="24">
        <v>5500</v>
      </c>
      <c r="E41" s="24">
        <v>0</v>
      </c>
      <c r="F41" s="24">
        <v>0</v>
      </c>
      <c r="G41" s="24" t="s">
        <v>7292</v>
      </c>
      <c r="H41" s="24"/>
      <c r="I41" s="24" t="b">
        <v>0</v>
      </c>
      <c r="J41" s="24" t="b">
        <v>0</v>
      </c>
      <c r="K41" s="24" t="b">
        <v>1</v>
      </c>
      <c r="L41" s="24" t="s">
        <v>66</v>
      </c>
      <c r="M41" s="24" t="s">
        <v>1513</v>
      </c>
      <c r="N41" s="24" t="str">
        <f>_xlfn.IFNA(VLOOKUP($M41,Buff.CM!$A:$O,13,FALSE),"")</f>
        <v>icon_battle_eprechargerate</v>
      </c>
      <c r="O41" s="24" t="str">
        <f>_xlfn.IFNA(VLOOKUP($M41,Buff.CM!$A:$O,14,FALSE),"")</f>
        <v>Buff.Name.RechargeRate.Up.04</v>
      </c>
      <c r="P41" s="24" t="str">
        <f>_xlfn.IFNA(VLOOKUP($M41,Buff.CM!$A:$O,15,FALSE),"")</f>
        <v>Buff.Desc.RechargeRate.Up.04</v>
      </c>
      <c r="Q41" s="24" t="b">
        <v>0</v>
      </c>
      <c r="R41" s="24" t="b">
        <v>0</v>
      </c>
    </row>
    <row r="42" spans="1:18">
      <c r="A42" s="24" t="s">
        <v>771</v>
      </c>
      <c r="B42" s="24"/>
      <c r="C42" s="24"/>
      <c r="D42" s="24">
        <v>6000</v>
      </c>
      <c r="E42" s="24">
        <v>0</v>
      </c>
      <c r="F42" s="24">
        <v>0</v>
      </c>
      <c r="G42" s="24" t="s">
        <v>7293</v>
      </c>
      <c r="H42" s="24"/>
      <c r="I42" s="24" t="b">
        <v>0</v>
      </c>
      <c r="J42" s="24" t="b">
        <v>0</v>
      </c>
      <c r="K42" s="24" t="b">
        <v>1</v>
      </c>
      <c r="L42" s="24" t="s">
        <v>66</v>
      </c>
      <c r="M42" s="24" t="s">
        <v>1514</v>
      </c>
      <c r="N42" s="24" t="str">
        <f>_xlfn.IFNA(VLOOKUP($M42,Buff.CM!$A:$O,13,FALSE),"")</f>
        <v>icon_battle_eprechargerate</v>
      </c>
      <c r="O42" s="24" t="str">
        <f>_xlfn.IFNA(VLOOKUP($M42,Buff.CM!$A:$O,14,FALSE),"")</f>
        <v>Buff.Name.RechargeRate.Up.05</v>
      </c>
      <c r="P42" s="24" t="str">
        <f>_xlfn.IFNA(VLOOKUP($M42,Buff.CM!$A:$O,15,FALSE),"")</f>
        <v>Buff.Desc.RechargeRate.Up.05</v>
      </c>
      <c r="Q42" s="24" t="b">
        <v>0</v>
      </c>
      <c r="R42" s="24" t="b">
        <v>0</v>
      </c>
    </row>
    <row r="43" spans="1:18">
      <c r="A43" s="24" t="s">
        <v>3809</v>
      </c>
      <c r="B43" s="24"/>
      <c r="C43" s="24"/>
      <c r="D43" s="24">
        <v>6500</v>
      </c>
      <c r="E43" s="24">
        <v>0</v>
      </c>
      <c r="F43" s="24">
        <v>0</v>
      </c>
      <c r="G43" s="24" t="s">
        <v>7293</v>
      </c>
      <c r="H43" s="24"/>
      <c r="I43" s="24" t="b">
        <v>0</v>
      </c>
      <c r="J43" s="24" t="b">
        <v>0</v>
      </c>
      <c r="K43" s="24" t="b">
        <v>1</v>
      </c>
      <c r="L43" s="24" t="s">
        <v>66</v>
      </c>
      <c r="M43" s="24" t="s">
        <v>1514</v>
      </c>
      <c r="N43" s="24" t="str">
        <f>_xlfn.IFNA(VLOOKUP($M43,Buff.CM!$A:$O,13,FALSE),"")</f>
        <v>icon_battle_eprechargerate</v>
      </c>
      <c r="O43" s="24" t="str">
        <f>_xlfn.IFNA(VLOOKUP($M43,Buff.CM!$A:$O,14,FALSE),"")</f>
        <v>Buff.Name.RechargeRate.Up.05</v>
      </c>
      <c r="P43" s="24" t="str">
        <f>_xlfn.IFNA(VLOOKUP($M43,Buff.CM!$A:$O,15,FALSE),"")</f>
        <v>Buff.Desc.RechargeRate.Up.05</v>
      </c>
      <c r="Q43" s="24" t="b">
        <v>0</v>
      </c>
      <c r="R43" s="24" t="b">
        <v>0</v>
      </c>
    </row>
    <row r="44" spans="1:18">
      <c r="A44" s="23" t="s">
        <v>772</v>
      </c>
      <c r="B44" s="23"/>
      <c r="C44" s="23"/>
      <c r="D44" s="23">
        <v>5000</v>
      </c>
      <c r="E44" s="23">
        <v>0</v>
      </c>
      <c r="F44" s="23">
        <v>0</v>
      </c>
      <c r="G44" s="23" t="s">
        <v>1416</v>
      </c>
      <c r="H44" s="23"/>
      <c r="I44" s="23" t="b">
        <v>0</v>
      </c>
      <c r="J44" s="23" t="b">
        <v>0</v>
      </c>
      <c r="K44" s="23" t="b">
        <v>1</v>
      </c>
      <c r="L44" s="23" t="s">
        <v>66</v>
      </c>
      <c r="M44" s="23" t="s">
        <v>1416</v>
      </c>
      <c r="N44" s="23" t="str">
        <f>_xlfn.IFNA(VLOOKUP($M44,Buff.CM!$A:$O,13,FALSE),"")</f>
        <v>icon_battle_attack</v>
      </c>
      <c r="O44" s="23" t="str">
        <f>_xlfn.IFNA(VLOOKUP($M44,Buff.CM!$A:$O,14,FALSE),"")</f>
        <v>Buff.Name.Atk.Up.02</v>
      </c>
      <c r="P44" s="23" t="str">
        <f>_xlfn.IFNA(VLOOKUP($M44,Buff.CM!$A:$O,15,FALSE),"")</f>
        <v>Buff.Desc.Atk.Up.02</v>
      </c>
      <c r="Q44" s="23" t="b">
        <v>0</v>
      </c>
      <c r="R44" s="23" t="b">
        <v>0</v>
      </c>
    </row>
    <row r="45" spans="1:18">
      <c r="A45" s="23" t="s">
        <v>773</v>
      </c>
      <c r="B45" s="23"/>
      <c r="C45" s="23"/>
      <c r="D45" s="23">
        <v>5500</v>
      </c>
      <c r="E45" s="23">
        <v>0</v>
      </c>
      <c r="F45" s="23">
        <v>0</v>
      </c>
      <c r="G45" s="23" t="s">
        <v>1416</v>
      </c>
      <c r="H45" s="23"/>
      <c r="I45" s="23" t="b">
        <v>0</v>
      </c>
      <c r="J45" s="23" t="b">
        <v>0</v>
      </c>
      <c r="K45" s="23" t="b">
        <v>1</v>
      </c>
      <c r="L45" s="23" t="s">
        <v>66</v>
      </c>
      <c r="M45" s="23" t="s">
        <v>1416</v>
      </c>
      <c r="N45" s="23" t="str">
        <f>_xlfn.IFNA(VLOOKUP($M45,Buff.CM!$A:$O,13,FALSE),"")</f>
        <v>icon_battle_attack</v>
      </c>
      <c r="O45" s="23" t="str">
        <f>_xlfn.IFNA(VLOOKUP($M45,Buff.CM!$A:$O,14,FALSE),"")</f>
        <v>Buff.Name.Atk.Up.02</v>
      </c>
      <c r="P45" s="23" t="str">
        <f>_xlfn.IFNA(VLOOKUP($M45,Buff.CM!$A:$O,15,FALSE),"")</f>
        <v>Buff.Desc.Atk.Up.02</v>
      </c>
      <c r="Q45" s="23" t="b">
        <v>0</v>
      </c>
      <c r="R45" s="23" t="b">
        <v>0</v>
      </c>
    </row>
    <row r="46" spans="1:18">
      <c r="A46" s="23" t="s">
        <v>774</v>
      </c>
      <c r="B46" s="23"/>
      <c r="C46" s="23"/>
      <c r="D46" s="23">
        <v>6000</v>
      </c>
      <c r="E46" s="23">
        <v>0</v>
      </c>
      <c r="F46" s="23">
        <v>0</v>
      </c>
      <c r="G46" s="23" t="s">
        <v>1417</v>
      </c>
      <c r="H46" s="23"/>
      <c r="I46" s="23" t="b">
        <v>0</v>
      </c>
      <c r="J46" s="23" t="b">
        <v>0</v>
      </c>
      <c r="K46" s="23" t="b">
        <v>1</v>
      </c>
      <c r="L46" s="23" t="s">
        <v>66</v>
      </c>
      <c r="M46" s="23" t="s">
        <v>1417</v>
      </c>
      <c r="N46" s="23" t="str">
        <f>_xlfn.IFNA(VLOOKUP($M46,Buff.CM!$A:$O,13,FALSE),"")</f>
        <v>icon_battle_attack</v>
      </c>
      <c r="O46" s="23" t="str">
        <f>_xlfn.IFNA(VLOOKUP($M46,Buff.CM!$A:$O,14,FALSE),"")</f>
        <v>Buff.Name.Atk.Up.03</v>
      </c>
      <c r="P46" s="23" t="str">
        <f>_xlfn.IFNA(VLOOKUP($M46,Buff.CM!$A:$O,15,FALSE),"")</f>
        <v>Buff.Desc.Atk.Up.03</v>
      </c>
      <c r="Q46" s="23" t="b">
        <v>0</v>
      </c>
      <c r="R46" s="23" t="b">
        <v>0</v>
      </c>
    </row>
    <row r="47" spans="1:18">
      <c r="A47" s="34" t="s">
        <v>775</v>
      </c>
      <c r="B47" s="34"/>
      <c r="C47" s="34"/>
      <c r="D47" s="34">
        <v>6500</v>
      </c>
      <c r="E47" s="34">
        <v>0</v>
      </c>
      <c r="F47" s="34">
        <v>0</v>
      </c>
      <c r="G47" s="34" t="s">
        <v>1417</v>
      </c>
      <c r="H47" s="34"/>
      <c r="I47" s="34" t="b">
        <v>0</v>
      </c>
      <c r="J47" s="34" t="b">
        <v>0</v>
      </c>
      <c r="K47" s="34" t="b">
        <v>1</v>
      </c>
      <c r="L47" s="34" t="s">
        <v>66</v>
      </c>
      <c r="M47" s="34" t="s">
        <v>1417</v>
      </c>
      <c r="N47" s="34" t="str">
        <f>_xlfn.IFNA(VLOOKUP($M47,Buff.CM!$A:$O,13,FALSE),"")</f>
        <v>icon_battle_attack</v>
      </c>
      <c r="O47" s="34" t="str">
        <f>_xlfn.IFNA(VLOOKUP($M47,Buff.CM!$A:$O,14,FALSE),"")</f>
        <v>Buff.Name.Atk.Up.03</v>
      </c>
      <c r="P47" s="34" t="str">
        <f>_xlfn.IFNA(VLOOKUP($M47,Buff.CM!$A:$O,15,FALSE),"")</f>
        <v>Buff.Desc.Atk.Up.03</v>
      </c>
      <c r="Q47" s="34" t="b">
        <v>0</v>
      </c>
      <c r="R47" s="34" t="b">
        <v>0</v>
      </c>
    </row>
    <row r="48" spans="1:18">
      <c r="A48" s="34" t="s">
        <v>776</v>
      </c>
      <c r="B48" s="34"/>
      <c r="C48" s="34"/>
      <c r="D48" s="34">
        <v>6000</v>
      </c>
      <c r="E48" s="34">
        <v>0</v>
      </c>
      <c r="F48" s="34">
        <v>0</v>
      </c>
      <c r="G48" s="34" t="s">
        <v>1417</v>
      </c>
      <c r="H48" s="34"/>
      <c r="I48" s="34" t="b">
        <v>0</v>
      </c>
      <c r="J48" s="34" t="b">
        <v>0</v>
      </c>
      <c r="K48" s="34" t="b">
        <v>1</v>
      </c>
      <c r="L48" s="34" t="s">
        <v>66</v>
      </c>
      <c r="M48" s="34" t="s">
        <v>1417</v>
      </c>
      <c r="N48" s="34" t="str">
        <f>_xlfn.IFNA(VLOOKUP($M48,Buff.CM!$A:$O,13,FALSE),"")</f>
        <v>icon_battle_attack</v>
      </c>
      <c r="O48" s="34" t="str">
        <f>_xlfn.IFNA(VLOOKUP($M48,Buff.CM!$A:$O,14,FALSE),"")</f>
        <v>Buff.Name.Atk.Up.03</v>
      </c>
      <c r="P48" s="34" t="str">
        <f>_xlfn.IFNA(VLOOKUP($M48,Buff.CM!$A:$O,15,FALSE),"")</f>
        <v>Buff.Desc.Atk.Up.03</v>
      </c>
      <c r="Q48" s="34" t="b">
        <v>0</v>
      </c>
      <c r="R48" s="34" t="b">
        <v>0</v>
      </c>
    </row>
    <row r="49" spans="1:18">
      <c r="A49" s="34" t="s">
        <v>777</v>
      </c>
      <c r="B49" s="34"/>
      <c r="C49" s="34"/>
      <c r="D49" s="34">
        <v>6000</v>
      </c>
      <c r="E49" s="34">
        <v>0</v>
      </c>
      <c r="F49" s="34">
        <v>0</v>
      </c>
      <c r="G49" s="34" t="s">
        <v>1417</v>
      </c>
      <c r="H49" s="34"/>
      <c r="I49" s="34" t="b">
        <v>0</v>
      </c>
      <c r="J49" s="34" t="b">
        <v>0</v>
      </c>
      <c r="K49" s="34" t="b">
        <v>1</v>
      </c>
      <c r="L49" s="34" t="s">
        <v>66</v>
      </c>
      <c r="M49" s="34" t="s">
        <v>1417</v>
      </c>
      <c r="N49" s="34" t="str">
        <f>_xlfn.IFNA(VLOOKUP($M49,Buff.CM!$A:$O,13,FALSE),"")</f>
        <v>icon_battle_attack</v>
      </c>
      <c r="O49" s="34" t="str">
        <f>_xlfn.IFNA(VLOOKUP($M49,Buff.CM!$A:$O,14,FALSE),"")</f>
        <v>Buff.Name.Atk.Up.03</v>
      </c>
      <c r="P49" s="34" t="str">
        <f>_xlfn.IFNA(VLOOKUP($M49,Buff.CM!$A:$O,15,FALSE),"")</f>
        <v>Buff.Desc.Atk.Up.03</v>
      </c>
      <c r="Q49" s="34" t="b">
        <v>0</v>
      </c>
      <c r="R49" s="34" t="b">
        <v>0</v>
      </c>
    </row>
    <row r="50" spans="1:18" ht="49.5">
      <c r="A50" s="24" t="s">
        <v>7155</v>
      </c>
      <c r="B50" s="24"/>
      <c r="C50" s="24"/>
      <c r="D50" s="24">
        <v>0</v>
      </c>
      <c r="E50" s="24">
        <v>0</v>
      </c>
      <c r="F50" s="24">
        <v>0</v>
      </c>
      <c r="G50" s="38" t="s">
        <v>7156</v>
      </c>
      <c r="H50" s="24"/>
      <c r="I50" s="23" t="b">
        <v>1</v>
      </c>
      <c r="J50" s="23" t="b">
        <v>1</v>
      </c>
      <c r="K50" s="34" t="b">
        <v>1</v>
      </c>
      <c r="L50" s="24"/>
      <c r="M50" s="24"/>
      <c r="N50" s="24" t="s">
        <v>7150</v>
      </c>
      <c r="O50" s="24" t="s">
        <v>7150</v>
      </c>
      <c r="P50" s="24" t="s">
        <v>7150</v>
      </c>
      <c r="Q50" s="24" t="b">
        <v>0</v>
      </c>
      <c r="R50" s="24" t="b">
        <v>0</v>
      </c>
    </row>
    <row r="51" spans="1:18">
      <c r="A51" s="24" t="s">
        <v>5729</v>
      </c>
      <c r="B51" s="24"/>
      <c r="C51" s="24"/>
      <c r="D51" s="24">
        <v>0</v>
      </c>
      <c r="E51" s="24">
        <v>0</v>
      </c>
      <c r="F51" s="24">
        <v>0</v>
      </c>
      <c r="G51" s="38" t="s">
        <v>122</v>
      </c>
      <c r="H51" s="24"/>
      <c r="I51" s="23" t="b">
        <v>1</v>
      </c>
      <c r="J51" s="23" t="b">
        <v>1</v>
      </c>
      <c r="K51" s="34" t="b">
        <v>1</v>
      </c>
      <c r="L51" s="24"/>
      <c r="M51" s="24"/>
      <c r="N51" s="24" t="s">
        <v>7150</v>
      </c>
      <c r="O51" s="24" t="s">
        <v>7150</v>
      </c>
      <c r="P51" s="24" t="s">
        <v>7150</v>
      </c>
      <c r="Q51" s="24" t="b">
        <v>0</v>
      </c>
      <c r="R51" s="24" t="b">
        <v>0</v>
      </c>
    </row>
    <row r="52" spans="1:18" s="142" customFormat="1">
      <c r="A52" s="23" t="s">
        <v>7157</v>
      </c>
      <c r="B52" s="23"/>
      <c r="C52" s="23"/>
      <c r="D52" s="23">
        <v>0</v>
      </c>
      <c r="E52" s="23">
        <v>0</v>
      </c>
      <c r="F52" s="23">
        <v>0</v>
      </c>
      <c r="G52" s="23" t="s">
        <v>7158</v>
      </c>
      <c r="H52" s="23"/>
      <c r="I52" s="23" t="b">
        <v>1</v>
      </c>
      <c r="J52" s="23" t="b">
        <v>1</v>
      </c>
      <c r="K52" s="34" t="b">
        <v>1</v>
      </c>
      <c r="L52" s="23"/>
      <c r="M52" s="23"/>
      <c r="N52" s="23" t="s">
        <v>7150</v>
      </c>
      <c r="O52" s="23" t="s">
        <v>7150</v>
      </c>
      <c r="P52" s="23" t="s">
        <v>7150</v>
      </c>
      <c r="Q52" s="23" t="b">
        <v>0</v>
      </c>
      <c r="R52" s="23" t="b">
        <v>0</v>
      </c>
    </row>
    <row r="53" spans="1:18" s="142" customFormat="1">
      <c r="A53" s="23" t="s">
        <v>5735</v>
      </c>
      <c r="B53" s="23"/>
      <c r="C53" s="23"/>
      <c r="D53" s="23">
        <v>0</v>
      </c>
      <c r="E53" s="23">
        <v>0</v>
      </c>
      <c r="F53" s="23">
        <v>0</v>
      </c>
      <c r="G53" s="23" t="s">
        <v>5724</v>
      </c>
      <c r="H53" s="23"/>
      <c r="I53" s="23" t="b">
        <v>1</v>
      </c>
      <c r="J53" s="23" t="b">
        <v>1</v>
      </c>
      <c r="K53" s="34" t="b">
        <v>1</v>
      </c>
      <c r="L53" s="23"/>
      <c r="M53" s="23"/>
      <c r="N53" s="23" t="s">
        <v>7150</v>
      </c>
      <c r="O53" s="23" t="s">
        <v>7150</v>
      </c>
      <c r="P53" s="23" t="s">
        <v>7150</v>
      </c>
      <c r="Q53" s="23" t="b">
        <v>0</v>
      </c>
      <c r="R53" s="23" t="b">
        <v>0</v>
      </c>
    </row>
    <row r="54" spans="1:18" s="142" customFormat="1">
      <c r="A54" s="23" t="s">
        <v>5736</v>
      </c>
      <c r="B54" s="23"/>
      <c r="C54" s="23"/>
      <c r="D54" s="23">
        <v>0</v>
      </c>
      <c r="E54" s="23">
        <v>0</v>
      </c>
      <c r="F54" s="23">
        <v>0</v>
      </c>
      <c r="G54" s="23" t="s">
        <v>5725</v>
      </c>
      <c r="H54" s="23"/>
      <c r="I54" s="23" t="b">
        <v>1</v>
      </c>
      <c r="J54" s="23" t="b">
        <v>1</v>
      </c>
      <c r="K54" s="34" t="b">
        <v>1</v>
      </c>
      <c r="L54" s="23"/>
      <c r="M54" s="23"/>
      <c r="N54" s="23" t="s">
        <v>7150</v>
      </c>
      <c r="O54" s="23" t="s">
        <v>7150</v>
      </c>
      <c r="P54" s="23" t="s">
        <v>7150</v>
      </c>
      <c r="Q54" s="23" t="b">
        <v>0</v>
      </c>
      <c r="R54" s="23" t="b">
        <v>0</v>
      </c>
    </row>
    <row r="55" spans="1:18" s="142" customFormat="1">
      <c r="A55" s="23" t="s">
        <v>5737</v>
      </c>
      <c r="B55" s="23"/>
      <c r="C55" s="23"/>
      <c r="D55" s="23">
        <v>0</v>
      </c>
      <c r="E55" s="23">
        <v>0</v>
      </c>
      <c r="F55" s="23">
        <v>0</v>
      </c>
      <c r="G55" s="23" t="s">
        <v>5726</v>
      </c>
      <c r="H55" s="23"/>
      <c r="I55" s="23" t="b">
        <v>1</v>
      </c>
      <c r="J55" s="23" t="b">
        <v>1</v>
      </c>
      <c r="K55" s="34" t="b">
        <v>1</v>
      </c>
      <c r="L55" s="23"/>
      <c r="M55" s="23"/>
      <c r="N55" s="23" t="s">
        <v>7150</v>
      </c>
      <c r="O55" s="23" t="s">
        <v>7150</v>
      </c>
      <c r="P55" s="23" t="s">
        <v>7150</v>
      </c>
      <c r="Q55" s="23" t="b">
        <v>0</v>
      </c>
      <c r="R55" s="23" t="b">
        <v>0</v>
      </c>
    </row>
    <row r="56" spans="1:18" s="142" customFormat="1">
      <c r="A56" s="23" t="s">
        <v>5738</v>
      </c>
      <c r="B56" s="23"/>
      <c r="C56" s="23"/>
      <c r="D56" s="23">
        <v>0</v>
      </c>
      <c r="E56" s="23">
        <v>0</v>
      </c>
      <c r="F56" s="23">
        <v>0</v>
      </c>
      <c r="G56" s="23" t="s">
        <v>5727</v>
      </c>
      <c r="H56" s="23"/>
      <c r="I56" s="23" t="b">
        <v>1</v>
      </c>
      <c r="J56" s="23" t="b">
        <v>1</v>
      </c>
      <c r="K56" s="34" t="b">
        <v>1</v>
      </c>
      <c r="L56" s="23"/>
      <c r="M56" s="23"/>
      <c r="N56" s="23" t="s">
        <v>7150</v>
      </c>
      <c r="O56" s="23" t="s">
        <v>7150</v>
      </c>
      <c r="P56" s="23" t="s">
        <v>7150</v>
      </c>
      <c r="Q56" s="23" t="b">
        <v>0</v>
      </c>
      <c r="R56" s="23" t="b">
        <v>0</v>
      </c>
    </row>
    <row r="57" spans="1:18" s="142" customFormat="1">
      <c r="A57" s="23" t="s">
        <v>5739</v>
      </c>
      <c r="B57" s="23"/>
      <c r="C57" s="23"/>
      <c r="D57" s="23">
        <v>0</v>
      </c>
      <c r="E57" s="23">
        <v>0</v>
      </c>
      <c r="F57" s="23">
        <v>0</v>
      </c>
      <c r="G57" s="23" t="s">
        <v>5728</v>
      </c>
      <c r="H57" s="23"/>
      <c r="I57" s="23" t="b">
        <v>1</v>
      </c>
      <c r="J57" s="23" t="b">
        <v>1</v>
      </c>
      <c r="K57" s="34" t="b">
        <v>1</v>
      </c>
      <c r="L57" s="23"/>
      <c r="M57" s="23"/>
      <c r="N57" s="23" t="s">
        <v>7150</v>
      </c>
      <c r="O57" s="23" t="s">
        <v>7150</v>
      </c>
      <c r="P57" s="23" t="s">
        <v>7150</v>
      </c>
      <c r="Q57" s="23" t="b">
        <v>0</v>
      </c>
      <c r="R57" s="23" t="b">
        <v>0</v>
      </c>
    </row>
    <row r="58" spans="1:18" ht="33">
      <c r="A58" s="24" t="s">
        <v>778</v>
      </c>
      <c r="B58" s="24" t="s">
        <v>1367</v>
      </c>
      <c r="C58" s="24" t="s">
        <v>5729</v>
      </c>
      <c r="D58" s="24">
        <v>0</v>
      </c>
      <c r="E58" s="24">
        <v>0</v>
      </c>
      <c r="F58" s="24">
        <v>0</v>
      </c>
      <c r="G58" s="38" t="s">
        <v>7159</v>
      </c>
      <c r="H58" s="24"/>
      <c r="I58" s="23" t="b">
        <v>1</v>
      </c>
      <c r="J58" s="23" t="b">
        <v>1</v>
      </c>
      <c r="K58" s="34" t="b">
        <v>1</v>
      </c>
      <c r="L58" s="24"/>
      <c r="M58" s="24"/>
      <c r="N58" s="24" t="s">
        <v>7150</v>
      </c>
      <c r="O58" s="24" t="s">
        <v>7150</v>
      </c>
      <c r="P58" s="24" t="s">
        <v>7150</v>
      </c>
      <c r="Q58" s="24" t="b">
        <v>0</v>
      </c>
      <c r="R58" s="24" t="b">
        <v>0</v>
      </c>
    </row>
    <row r="59" spans="1:18" ht="33">
      <c r="A59" s="24" t="s">
        <v>779</v>
      </c>
      <c r="B59" s="24" t="s">
        <v>1367</v>
      </c>
      <c r="C59" s="24" t="s">
        <v>5729</v>
      </c>
      <c r="D59" s="24">
        <v>0</v>
      </c>
      <c r="E59" s="24">
        <v>0</v>
      </c>
      <c r="F59" s="24">
        <v>0</v>
      </c>
      <c r="G59" s="38" t="s">
        <v>7160</v>
      </c>
      <c r="H59" s="24"/>
      <c r="I59" s="23" t="b">
        <v>1</v>
      </c>
      <c r="J59" s="23" t="b">
        <v>1</v>
      </c>
      <c r="K59" s="34" t="b">
        <v>1</v>
      </c>
      <c r="L59" s="24"/>
      <c r="M59" s="24"/>
      <c r="N59" s="24" t="s">
        <v>7150</v>
      </c>
      <c r="O59" s="24" t="s">
        <v>7150</v>
      </c>
      <c r="P59" s="24" t="s">
        <v>7150</v>
      </c>
      <c r="Q59" s="24" t="b">
        <v>0</v>
      </c>
      <c r="R59" s="24" t="b">
        <v>0</v>
      </c>
    </row>
    <row r="60" spans="1:18" ht="33">
      <c r="A60" s="24" t="s">
        <v>780</v>
      </c>
      <c r="B60" s="24" t="s">
        <v>1367</v>
      </c>
      <c r="C60" s="24" t="s">
        <v>5729</v>
      </c>
      <c r="D60" s="24">
        <v>0</v>
      </c>
      <c r="E60" s="24">
        <v>0</v>
      </c>
      <c r="F60" s="24">
        <v>0</v>
      </c>
      <c r="G60" s="38" t="s">
        <v>7161</v>
      </c>
      <c r="H60" s="24"/>
      <c r="I60" s="23" t="b">
        <v>1</v>
      </c>
      <c r="J60" s="23" t="b">
        <v>1</v>
      </c>
      <c r="K60" s="34" t="b">
        <v>1</v>
      </c>
      <c r="L60" s="24"/>
      <c r="M60" s="24"/>
      <c r="N60" s="24" t="s">
        <v>7150</v>
      </c>
      <c r="O60" s="24" t="s">
        <v>7150</v>
      </c>
      <c r="P60" s="24" t="s">
        <v>7150</v>
      </c>
      <c r="Q60" s="24" t="b">
        <v>0</v>
      </c>
      <c r="R60" s="24" t="b">
        <v>0</v>
      </c>
    </row>
    <row r="61" spans="1:18" ht="33">
      <c r="A61" s="34" t="s">
        <v>781</v>
      </c>
      <c r="B61" s="34" t="s">
        <v>1367</v>
      </c>
      <c r="C61" s="34" t="s">
        <v>5729</v>
      </c>
      <c r="D61" s="34">
        <v>0</v>
      </c>
      <c r="E61" s="34">
        <v>0</v>
      </c>
      <c r="F61" s="34">
        <v>0</v>
      </c>
      <c r="G61" s="40" t="s">
        <v>7162</v>
      </c>
      <c r="H61" s="34"/>
      <c r="I61" s="23" t="b">
        <v>1</v>
      </c>
      <c r="J61" s="23" t="b">
        <v>1</v>
      </c>
      <c r="K61" s="34" t="b">
        <v>1</v>
      </c>
      <c r="L61" s="34"/>
      <c r="M61" s="34"/>
      <c r="N61" s="34" t="s">
        <v>7150</v>
      </c>
      <c r="O61" s="34" t="s">
        <v>7150</v>
      </c>
      <c r="P61" s="34" t="s">
        <v>7150</v>
      </c>
      <c r="Q61" s="34" t="b">
        <v>0</v>
      </c>
      <c r="R61" s="34" t="b">
        <v>0</v>
      </c>
    </row>
    <row r="62" spans="1:18" ht="33">
      <c r="A62" s="34" t="s">
        <v>782</v>
      </c>
      <c r="B62" s="34" t="s">
        <v>1367</v>
      </c>
      <c r="C62" s="34" t="s">
        <v>5729</v>
      </c>
      <c r="D62" s="34">
        <v>0</v>
      </c>
      <c r="E62" s="34">
        <v>0</v>
      </c>
      <c r="F62" s="34">
        <v>0</v>
      </c>
      <c r="G62" s="40" t="s">
        <v>7163</v>
      </c>
      <c r="H62" s="34"/>
      <c r="I62" s="23" t="b">
        <v>1</v>
      </c>
      <c r="J62" s="23" t="b">
        <v>1</v>
      </c>
      <c r="K62" s="34" t="b">
        <v>1</v>
      </c>
      <c r="L62" s="34"/>
      <c r="M62" s="34"/>
      <c r="N62" s="34" t="s">
        <v>7150</v>
      </c>
      <c r="O62" s="34" t="s">
        <v>7150</v>
      </c>
      <c r="P62" s="34" t="s">
        <v>7150</v>
      </c>
      <c r="Q62" s="34" t="b">
        <v>0</v>
      </c>
      <c r="R62" s="34" t="b">
        <v>0</v>
      </c>
    </row>
    <row r="63" spans="1:18" ht="33">
      <c r="A63" s="34" t="s">
        <v>783</v>
      </c>
      <c r="B63" s="34" t="s">
        <v>1367</v>
      </c>
      <c r="C63" s="34" t="s">
        <v>5729</v>
      </c>
      <c r="D63" s="34">
        <v>0</v>
      </c>
      <c r="E63" s="34">
        <v>0</v>
      </c>
      <c r="F63" s="34">
        <v>0</v>
      </c>
      <c r="G63" s="40" t="s">
        <v>7164</v>
      </c>
      <c r="H63" s="34"/>
      <c r="I63" s="23" t="b">
        <v>1</v>
      </c>
      <c r="J63" s="23" t="b">
        <v>1</v>
      </c>
      <c r="K63" s="34" t="b">
        <v>1</v>
      </c>
      <c r="L63" s="34"/>
      <c r="M63" s="34"/>
      <c r="N63" s="34" t="s">
        <v>7150</v>
      </c>
      <c r="O63" s="34" t="s">
        <v>7150</v>
      </c>
      <c r="P63" s="34" t="s">
        <v>7150</v>
      </c>
      <c r="Q63" s="34" t="b">
        <v>0</v>
      </c>
      <c r="R63" s="34" t="b">
        <v>0</v>
      </c>
    </row>
    <row r="64" spans="1:18">
      <c r="A64" s="24" t="s">
        <v>7165</v>
      </c>
      <c r="B64" s="24"/>
      <c r="C64" s="24"/>
      <c r="D64" s="24">
        <v>0</v>
      </c>
      <c r="E64" s="24">
        <v>0</v>
      </c>
      <c r="F64" s="24">
        <v>0</v>
      </c>
      <c r="G64" s="24" t="s">
        <v>784</v>
      </c>
      <c r="H64" s="24"/>
      <c r="I64" s="23" t="b">
        <v>1</v>
      </c>
      <c r="J64" s="23" t="b">
        <v>1</v>
      </c>
      <c r="K64" s="23" t="b">
        <v>1</v>
      </c>
      <c r="L64" s="24"/>
      <c r="M64" s="24"/>
      <c r="N64" s="24" t="s">
        <v>7150</v>
      </c>
      <c r="O64" s="24" t="s">
        <v>7150</v>
      </c>
      <c r="P64" s="24" t="s">
        <v>7150</v>
      </c>
      <c r="Q64" s="24" t="b">
        <v>0</v>
      </c>
      <c r="R64" s="24" t="b">
        <v>0</v>
      </c>
    </row>
    <row r="65" spans="1:18">
      <c r="A65" s="24" t="s">
        <v>3797</v>
      </c>
      <c r="B65" s="24"/>
      <c r="C65" s="24"/>
      <c r="D65" s="24">
        <v>0</v>
      </c>
      <c r="E65" s="24">
        <v>0</v>
      </c>
      <c r="F65" s="24">
        <v>0</v>
      </c>
      <c r="G65" s="24" t="s">
        <v>785</v>
      </c>
      <c r="H65" s="24"/>
      <c r="I65" s="23" t="b">
        <v>1</v>
      </c>
      <c r="J65" s="23" t="b">
        <v>1</v>
      </c>
      <c r="K65" s="23" t="b">
        <v>1</v>
      </c>
      <c r="L65" s="24"/>
      <c r="M65" s="24"/>
      <c r="N65" s="24" t="s">
        <v>7150</v>
      </c>
      <c r="O65" s="24" t="s">
        <v>7150</v>
      </c>
      <c r="P65" s="24" t="s">
        <v>7150</v>
      </c>
      <c r="Q65" s="24" t="b">
        <v>0</v>
      </c>
      <c r="R65" s="24" t="b">
        <v>0</v>
      </c>
    </row>
    <row r="66" spans="1:18">
      <c r="A66" s="24" t="s">
        <v>3798</v>
      </c>
      <c r="B66" s="24"/>
      <c r="C66" s="24"/>
      <c r="D66" s="24">
        <v>0</v>
      </c>
      <c r="E66" s="24">
        <v>0</v>
      </c>
      <c r="F66" s="24">
        <v>0</v>
      </c>
      <c r="G66" s="24" t="s">
        <v>786</v>
      </c>
      <c r="H66" s="24"/>
      <c r="I66" s="23" t="b">
        <v>1</v>
      </c>
      <c r="J66" s="23" t="b">
        <v>1</v>
      </c>
      <c r="K66" s="23" t="b">
        <v>1</v>
      </c>
      <c r="L66" s="24"/>
      <c r="M66" s="24"/>
      <c r="N66" s="24" t="s">
        <v>7150</v>
      </c>
      <c r="O66" s="24" t="s">
        <v>7150</v>
      </c>
      <c r="P66" s="24" t="s">
        <v>7150</v>
      </c>
      <c r="Q66" s="24" t="b">
        <v>0</v>
      </c>
      <c r="R66" s="24" t="b">
        <v>0</v>
      </c>
    </row>
    <row r="67" spans="1:18">
      <c r="A67" s="34" t="s">
        <v>3799</v>
      </c>
      <c r="B67" s="34"/>
      <c r="C67" s="34"/>
      <c r="D67" s="34">
        <v>0</v>
      </c>
      <c r="E67" s="34">
        <v>0</v>
      </c>
      <c r="F67" s="34">
        <v>0</v>
      </c>
      <c r="G67" s="34" t="s">
        <v>787</v>
      </c>
      <c r="H67" s="34"/>
      <c r="I67" s="34" t="b">
        <v>1</v>
      </c>
      <c r="J67" s="23" t="b">
        <v>1</v>
      </c>
      <c r="K67" s="34" t="b">
        <v>1</v>
      </c>
      <c r="L67" s="34"/>
      <c r="M67" s="34"/>
      <c r="N67" s="34" t="s">
        <v>7150</v>
      </c>
      <c r="O67" s="34" t="s">
        <v>7150</v>
      </c>
      <c r="P67" s="34" t="s">
        <v>7150</v>
      </c>
      <c r="Q67" s="34" t="b">
        <v>0</v>
      </c>
      <c r="R67" s="34" t="b">
        <v>0</v>
      </c>
    </row>
    <row r="68" spans="1:18">
      <c r="A68" s="34" t="s">
        <v>3800</v>
      </c>
      <c r="B68" s="34"/>
      <c r="C68" s="34"/>
      <c r="D68" s="34">
        <v>0</v>
      </c>
      <c r="E68" s="34">
        <v>0</v>
      </c>
      <c r="F68" s="34">
        <v>0</v>
      </c>
      <c r="G68" s="34" t="s">
        <v>788</v>
      </c>
      <c r="H68" s="34"/>
      <c r="I68" s="34" t="b">
        <v>1</v>
      </c>
      <c r="J68" s="23" t="b">
        <v>1</v>
      </c>
      <c r="K68" s="34" t="b">
        <v>1</v>
      </c>
      <c r="L68" s="34"/>
      <c r="M68" s="34"/>
      <c r="N68" s="34" t="s">
        <v>7150</v>
      </c>
      <c r="O68" s="34" t="s">
        <v>7150</v>
      </c>
      <c r="P68" s="34" t="s">
        <v>7150</v>
      </c>
      <c r="Q68" s="34" t="b">
        <v>0</v>
      </c>
      <c r="R68" s="34" t="b">
        <v>0</v>
      </c>
    </row>
    <row r="69" spans="1:18">
      <c r="A69" s="34" t="s">
        <v>3801</v>
      </c>
      <c r="B69" s="34"/>
      <c r="C69" s="34"/>
      <c r="D69" s="34">
        <v>0</v>
      </c>
      <c r="E69" s="34">
        <v>0</v>
      </c>
      <c r="F69" s="34">
        <v>0</v>
      </c>
      <c r="G69" s="34" t="s">
        <v>789</v>
      </c>
      <c r="H69" s="34"/>
      <c r="I69" s="34" t="b">
        <v>1</v>
      </c>
      <c r="J69" s="23" t="b">
        <v>1</v>
      </c>
      <c r="K69" s="34" t="b">
        <v>1</v>
      </c>
      <c r="L69" s="34"/>
      <c r="M69" s="34"/>
      <c r="N69" s="34" t="s">
        <v>7150</v>
      </c>
      <c r="O69" s="34" t="s">
        <v>7150</v>
      </c>
      <c r="P69" s="34" t="s">
        <v>7150</v>
      </c>
      <c r="Q69" s="34" t="b">
        <v>0</v>
      </c>
      <c r="R69" s="34" t="b">
        <v>0</v>
      </c>
    </row>
    <row r="70" spans="1:18">
      <c r="A70" s="23" t="s">
        <v>7166</v>
      </c>
      <c r="B70" s="23"/>
      <c r="C70" s="23"/>
      <c r="D70" s="23">
        <v>0</v>
      </c>
      <c r="E70" s="23">
        <v>0</v>
      </c>
      <c r="F70" s="23">
        <v>0</v>
      </c>
      <c r="G70" s="23" t="s">
        <v>7167</v>
      </c>
      <c r="H70" s="23"/>
      <c r="I70" s="23" t="b">
        <v>1</v>
      </c>
      <c r="J70" s="23" t="b">
        <v>1</v>
      </c>
      <c r="K70" s="23" t="b">
        <v>1</v>
      </c>
      <c r="L70" s="23"/>
      <c r="M70" s="23"/>
      <c r="N70" s="23" t="s">
        <v>7150</v>
      </c>
      <c r="O70" s="23" t="s">
        <v>7150</v>
      </c>
      <c r="P70" s="23" t="s">
        <v>7150</v>
      </c>
      <c r="Q70" s="23" t="b">
        <v>0</v>
      </c>
      <c r="R70" s="23" t="b">
        <v>0</v>
      </c>
    </row>
    <row r="71" spans="1:18">
      <c r="A71" s="23" t="s">
        <v>3802</v>
      </c>
      <c r="B71" s="23"/>
      <c r="C71" s="23"/>
      <c r="D71" s="23">
        <v>0</v>
      </c>
      <c r="E71" s="23">
        <v>0</v>
      </c>
      <c r="F71" s="23">
        <v>0</v>
      </c>
      <c r="G71" s="23" t="s">
        <v>5730</v>
      </c>
      <c r="H71" s="23"/>
      <c r="I71" s="23" t="b">
        <v>1</v>
      </c>
      <c r="J71" s="23" t="b">
        <v>1</v>
      </c>
      <c r="K71" s="23" t="b">
        <v>1</v>
      </c>
      <c r="L71" s="23"/>
      <c r="M71" s="23"/>
      <c r="N71" s="23" t="s">
        <v>7150</v>
      </c>
      <c r="O71" s="23" t="s">
        <v>7150</v>
      </c>
      <c r="P71" s="23" t="s">
        <v>7150</v>
      </c>
      <c r="Q71" s="23" t="b">
        <v>0</v>
      </c>
      <c r="R71" s="23" t="b">
        <v>0</v>
      </c>
    </row>
    <row r="72" spans="1:18">
      <c r="A72" s="23" t="s">
        <v>3803</v>
      </c>
      <c r="B72" s="23"/>
      <c r="C72" s="23"/>
      <c r="D72" s="23">
        <v>0</v>
      </c>
      <c r="E72" s="23">
        <v>0</v>
      </c>
      <c r="F72" s="23">
        <v>0</v>
      </c>
      <c r="G72" s="23" t="s">
        <v>5731</v>
      </c>
      <c r="H72" s="23"/>
      <c r="I72" s="23" t="b">
        <v>1</v>
      </c>
      <c r="J72" s="23" t="b">
        <v>1</v>
      </c>
      <c r="K72" s="23" t="b">
        <v>1</v>
      </c>
      <c r="L72" s="23"/>
      <c r="M72" s="23"/>
      <c r="N72" s="23" t="s">
        <v>7150</v>
      </c>
      <c r="O72" s="23" t="s">
        <v>7150</v>
      </c>
      <c r="P72" s="23" t="s">
        <v>7150</v>
      </c>
      <c r="Q72" s="23" t="b">
        <v>0</v>
      </c>
      <c r="R72" s="23" t="b">
        <v>0</v>
      </c>
    </row>
    <row r="73" spans="1:18">
      <c r="A73" s="34" t="s">
        <v>3804</v>
      </c>
      <c r="B73" s="34"/>
      <c r="C73" s="34"/>
      <c r="D73" s="34">
        <v>0</v>
      </c>
      <c r="E73" s="34">
        <v>0</v>
      </c>
      <c r="F73" s="34">
        <v>0</v>
      </c>
      <c r="G73" s="34" t="s">
        <v>5732</v>
      </c>
      <c r="H73" s="34"/>
      <c r="I73" s="34" t="b">
        <v>1</v>
      </c>
      <c r="J73" s="23" t="b">
        <v>1</v>
      </c>
      <c r="K73" s="34" t="b">
        <v>1</v>
      </c>
      <c r="L73" s="34"/>
      <c r="M73" s="34"/>
      <c r="N73" s="34" t="s">
        <v>7150</v>
      </c>
      <c r="O73" s="34" t="s">
        <v>7150</v>
      </c>
      <c r="P73" s="34" t="s">
        <v>7150</v>
      </c>
      <c r="Q73" s="34" t="b">
        <v>0</v>
      </c>
      <c r="R73" s="34" t="b">
        <v>0</v>
      </c>
    </row>
    <row r="74" spans="1:18">
      <c r="A74" s="34" t="s">
        <v>3805</v>
      </c>
      <c r="B74" s="34"/>
      <c r="C74" s="34"/>
      <c r="D74" s="34">
        <v>0</v>
      </c>
      <c r="E74" s="34">
        <v>0</v>
      </c>
      <c r="F74" s="34">
        <v>0</v>
      </c>
      <c r="G74" s="34" t="s">
        <v>5733</v>
      </c>
      <c r="H74" s="34"/>
      <c r="I74" s="34" t="b">
        <v>1</v>
      </c>
      <c r="J74" s="23" t="b">
        <v>1</v>
      </c>
      <c r="K74" s="34" t="b">
        <v>1</v>
      </c>
      <c r="L74" s="34"/>
      <c r="M74" s="34"/>
      <c r="N74" s="34" t="s">
        <v>7150</v>
      </c>
      <c r="O74" s="34" t="s">
        <v>7150</v>
      </c>
      <c r="P74" s="34" t="s">
        <v>7150</v>
      </c>
      <c r="Q74" s="34" t="b">
        <v>0</v>
      </c>
      <c r="R74" s="34" t="b">
        <v>0</v>
      </c>
    </row>
    <row r="75" spans="1:18">
      <c r="A75" s="34" t="s">
        <v>3806</v>
      </c>
      <c r="B75" s="34"/>
      <c r="C75" s="34"/>
      <c r="D75" s="34">
        <v>0</v>
      </c>
      <c r="E75" s="34">
        <v>0</v>
      </c>
      <c r="F75" s="34">
        <v>0</v>
      </c>
      <c r="G75" s="34" t="s">
        <v>5734</v>
      </c>
      <c r="H75" s="34"/>
      <c r="I75" s="34" t="b">
        <v>1</v>
      </c>
      <c r="J75" s="23" t="b">
        <v>1</v>
      </c>
      <c r="K75" s="34" t="b">
        <v>1</v>
      </c>
      <c r="L75" s="34"/>
      <c r="M75" s="34"/>
      <c r="N75" s="34" t="s">
        <v>7150</v>
      </c>
      <c r="O75" s="34" t="s">
        <v>7150</v>
      </c>
      <c r="P75" s="34" t="s">
        <v>7150</v>
      </c>
      <c r="Q75" s="34" t="b">
        <v>0</v>
      </c>
      <c r="R75" s="34" t="b">
        <v>0</v>
      </c>
    </row>
    <row r="76" spans="1:18" s="154" customFormat="1">
      <c r="A76" s="51" t="s">
        <v>7168</v>
      </c>
      <c r="B76" s="51"/>
      <c r="C76" s="51"/>
      <c r="D76" s="51">
        <v>0</v>
      </c>
      <c r="E76" s="51">
        <v>0</v>
      </c>
      <c r="F76" s="51">
        <v>0</v>
      </c>
      <c r="G76" s="51" t="s">
        <v>4696</v>
      </c>
      <c r="H76" s="51"/>
      <c r="I76" s="51" t="b">
        <v>0</v>
      </c>
      <c r="J76" s="51" t="b">
        <v>0</v>
      </c>
      <c r="K76" s="51" t="b">
        <v>1</v>
      </c>
      <c r="L76" s="51"/>
      <c r="M76" s="51"/>
      <c r="N76" s="51" t="s">
        <v>7150</v>
      </c>
      <c r="O76" s="51" t="s">
        <v>7150</v>
      </c>
      <c r="P76" s="51" t="s">
        <v>7150</v>
      </c>
      <c r="Q76" s="51" t="b">
        <v>0</v>
      </c>
      <c r="R76" s="51" t="b">
        <v>0</v>
      </c>
    </row>
    <row r="77" spans="1:18" s="154" customFormat="1">
      <c r="A77" s="51" t="s">
        <v>4694</v>
      </c>
      <c r="B77" s="51"/>
      <c r="C77" s="51"/>
      <c r="D77" s="51">
        <v>0</v>
      </c>
      <c r="E77" s="51">
        <v>0</v>
      </c>
      <c r="F77" s="51">
        <v>0</v>
      </c>
      <c r="G77" s="51" t="s">
        <v>4697</v>
      </c>
      <c r="H77" s="51"/>
      <c r="I77" s="51" t="b">
        <v>0</v>
      </c>
      <c r="J77" s="51" t="b">
        <v>0</v>
      </c>
      <c r="K77" s="51" t="b">
        <v>1</v>
      </c>
      <c r="L77" s="51"/>
      <c r="M77" s="51"/>
      <c r="N77" s="51" t="s">
        <v>7150</v>
      </c>
      <c r="O77" s="51" t="s">
        <v>7150</v>
      </c>
      <c r="P77" s="51" t="s">
        <v>7150</v>
      </c>
      <c r="Q77" s="51" t="b">
        <v>0</v>
      </c>
      <c r="R77" s="51" t="b">
        <v>0</v>
      </c>
    </row>
    <row r="78" spans="1:18" s="154" customFormat="1">
      <c r="A78" s="51" t="s">
        <v>4695</v>
      </c>
      <c r="B78" s="51"/>
      <c r="C78" s="51"/>
      <c r="D78" s="51">
        <v>0</v>
      </c>
      <c r="E78" s="51">
        <v>0</v>
      </c>
      <c r="F78" s="51">
        <v>0</v>
      </c>
      <c r="G78" s="51" t="s">
        <v>4698</v>
      </c>
      <c r="H78" s="51"/>
      <c r="I78" s="51" t="b">
        <v>0</v>
      </c>
      <c r="J78" s="51" t="b">
        <v>0</v>
      </c>
      <c r="K78" s="51" t="b">
        <v>1</v>
      </c>
      <c r="L78" s="51"/>
      <c r="M78" s="51"/>
      <c r="N78" s="51" t="s">
        <v>7150</v>
      </c>
      <c r="O78" s="51" t="s">
        <v>7150</v>
      </c>
      <c r="P78" s="51" t="s">
        <v>7150</v>
      </c>
      <c r="Q78" s="51" t="b">
        <v>0</v>
      </c>
      <c r="R78" s="51" t="b">
        <v>0</v>
      </c>
    </row>
    <row r="79" spans="1:18">
      <c r="A79" s="34" t="s">
        <v>4702</v>
      </c>
      <c r="B79" s="34"/>
      <c r="C79" s="34"/>
      <c r="D79" s="34">
        <v>4000</v>
      </c>
      <c r="E79" s="34">
        <v>0</v>
      </c>
      <c r="F79" s="34">
        <v>0</v>
      </c>
      <c r="G79" s="34" t="s">
        <v>122</v>
      </c>
      <c r="H79" s="34"/>
      <c r="I79" s="34" t="b">
        <v>0</v>
      </c>
      <c r="J79" s="34" t="b">
        <v>0</v>
      </c>
      <c r="K79" s="51" t="b">
        <v>1</v>
      </c>
      <c r="L79" s="34"/>
      <c r="M79" s="34"/>
      <c r="N79" s="34" t="s">
        <v>7150</v>
      </c>
      <c r="O79" s="34" t="s">
        <v>7150</v>
      </c>
      <c r="P79" s="34" t="s">
        <v>7150</v>
      </c>
      <c r="Q79" s="34" t="b">
        <v>0</v>
      </c>
      <c r="R79" s="34" t="b">
        <v>0</v>
      </c>
    </row>
    <row r="80" spans="1:18">
      <c r="A80" s="26" t="s">
        <v>2427</v>
      </c>
      <c r="B80" s="26"/>
      <c r="C80" s="26"/>
      <c r="D80" s="26">
        <v>3000</v>
      </c>
      <c r="E80" s="26">
        <v>0</v>
      </c>
      <c r="F80" s="26">
        <v>0</v>
      </c>
      <c r="G80" s="45" t="s">
        <v>803</v>
      </c>
      <c r="H80" s="26"/>
      <c r="I80" s="26" t="b">
        <v>0</v>
      </c>
      <c r="J80" s="26" t="b">
        <v>0</v>
      </c>
      <c r="K80" s="26" t="b">
        <v>0</v>
      </c>
      <c r="L80" s="26"/>
      <c r="M80" s="26" t="s">
        <v>5705</v>
      </c>
      <c r="N80" s="26" t="str">
        <f>_xlfn.IFNA(VLOOKUP($M80,Buff.CM!$A:$O,13,FALSE),"")</f>
        <v>icon_battle_change</v>
      </c>
      <c r="O80" s="26" t="str">
        <f>_xlfn.IFNA(VLOOKUP($M80,Buff.CM!$A:$O,14,FALSE),"")</f>
        <v>info.shale.debuff.polymorph</v>
      </c>
      <c r="P80" s="26" t="str">
        <f>_xlfn.IFNA(VLOOKUP($M80,Buff.CM!$A:$O,15,FALSE),"")</f>
        <v>Desc.info.shale.debuff.polymorph</v>
      </c>
      <c r="Q80" s="26" t="b">
        <v>0</v>
      </c>
      <c r="R80" s="26" t="b">
        <v>0</v>
      </c>
    </row>
    <row r="81" spans="1:18">
      <c r="A81" s="26" t="s">
        <v>2428</v>
      </c>
      <c r="B81" s="26"/>
      <c r="C81" s="26"/>
      <c r="D81" s="26">
        <v>4000</v>
      </c>
      <c r="E81" s="26">
        <v>0</v>
      </c>
      <c r="F81" s="26">
        <v>0</v>
      </c>
      <c r="G81" s="26" t="s">
        <v>803</v>
      </c>
      <c r="H81" s="26"/>
      <c r="I81" s="26" t="b">
        <v>0</v>
      </c>
      <c r="J81" s="26" t="b">
        <v>0</v>
      </c>
      <c r="K81" s="26" t="b">
        <v>0</v>
      </c>
      <c r="L81" s="26"/>
      <c r="M81" s="26" t="s">
        <v>5705</v>
      </c>
      <c r="N81" s="26" t="str">
        <f>_xlfn.IFNA(VLOOKUP($M81,Buff.CM!$A:$O,13,FALSE),"")</f>
        <v>icon_battle_change</v>
      </c>
      <c r="O81" s="26" t="str">
        <f>_xlfn.IFNA(VLOOKUP($M81,Buff.CM!$A:$O,14,FALSE),"")</f>
        <v>info.shale.debuff.polymorph</v>
      </c>
      <c r="P81" s="26" t="str">
        <f>_xlfn.IFNA(VLOOKUP($M81,Buff.CM!$A:$O,15,FALSE),"")</f>
        <v>Desc.info.shale.debuff.polymorph</v>
      </c>
      <c r="Q81" s="26" t="b">
        <v>0</v>
      </c>
      <c r="R81" s="26" t="b">
        <v>0</v>
      </c>
    </row>
    <row r="82" spans="1:18">
      <c r="A82" s="26" t="s">
        <v>2429</v>
      </c>
      <c r="B82" s="26"/>
      <c r="C82" s="26"/>
      <c r="D82" s="26">
        <v>4000</v>
      </c>
      <c r="E82" s="26">
        <v>0</v>
      </c>
      <c r="F82" s="26">
        <v>0</v>
      </c>
      <c r="G82" s="26" t="s">
        <v>803</v>
      </c>
      <c r="H82" s="26"/>
      <c r="I82" s="26" t="b">
        <v>0</v>
      </c>
      <c r="J82" s="26" t="b">
        <v>0</v>
      </c>
      <c r="K82" s="26" t="b">
        <v>0</v>
      </c>
      <c r="L82" s="26"/>
      <c r="M82" s="26" t="s">
        <v>5705</v>
      </c>
      <c r="N82" s="26" t="str">
        <f>_xlfn.IFNA(VLOOKUP($M82,Buff.CM!$A:$O,13,FALSE),"")</f>
        <v>icon_battle_change</v>
      </c>
      <c r="O82" s="26" t="str">
        <f>_xlfn.IFNA(VLOOKUP($M82,Buff.CM!$A:$O,14,FALSE),"")</f>
        <v>info.shale.debuff.polymorph</v>
      </c>
      <c r="P82" s="26" t="str">
        <f>_xlfn.IFNA(VLOOKUP($M82,Buff.CM!$A:$O,15,FALSE),"")</f>
        <v>Desc.info.shale.debuff.polymorph</v>
      </c>
      <c r="Q82" s="26" t="b">
        <v>0</v>
      </c>
      <c r="R82" s="26" t="b">
        <v>0</v>
      </c>
    </row>
    <row r="83" spans="1:18">
      <c r="A83" s="34" t="s">
        <v>2430</v>
      </c>
      <c r="B83" s="34"/>
      <c r="C83" s="34"/>
      <c r="D83" s="34">
        <v>5000</v>
      </c>
      <c r="E83" s="34">
        <v>0</v>
      </c>
      <c r="F83" s="34">
        <v>0</v>
      </c>
      <c r="G83" s="34" t="s">
        <v>803</v>
      </c>
      <c r="H83" s="34"/>
      <c r="I83" s="34" t="b">
        <v>0</v>
      </c>
      <c r="J83" s="34" t="b">
        <v>0</v>
      </c>
      <c r="K83" s="34" t="b">
        <v>0</v>
      </c>
      <c r="L83" s="34"/>
      <c r="M83" s="34" t="s">
        <v>5705</v>
      </c>
      <c r="N83" s="34" t="str">
        <f>_xlfn.IFNA(VLOOKUP($M83,Buff.CM!$A:$O,13,FALSE),"")</f>
        <v>icon_battle_change</v>
      </c>
      <c r="O83" s="34" t="str">
        <f>_xlfn.IFNA(VLOOKUP($M83,Buff.CM!$A:$O,14,FALSE),"")</f>
        <v>info.shale.debuff.polymorph</v>
      </c>
      <c r="P83" s="34" t="str">
        <f>_xlfn.IFNA(VLOOKUP($M83,Buff.CM!$A:$O,15,FALSE),"")</f>
        <v>Desc.info.shale.debuff.polymorph</v>
      </c>
      <c r="Q83" s="34" t="b">
        <v>0</v>
      </c>
      <c r="R83" s="34" t="b">
        <v>0</v>
      </c>
    </row>
    <row r="84" spans="1:18">
      <c r="A84" s="34" t="s">
        <v>2618</v>
      </c>
      <c r="B84" s="34"/>
      <c r="C84" s="34"/>
      <c r="D84" s="34">
        <v>4000</v>
      </c>
      <c r="E84" s="34">
        <v>0</v>
      </c>
      <c r="F84" s="34">
        <v>0</v>
      </c>
      <c r="G84" s="34" t="s">
        <v>803</v>
      </c>
      <c r="H84" s="34"/>
      <c r="I84" s="34" t="b">
        <v>0</v>
      </c>
      <c r="J84" s="34" t="b">
        <v>0</v>
      </c>
      <c r="K84" s="34" t="b">
        <v>0</v>
      </c>
      <c r="L84" s="34"/>
      <c r="M84" s="34" t="s">
        <v>5705</v>
      </c>
      <c r="N84" s="34" t="str">
        <f>_xlfn.IFNA(VLOOKUP($M84,Buff.CM!$A:$O,13,FALSE),"")</f>
        <v>icon_battle_change</v>
      </c>
      <c r="O84" s="34" t="str">
        <f>_xlfn.IFNA(VLOOKUP($M84,Buff.CM!$A:$O,14,FALSE),"")</f>
        <v>info.shale.debuff.polymorph</v>
      </c>
      <c r="P84" s="34" t="str">
        <f>_xlfn.IFNA(VLOOKUP($M84,Buff.CM!$A:$O,15,FALSE),"")</f>
        <v>Desc.info.shale.debuff.polymorph</v>
      </c>
      <c r="Q84" s="34" t="b">
        <v>0</v>
      </c>
      <c r="R84" s="34" t="b">
        <v>0</v>
      </c>
    </row>
    <row r="85" spans="1:18">
      <c r="A85" s="34" t="s">
        <v>2619</v>
      </c>
      <c r="B85" s="34"/>
      <c r="C85" s="34"/>
      <c r="D85" s="34">
        <v>4000</v>
      </c>
      <c r="E85" s="34">
        <v>0</v>
      </c>
      <c r="F85" s="34">
        <v>0</v>
      </c>
      <c r="G85" s="34" t="s">
        <v>803</v>
      </c>
      <c r="H85" s="34"/>
      <c r="I85" s="34" t="b">
        <v>0</v>
      </c>
      <c r="J85" s="34" t="b">
        <v>0</v>
      </c>
      <c r="K85" s="34" t="b">
        <v>0</v>
      </c>
      <c r="L85" s="34"/>
      <c r="M85" s="34" t="s">
        <v>5705</v>
      </c>
      <c r="N85" s="34" t="str">
        <f>_xlfn.IFNA(VLOOKUP($M85,Buff.CM!$A:$O,13,FALSE),"")</f>
        <v>icon_battle_change</v>
      </c>
      <c r="O85" s="34" t="str">
        <f>_xlfn.IFNA(VLOOKUP($M85,Buff.CM!$A:$O,14,FALSE),"")</f>
        <v>info.shale.debuff.polymorph</v>
      </c>
      <c r="P85" s="34" t="str">
        <f>_xlfn.IFNA(VLOOKUP($M85,Buff.CM!$A:$O,15,FALSE),"")</f>
        <v>Desc.info.shale.debuff.polymorph</v>
      </c>
      <c r="Q85" s="34" t="b">
        <v>0</v>
      </c>
      <c r="R85" s="34" t="b">
        <v>0</v>
      </c>
    </row>
    <row r="86" spans="1:18">
      <c r="A86" s="26" t="s">
        <v>6169</v>
      </c>
      <c r="B86" s="26"/>
      <c r="C86" s="26"/>
      <c r="D86" s="26">
        <v>3500</v>
      </c>
      <c r="E86" s="26">
        <v>0</v>
      </c>
      <c r="F86" s="26">
        <v>0</v>
      </c>
      <c r="G86" s="45" t="s">
        <v>6171</v>
      </c>
      <c r="H86" s="26"/>
      <c r="I86" s="26" t="b">
        <v>0</v>
      </c>
      <c r="J86" s="26" t="b">
        <v>0</v>
      </c>
      <c r="K86" s="26" t="b">
        <v>0</v>
      </c>
      <c r="L86" s="26"/>
      <c r="M86" s="26"/>
      <c r="N86" s="26" t="s">
        <v>7150</v>
      </c>
      <c r="O86" s="26" t="s">
        <v>7150</v>
      </c>
      <c r="P86" s="26" t="s">
        <v>7150</v>
      </c>
      <c r="Q86" s="26" t="b">
        <v>0</v>
      </c>
      <c r="R86" s="26" t="b">
        <v>0</v>
      </c>
    </row>
    <row r="87" spans="1:18">
      <c r="A87" s="26" t="s">
        <v>6164</v>
      </c>
      <c r="B87" s="26"/>
      <c r="C87" s="26"/>
      <c r="D87" s="26">
        <v>4500</v>
      </c>
      <c r="E87" s="26">
        <v>0</v>
      </c>
      <c r="F87" s="26">
        <v>0</v>
      </c>
      <c r="G87" s="26" t="s">
        <v>6171</v>
      </c>
      <c r="H87" s="26"/>
      <c r="I87" s="26" t="b">
        <v>0</v>
      </c>
      <c r="J87" s="26" t="b">
        <v>0</v>
      </c>
      <c r="K87" s="26" t="b">
        <v>0</v>
      </c>
      <c r="L87" s="26"/>
      <c r="M87" s="26"/>
      <c r="N87" s="26" t="s">
        <v>7150</v>
      </c>
      <c r="O87" s="26" t="s">
        <v>7150</v>
      </c>
      <c r="P87" s="26" t="s">
        <v>7150</v>
      </c>
      <c r="Q87" s="26" t="b">
        <v>0</v>
      </c>
      <c r="R87" s="26" t="b">
        <v>0</v>
      </c>
    </row>
    <row r="88" spans="1:18">
      <c r="A88" s="26" t="s">
        <v>6165</v>
      </c>
      <c r="B88" s="26"/>
      <c r="C88" s="26"/>
      <c r="D88" s="26">
        <v>4500</v>
      </c>
      <c r="E88" s="26">
        <v>0</v>
      </c>
      <c r="F88" s="26">
        <v>0</v>
      </c>
      <c r="G88" s="26" t="s">
        <v>6171</v>
      </c>
      <c r="H88" s="26"/>
      <c r="I88" s="26" t="b">
        <v>0</v>
      </c>
      <c r="J88" s="26" t="b">
        <v>0</v>
      </c>
      <c r="K88" s="26" t="b">
        <v>0</v>
      </c>
      <c r="L88" s="26"/>
      <c r="M88" s="26"/>
      <c r="N88" s="26" t="s">
        <v>7150</v>
      </c>
      <c r="O88" s="26" t="s">
        <v>7150</v>
      </c>
      <c r="P88" s="26" t="s">
        <v>7150</v>
      </c>
      <c r="Q88" s="26" t="b">
        <v>0</v>
      </c>
      <c r="R88" s="26" t="b">
        <v>0</v>
      </c>
    </row>
    <row r="89" spans="1:18">
      <c r="A89" s="34" t="s">
        <v>6166</v>
      </c>
      <c r="B89" s="34"/>
      <c r="C89" s="34"/>
      <c r="D89" s="34">
        <v>5500</v>
      </c>
      <c r="E89" s="34">
        <v>0</v>
      </c>
      <c r="F89" s="34">
        <v>0</v>
      </c>
      <c r="G89" s="34" t="s">
        <v>6171</v>
      </c>
      <c r="H89" s="34"/>
      <c r="I89" s="34" t="b">
        <v>0</v>
      </c>
      <c r="J89" s="34" t="b">
        <v>0</v>
      </c>
      <c r="K89" s="34" t="b">
        <v>0</v>
      </c>
      <c r="L89" s="34"/>
      <c r="M89" s="34"/>
      <c r="N89" s="34" t="s">
        <v>7150</v>
      </c>
      <c r="O89" s="34" t="s">
        <v>7150</v>
      </c>
      <c r="P89" s="34" t="s">
        <v>7150</v>
      </c>
      <c r="Q89" s="34" t="b">
        <v>0</v>
      </c>
      <c r="R89" s="34" t="b">
        <v>0</v>
      </c>
    </row>
    <row r="90" spans="1:18">
      <c r="A90" s="34" t="s">
        <v>6167</v>
      </c>
      <c r="B90" s="34"/>
      <c r="C90" s="34"/>
      <c r="D90" s="34">
        <v>4500</v>
      </c>
      <c r="E90" s="34">
        <v>0</v>
      </c>
      <c r="F90" s="34">
        <v>0</v>
      </c>
      <c r="G90" s="34" t="s">
        <v>6171</v>
      </c>
      <c r="H90" s="34"/>
      <c r="I90" s="34" t="b">
        <v>0</v>
      </c>
      <c r="J90" s="34" t="b">
        <v>0</v>
      </c>
      <c r="K90" s="34" t="b">
        <v>0</v>
      </c>
      <c r="L90" s="34"/>
      <c r="M90" s="34"/>
      <c r="N90" s="34" t="s">
        <v>7150</v>
      </c>
      <c r="O90" s="34" t="s">
        <v>7150</v>
      </c>
      <c r="P90" s="34" t="s">
        <v>7150</v>
      </c>
      <c r="Q90" s="34" t="b">
        <v>0</v>
      </c>
      <c r="R90" s="34" t="b">
        <v>0</v>
      </c>
    </row>
    <row r="91" spans="1:18">
      <c r="A91" s="34" t="s">
        <v>6168</v>
      </c>
      <c r="B91" s="34"/>
      <c r="C91" s="34"/>
      <c r="D91" s="34">
        <v>4500</v>
      </c>
      <c r="E91" s="34">
        <v>0</v>
      </c>
      <c r="F91" s="34">
        <v>0</v>
      </c>
      <c r="G91" s="34" t="s">
        <v>6171</v>
      </c>
      <c r="H91" s="34"/>
      <c r="I91" s="34" t="b">
        <v>0</v>
      </c>
      <c r="J91" s="34" t="b">
        <v>0</v>
      </c>
      <c r="K91" s="34" t="b">
        <v>0</v>
      </c>
      <c r="L91" s="34"/>
      <c r="M91" s="34"/>
      <c r="N91" s="34" t="s">
        <v>7150</v>
      </c>
      <c r="O91" s="34" t="s">
        <v>7150</v>
      </c>
      <c r="P91" s="34" t="s">
        <v>7150</v>
      </c>
      <c r="Q91" s="34" t="b">
        <v>0</v>
      </c>
      <c r="R91" s="34" t="b">
        <v>0</v>
      </c>
    </row>
    <row r="92" spans="1:18">
      <c r="A92" s="25" t="s">
        <v>2431</v>
      </c>
      <c r="B92" s="25"/>
      <c r="C92" s="25"/>
      <c r="D92" s="25">
        <v>6000</v>
      </c>
      <c r="E92" s="25">
        <v>0</v>
      </c>
      <c r="F92" s="25">
        <v>0</v>
      </c>
      <c r="G92" s="25" t="s">
        <v>7294</v>
      </c>
      <c r="H92" s="25"/>
      <c r="I92" s="25" t="b">
        <v>0</v>
      </c>
      <c r="J92" s="25" t="b">
        <v>0</v>
      </c>
      <c r="K92" s="25" t="b">
        <v>0</v>
      </c>
      <c r="L92" s="25" t="s">
        <v>175</v>
      </c>
      <c r="M92" s="25" t="s">
        <v>1521</v>
      </c>
      <c r="N92" s="25" t="str">
        <f>_xlfn.IFNA(VLOOKUP($M92,Buff.CM!$A:$O,13,FALSE),"")</f>
        <v>icon_battle_defense</v>
      </c>
      <c r="O92" s="25" t="str">
        <f>_xlfn.IFNA(VLOOKUP($M92,Buff.CM!$A:$O,14,FALSE),"")</f>
        <v>Buff.Name.Def.Down.04</v>
      </c>
      <c r="P92" s="25" t="str">
        <f>_xlfn.IFNA(VLOOKUP($M92,Buff.CM!$A:$O,15,FALSE),"")</f>
        <v>Buff.Desc.Def.Down.04</v>
      </c>
      <c r="Q92" s="25" t="b">
        <v>0</v>
      </c>
      <c r="R92" s="25" t="b">
        <v>0</v>
      </c>
    </row>
    <row r="93" spans="1:18">
      <c r="A93" s="25" t="s">
        <v>2432</v>
      </c>
      <c r="B93" s="25"/>
      <c r="C93" s="25"/>
      <c r="D93" s="25">
        <v>7000</v>
      </c>
      <c r="E93" s="25">
        <v>0</v>
      </c>
      <c r="F93" s="25">
        <v>0</v>
      </c>
      <c r="G93" s="25" t="s">
        <v>7294</v>
      </c>
      <c r="H93" s="25"/>
      <c r="I93" s="25" t="b">
        <v>0</v>
      </c>
      <c r="J93" s="25" t="b">
        <v>0</v>
      </c>
      <c r="K93" s="25" t="b">
        <v>0</v>
      </c>
      <c r="L93" s="25" t="s">
        <v>175</v>
      </c>
      <c r="M93" s="25" t="s">
        <v>1521</v>
      </c>
      <c r="N93" s="25" t="str">
        <f>_xlfn.IFNA(VLOOKUP($M93,Buff.CM!$A:$O,13,FALSE),"")</f>
        <v>icon_battle_defense</v>
      </c>
      <c r="O93" s="25" t="str">
        <f>_xlfn.IFNA(VLOOKUP($M93,Buff.CM!$A:$O,14,FALSE),"")</f>
        <v>Buff.Name.Def.Down.04</v>
      </c>
      <c r="P93" s="25" t="str">
        <f>_xlfn.IFNA(VLOOKUP($M93,Buff.CM!$A:$O,15,FALSE),"")</f>
        <v>Buff.Desc.Def.Down.04</v>
      </c>
      <c r="Q93" s="25" t="b">
        <v>0</v>
      </c>
      <c r="R93" s="25" t="b">
        <v>0</v>
      </c>
    </row>
    <row r="94" spans="1:18">
      <c r="A94" s="25" t="s">
        <v>2433</v>
      </c>
      <c r="B94" s="25"/>
      <c r="C94" s="25"/>
      <c r="D94" s="25">
        <v>7000</v>
      </c>
      <c r="E94" s="25">
        <v>0</v>
      </c>
      <c r="F94" s="25">
        <v>0</v>
      </c>
      <c r="G94" s="25" t="s">
        <v>7295</v>
      </c>
      <c r="H94" s="25"/>
      <c r="I94" s="25" t="b">
        <v>0</v>
      </c>
      <c r="J94" s="25" t="b">
        <v>0</v>
      </c>
      <c r="K94" s="25" t="b">
        <v>0</v>
      </c>
      <c r="L94" s="25" t="s">
        <v>175</v>
      </c>
      <c r="M94" s="25" t="s">
        <v>1522</v>
      </c>
      <c r="N94" s="25" t="str">
        <f>_xlfn.IFNA(VLOOKUP($M94,Buff.CM!$A:$O,13,FALSE),"")</f>
        <v>icon_battle_defense</v>
      </c>
      <c r="O94" s="25" t="str">
        <f>_xlfn.IFNA(VLOOKUP($M94,Buff.CM!$A:$O,14,FALSE),"")</f>
        <v>Buff.Name.Def.Down.05</v>
      </c>
      <c r="P94" s="25" t="str">
        <f>_xlfn.IFNA(VLOOKUP($M94,Buff.CM!$A:$O,15,FALSE),"")</f>
        <v>Buff.Desc.Def.Down.05</v>
      </c>
      <c r="Q94" s="25" t="b">
        <v>0</v>
      </c>
      <c r="R94" s="25" t="b">
        <v>0</v>
      </c>
    </row>
    <row r="95" spans="1:18">
      <c r="A95" s="34" t="s">
        <v>2434</v>
      </c>
      <c r="B95" s="34"/>
      <c r="C95" s="34"/>
      <c r="D95" s="34">
        <v>8000</v>
      </c>
      <c r="E95" s="34">
        <v>0</v>
      </c>
      <c r="F95" s="34">
        <v>0</v>
      </c>
      <c r="G95" s="34" t="s">
        <v>7295</v>
      </c>
      <c r="H95" s="34"/>
      <c r="I95" s="34" t="b">
        <v>0</v>
      </c>
      <c r="J95" s="34" t="b">
        <v>0</v>
      </c>
      <c r="K95" s="34" t="b">
        <v>0</v>
      </c>
      <c r="L95" s="34" t="s">
        <v>175</v>
      </c>
      <c r="M95" s="34" t="s">
        <v>1522</v>
      </c>
      <c r="N95" s="34" t="str">
        <f>_xlfn.IFNA(VLOOKUP($M95,Buff.CM!$A:$O,13,FALSE),"")</f>
        <v>icon_battle_defense</v>
      </c>
      <c r="O95" s="34" t="str">
        <f>_xlfn.IFNA(VLOOKUP($M95,Buff.CM!$A:$O,14,FALSE),"")</f>
        <v>Buff.Name.Def.Down.05</v>
      </c>
      <c r="P95" s="34" t="str">
        <f>_xlfn.IFNA(VLOOKUP($M95,Buff.CM!$A:$O,15,FALSE),"")</f>
        <v>Buff.Desc.Def.Down.05</v>
      </c>
      <c r="Q95" s="34" t="b">
        <v>0</v>
      </c>
      <c r="R95" s="34" t="b">
        <v>0</v>
      </c>
    </row>
    <row r="96" spans="1:18">
      <c r="A96" s="34" t="s">
        <v>2620</v>
      </c>
      <c r="B96" s="34"/>
      <c r="C96" s="34"/>
      <c r="D96" s="34">
        <v>5000</v>
      </c>
      <c r="E96" s="34">
        <v>0</v>
      </c>
      <c r="F96" s="34">
        <v>0</v>
      </c>
      <c r="G96" s="34" t="s">
        <v>1522</v>
      </c>
      <c r="H96" s="34"/>
      <c r="I96" s="34" t="b">
        <v>0</v>
      </c>
      <c r="J96" s="34" t="b">
        <v>0</v>
      </c>
      <c r="K96" s="34" t="b">
        <v>0</v>
      </c>
      <c r="L96" s="34" t="s">
        <v>175</v>
      </c>
      <c r="M96" s="34" t="s">
        <v>1522</v>
      </c>
      <c r="N96" s="34" t="str">
        <f>_xlfn.IFNA(VLOOKUP($M96,Buff.CM!$A:$O,13,FALSE),"")</f>
        <v>icon_battle_defense</v>
      </c>
      <c r="O96" s="34" t="str">
        <f>_xlfn.IFNA(VLOOKUP($M96,Buff.CM!$A:$O,14,FALSE),"")</f>
        <v>Buff.Name.Def.Down.05</v>
      </c>
      <c r="P96" s="34" t="str">
        <f>_xlfn.IFNA(VLOOKUP($M96,Buff.CM!$A:$O,15,FALSE),"")</f>
        <v>Buff.Desc.Def.Down.05</v>
      </c>
      <c r="Q96" s="34" t="b">
        <v>0</v>
      </c>
      <c r="R96" s="34" t="b">
        <v>0</v>
      </c>
    </row>
    <row r="97" spans="1:18">
      <c r="A97" s="34" t="s">
        <v>2621</v>
      </c>
      <c r="B97" s="34"/>
      <c r="C97" s="34"/>
      <c r="D97" s="34">
        <v>5000</v>
      </c>
      <c r="E97" s="34">
        <v>0</v>
      </c>
      <c r="F97" s="34">
        <v>0</v>
      </c>
      <c r="G97" s="34" t="s">
        <v>1522</v>
      </c>
      <c r="H97" s="34"/>
      <c r="I97" s="34" t="b">
        <v>0</v>
      </c>
      <c r="J97" s="34" t="b">
        <v>0</v>
      </c>
      <c r="K97" s="34" t="b">
        <v>0</v>
      </c>
      <c r="L97" s="34" t="s">
        <v>175</v>
      </c>
      <c r="M97" s="34" t="s">
        <v>1522</v>
      </c>
      <c r="N97" s="34" t="str">
        <f>_xlfn.IFNA(VLOOKUP($M97,Buff.CM!$A:$O,13,FALSE),"")</f>
        <v>icon_battle_defense</v>
      </c>
      <c r="O97" s="34" t="str">
        <f>_xlfn.IFNA(VLOOKUP($M97,Buff.CM!$A:$O,14,FALSE),"")</f>
        <v>Buff.Name.Def.Down.05</v>
      </c>
      <c r="P97" s="34" t="str">
        <f>_xlfn.IFNA(VLOOKUP($M97,Buff.CM!$A:$O,15,FALSE),"")</f>
        <v>Buff.Desc.Def.Down.05</v>
      </c>
      <c r="Q97" s="34" t="b">
        <v>0</v>
      </c>
      <c r="R97" s="34" t="b">
        <v>0</v>
      </c>
    </row>
    <row r="98" spans="1:18" ht="33">
      <c r="A98" s="26" t="s">
        <v>804</v>
      </c>
      <c r="B98" s="26"/>
      <c r="C98" s="26"/>
      <c r="D98" s="26">
        <v>0</v>
      </c>
      <c r="E98" s="26">
        <v>0</v>
      </c>
      <c r="F98" s="26">
        <v>0</v>
      </c>
      <c r="G98" s="45" t="s">
        <v>7169</v>
      </c>
      <c r="H98" s="26"/>
      <c r="I98" s="26" t="b">
        <v>0</v>
      </c>
      <c r="J98" s="26" t="b">
        <v>0</v>
      </c>
      <c r="K98" s="26" t="b">
        <v>1</v>
      </c>
      <c r="L98" s="26"/>
      <c r="M98" s="26"/>
      <c r="N98" s="26" t="s">
        <v>7150</v>
      </c>
      <c r="O98" s="26" t="s">
        <v>7150</v>
      </c>
      <c r="P98" s="26" t="s">
        <v>7150</v>
      </c>
      <c r="Q98" s="26" t="b">
        <v>0</v>
      </c>
      <c r="R98" s="26" t="b">
        <v>0</v>
      </c>
    </row>
    <row r="99" spans="1:18" ht="33">
      <c r="A99" s="26" t="s">
        <v>805</v>
      </c>
      <c r="B99" s="26"/>
      <c r="C99" s="26"/>
      <c r="D99" s="26">
        <v>0</v>
      </c>
      <c r="E99" s="26">
        <v>0</v>
      </c>
      <c r="F99" s="26">
        <v>0</v>
      </c>
      <c r="G99" s="45" t="s">
        <v>7170</v>
      </c>
      <c r="H99" s="26"/>
      <c r="I99" s="26" t="b">
        <v>0</v>
      </c>
      <c r="J99" s="26" t="b">
        <v>0</v>
      </c>
      <c r="K99" s="26" t="b">
        <v>1</v>
      </c>
      <c r="L99" s="26"/>
      <c r="M99" s="26"/>
      <c r="N99" s="26" t="s">
        <v>7150</v>
      </c>
      <c r="O99" s="26" t="s">
        <v>7150</v>
      </c>
      <c r="P99" s="26" t="s">
        <v>7150</v>
      </c>
      <c r="Q99" s="26" t="b">
        <v>0</v>
      </c>
      <c r="R99" s="26" t="b">
        <v>0</v>
      </c>
    </row>
    <row r="100" spans="1:18" ht="33">
      <c r="A100" s="26" t="s">
        <v>806</v>
      </c>
      <c r="B100" s="26"/>
      <c r="C100" s="26"/>
      <c r="D100" s="26">
        <v>0</v>
      </c>
      <c r="E100" s="26">
        <v>0</v>
      </c>
      <c r="F100" s="26">
        <v>0</v>
      </c>
      <c r="G100" s="45" t="s">
        <v>7171</v>
      </c>
      <c r="H100" s="26"/>
      <c r="I100" s="26" t="b">
        <v>0</v>
      </c>
      <c r="J100" s="26" t="b">
        <v>0</v>
      </c>
      <c r="K100" s="26" t="b">
        <v>1</v>
      </c>
      <c r="L100" s="26"/>
      <c r="M100" s="26"/>
      <c r="N100" s="26" t="s">
        <v>7150</v>
      </c>
      <c r="O100" s="26" t="s">
        <v>7150</v>
      </c>
      <c r="P100" s="26" t="s">
        <v>7150</v>
      </c>
      <c r="Q100" s="26" t="b">
        <v>0</v>
      </c>
      <c r="R100" s="26" t="b">
        <v>0</v>
      </c>
    </row>
    <row r="101" spans="1:18" ht="33">
      <c r="A101" s="34" t="s">
        <v>807</v>
      </c>
      <c r="B101" s="34"/>
      <c r="C101" s="34"/>
      <c r="D101" s="34">
        <v>0</v>
      </c>
      <c r="E101" s="34">
        <v>0</v>
      </c>
      <c r="F101" s="34">
        <v>0</v>
      </c>
      <c r="G101" s="40" t="s">
        <v>7172</v>
      </c>
      <c r="H101" s="34"/>
      <c r="I101" s="26" t="b">
        <v>0</v>
      </c>
      <c r="J101" s="26" t="b">
        <v>0</v>
      </c>
      <c r="K101" s="34" t="b">
        <v>1</v>
      </c>
      <c r="L101" s="34"/>
      <c r="M101" s="34"/>
      <c r="N101" s="34" t="s">
        <v>7150</v>
      </c>
      <c r="O101" s="34" t="s">
        <v>7150</v>
      </c>
      <c r="P101" s="34" t="s">
        <v>7150</v>
      </c>
      <c r="Q101" s="34" t="b">
        <v>0</v>
      </c>
      <c r="R101" s="34" t="b">
        <v>0</v>
      </c>
    </row>
    <row r="102" spans="1:18" ht="33">
      <c r="A102" s="34" t="s">
        <v>808</v>
      </c>
      <c r="B102" s="34"/>
      <c r="C102" s="34"/>
      <c r="D102" s="34">
        <v>0</v>
      </c>
      <c r="E102" s="34">
        <v>0</v>
      </c>
      <c r="F102" s="34">
        <v>0</v>
      </c>
      <c r="G102" s="40" t="s">
        <v>7173</v>
      </c>
      <c r="H102" s="34"/>
      <c r="I102" s="26" t="b">
        <v>0</v>
      </c>
      <c r="J102" s="26" t="b">
        <v>0</v>
      </c>
      <c r="K102" s="34" t="b">
        <v>1</v>
      </c>
      <c r="L102" s="34"/>
      <c r="M102" s="34"/>
      <c r="N102" s="34" t="s">
        <v>7150</v>
      </c>
      <c r="O102" s="34" t="s">
        <v>7150</v>
      </c>
      <c r="P102" s="34" t="s">
        <v>7150</v>
      </c>
      <c r="Q102" s="34" t="b">
        <v>0</v>
      </c>
      <c r="R102" s="34" t="b">
        <v>0</v>
      </c>
    </row>
    <row r="103" spans="1:18" s="13" customFormat="1" ht="33">
      <c r="A103" s="34" t="s">
        <v>809</v>
      </c>
      <c r="B103" s="34"/>
      <c r="C103" s="34"/>
      <c r="D103" s="34">
        <v>0</v>
      </c>
      <c r="E103" s="34">
        <v>0</v>
      </c>
      <c r="F103" s="34">
        <v>0</v>
      </c>
      <c r="G103" s="40" t="s">
        <v>7174</v>
      </c>
      <c r="H103" s="34"/>
      <c r="I103" s="26" t="b">
        <v>0</v>
      </c>
      <c r="J103" s="26" t="b">
        <v>0</v>
      </c>
      <c r="K103" s="34" t="b">
        <v>1</v>
      </c>
      <c r="L103" s="34"/>
      <c r="M103" s="34"/>
      <c r="N103" s="34" t="s">
        <v>7150</v>
      </c>
      <c r="O103" s="34" t="s">
        <v>7150</v>
      </c>
      <c r="P103" s="34" t="s">
        <v>7150</v>
      </c>
      <c r="Q103" s="34" t="b">
        <v>0</v>
      </c>
      <c r="R103" s="34" t="b">
        <v>0</v>
      </c>
    </row>
    <row r="104" spans="1:18" s="13" customFormat="1" ht="33">
      <c r="A104" s="25" t="s">
        <v>7175</v>
      </c>
      <c r="B104" s="25"/>
      <c r="C104" s="25"/>
      <c r="D104" s="25">
        <v>0</v>
      </c>
      <c r="E104" s="25">
        <v>5</v>
      </c>
      <c r="F104" s="25">
        <v>1</v>
      </c>
      <c r="G104" s="43" t="s">
        <v>7176</v>
      </c>
      <c r="H104" s="25"/>
      <c r="I104" s="26" t="b">
        <v>0</v>
      </c>
      <c r="J104" s="26" t="b">
        <v>0</v>
      </c>
      <c r="K104" s="25" t="b">
        <v>1</v>
      </c>
      <c r="L104" s="25"/>
      <c r="M104" s="25" t="s">
        <v>5677</v>
      </c>
      <c r="N104" s="25" t="s">
        <v>5678</v>
      </c>
      <c r="O104" s="25" t="s">
        <v>5677</v>
      </c>
      <c r="P104" s="25" t="s">
        <v>5679</v>
      </c>
      <c r="Q104" s="25" t="b">
        <v>0</v>
      </c>
      <c r="R104" s="25" t="b">
        <v>0</v>
      </c>
    </row>
    <row r="105" spans="1:18" s="13" customFormat="1" ht="33">
      <c r="A105" s="25" t="s">
        <v>7177</v>
      </c>
      <c r="B105" s="25"/>
      <c r="C105" s="25"/>
      <c r="D105" s="25">
        <v>0</v>
      </c>
      <c r="E105" s="25">
        <v>5</v>
      </c>
      <c r="F105" s="25">
        <v>1</v>
      </c>
      <c r="G105" s="43" t="s">
        <v>7178</v>
      </c>
      <c r="H105" s="25"/>
      <c r="I105" s="26" t="b">
        <v>0</v>
      </c>
      <c r="J105" s="26" t="b">
        <v>0</v>
      </c>
      <c r="K105" s="25" t="b">
        <v>1</v>
      </c>
      <c r="L105" s="25"/>
      <c r="M105" s="25" t="s">
        <v>5677</v>
      </c>
      <c r="N105" s="25" t="s">
        <v>5678</v>
      </c>
      <c r="O105" s="25" t="s">
        <v>5677</v>
      </c>
      <c r="P105" s="25" t="s">
        <v>5679</v>
      </c>
      <c r="Q105" s="25" t="b">
        <v>0</v>
      </c>
      <c r="R105" s="25" t="b">
        <v>0</v>
      </c>
    </row>
    <row r="106" spans="1:18" s="13" customFormat="1" ht="33">
      <c r="A106" s="25" t="s">
        <v>2450</v>
      </c>
      <c r="B106" s="25"/>
      <c r="C106" s="25"/>
      <c r="D106" s="25">
        <v>0</v>
      </c>
      <c r="E106" s="25">
        <v>5</v>
      </c>
      <c r="F106" s="25">
        <v>1</v>
      </c>
      <c r="G106" s="43" t="s">
        <v>7179</v>
      </c>
      <c r="H106" s="25"/>
      <c r="I106" s="26" t="b">
        <v>0</v>
      </c>
      <c r="J106" s="26" t="b">
        <v>0</v>
      </c>
      <c r="K106" s="25" t="b">
        <v>1</v>
      </c>
      <c r="L106" s="25"/>
      <c r="M106" s="25" t="s">
        <v>5677</v>
      </c>
      <c r="N106" s="25" t="s">
        <v>5678</v>
      </c>
      <c r="O106" s="25" t="s">
        <v>5677</v>
      </c>
      <c r="P106" s="25" t="s">
        <v>5679</v>
      </c>
      <c r="Q106" s="25" t="b">
        <v>0</v>
      </c>
      <c r="R106" s="25" t="b">
        <v>0</v>
      </c>
    </row>
    <row r="107" spans="1:18" s="13" customFormat="1" ht="33">
      <c r="A107" s="34" t="s">
        <v>2451</v>
      </c>
      <c r="B107" s="34"/>
      <c r="C107" s="34"/>
      <c r="D107" s="34">
        <v>0</v>
      </c>
      <c r="E107" s="34">
        <v>5</v>
      </c>
      <c r="F107" s="34">
        <v>1</v>
      </c>
      <c r="G107" s="40" t="s">
        <v>7180</v>
      </c>
      <c r="H107" s="34"/>
      <c r="I107" s="26" t="b">
        <v>0</v>
      </c>
      <c r="J107" s="26" t="b">
        <v>0</v>
      </c>
      <c r="K107" s="34" t="b">
        <v>1</v>
      </c>
      <c r="L107" s="34"/>
      <c r="M107" s="34" t="s">
        <v>5677</v>
      </c>
      <c r="N107" s="34" t="s">
        <v>5678</v>
      </c>
      <c r="O107" s="34" t="s">
        <v>5677</v>
      </c>
      <c r="P107" s="34" t="s">
        <v>5679</v>
      </c>
      <c r="Q107" s="34" t="b">
        <v>0</v>
      </c>
      <c r="R107" s="34" t="b">
        <v>0</v>
      </c>
    </row>
    <row r="108" spans="1:18" s="13" customFormat="1" ht="33">
      <c r="A108" s="34" t="s">
        <v>2452</v>
      </c>
      <c r="B108" s="34"/>
      <c r="C108" s="34"/>
      <c r="D108" s="34">
        <v>0</v>
      </c>
      <c r="E108" s="34">
        <v>5</v>
      </c>
      <c r="F108" s="34">
        <v>1</v>
      </c>
      <c r="G108" s="40" t="s">
        <v>7181</v>
      </c>
      <c r="H108" s="34"/>
      <c r="I108" s="26" t="b">
        <v>0</v>
      </c>
      <c r="J108" s="26" t="b">
        <v>0</v>
      </c>
      <c r="K108" s="34" t="b">
        <v>1</v>
      </c>
      <c r="L108" s="34"/>
      <c r="M108" s="34" t="s">
        <v>5677</v>
      </c>
      <c r="N108" s="34" t="s">
        <v>5678</v>
      </c>
      <c r="O108" s="34" t="s">
        <v>5677</v>
      </c>
      <c r="P108" s="34" t="s">
        <v>5679</v>
      </c>
      <c r="Q108" s="34" t="b">
        <v>0</v>
      </c>
      <c r="R108" s="34" t="b">
        <v>0</v>
      </c>
    </row>
    <row r="109" spans="1:18" s="13" customFormat="1" ht="33">
      <c r="A109" s="34" t="s">
        <v>2453</v>
      </c>
      <c r="B109" s="34"/>
      <c r="C109" s="34"/>
      <c r="D109" s="34">
        <v>0</v>
      </c>
      <c r="E109" s="34">
        <v>5</v>
      </c>
      <c r="F109" s="34">
        <v>1</v>
      </c>
      <c r="G109" s="40" t="s">
        <v>7182</v>
      </c>
      <c r="H109" s="34"/>
      <c r="I109" s="26" t="b">
        <v>0</v>
      </c>
      <c r="J109" s="26" t="b">
        <v>0</v>
      </c>
      <c r="K109" s="34" t="b">
        <v>1</v>
      </c>
      <c r="L109" s="34"/>
      <c r="M109" s="34" t="s">
        <v>5677</v>
      </c>
      <c r="N109" s="34" t="s">
        <v>5678</v>
      </c>
      <c r="O109" s="34" t="s">
        <v>5677</v>
      </c>
      <c r="P109" s="34" t="s">
        <v>5679</v>
      </c>
      <c r="Q109" s="34" t="b">
        <v>0</v>
      </c>
      <c r="R109" s="34" t="b">
        <v>0</v>
      </c>
    </row>
    <row r="110" spans="1:18">
      <c r="A110" s="26" t="s">
        <v>7183</v>
      </c>
      <c r="B110" s="26"/>
      <c r="C110" s="26"/>
      <c r="D110" s="26">
        <v>0</v>
      </c>
      <c r="E110" s="26">
        <v>0</v>
      </c>
      <c r="F110" s="26">
        <v>0</v>
      </c>
      <c r="G110" s="45" t="s">
        <v>7184</v>
      </c>
      <c r="H110" s="26"/>
      <c r="I110" s="26" t="b">
        <v>0</v>
      </c>
      <c r="J110" s="26" t="b">
        <v>0</v>
      </c>
      <c r="K110" s="26" t="b">
        <v>1</v>
      </c>
      <c r="L110" s="26"/>
      <c r="M110" s="26"/>
      <c r="N110" s="26" t="s">
        <v>7150</v>
      </c>
      <c r="O110" s="26" t="s">
        <v>7150</v>
      </c>
      <c r="P110" s="26" t="s">
        <v>7150</v>
      </c>
      <c r="Q110" s="26" t="b">
        <v>0</v>
      </c>
      <c r="R110" s="26" t="b">
        <v>0</v>
      </c>
    </row>
    <row r="111" spans="1:18">
      <c r="A111" s="26" t="s">
        <v>3530</v>
      </c>
      <c r="B111" s="26"/>
      <c r="C111" s="26"/>
      <c r="D111" s="26">
        <v>0</v>
      </c>
      <c r="E111" s="26">
        <v>0</v>
      </c>
      <c r="F111" s="26">
        <v>0</v>
      </c>
      <c r="G111" s="45" t="s">
        <v>7134</v>
      </c>
      <c r="H111" s="26"/>
      <c r="I111" s="26" t="b">
        <v>0</v>
      </c>
      <c r="J111" s="26" t="b">
        <v>0</v>
      </c>
      <c r="K111" s="26" t="b">
        <v>1</v>
      </c>
      <c r="L111" s="26"/>
      <c r="M111" s="26"/>
      <c r="N111" s="26" t="s">
        <v>7150</v>
      </c>
      <c r="O111" s="26" t="s">
        <v>7150</v>
      </c>
      <c r="P111" s="26" t="s">
        <v>7150</v>
      </c>
      <c r="Q111" s="26" t="b">
        <v>0</v>
      </c>
      <c r="R111" s="26" t="b">
        <v>0</v>
      </c>
    </row>
    <row r="112" spans="1:18">
      <c r="A112" s="26" t="s">
        <v>3531</v>
      </c>
      <c r="B112" s="26"/>
      <c r="C112" s="26"/>
      <c r="D112" s="26">
        <v>0</v>
      </c>
      <c r="E112" s="26">
        <v>0</v>
      </c>
      <c r="F112" s="26">
        <v>0</v>
      </c>
      <c r="G112" s="45" t="s">
        <v>7135</v>
      </c>
      <c r="H112" s="26"/>
      <c r="I112" s="26" t="b">
        <v>0</v>
      </c>
      <c r="J112" s="26" t="b">
        <v>0</v>
      </c>
      <c r="K112" s="26" t="b">
        <v>1</v>
      </c>
      <c r="L112" s="26"/>
      <c r="M112" s="26"/>
      <c r="N112" s="26" t="s">
        <v>7150</v>
      </c>
      <c r="O112" s="26" t="s">
        <v>7150</v>
      </c>
      <c r="P112" s="26" t="s">
        <v>7150</v>
      </c>
      <c r="Q112" s="26" t="b">
        <v>0</v>
      </c>
      <c r="R112" s="26" t="b">
        <v>0</v>
      </c>
    </row>
    <row r="113" spans="1:18">
      <c r="A113" s="34" t="s">
        <v>3532</v>
      </c>
      <c r="B113" s="34"/>
      <c r="C113" s="34"/>
      <c r="D113" s="34">
        <v>0</v>
      </c>
      <c r="E113" s="34">
        <v>0</v>
      </c>
      <c r="F113" s="34">
        <v>0</v>
      </c>
      <c r="G113" s="40" t="s">
        <v>7136</v>
      </c>
      <c r="H113" s="34"/>
      <c r="I113" s="26" t="b">
        <v>0</v>
      </c>
      <c r="J113" s="26" t="b">
        <v>0</v>
      </c>
      <c r="K113" s="34" t="b">
        <v>1</v>
      </c>
      <c r="L113" s="34"/>
      <c r="M113" s="34"/>
      <c r="N113" s="34" t="s">
        <v>7150</v>
      </c>
      <c r="O113" s="34" t="s">
        <v>7150</v>
      </c>
      <c r="P113" s="34" t="s">
        <v>7150</v>
      </c>
      <c r="Q113" s="34" t="b">
        <v>0</v>
      </c>
      <c r="R113" s="34" t="b">
        <v>0</v>
      </c>
    </row>
    <row r="114" spans="1:18">
      <c r="A114" s="34" t="s">
        <v>3533</v>
      </c>
      <c r="B114" s="34"/>
      <c r="C114" s="34"/>
      <c r="D114" s="34">
        <v>0</v>
      </c>
      <c r="E114" s="34">
        <v>0</v>
      </c>
      <c r="F114" s="34">
        <v>0</v>
      </c>
      <c r="G114" s="40" t="s">
        <v>7137</v>
      </c>
      <c r="H114" s="34"/>
      <c r="I114" s="26" t="b">
        <v>0</v>
      </c>
      <c r="J114" s="26" t="b">
        <v>0</v>
      </c>
      <c r="K114" s="34" t="b">
        <v>1</v>
      </c>
      <c r="L114" s="34"/>
      <c r="M114" s="34"/>
      <c r="N114" s="34" t="s">
        <v>7150</v>
      </c>
      <c r="O114" s="34" t="s">
        <v>7150</v>
      </c>
      <c r="P114" s="34" t="s">
        <v>7150</v>
      </c>
      <c r="Q114" s="34" t="b">
        <v>0</v>
      </c>
      <c r="R114" s="34" t="b">
        <v>0</v>
      </c>
    </row>
    <row r="115" spans="1:18" s="13" customFormat="1">
      <c r="A115" s="34" t="s">
        <v>3534</v>
      </c>
      <c r="B115" s="34"/>
      <c r="C115" s="34"/>
      <c r="D115" s="34">
        <v>0</v>
      </c>
      <c r="E115" s="34">
        <v>0</v>
      </c>
      <c r="F115" s="34">
        <v>0</v>
      </c>
      <c r="G115" s="40" t="s">
        <v>7138</v>
      </c>
      <c r="H115" s="34"/>
      <c r="I115" s="26" t="b">
        <v>0</v>
      </c>
      <c r="J115" s="26" t="b">
        <v>0</v>
      </c>
      <c r="K115" s="34" t="b">
        <v>1</v>
      </c>
      <c r="L115" s="34"/>
      <c r="M115" s="34"/>
      <c r="N115" s="34" t="s">
        <v>7150</v>
      </c>
      <c r="O115" s="34" t="s">
        <v>7150</v>
      </c>
      <c r="P115" s="34" t="s">
        <v>7150</v>
      </c>
      <c r="Q115" s="34" t="b">
        <v>0</v>
      </c>
      <c r="R115" s="34" t="b">
        <v>0</v>
      </c>
    </row>
    <row r="116" spans="1:18">
      <c r="A116" s="26" t="s">
        <v>7185</v>
      </c>
      <c r="B116" s="26"/>
      <c r="C116" s="26"/>
      <c r="D116" s="26">
        <v>0</v>
      </c>
      <c r="E116" s="26">
        <v>0</v>
      </c>
      <c r="F116" s="26">
        <v>0</v>
      </c>
      <c r="G116" s="45" t="s">
        <v>3740</v>
      </c>
      <c r="H116" s="26"/>
      <c r="I116" s="26" t="b">
        <v>0</v>
      </c>
      <c r="J116" s="26" t="b">
        <v>0</v>
      </c>
      <c r="K116" s="26" t="b">
        <v>1</v>
      </c>
      <c r="L116" s="26"/>
      <c r="M116" s="26"/>
      <c r="N116" s="26" t="s">
        <v>7150</v>
      </c>
      <c r="O116" s="26" t="s">
        <v>7150</v>
      </c>
      <c r="P116" s="26" t="s">
        <v>7150</v>
      </c>
      <c r="Q116" s="26" t="b">
        <v>0</v>
      </c>
      <c r="R116" s="26" t="b">
        <v>0</v>
      </c>
    </row>
    <row r="117" spans="1:18">
      <c r="A117" s="26" t="s">
        <v>3735</v>
      </c>
      <c r="B117" s="26"/>
      <c r="C117" s="26"/>
      <c r="D117" s="26">
        <v>0</v>
      </c>
      <c r="E117" s="26">
        <v>0</v>
      </c>
      <c r="F117" s="26">
        <v>0</v>
      </c>
      <c r="G117" s="45" t="s">
        <v>3741</v>
      </c>
      <c r="H117" s="26"/>
      <c r="I117" s="26" t="b">
        <v>0</v>
      </c>
      <c r="J117" s="26" t="b">
        <v>0</v>
      </c>
      <c r="K117" s="26" t="b">
        <v>1</v>
      </c>
      <c r="L117" s="26"/>
      <c r="M117" s="26"/>
      <c r="N117" s="26" t="s">
        <v>7150</v>
      </c>
      <c r="O117" s="26" t="s">
        <v>7150</v>
      </c>
      <c r="P117" s="26" t="s">
        <v>7150</v>
      </c>
      <c r="Q117" s="26" t="b">
        <v>0</v>
      </c>
      <c r="R117" s="26" t="b">
        <v>0</v>
      </c>
    </row>
    <row r="118" spans="1:18">
      <c r="A118" s="26" t="s">
        <v>3736</v>
      </c>
      <c r="B118" s="26"/>
      <c r="C118" s="26"/>
      <c r="D118" s="26">
        <v>0</v>
      </c>
      <c r="E118" s="26">
        <v>0</v>
      </c>
      <c r="F118" s="26">
        <v>0</v>
      </c>
      <c r="G118" s="45" t="s">
        <v>3742</v>
      </c>
      <c r="H118" s="26"/>
      <c r="I118" s="26" t="b">
        <v>0</v>
      </c>
      <c r="J118" s="26" t="b">
        <v>0</v>
      </c>
      <c r="K118" s="26" t="b">
        <v>1</v>
      </c>
      <c r="L118" s="26"/>
      <c r="M118" s="26"/>
      <c r="N118" s="26" t="s">
        <v>7150</v>
      </c>
      <c r="O118" s="26" t="s">
        <v>7150</v>
      </c>
      <c r="P118" s="26" t="s">
        <v>7150</v>
      </c>
      <c r="Q118" s="26" t="b">
        <v>0</v>
      </c>
      <c r="R118" s="26" t="b">
        <v>0</v>
      </c>
    </row>
    <row r="119" spans="1:18">
      <c r="A119" s="34" t="s">
        <v>3737</v>
      </c>
      <c r="B119" s="34"/>
      <c r="C119" s="34"/>
      <c r="D119" s="34">
        <v>0</v>
      </c>
      <c r="E119" s="34">
        <v>0</v>
      </c>
      <c r="F119" s="34">
        <v>0</v>
      </c>
      <c r="G119" s="40" t="s">
        <v>3743</v>
      </c>
      <c r="H119" s="34"/>
      <c r="I119" s="26" t="b">
        <v>0</v>
      </c>
      <c r="J119" s="26" t="b">
        <v>0</v>
      </c>
      <c r="K119" s="34" t="b">
        <v>1</v>
      </c>
      <c r="L119" s="34"/>
      <c r="M119" s="34"/>
      <c r="N119" s="34" t="s">
        <v>7150</v>
      </c>
      <c r="O119" s="34" t="s">
        <v>7150</v>
      </c>
      <c r="P119" s="34" t="s">
        <v>7150</v>
      </c>
      <c r="Q119" s="34" t="b">
        <v>0</v>
      </c>
      <c r="R119" s="34" t="b">
        <v>0</v>
      </c>
    </row>
    <row r="120" spans="1:18">
      <c r="A120" s="34" t="s">
        <v>3738</v>
      </c>
      <c r="B120" s="34"/>
      <c r="C120" s="34"/>
      <c r="D120" s="34">
        <v>0</v>
      </c>
      <c r="E120" s="34">
        <v>0</v>
      </c>
      <c r="F120" s="34">
        <v>0</v>
      </c>
      <c r="G120" s="40" t="s">
        <v>3744</v>
      </c>
      <c r="H120" s="34"/>
      <c r="I120" s="26" t="b">
        <v>0</v>
      </c>
      <c r="J120" s="26" t="b">
        <v>0</v>
      </c>
      <c r="K120" s="34" t="b">
        <v>1</v>
      </c>
      <c r="L120" s="34"/>
      <c r="M120" s="34"/>
      <c r="N120" s="34" t="s">
        <v>7150</v>
      </c>
      <c r="O120" s="34" t="s">
        <v>7150</v>
      </c>
      <c r="P120" s="34" t="s">
        <v>7150</v>
      </c>
      <c r="Q120" s="34" t="b">
        <v>0</v>
      </c>
      <c r="R120" s="34" t="b">
        <v>0</v>
      </c>
    </row>
    <row r="121" spans="1:18" s="13" customFormat="1">
      <c r="A121" s="34" t="s">
        <v>3739</v>
      </c>
      <c r="B121" s="34"/>
      <c r="C121" s="34"/>
      <c r="D121" s="34">
        <v>0</v>
      </c>
      <c r="E121" s="34">
        <v>0</v>
      </c>
      <c r="F121" s="34">
        <v>0</v>
      </c>
      <c r="G121" s="40" t="s">
        <v>3745</v>
      </c>
      <c r="H121" s="34"/>
      <c r="I121" s="26" t="b">
        <v>0</v>
      </c>
      <c r="J121" s="26" t="b">
        <v>0</v>
      </c>
      <c r="K121" s="34" t="b">
        <v>1</v>
      </c>
      <c r="L121" s="34"/>
      <c r="M121" s="34"/>
      <c r="N121" s="34" t="s">
        <v>7150</v>
      </c>
      <c r="O121" s="34" t="s">
        <v>7150</v>
      </c>
      <c r="P121" s="34" t="s">
        <v>7150</v>
      </c>
      <c r="Q121" s="34" t="b">
        <v>0</v>
      </c>
      <c r="R121" s="34" t="b">
        <v>0</v>
      </c>
    </row>
    <row r="122" spans="1:18">
      <c r="A122" s="24" t="s">
        <v>2346</v>
      </c>
      <c r="B122" s="24"/>
      <c r="C122" s="24"/>
      <c r="D122" s="24">
        <v>4000</v>
      </c>
      <c r="E122" s="24">
        <v>0</v>
      </c>
      <c r="F122" s="24">
        <v>0</v>
      </c>
      <c r="G122" s="24" t="s">
        <v>2358</v>
      </c>
      <c r="H122" s="24"/>
      <c r="I122" s="24" t="b">
        <v>0</v>
      </c>
      <c r="J122" s="24" t="b">
        <v>0</v>
      </c>
      <c r="K122" s="24" t="b">
        <v>1</v>
      </c>
      <c r="L122" s="24" t="s">
        <v>790</v>
      </c>
      <c r="M122" s="24"/>
      <c r="N122" s="24" t="s">
        <v>7150</v>
      </c>
      <c r="O122" s="24" t="s">
        <v>7150</v>
      </c>
      <c r="P122" s="24" t="s">
        <v>7150</v>
      </c>
      <c r="Q122" s="24" t="b">
        <v>0</v>
      </c>
      <c r="R122" s="24" t="b">
        <v>0</v>
      </c>
    </row>
    <row r="123" spans="1:18">
      <c r="A123" s="24" t="s">
        <v>2347</v>
      </c>
      <c r="B123" s="24"/>
      <c r="C123" s="24"/>
      <c r="D123" s="24">
        <v>4000</v>
      </c>
      <c r="E123" s="24">
        <v>0</v>
      </c>
      <c r="F123" s="24">
        <v>0</v>
      </c>
      <c r="G123" s="24" t="s">
        <v>2359</v>
      </c>
      <c r="H123" s="24"/>
      <c r="I123" s="24" t="b">
        <v>0</v>
      </c>
      <c r="J123" s="24" t="b">
        <v>0</v>
      </c>
      <c r="K123" s="24" t="b">
        <v>1</v>
      </c>
      <c r="L123" s="24" t="s">
        <v>790</v>
      </c>
      <c r="M123" s="24"/>
      <c r="N123" s="24" t="s">
        <v>7150</v>
      </c>
      <c r="O123" s="24" t="s">
        <v>7150</v>
      </c>
      <c r="P123" s="24" t="s">
        <v>7150</v>
      </c>
      <c r="Q123" s="24" t="b">
        <v>0</v>
      </c>
      <c r="R123" s="24" t="b">
        <v>0</v>
      </c>
    </row>
    <row r="124" spans="1:18">
      <c r="A124" s="24" t="s">
        <v>2348</v>
      </c>
      <c r="B124" s="24"/>
      <c r="C124" s="24"/>
      <c r="D124" s="24">
        <v>4000</v>
      </c>
      <c r="E124" s="24">
        <v>0</v>
      </c>
      <c r="F124" s="24">
        <v>0</v>
      </c>
      <c r="G124" s="24" t="s">
        <v>2360</v>
      </c>
      <c r="H124" s="24"/>
      <c r="I124" s="24" t="b">
        <v>0</v>
      </c>
      <c r="J124" s="24" t="b">
        <v>0</v>
      </c>
      <c r="K124" s="24" t="b">
        <v>1</v>
      </c>
      <c r="L124" s="24" t="s">
        <v>790</v>
      </c>
      <c r="M124" s="24"/>
      <c r="N124" s="24" t="s">
        <v>7150</v>
      </c>
      <c r="O124" s="24" t="s">
        <v>7150</v>
      </c>
      <c r="P124" s="24" t="s">
        <v>7150</v>
      </c>
      <c r="Q124" s="24" t="b">
        <v>0</v>
      </c>
      <c r="R124" s="24" t="b">
        <v>0</v>
      </c>
    </row>
    <row r="125" spans="1:18">
      <c r="A125" s="24" t="s">
        <v>7186</v>
      </c>
      <c r="B125" s="24"/>
      <c r="C125" s="24"/>
      <c r="D125" s="24">
        <v>4000</v>
      </c>
      <c r="E125" s="24">
        <v>0</v>
      </c>
      <c r="F125" s="24">
        <v>0</v>
      </c>
      <c r="G125" s="24" t="s">
        <v>2361</v>
      </c>
      <c r="H125" s="24"/>
      <c r="I125" s="24" t="b">
        <v>0</v>
      </c>
      <c r="J125" s="24" t="b">
        <v>0</v>
      </c>
      <c r="K125" s="24" t="b">
        <v>1</v>
      </c>
      <c r="L125" s="24" t="s">
        <v>790</v>
      </c>
      <c r="M125" s="24"/>
      <c r="N125" s="24" t="s">
        <v>7150</v>
      </c>
      <c r="O125" s="24" t="s">
        <v>7150</v>
      </c>
      <c r="P125" s="24" t="s">
        <v>7150</v>
      </c>
      <c r="Q125" s="24" t="b">
        <v>0</v>
      </c>
      <c r="R125" s="24" t="b">
        <v>0</v>
      </c>
    </row>
    <row r="126" spans="1:18">
      <c r="A126" s="24" t="s">
        <v>2600</v>
      </c>
      <c r="B126" s="24"/>
      <c r="C126" s="24"/>
      <c r="D126" s="24">
        <v>4000</v>
      </c>
      <c r="E126" s="24">
        <v>0</v>
      </c>
      <c r="F126" s="24">
        <v>0</v>
      </c>
      <c r="G126" s="24" t="s">
        <v>2603</v>
      </c>
      <c r="H126" s="24"/>
      <c r="I126" s="24" t="b">
        <v>0</v>
      </c>
      <c r="J126" s="24" t="b">
        <v>0</v>
      </c>
      <c r="K126" s="24" t="b">
        <v>1</v>
      </c>
      <c r="L126" s="24" t="s">
        <v>790</v>
      </c>
      <c r="M126" s="24"/>
      <c r="N126" s="24" t="s">
        <v>7150</v>
      </c>
      <c r="O126" s="24" t="s">
        <v>7150</v>
      </c>
      <c r="P126" s="24" t="s">
        <v>7150</v>
      </c>
      <c r="Q126" s="24" t="b">
        <v>0</v>
      </c>
      <c r="R126" s="24" t="b">
        <v>0</v>
      </c>
    </row>
    <row r="127" spans="1:18">
      <c r="A127" s="34" t="s">
        <v>2601</v>
      </c>
      <c r="B127" s="34"/>
      <c r="C127" s="34"/>
      <c r="D127" s="34">
        <v>4000</v>
      </c>
      <c r="E127" s="34">
        <v>0</v>
      </c>
      <c r="F127" s="34">
        <v>0</v>
      </c>
      <c r="G127" s="34" t="s">
        <v>2604</v>
      </c>
      <c r="H127" s="34"/>
      <c r="I127" s="34" t="b">
        <v>0</v>
      </c>
      <c r="J127" s="34" t="b">
        <v>0</v>
      </c>
      <c r="K127" s="34" t="b">
        <v>1</v>
      </c>
      <c r="L127" s="34" t="s">
        <v>790</v>
      </c>
      <c r="M127" s="34"/>
      <c r="N127" s="34" t="s">
        <v>7150</v>
      </c>
      <c r="O127" s="34" t="s">
        <v>7150</v>
      </c>
      <c r="P127" s="34" t="s">
        <v>7150</v>
      </c>
      <c r="Q127" s="34" t="b">
        <v>0</v>
      </c>
      <c r="R127" s="34" t="b">
        <v>0</v>
      </c>
    </row>
    <row r="128" spans="1:18">
      <c r="A128" s="34" t="s">
        <v>2602</v>
      </c>
      <c r="B128" s="34"/>
      <c r="C128" s="34"/>
      <c r="D128" s="34">
        <v>4000</v>
      </c>
      <c r="E128" s="34">
        <v>0</v>
      </c>
      <c r="F128" s="34">
        <v>0</v>
      </c>
      <c r="G128" s="34" t="s">
        <v>2605</v>
      </c>
      <c r="H128" s="34"/>
      <c r="I128" s="34" t="b">
        <v>0</v>
      </c>
      <c r="J128" s="34" t="b">
        <v>0</v>
      </c>
      <c r="K128" s="34" t="b">
        <v>1</v>
      </c>
      <c r="L128" s="34" t="s">
        <v>790</v>
      </c>
      <c r="M128" s="34"/>
      <c r="N128" s="34" t="s">
        <v>7150</v>
      </c>
      <c r="O128" s="34" t="s">
        <v>7150</v>
      </c>
      <c r="P128" s="34" t="s">
        <v>7150</v>
      </c>
      <c r="Q128" s="34" t="b">
        <v>0</v>
      </c>
      <c r="R128" s="34" t="b">
        <v>0</v>
      </c>
    </row>
    <row r="129" spans="1:18">
      <c r="A129" s="24" t="s">
        <v>3283</v>
      </c>
      <c r="B129" s="24"/>
      <c r="C129" s="24"/>
      <c r="D129" s="24">
        <v>4000</v>
      </c>
      <c r="E129" s="24">
        <v>0</v>
      </c>
      <c r="F129" s="24">
        <v>0</v>
      </c>
      <c r="G129" s="24" t="s">
        <v>3284</v>
      </c>
      <c r="H129" s="24"/>
      <c r="I129" s="24" t="b">
        <v>0</v>
      </c>
      <c r="J129" s="24" t="b">
        <v>0</v>
      </c>
      <c r="K129" s="24" t="b">
        <v>1</v>
      </c>
      <c r="L129" s="24" t="s">
        <v>790</v>
      </c>
      <c r="M129" s="24"/>
      <c r="N129" s="24" t="s">
        <v>7150</v>
      </c>
      <c r="O129" s="24" t="s">
        <v>7150</v>
      </c>
      <c r="P129" s="24" t="s">
        <v>7150</v>
      </c>
      <c r="Q129" s="24" t="b">
        <v>0</v>
      </c>
      <c r="R129" s="24" t="b">
        <v>0</v>
      </c>
    </row>
    <row r="130" spans="1:18">
      <c r="A130" s="24" t="s">
        <v>3285</v>
      </c>
      <c r="B130" s="24"/>
      <c r="C130" s="24"/>
      <c r="D130" s="24">
        <v>4000</v>
      </c>
      <c r="E130" s="24">
        <v>0</v>
      </c>
      <c r="F130" s="24">
        <v>0</v>
      </c>
      <c r="G130" s="24" t="s">
        <v>3286</v>
      </c>
      <c r="H130" s="24"/>
      <c r="I130" s="24" t="b">
        <v>0</v>
      </c>
      <c r="J130" s="24" t="b">
        <v>0</v>
      </c>
      <c r="K130" s="24" t="b">
        <v>1</v>
      </c>
      <c r="L130" s="24" t="s">
        <v>790</v>
      </c>
      <c r="M130" s="24"/>
      <c r="N130" s="24" t="s">
        <v>7150</v>
      </c>
      <c r="O130" s="24" t="s">
        <v>7150</v>
      </c>
      <c r="P130" s="24" t="s">
        <v>7150</v>
      </c>
      <c r="Q130" s="24" t="b">
        <v>0</v>
      </c>
      <c r="R130" s="24" t="b">
        <v>0</v>
      </c>
    </row>
    <row r="131" spans="1:18">
      <c r="A131" s="24" t="s">
        <v>3287</v>
      </c>
      <c r="B131" s="24"/>
      <c r="C131" s="24"/>
      <c r="D131" s="24">
        <v>4000</v>
      </c>
      <c r="E131" s="24">
        <v>0</v>
      </c>
      <c r="F131" s="24">
        <v>0</v>
      </c>
      <c r="G131" s="24" t="s">
        <v>3288</v>
      </c>
      <c r="H131" s="24"/>
      <c r="I131" s="24" t="b">
        <v>0</v>
      </c>
      <c r="J131" s="24" t="b">
        <v>0</v>
      </c>
      <c r="K131" s="24" t="b">
        <v>1</v>
      </c>
      <c r="L131" s="24" t="s">
        <v>790</v>
      </c>
      <c r="M131" s="24"/>
      <c r="N131" s="24" t="s">
        <v>7150</v>
      </c>
      <c r="O131" s="24" t="s">
        <v>7150</v>
      </c>
      <c r="P131" s="24" t="s">
        <v>7150</v>
      </c>
      <c r="Q131" s="24" t="b">
        <v>0</v>
      </c>
      <c r="R131" s="24" t="b">
        <v>0</v>
      </c>
    </row>
    <row r="132" spans="1:18">
      <c r="A132" s="24" t="s">
        <v>3289</v>
      </c>
      <c r="B132" s="24"/>
      <c r="C132" s="24"/>
      <c r="D132" s="24">
        <v>4000</v>
      </c>
      <c r="E132" s="24">
        <v>0</v>
      </c>
      <c r="F132" s="24">
        <v>0</v>
      </c>
      <c r="G132" s="24" t="s">
        <v>3290</v>
      </c>
      <c r="H132" s="24"/>
      <c r="I132" s="24" t="b">
        <v>0</v>
      </c>
      <c r="J132" s="24" t="b">
        <v>0</v>
      </c>
      <c r="K132" s="24" t="b">
        <v>1</v>
      </c>
      <c r="L132" s="24" t="s">
        <v>790</v>
      </c>
      <c r="M132" s="24"/>
      <c r="N132" s="24" t="s">
        <v>7150</v>
      </c>
      <c r="O132" s="24" t="s">
        <v>7150</v>
      </c>
      <c r="P132" s="24" t="s">
        <v>7150</v>
      </c>
      <c r="Q132" s="24" t="b">
        <v>0</v>
      </c>
      <c r="R132" s="24" t="b">
        <v>0</v>
      </c>
    </row>
    <row r="133" spans="1:18">
      <c r="A133" s="24" t="s">
        <v>3291</v>
      </c>
      <c r="B133" s="24"/>
      <c r="C133" s="24"/>
      <c r="D133" s="24">
        <v>4000</v>
      </c>
      <c r="E133" s="24">
        <v>0</v>
      </c>
      <c r="F133" s="24">
        <v>0</v>
      </c>
      <c r="G133" s="24" t="s">
        <v>3292</v>
      </c>
      <c r="H133" s="24"/>
      <c r="I133" s="24" t="b">
        <v>0</v>
      </c>
      <c r="J133" s="24" t="b">
        <v>0</v>
      </c>
      <c r="K133" s="24" t="b">
        <v>1</v>
      </c>
      <c r="L133" s="24" t="s">
        <v>790</v>
      </c>
      <c r="M133" s="24"/>
      <c r="N133" s="24" t="s">
        <v>7150</v>
      </c>
      <c r="O133" s="24" t="s">
        <v>7150</v>
      </c>
      <c r="P133" s="24" t="s">
        <v>7150</v>
      </c>
      <c r="Q133" s="24" t="b">
        <v>0</v>
      </c>
      <c r="R133" s="24" t="b">
        <v>0</v>
      </c>
    </row>
    <row r="134" spans="1:18">
      <c r="A134" s="34" t="s">
        <v>3293</v>
      </c>
      <c r="B134" s="34"/>
      <c r="C134" s="34"/>
      <c r="D134" s="34">
        <v>4000</v>
      </c>
      <c r="E134" s="34">
        <v>0</v>
      </c>
      <c r="F134" s="34">
        <v>0</v>
      </c>
      <c r="G134" s="34" t="s">
        <v>3294</v>
      </c>
      <c r="H134" s="34"/>
      <c r="I134" s="34" t="b">
        <v>0</v>
      </c>
      <c r="J134" s="34" t="b">
        <v>0</v>
      </c>
      <c r="K134" s="34" t="b">
        <v>1</v>
      </c>
      <c r="L134" s="34" t="s">
        <v>790</v>
      </c>
      <c r="M134" s="34"/>
      <c r="N134" s="34" t="s">
        <v>7150</v>
      </c>
      <c r="O134" s="34" t="s">
        <v>7150</v>
      </c>
      <c r="P134" s="34" t="s">
        <v>7150</v>
      </c>
      <c r="Q134" s="34" t="b">
        <v>0</v>
      </c>
      <c r="R134" s="34" t="b">
        <v>0</v>
      </c>
    </row>
    <row r="135" spans="1:18">
      <c r="A135" s="34" t="s">
        <v>3295</v>
      </c>
      <c r="B135" s="34"/>
      <c r="C135" s="34"/>
      <c r="D135" s="34">
        <v>4000</v>
      </c>
      <c r="E135" s="34">
        <v>0</v>
      </c>
      <c r="F135" s="34">
        <v>0</v>
      </c>
      <c r="G135" s="34" t="s">
        <v>3296</v>
      </c>
      <c r="H135" s="34"/>
      <c r="I135" s="34" t="b">
        <v>0</v>
      </c>
      <c r="J135" s="34" t="b">
        <v>0</v>
      </c>
      <c r="K135" s="34" t="b">
        <v>1</v>
      </c>
      <c r="L135" s="34" t="s">
        <v>790</v>
      </c>
      <c r="M135" s="34"/>
      <c r="N135" s="34" t="s">
        <v>7150</v>
      </c>
      <c r="O135" s="34" t="s">
        <v>7150</v>
      </c>
      <c r="P135" s="34" t="s">
        <v>7150</v>
      </c>
      <c r="Q135" s="34" t="b">
        <v>0</v>
      </c>
      <c r="R135" s="34" t="b">
        <v>0</v>
      </c>
    </row>
    <row r="136" spans="1:18">
      <c r="A136" s="24" t="s">
        <v>3167</v>
      </c>
      <c r="B136" s="24"/>
      <c r="C136" s="24"/>
      <c r="D136" s="24">
        <v>1500</v>
      </c>
      <c r="E136" s="24">
        <v>0</v>
      </c>
      <c r="F136" s="24">
        <v>0</v>
      </c>
      <c r="G136" s="24" t="s">
        <v>3168</v>
      </c>
      <c r="H136" s="24"/>
      <c r="I136" s="24" t="b">
        <v>0</v>
      </c>
      <c r="J136" s="24" t="b">
        <v>0</v>
      </c>
      <c r="K136" s="24" t="b">
        <v>1</v>
      </c>
      <c r="L136" s="24" t="s">
        <v>51</v>
      </c>
      <c r="M136" s="24"/>
      <c r="N136" s="24" t="s">
        <v>7150</v>
      </c>
      <c r="O136" s="24" t="s">
        <v>7150</v>
      </c>
      <c r="P136" s="24" t="s">
        <v>7150</v>
      </c>
      <c r="Q136" s="24" t="b">
        <v>0</v>
      </c>
      <c r="R136" s="24" t="b">
        <v>0</v>
      </c>
    </row>
    <row r="137" spans="1:18">
      <c r="A137" s="24" t="s">
        <v>3161</v>
      </c>
      <c r="B137" s="24"/>
      <c r="C137" s="24"/>
      <c r="D137" s="24">
        <v>2000</v>
      </c>
      <c r="E137" s="24">
        <v>0</v>
      </c>
      <c r="F137" s="24">
        <v>0</v>
      </c>
      <c r="G137" s="24" t="s">
        <v>3169</v>
      </c>
      <c r="H137" s="24"/>
      <c r="I137" s="24" t="b">
        <v>0</v>
      </c>
      <c r="J137" s="24" t="b">
        <v>0</v>
      </c>
      <c r="K137" s="24" t="b">
        <v>1</v>
      </c>
      <c r="L137" s="24" t="s">
        <v>51</v>
      </c>
      <c r="M137" s="24"/>
      <c r="N137" s="24" t="s">
        <v>7150</v>
      </c>
      <c r="O137" s="24" t="s">
        <v>7150</v>
      </c>
      <c r="P137" s="24" t="s">
        <v>7150</v>
      </c>
      <c r="Q137" s="24" t="b">
        <v>0</v>
      </c>
      <c r="R137" s="24" t="b">
        <v>0</v>
      </c>
    </row>
    <row r="138" spans="1:18">
      <c r="A138" s="24" t="s">
        <v>3162</v>
      </c>
      <c r="B138" s="24"/>
      <c r="C138" s="24"/>
      <c r="D138" s="24">
        <v>2000</v>
      </c>
      <c r="E138" s="24">
        <v>0</v>
      </c>
      <c r="F138" s="24">
        <v>0</v>
      </c>
      <c r="G138" s="24" t="s">
        <v>3170</v>
      </c>
      <c r="H138" s="24"/>
      <c r="I138" s="24" t="b">
        <v>0</v>
      </c>
      <c r="J138" s="24" t="b">
        <v>0</v>
      </c>
      <c r="K138" s="24" t="b">
        <v>1</v>
      </c>
      <c r="L138" s="24" t="s">
        <v>51</v>
      </c>
      <c r="M138" s="24"/>
      <c r="N138" s="24" t="s">
        <v>7150</v>
      </c>
      <c r="O138" s="24" t="s">
        <v>7150</v>
      </c>
      <c r="P138" s="24" t="s">
        <v>7150</v>
      </c>
      <c r="Q138" s="24" t="b">
        <v>0</v>
      </c>
      <c r="R138" s="24" t="b">
        <v>0</v>
      </c>
    </row>
    <row r="139" spans="1:18">
      <c r="A139" s="24" t="s">
        <v>3163</v>
      </c>
      <c r="B139" s="24"/>
      <c r="C139" s="24"/>
      <c r="D139" s="24">
        <v>2500</v>
      </c>
      <c r="E139" s="24">
        <v>0</v>
      </c>
      <c r="F139" s="24">
        <v>0</v>
      </c>
      <c r="G139" s="24" t="s">
        <v>3171</v>
      </c>
      <c r="H139" s="24"/>
      <c r="I139" s="24" t="b">
        <v>0</v>
      </c>
      <c r="J139" s="24" t="b">
        <v>0</v>
      </c>
      <c r="K139" s="24" t="b">
        <v>1</v>
      </c>
      <c r="L139" s="24" t="s">
        <v>51</v>
      </c>
      <c r="M139" s="24"/>
      <c r="N139" s="24" t="s">
        <v>7150</v>
      </c>
      <c r="O139" s="24" t="s">
        <v>7150</v>
      </c>
      <c r="P139" s="24" t="s">
        <v>7150</v>
      </c>
      <c r="Q139" s="24" t="b">
        <v>0</v>
      </c>
      <c r="R139" s="24" t="b">
        <v>0</v>
      </c>
    </row>
    <row r="140" spans="1:18">
      <c r="A140" s="24" t="s">
        <v>3164</v>
      </c>
      <c r="B140" s="24"/>
      <c r="C140" s="24"/>
      <c r="D140" s="24">
        <v>3000</v>
      </c>
      <c r="E140" s="24">
        <v>0</v>
      </c>
      <c r="F140" s="24">
        <v>0</v>
      </c>
      <c r="G140" s="24" t="s">
        <v>3172</v>
      </c>
      <c r="H140" s="24"/>
      <c r="I140" s="24" t="b">
        <v>0</v>
      </c>
      <c r="J140" s="24" t="b">
        <v>0</v>
      </c>
      <c r="K140" s="24" t="b">
        <v>1</v>
      </c>
      <c r="L140" s="24" t="s">
        <v>51</v>
      </c>
      <c r="M140" s="24"/>
      <c r="N140" s="24" t="s">
        <v>7150</v>
      </c>
      <c r="O140" s="24" t="s">
        <v>7150</v>
      </c>
      <c r="P140" s="24" t="s">
        <v>7150</v>
      </c>
      <c r="Q140" s="24" t="b">
        <v>0</v>
      </c>
      <c r="R140" s="24" t="b">
        <v>0</v>
      </c>
    </row>
    <row r="141" spans="1:18">
      <c r="A141" s="34" t="s">
        <v>3165</v>
      </c>
      <c r="B141" s="34"/>
      <c r="C141" s="34"/>
      <c r="D141" s="34">
        <v>3250</v>
      </c>
      <c r="E141" s="34">
        <v>0</v>
      </c>
      <c r="F141" s="34">
        <v>0</v>
      </c>
      <c r="G141" s="34" t="s">
        <v>3173</v>
      </c>
      <c r="H141" s="34"/>
      <c r="I141" s="34" t="b">
        <v>0</v>
      </c>
      <c r="J141" s="34" t="b">
        <v>0</v>
      </c>
      <c r="K141" s="34" t="b">
        <v>1</v>
      </c>
      <c r="L141" s="34" t="s">
        <v>51</v>
      </c>
      <c r="M141" s="34"/>
      <c r="N141" s="34" t="s">
        <v>7150</v>
      </c>
      <c r="O141" s="34" t="s">
        <v>7150</v>
      </c>
      <c r="P141" s="34" t="s">
        <v>7150</v>
      </c>
      <c r="Q141" s="34" t="b">
        <v>0</v>
      </c>
      <c r="R141" s="34" t="b">
        <v>0</v>
      </c>
    </row>
    <row r="142" spans="1:18">
      <c r="A142" s="34" t="s">
        <v>3166</v>
      </c>
      <c r="B142" s="34"/>
      <c r="C142" s="34"/>
      <c r="D142" s="34">
        <v>3600</v>
      </c>
      <c r="E142" s="34">
        <v>0</v>
      </c>
      <c r="F142" s="34">
        <v>0</v>
      </c>
      <c r="G142" s="34" t="s">
        <v>3174</v>
      </c>
      <c r="H142" s="34"/>
      <c r="I142" s="34" t="b">
        <v>0</v>
      </c>
      <c r="J142" s="34" t="b">
        <v>0</v>
      </c>
      <c r="K142" s="34" t="b">
        <v>1</v>
      </c>
      <c r="L142" s="34" t="s">
        <v>51</v>
      </c>
      <c r="M142" s="34"/>
      <c r="N142" s="34" t="s">
        <v>7150</v>
      </c>
      <c r="O142" s="34" t="s">
        <v>7150</v>
      </c>
      <c r="P142" s="34" t="s">
        <v>7150</v>
      </c>
      <c r="Q142" s="34" t="b">
        <v>0</v>
      </c>
      <c r="R142" s="34" t="b">
        <v>0</v>
      </c>
    </row>
    <row r="143" spans="1:18">
      <c r="A143" s="23" t="s">
        <v>2349</v>
      </c>
      <c r="B143" s="23"/>
      <c r="C143" s="23"/>
      <c r="D143" s="23">
        <v>6000</v>
      </c>
      <c r="E143" s="23">
        <v>0</v>
      </c>
      <c r="F143" s="23">
        <v>0</v>
      </c>
      <c r="G143" s="23" t="s">
        <v>1516</v>
      </c>
      <c r="H143" s="23"/>
      <c r="I143" s="23" t="b">
        <v>0</v>
      </c>
      <c r="J143" s="23" t="b">
        <v>0</v>
      </c>
      <c r="K143" s="23" t="b">
        <v>0</v>
      </c>
      <c r="L143" s="23" t="s">
        <v>175</v>
      </c>
      <c r="M143" s="23" t="s">
        <v>1516</v>
      </c>
      <c r="N143" s="23" t="s">
        <v>375</v>
      </c>
      <c r="O143" s="23" t="s">
        <v>5269</v>
      </c>
      <c r="P143" s="23" t="s">
        <v>4926</v>
      </c>
      <c r="Q143" s="23" t="b">
        <v>0</v>
      </c>
      <c r="R143" s="23" t="b">
        <v>0</v>
      </c>
    </row>
    <row r="144" spans="1:18">
      <c r="A144" s="23" t="s">
        <v>2350</v>
      </c>
      <c r="B144" s="23"/>
      <c r="C144" s="23"/>
      <c r="D144" s="23">
        <v>6000</v>
      </c>
      <c r="E144" s="23">
        <v>0</v>
      </c>
      <c r="F144" s="23">
        <v>0</v>
      </c>
      <c r="G144" s="23" t="s">
        <v>1517</v>
      </c>
      <c r="H144" s="23"/>
      <c r="I144" s="23" t="b">
        <v>0</v>
      </c>
      <c r="J144" s="23" t="b">
        <v>0</v>
      </c>
      <c r="K144" s="23" t="b">
        <v>0</v>
      </c>
      <c r="L144" s="23" t="s">
        <v>175</v>
      </c>
      <c r="M144" s="23" t="s">
        <v>1517</v>
      </c>
      <c r="N144" s="23" t="s">
        <v>375</v>
      </c>
      <c r="O144" s="23" t="s">
        <v>5270</v>
      </c>
      <c r="P144" s="23" t="s">
        <v>4927</v>
      </c>
      <c r="Q144" s="23" t="b">
        <v>0</v>
      </c>
      <c r="R144" s="23" t="b">
        <v>0</v>
      </c>
    </row>
    <row r="145" spans="1:18">
      <c r="A145" s="23" t="s">
        <v>2351</v>
      </c>
      <c r="B145" s="23"/>
      <c r="C145" s="23"/>
      <c r="D145" s="23">
        <v>7000</v>
      </c>
      <c r="E145" s="23">
        <v>0</v>
      </c>
      <c r="F145" s="23">
        <v>0</v>
      </c>
      <c r="G145" s="23" t="s">
        <v>1517</v>
      </c>
      <c r="H145" s="23"/>
      <c r="I145" s="23" t="b">
        <v>0</v>
      </c>
      <c r="J145" s="23" t="b">
        <v>0</v>
      </c>
      <c r="K145" s="23" t="b">
        <v>0</v>
      </c>
      <c r="L145" s="23" t="s">
        <v>175</v>
      </c>
      <c r="M145" s="23" t="s">
        <v>1517</v>
      </c>
      <c r="N145" s="23" t="s">
        <v>375</v>
      </c>
      <c r="O145" s="23" t="s">
        <v>5270</v>
      </c>
      <c r="P145" s="23" t="s">
        <v>4927</v>
      </c>
      <c r="Q145" s="23" t="b">
        <v>0</v>
      </c>
      <c r="R145" s="23" t="b">
        <v>0</v>
      </c>
    </row>
    <row r="146" spans="1:18">
      <c r="A146" s="34" t="s">
        <v>2352</v>
      </c>
      <c r="B146" s="34"/>
      <c r="C146" s="34"/>
      <c r="D146" s="34">
        <v>7000</v>
      </c>
      <c r="E146" s="34">
        <v>0</v>
      </c>
      <c r="F146" s="34">
        <v>0</v>
      </c>
      <c r="G146" s="34" t="s">
        <v>1518</v>
      </c>
      <c r="H146" s="34"/>
      <c r="I146" s="34" t="b">
        <v>0</v>
      </c>
      <c r="J146" s="34" t="b">
        <v>0</v>
      </c>
      <c r="K146" s="34" t="b">
        <v>0</v>
      </c>
      <c r="L146" s="34" t="s">
        <v>175</v>
      </c>
      <c r="M146" s="34" t="s">
        <v>1518</v>
      </c>
      <c r="N146" s="34" t="s">
        <v>375</v>
      </c>
      <c r="O146" s="34" t="s">
        <v>5271</v>
      </c>
      <c r="P146" s="34" t="s">
        <v>4928</v>
      </c>
      <c r="Q146" s="34" t="b">
        <v>0</v>
      </c>
      <c r="R146" s="34" t="b">
        <v>0</v>
      </c>
    </row>
    <row r="147" spans="1:18">
      <c r="A147" s="34" t="s">
        <v>2606</v>
      </c>
      <c r="B147" s="34"/>
      <c r="C147" s="34"/>
      <c r="D147" s="34">
        <v>7000</v>
      </c>
      <c r="E147" s="34">
        <v>0</v>
      </c>
      <c r="F147" s="34">
        <v>0</v>
      </c>
      <c r="G147" s="34" t="s">
        <v>1518</v>
      </c>
      <c r="H147" s="34"/>
      <c r="I147" s="34" t="b">
        <v>0</v>
      </c>
      <c r="J147" s="34" t="b">
        <v>0</v>
      </c>
      <c r="K147" s="34" t="b">
        <v>0</v>
      </c>
      <c r="L147" s="34" t="s">
        <v>175</v>
      </c>
      <c r="M147" s="34" t="s">
        <v>1518</v>
      </c>
      <c r="N147" s="34" t="s">
        <v>375</v>
      </c>
      <c r="O147" s="34" t="s">
        <v>5271</v>
      </c>
      <c r="P147" s="34" t="s">
        <v>4928</v>
      </c>
      <c r="Q147" s="34" t="b">
        <v>0</v>
      </c>
      <c r="R147" s="34" t="b">
        <v>0</v>
      </c>
    </row>
    <row r="148" spans="1:18">
      <c r="A148" s="34" t="s">
        <v>2607</v>
      </c>
      <c r="B148" s="34"/>
      <c r="C148" s="34"/>
      <c r="D148" s="34">
        <v>7000</v>
      </c>
      <c r="E148" s="34">
        <v>0</v>
      </c>
      <c r="F148" s="34">
        <v>0</v>
      </c>
      <c r="G148" s="34" t="s">
        <v>1518</v>
      </c>
      <c r="H148" s="34"/>
      <c r="I148" s="34" t="b">
        <v>0</v>
      </c>
      <c r="J148" s="34" t="b">
        <v>0</v>
      </c>
      <c r="K148" s="34" t="b">
        <v>0</v>
      </c>
      <c r="L148" s="34" t="s">
        <v>175</v>
      </c>
      <c r="M148" s="34" t="s">
        <v>1518</v>
      </c>
      <c r="N148" s="34" t="s">
        <v>375</v>
      </c>
      <c r="O148" s="34" t="s">
        <v>5271</v>
      </c>
      <c r="P148" s="34" t="s">
        <v>4928</v>
      </c>
      <c r="Q148" s="34" t="b">
        <v>0</v>
      </c>
      <c r="R148" s="34" t="b">
        <v>0</v>
      </c>
    </row>
    <row r="149" spans="1:18">
      <c r="A149" s="65" t="s">
        <v>2357</v>
      </c>
      <c r="B149" s="65"/>
      <c r="C149" s="65"/>
      <c r="D149" s="65">
        <v>500</v>
      </c>
      <c r="E149" s="65">
        <v>0</v>
      </c>
      <c r="F149" s="65">
        <v>0</v>
      </c>
      <c r="G149" s="65" t="s">
        <v>263</v>
      </c>
      <c r="H149" s="65"/>
      <c r="I149" s="65" t="b">
        <v>0</v>
      </c>
      <c r="J149" s="65" t="b">
        <v>0</v>
      </c>
      <c r="K149" s="65" t="b">
        <v>0</v>
      </c>
      <c r="L149" s="65" t="s">
        <v>314</v>
      </c>
      <c r="M149" s="65" t="s">
        <v>5467</v>
      </c>
      <c r="N149" s="65" t="s">
        <v>6156</v>
      </c>
      <c r="O149" s="65" t="s">
        <v>4372</v>
      </c>
      <c r="P149" s="65" t="s">
        <v>7187</v>
      </c>
      <c r="Q149" s="65" t="b">
        <v>0</v>
      </c>
      <c r="R149" s="65" t="b">
        <v>0</v>
      </c>
    </row>
    <row r="150" spans="1:18">
      <c r="A150" s="24" t="s">
        <v>2353</v>
      </c>
      <c r="B150" s="24"/>
      <c r="C150" s="24"/>
      <c r="D150" s="24">
        <v>5000</v>
      </c>
      <c r="E150" s="24">
        <v>0</v>
      </c>
      <c r="F150" s="24">
        <v>0</v>
      </c>
      <c r="G150" s="24" t="s">
        <v>2362</v>
      </c>
      <c r="H150" s="24"/>
      <c r="I150" s="24" t="b">
        <v>0</v>
      </c>
      <c r="J150" s="24" t="b">
        <v>0</v>
      </c>
      <c r="K150" s="24" t="b">
        <v>1</v>
      </c>
      <c r="L150" s="24" t="s">
        <v>317</v>
      </c>
      <c r="M150" s="24" t="s">
        <v>5461</v>
      </c>
      <c r="N150" s="24" t="s">
        <v>318</v>
      </c>
      <c r="O150" s="24" t="s">
        <v>319</v>
      </c>
      <c r="P150" s="24" t="s">
        <v>1179</v>
      </c>
      <c r="Q150" s="24" t="b">
        <v>0</v>
      </c>
      <c r="R150" s="24" t="b">
        <v>0</v>
      </c>
    </row>
    <row r="151" spans="1:18">
      <c r="A151" s="24" t="s">
        <v>2354</v>
      </c>
      <c r="B151" s="24"/>
      <c r="C151" s="24"/>
      <c r="D151" s="24">
        <v>5000</v>
      </c>
      <c r="E151" s="24">
        <v>0</v>
      </c>
      <c r="F151" s="24">
        <v>0</v>
      </c>
      <c r="G151" s="24" t="s">
        <v>2363</v>
      </c>
      <c r="H151" s="24"/>
      <c r="I151" s="24" t="b">
        <v>0</v>
      </c>
      <c r="J151" s="24" t="b">
        <v>0</v>
      </c>
      <c r="K151" s="24" t="b">
        <v>1</v>
      </c>
      <c r="L151" s="24" t="s">
        <v>317</v>
      </c>
      <c r="M151" s="24" t="s">
        <v>5461</v>
      </c>
      <c r="N151" s="24" t="s">
        <v>318</v>
      </c>
      <c r="O151" s="24" t="s">
        <v>319</v>
      </c>
      <c r="P151" s="24" t="s">
        <v>1179</v>
      </c>
      <c r="Q151" s="24" t="b">
        <v>0</v>
      </c>
      <c r="R151" s="24" t="b">
        <v>0</v>
      </c>
    </row>
    <row r="152" spans="1:18">
      <c r="A152" s="24" t="s">
        <v>2355</v>
      </c>
      <c r="B152" s="24"/>
      <c r="C152" s="24"/>
      <c r="D152" s="24">
        <v>5000</v>
      </c>
      <c r="E152" s="24">
        <v>0</v>
      </c>
      <c r="F152" s="24">
        <v>0</v>
      </c>
      <c r="G152" s="24" t="s">
        <v>2364</v>
      </c>
      <c r="H152" s="24"/>
      <c r="I152" s="24" t="b">
        <v>0</v>
      </c>
      <c r="J152" s="24" t="b">
        <v>0</v>
      </c>
      <c r="K152" s="24" t="b">
        <v>1</v>
      </c>
      <c r="L152" s="24" t="s">
        <v>317</v>
      </c>
      <c r="M152" s="24" t="s">
        <v>5461</v>
      </c>
      <c r="N152" s="24" t="s">
        <v>318</v>
      </c>
      <c r="O152" s="24" t="s">
        <v>319</v>
      </c>
      <c r="P152" s="24" t="s">
        <v>1179</v>
      </c>
      <c r="Q152" s="24" t="b">
        <v>0</v>
      </c>
      <c r="R152" s="24" t="b">
        <v>0</v>
      </c>
    </row>
    <row r="153" spans="1:18">
      <c r="A153" s="34" t="s">
        <v>2356</v>
      </c>
      <c r="B153" s="34"/>
      <c r="C153" s="34"/>
      <c r="D153" s="34">
        <v>5000</v>
      </c>
      <c r="E153" s="34">
        <v>0</v>
      </c>
      <c r="F153" s="34">
        <v>0</v>
      </c>
      <c r="G153" s="34" t="s">
        <v>2365</v>
      </c>
      <c r="H153" s="34"/>
      <c r="I153" s="34" t="b">
        <v>0</v>
      </c>
      <c r="J153" s="34" t="b">
        <v>0</v>
      </c>
      <c r="K153" s="34" t="b">
        <v>1</v>
      </c>
      <c r="L153" s="34" t="s">
        <v>317</v>
      </c>
      <c r="M153" s="34" t="s">
        <v>5461</v>
      </c>
      <c r="N153" s="34" t="s">
        <v>318</v>
      </c>
      <c r="O153" s="34" t="s">
        <v>319</v>
      </c>
      <c r="P153" s="34" t="s">
        <v>1179</v>
      </c>
      <c r="Q153" s="34" t="b">
        <v>0</v>
      </c>
      <c r="R153" s="34" t="b">
        <v>0</v>
      </c>
    </row>
    <row r="154" spans="1:18">
      <c r="A154" s="34" t="s">
        <v>2608</v>
      </c>
      <c r="B154" s="34"/>
      <c r="C154" s="34"/>
      <c r="D154" s="34">
        <v>5000</v>
      </c>
      <c r="E154" s="34">
        <v>0</v>
      </c>
      <c r="F154" s="34">
        <v>0</v>
      </c>
      <c r="G154" s="34" t="s">
        <v>2610</v>
      </c>
      <c r="H154" s="34"/>
      <c r="I154" s="34" t="b">
        <v>0</v>
      </c>
      <c r="J154" s="34" t="b">
        <v>0</v>
      </c>
      <c r="K154" s="34" t="b">
        <v>1</v>
      </c>
      <c r="L154" s="34" t="s">
        <v>317</v>
      </c>
      <c r="M154" s="34" t="s">
        <v>5461</v>
      </c>
      <c r="N154" s="34" t="s">
        <v>318</v>
      </c>
      <c r="O154" s="34" t="s">
        <v>319</v>
      </c>
      <c r="P154" s="34" t="s">
        <v>1179</v>
      </c>
      <c r="Q154" s="34" t="b">
        <v>0</v>
      </c>
      <c r="R154" s="34" t="b">
        <v>0</v>
      </c>
    </row>
    <row r="155" spans="1:18">
      <c r="A155" s="34" t="s">
        <v>2609</v>
      </c>
      <c r="B155" s="34"/>
      <c r="C155" s="34"/>
      <c r="D155" s="34">
        <v>5000</v>
      </c>
      <c r="E155" s="34">
        <v>0</v>
      </c>
      <c r="F155" s="34">
        <v>0</v>
      </c>
      <c r="G155" s="34" t="s">
        <v>2611</v>
      </c>
      <c r="H155" s="34"/>
      <c r="I155" s="34" t="b">
        <v>0</v>
      </c>
      <c r="J155" s="34" t="b">
        <v>0</v>
      </c>
      <c r="K155" s="34" t="b">
        <v>1</v>
      </c>
      <c r="L155" s="34" t="s">
        <v>317</v>
      </c>
      <c r="M155" s="34" t="s">
        <v>5461</v>
      </c>
      <c r="N155" s="34" t="s">
        <v>318</v>
      </c>
      <c r="O155" s="34" t="s">
        <v>319</v>
      </c>
      <c r="P155" s="34" t="s">
        <v>1179</v>
      </c>
      <c r="Q155" s="34" t="b">
        <v>0</v>
      </c>
      <c r="R155" s="34" t="b">
        <v>0</v>
      </c>
    </row>
    <row r="156" spans="1:18">
      <c r="A156" s="23" t="s">
        <v>791</v>
      </c>
      <c r="B156" s="23"/>
      <c r="C156" s="23"/>
      <c r="D156" s="23">
        <v>0</v>
      </c>
      <c r="E156" s="23">
        <v>0</v>
      </c>
      <c r="F156" s="23">
        <v>0</v>
      </c>
      <c r="G156" s="23" t="s">
        <v>792</v>
      </c>
      <c r="H156" s="23"/>
      <c r="I156" s="23" t="b">
        <v>0</v>
      </c>
      <c r="J156" s="23" t="b">
        <v>1</v>
      </c>
      <c r="K156" s="23" t="b">
        <v>1</v>
      </c>
      <c r="L156" s="23"/>
      <c r="M156" s="23"/>
      <c r="N156" s="23" t="s">
        <v>7150</v>
      </c>
      <c r="O156" s="23" t="s">
        <v>7150</v>
      </c>
      <c r="P156" s="23" t="s">
        <v>7150</v>
      </c>
      <c r="Q156" s="23" t="b">
        <v>0</v>
      </c>
      <c r="R156" s="23" t="b">
        <v>0</v>
      </c>
    </row>
    <row r="157" spans="1:18">
      <c r="A157" s="23" t="s">
        <v>793</v>
      </c>
      <c r="B157" s="23"/>
      <c r="C157" s="23"/>
      <c r="D157" s="23">
        <v>0</v>
      </c>
      <c r="E157" s="23">
        <v>0</v>
      </c>
      <c r="F157" s="23">
        <v>0</v>
      </c>
      <c r="G157" s="23" t="s">
        <v>794</v>
      </c>
      <c r="H157" s="23"/>
      <c r="I157" s="23" t="b">
        <v>0</v>
      </c>
      <c r="J157" s="23" t="b">
        <v>1</v>
      </c>
      <c r="K157" s="23" t="b">
        <v>1</v>
      </c>
      <c r="L157" s="23"/>
      <c r="M157" s="23"/>
      <c r="N157" s="23" t="s">
        <v>7150</v>
      </c>
      <c r="O157" s="23" t="s">
        <v>7150</v>
      </c>
      <c r="P157" s="23" t="s">
        <v>7150</v>
      </c>
      <c r="Q157" s="23" t="b">
        <v>0</v>
      </c>
      <c r="R157" s="23" t="b">
        <v>0</v>
      </c>
    </row>
    <row r="158" spans="1:18">
      <c r="A158" s="23" t="s">
        <v>795</v>
      </c>
      <c r="B158" s="23"/>
      <c r="C158" s="23"/>
      <c r="D158" s="23">
        <v>0</v>
      </c>
      <c r="E158" s="23">
        <v>0</v>
      </c>
      <c r="F158" s="23">
        <v>0</v>
      </c>
      <c r="G158" s="23" t="s">
        <v>796</v>
      </c>
      <c r="H158" s="23"/>
      <c r="I158" s="23" t="b">
        <v>0</v>
      </c>
      <c r="J158" s="23" t="b">
        <v>1</v>
      </c>
      <c r="K158" s="23" t="b">
        <v>1</v>
      </c>
      <c r="L158" s="23"/>
      <c r="M158" s="23"/>
      <c r="N158" s="23" t="s">
        <v>7150</v>
      </c>
      <c r="O158" s="23" t="s">
        <v>7150</v>
      </c>
      <c r="P158" s="23" t="s">
        <v>7150</v>
      </c>
      <c r="Q158" s="23" t="b">
        <v>0</v>
      </c>
      <c r="R158" s="23" t="b">
        <v>0</v>
      </c>
    </row>
    <row r="159" spans="1:18">
      <c r="A159" s="34" t="s">
        <v>797</v>
      </c>
      <c r="B159" s="34"/>
      <c r="C159" s="34"/>
      <c r="D159" s="34">
        <v>0</v>
      </c>
      <c r="E159" s="34">
        <v>0</v>
      </c>
      <c r="F159" s="34">
        <v>0</v>
      </c>
      <c r="G159" s="34" t="s">
        <v>798</v>
      </c>
      <c r="H159" s="34"/>
      <c r="I159" s="34" t="b">
        <v>0</v>
      </c>
      <c r="J159" s="23" t="b">
        <v>1</v>
      </c>
      <c r="K159" s="34" t="b">
        <v>1</v>
      </c>
      <c r="L159" s="34"/>
      <c r="M159" s="34"/>
      <c r="N159" s="34" t="s">
        <v>7150</v>
      </c>
      <c r="O159" s="34" t="s">
        <v>7150</v>
      </c>
      <c r="P159" s="34" t="s">
        <v>7150</v>
      </c>
      <c r="Q159" s="34" t="b">
        <v>0</v>
      </c>
      <c r="R159" s="34" t="b">
        <v>0</v>
      </c>
    </row>
    <row r="160" spans="1:18">
      <c r="A160" s="34" t="s">
        <v>799</v>
      </c>
      <c r="B160" s="34"/>
      <c r="C160" s="34"/>
      <c r="D160" s="34">
        <v>0</v>
      </c>
      <c r="E160" s="34">
        <v>0</v>
      </c>
      <c r="F160" s="34">
        <v>0</v>
      </c>
      <c r="G160" s="34" t="s">
        <v>800</v>
      </c>
      <c r="H160" s="34"/>
      <c r="I160" s="34" t="b">
        <v>0</v>
      </c>
      <c r="J160" s="23" t="b">
        <v>1</v>
      </c>
      <c r="K160" s="34" t="b">
        <v>1</v>
      </c>
      <c r="L160" s="34"/>
      <c r="M160" s="34"/>
      <c r="N160" s="34" t="s">
        <v>7150</v>
      </c>
      <c r="O160" s="34" t="s">
        <v>7150</v>
      </c>
      <c r="P160" s="34" t="s">
        <v>7150</v>
      </c>
      <c r="Q160" s="34" t="b">
        <v>0</v>
      </c>
      <c r="R160" s="34" t="b">
        <v>0</v>
      </c>
    </row>
    <row r="161" spans="1:18" s="13" customFormat="1">
      <c r="A161" s="34" t="s">
        <v>801</v>
      </c>
      <c r="B161" s="34"/>
      <c r="C161" s="34"/>
      <c r="D161" s="34">
        <v>0</v>
      </c>
      <c r="E161" s="34">
        <v>0</v>
      </c>
      <c r="F161" s="34">
        <v>0</v>
      </c>
      <c r="G161" s="34" t="s">
        <v>802</v>
      </c>
      <c r="H161" s="34"/>
      <c r="I161" s="34" t="b">
        <v>0</v>
      </c>
      <c r="J161" s="23" t="b">
        <v>1</v>
      </c>
      <c r="K161" s="34" t="b">
        <v>1</v>
      </c>
      <c r="L161" s="34"/>
      <c r="M161" s="34"/>
      <c r="N161" s="34" t="s">
        <v>7150</v>
      </c>
      <c r="O161" s="34" t="s">
        <v>7150</v>
      </c>
      <c r="P161" s="34" t="s">
        <v>7150</v>
      </c>
      <c r="Q161" s="34" t="b">
        <v>0</v>
      </c>
      <c r="R161" s="34" t="b">
        <v>0</v>
      </c>
    </row>
    <row r="162" spans="1:18" s="13" customFormat="1">
      <c r="A162" s="24" t="s">
        <v>1277</v>
      </c>
      <c r="B162" s="24"/>
      <c r="C162" s="24"/>
      <c r="D162" s="24">
        <v>0</v>
      </c>
      <c r="E162" s="24">
        <v>0</v>
      </c>
      <c r="F162" s="24">
        <v>0</v>
      </c>
      <c r="G162" s="24" t="s">
        <v>1283</v>
      </c>
      <c r="H162" s="24"/>
      <c r="I162" s="24" t="b">
        <v>0</v>
      </c>
      <c r="J162" s="23" t="b">
        <v>1</v>
      </c>
      <c r="K162" s="24" t="b">
        <v>1</v>
      </c>
      <c r="L162" s="24"/>
      <c r="M162" s="24"/>
      <c r="N162" s="24" t="s">
        <v>7150</v>
      </c>
      <c r="O162" s="24" t="s">
        <v>7150</v>
      </c>
      <c r="P162" s="24" t="s">
        <v>7150</v>
      </c>
      <c r="Q162" s="24" t="b">
        <v>0</v>
      </c>
      <c r="R162" s="24" t="b">
        <v>0</v>
      </c>
    </row>
    <row r="163" spans="1:18" s="13" customFormat="1">
      <c r="A163" s="24" t="s">
        <v>1278</v>
      </c>
      <c r="B163" s="24"/>
      <c r="C163" s="24"/>
      <c r="D163" s="24">
        <v>0</v>
      </c>
      <c r="E163" s="24">
        <v>0</v>
      </c>
      <c r="F163" s="24">
        <v>0</v>
      </c>
      <c r="G163" s="24" t="s">
        <v>1284</v>
      </c>
      <c r="H163" s="24"/>
      <c r="I163" s="24" t="b">
        <v>0</v>
      </c>
      <c r="J163" s="23" t="b">
        <v>1</v>
      </c>
      <c r="K163" s="24" t="b">
        <v>1</v>
      </c>
      <c r="L163" s="24"/>
      <c r="M163" s="24"/>
      <c r="N163" s="24" t="s">
        <v>7150</v>
      </c>
      <c r="O163" s="24" t="s">
        <v>7150</v>
      </c>
      <c r="P163" s="24" t="s">
        <v>7150</v>
      </c>
      <c r="Q163" s="24" t="b">
        <v>0</v>
      </c>
      <c r="R163" s="24" t="b">
        <v>0</v>
      </c>
    </row>
    <row r="164" spans="1:18" s="13" customFormat="1">
      <c r="A164" s="24" t="s">
        <v>1279</v>
      </c>
      <c r="B164" s="24"/>
      <c r="C164" s="24"/>
      <c r="D164" s="24">
        <v>0</v>
      </c>
      <c r="E164" s="24">
        <v>0</v>
      </c>
      <c r="F164" s="24">
        <v>0</v>
      </c>
      <c r="G164" s="24" t="s">
        <v>1285</v>
      </c>
      <c r="H164" s="24"/>
      <c r="I164" s="24" t="b">
        <v>0</v>
      </c>
      <c r="J164" s="23" t="b">
        <v>1</v>
      </c>
      <c r="K164" s="24" t="b">
        <v>1</v>
      </c>
      <c r="L164" s="24"/>
      <c r="M164" s="24"/>
      <c r="N164" s="24" t="s">
        <v>7150</v>
      </c>
      <c r="O164" s="24" t="s">
        <v>7150</v>
      </c>
      <c r="P164" s="24" t="s">
        <v>7150</v>
      </c>
      <c r="Q164" s="24" t="b">
        <v>0</v>
      </c>
      <c r="R164" s="24" t="b">
        <v>0</v>
      </c>
    </row>
    <row r="165" spans="1:18" s="13" customFormat="1">
      <c r="A165" s="34" t="s">
        <v>1280</v>
      </c>
      <c r="B165" s="34"/>
      <c r="C165" s="34"/>
      <c r="D165" s="34">
        <v>0</v>
      </c>
      <c r="E165" s="34">
        <v>0</v>
      </c>
      <c r="F165" s="34">
        <v>0</v>
      </c>
      <c r="G165" s="34" t="s">
        <v>1286</v>
      </c>
      <c r="H165" s="34"/>
      <c r="I165" s="34" t="b">
        <v>0</v>
      </c>
      <c r="J165" s="23" t="b">
        <v>1</v>
      </c>
      <c r="K165" s="34" t="b">
        <v>1</v>
      </c>
      <c r="L165" s="34"/>
      <c r="M165" s="34"/>
      <c r="N165" s="34" t="s">
        <v>7150</v>
      </c>
      <c r="O165" s="34" t="s">
        <v>7150</v>
      </c>
      <c r="P165" s="34" t="s">
        <v>7150</v>
      </c>
      <c r="Q165" s="34" t="b">
        <v>0</v>
      </c>
      <c r="R165" s="34" t="b">
        <v>0</v>
      </c>
    </row>
    <row r="166" spans="1:18" s="13" customFormat="1">
      <c r="A166" s="34" t="s">
        <v>1281</v>
      </c>
      <c r="B166" s="34"/>
      <c r="C166" s="34"/>
      <c r="D166" s="34">
        <v>0</v>
      </c>
      <c r="E166" s="34">
        <v>0</v>
      </c>
      <c r="F166" s="34">
        <v>0</v>
      </c>
      <c r="G166" s="34" t="s">
        <v>1287</v>
      </c>
      <c r="H166" s="34"/>
      <c r="I166" s="34" t="b">
        <v>0</v>
      </c>
      <c r="J166" s="23" t="b">
        <v>1</v>
      </c>
      <c r="K166" s="34" t="b">
        <v>1</v>
      </c>
      <c r="L166" s="34"/>
      <c r="M166" s="34"/>
      <c r="N166" s="34" t="s">
        <v>7150</v>
      </c>
      <c r="O166" s="34" t="s">
        <v>7150</v>
      </c>
      <c r="P166" s="34" t="s">
        <v>7150</v>
      </c>
      <c r="Q166" s="34" t="b">
        <v>0</v>
      </c>
      <c r="R166" s="34" t="b">
        <v>0</v>
      </c>
    </row>
    <row r="167" spans="1:18" s="13" customFormat="1">
      <c r="A167" s="34" t="s">
        <v>1282</v>
      </c>
      <c r="B167" s="34"/>
      <c r="C167" s="34"/>
      <c r="D167" s="34">
        <v>0</v>
      </c>
      <c r="E167" s="34">
        <v>0</v>
      </c>
      <c r="F167" s="34">
        <v>0</v>
      </c>
      <c r="G167" s="34" t="s">
        <v>1288</v>
      </c>
      <c r="H167" s="34"/>
      <c r="I167" s="34" t="b">
        <v>0</v>
      </c>
      <c r="J167" s="23" t="b">
        <v>1</v>
      </c>
      <c r="K167" s="34" t="b">
        <v>1</v>
      </c>
      <c r="L167" s="34"/>
      <c r="M167" s="34"/>
      <c r="N167" s="34" t="s">
        <v>7150</v>
      </c>
      <c r="O167" s="34" t="s">
        <v>7150</v>
      </c>
      <c r="P167" s="34" t="s">
        <v>7150</v>
      </c>
      <c r="Q167" s="34" t="b">
        <v>0</v>
      </c>
      <c r="R167" s="34" t="b">
        <v>0</v>
      </c>
    </row>
    <row r="168" spans="1:18" s="13" customFormat="1">
      <c r="A168" s="23" t="s">
        <v>7188</v>
      </c>
      <c r="B168" s="23"/>
      <c r="C168" s="23"/>
      <c r="D168" s="23">
        <v>0</v>
      </c>
      <c r="E168" s="23">
        <v>0</v>
      </c>
      <c r="F168" s="23">
        <v>0</v>
      </c>
      <c r="G168" s="23" t="s">
        <v>2396</v>
      </c>
      <c r="H168" s="23"/>
      <c r="I168" s="23" t="b">
        <v>0</v>
      </c>
      <c r="J168" s="23" t="b">
        <v>1</v>
      </c>
      <c r="K168" s="23" t="b">
        <v>1</v>
      </c>
      <c r="L168" s="23"/>
      <c r="M168" s="23"/>
      <c r="N168" s="23" t="s">
        <v>7150</v>
      </c>
      <c r="O168" s="23" t="s">
        <v>7150</v>
      </c>
      <c r="P168" s="23" t="s">
        <v>7150</v>
      </c>
      <c r="Q168" s="23" t="b">
        <v>0</v>
      </c>
      <c r="R168" s="23" t="b">
        <v>0</v>
      </c>
    </row>
    <row r="169" spans="1:18" s="13" customFormat="1">
      <c r="A169" s="23" t="s">
        <v>2392</v>
      </c>
      <c r="B169" s="23"/>
      <c r="C169" s="23"/>
      <c r="D169" s="23">
        <v>0</v>
      </c>
      <c r="E169" s="23">
        <v>0</v>
      </c>
      <c r="F169" s="23">
        <v>0</v>
      </c>
      <c r="G169" s="23" t="s">
        <v>2397</v>
      </c>
      <c r="H169" s="23"/>
      <c r="I169" s="23" t="b">
        <v>0</v>
      </c>
      <c r="J169" s="23" t="b">
        <v>1</v>
      </c>
      <c r="K169" s="23" t="b">
        <v>1</v>
      </c>
      <c r="L169" s="23"/>
      <c r="M169" s="23"/>
      <c r="N169" s="23" t="s">
        <v>7150</v>
      </c>
      <c r="O169" s="23" t="s">
        <v>7150</v>
      </c>
      <c r="P169" s="23" t="s">
        <v>7150</v>
      </c>
      <c r="Q169" s="23" t="b">
        <v>0</v>
      </c>
      <c r="R169" s="23" t="b">
        <v>0</v>
      </c>
    </row>
    <row r="170" spans="1:18" s="13" customFormat="1">
      <c r="A170" s="23" t="s">
        <v>2393</v>
      </c>
      <c r="B170" s="23"/>
      <c r="C170" s="23"/>
      <c r="D170" s="23">
        <v>0</v>
      </c>
      <c r="E170" s="23">
        <v>0</v>
      </c>
      <c r="F170" s="23">
        <v>0</v>
      </c>
      <c r="G170" s="23" t="s">
        <v>2398</v>
      </c>
      <c r="H170" s="23"/>
      <c r="I170" s="23" t="b">
        <v>0</v>
      </c>
      <c r="J170" s="23" t="b">
        <v>1</v>
      </c>
      <c r="K170" s="23" t="b">
        <v>1</v>
      </c>
      <c r="L170" s="23"/>
      <c r="M170" s="23"/>
      <c r="N170" s="23" t="s">
        <v>7150</v>
      </c>
      <c r="O170" s="23" t="s">
        <v>7150</v>
      </c>
      <c r="P170" s="23" t="s">
        <v>7150</v>
      </c>
      <c r="Q170" s="23" t="b">
        <v>0</v>
      </c>
      <c r="R170" s="23" t="b">
        <v>0</v>
      </c>
    </row>
    <row r="171" spans="1:18" s="13" customFormat="1">
      <c r="A171" s="34" t="s">
        <v>7189</v>
      </c>
      <c r="B171" s="34"/>
      <c r="C171" s="34"/>
      <c r="D171" s="34">
        <v>0</v>
      </c>
      <c r="E171" s="34">
        <v>0</v>
      </c>
      <c r="F171" s="34">
        <v>0</v>
      </c>
      <c r="G171" s="34" t="s">
        <v>2399</v>
      </c>
      <c r="H171" s="34"/>
      <c r="I171" s="34" t="b">
        <v>0</v>
      </c>
      <c r="J171" s="23" t="b">
        <v>1</v>
      </c>
      <c r="K171" s="34" t="b">
        <v>1</v>
      </c>
      <c r="L171" s="34"/>
      <c r="M171" s="34"/>
      <c r="N171" s="34" t="s">
        <v>7150</v>
      </c>
      <c r="O171" s="34" t="s">
        <v>7150</v>
      </c>
      <c r="P171" s="34" t="s">
        <v>7150</v>
      </c>
      <c r="Q171" s="34" t="b">
        <v>0</v>
      </c>
      <c r="R171" s="34" t="b">
        <v>0</v>
      </c>
    </row>
    <row r="172" spans="1:18" s="13" customFormat="1">
      <c r="A172" s="34" t="s">
        <v>2394</v>
      </c>
      <c r="B172" s="34"/>
      <c r="C172" s="34"/>
      <c r="D172" s="34">
        <v>0</v>
      </c>
      <c r="E172" s="34">
        <v>0</v>
      </c>
      <c r="F172" s="34">
        <v>0</v>
      </c>
      <c r="G172" s="34" t="s">
        <v>2400</v>
      </c>
      <c r="H172" s="34"/>
      <c r="I172" s="34" t="b">
        <v>0</v>
      </c>
      <c r="J172" s="23" t="b">
        <v>1</v>
      </c>
      <c r="K172" s="34" t="b">
        <v>1</v>
      </c>
      <c r="L172" s="34"/>
      <c r="M172" s="34"/>
      <c r="N172" s="34" t="s">
        <v>7150</v>
      </c>
      <c r="O172" s="34" t="s">
        <v>7150</v>
      </c>
      <c r="P172" s="34" t="s">
        <v>7150</v>
      </c>
      <c r="Q172" s="34" t="b">
        <v>0</v>
      </c>
      <c r="R172" s="34" t="b">
        <v>0</v>
      </c>
    </row>
    <row r="173" spans="1:18" s="13" customFormat="1">
      <c r="A173" s="34" t="s">
        <v>2395</v>
      </c>
      <c r="B173" s="34"/>
      <c r="C173" s="34"/>
      <c r="D173" s="34">
        <v>0</v>
      </c>
      <c r="E173" s="34">
        <v>0</v>
      </c>
      <c r="F173" s="34">
        <v>0</v>
      </c>
      <c r="G173" s="34" t="s">
        <v>2401</v>
      </c>
      <c r="H173" s="34"/>
      <c r="I173" s="34" t="b">
        <v>0</v>
      </c>
      <c r="J173" s="23" t="b">
        <v>1</v>
      </c>
      <c r="K173" s="34" t="b">
        <v>1</v>
      </c>
      <c r="L173" s="34"/>
      <c r="M173" s="34"/>
      <c r="N173" s="34" t="s">
        <v>7150</v>
      </c>
      <c r="O173" s="34" t="s">
        <v>7150</v>
      </c>
      <c r="P173" s="34" t="s">
        <v>7150</v>
      </c>
      <c r="Q173" s="34" t="b">
        <v>0</v>
      </c>
      <c r="R173" s="34" t="b">
        <v>0</v>
      </c>
    </row>
    <row r="174" spans="1:18" s="13" customFormat="1">
      <c r="A174" s="24" t="s">
        <v>7190</v>
      </c>
      <c r="B174" s="24"/>
      <c r="C174" s="24"/>
      <c r="D174" s="24">
        <v>0</v>
      </c>
      <c r="E174" s="24">
        <v>0</v>
      </c>
      <c r="F174" s="24">
        <v>0</v>
      </c>
      <c r="G174" s="24" t="s">
        <v>2371</v>
      </c>
      <c r="H174" s="24"/>
      <c r="I174" s="34" t="b">
        <v>1</v>
      </c>
      <c r="J174" s="23" t="b">
        <v>1</v>
      </c>
      <c r="K174" s="24" t="b">
        <v>1</v>
      </c>
      <c r="L174" s="24"/>
      <c r="M174" s="24"/>
      <c r="N174" s="24" t="s">
        <v>7150</v>
      </c>
      <c r="O174" s="24" t="s">
        <v>7150</v>
      </c>
      <c r="P174" s="24" t="s">
        <v>7150</v>
      </c>
      <c r="Q174" s="24" t="b">
        <v>0</v>
      </c>
      <c r="R174" s="24" t="b">
        <v>0</v>
      </c>
    </row>
    <row r="175" spans="1:18" s="13" customFormat="1">
      <c r="A175" s="24" t="s">
        <v>2366</v>
      </c>
      <c r="B175" s="24"/>
      <c r="C175" s="24"/>
      <c r="D175" s="24">
        <v>0</v>
      </c>
      <c r="E175" s="24">
        <v>0</v>
      </c>
      <c r="F175" s="24">
        <v>0</v>
      </c>
      <c r="G175" s="24" t="s">
        <v>2372</v>
      </c>
      <c r="H175" s="24"/>
      <c r="I175" s="34" t="b">
        <v>1</v>
      </c>
      <c r="J175" s="23" t="b">
        <v>1</v>
      </c>
      <c r="K175" s="24" t="b">
        <v>1</v>
      </c>
      <c r="L175" s="24"/>
      <c r="M175" s="24"/>
      <c r="N175" s="24" t="s">
        <v>7150</v>
      </c>
      <c r="O175" s="24" t="s">
        <v>7150</v>
      </c>
      <c r="P175" s="24" t="s">
        <v>7150</v>
      </c>
      <c r="Q175" s="24" t="b">
        <v>0</v>
      </c>
      <c r="R175" s="24" t="b">
        <v>0</v>
      </c>
    </row>
    <row r="176" spans="1:18" s="13" customFormat="1">
      <c r="A176" s="24" t="s">
        <v>2367</v>
      </c>
      <c r="B176" s="24"/>
      <c r="C176" s="24"/>
      <c r="D176" s="24">
        <v>0</v>
      </c>
      <c r="E176" s="24">
        <v>0</v>
      </c>
      <c r="F176" s="24">
        <v>0</v>
      </c>
      <c r="G176" s="24" t="s">
        <v>2373</v>
      </c>
      <c r="H176" s="24"/>
      <c r="I176" s="34" t="b">
        <v>1</v>
      </c>
      <c r="J176" s="23" t="b">
        <v>1</v>
      </c>
      <c r="K176" s="24" t="b">
        <v>1</v>
      </c>
      <c r="L176" s="24"/>
      <c r="M176" s="24"/>
      <c r="N176" s="24" t="s">
        <v>7150</v>
      </c>
      <c r="O176" s="24" t="s">
        <v>7150</v>
      </c>
      <c r="P176" s="24" t="s">
        <v>7150</v>
      </c>
      <c r="Q176" s="24" t="b">
        <v>0</v>
      </c>
      <c r="R176" s="24" t="b">
        <v>0</v>
      </c>
    </row>
    <row r="177" spans="1:18" s="13" customFormat="1">
      <c r="A177" s="34" t="s">
        <v>2368</v>
      </c>
      <c r="B177" s="34"/>
      <c r="C177" s="34"/>
      <c r="D177" s="34">
        <v>0</v>
      </c>
      <c r="E177" s="34">
        <v>0</v>
      </c>
      <c r="F177" s="34">
        <v>0</v>
      </c>
      <c r="G177" s="34" t="s">
        <v>2374</v>
      </c>
      <c r="H177" s="34"/>
      <c r="I177" s="34" t="b">
        <v>1</v>
      </c>
      <c r="J177" s="23" t="b">
        <v>1</v>
      </c>
      <c r="K177" s="34" t="b">
        <v>1</v>
      </c>
      <c r="L177" s="34"/>
      <c r="M177" s="34"/>
      <c r="N177" s="34" t="s">
        <v>7150</v>
      </c>
      <c r="O177" s="34" t="s">
        <v>7150</v>
      </c>
      <c r="P177" s="34" t="s">
        <v>7150</v>
      </c>
      <c r="Q177" s="34" t="b">
        <v>0</v>
      </c>
      <c r="R177" s="34" t="b">
        <v>0</v>
      </c>
    </row>
    <row r="178" spans="1:18" s="13" customFormat="1">
      <c r="A178" s="34" t="s">
        <v>2369</v>
      </c>
      <c r="B178" s="34"/>
      <c r="C178" s="34"/>
      <c r="D178" s="34">
        <v>0</v>
      </c>
      <c r="E178" s="34">
        <v>0</v>
      </c>
      <c r="F178" s="34">
        <v>0</v>
      </c>
      <c r="G178" s="34" t="s">
        <v>2375</v>
      </c>
      <c r="H178" s="34"/>
      <c r="I178" s="34" t="b">
        <v>1</v>
      </c>
      <c r="J178" s="23" t="b">
        <v>1</v>
      </c>
      <c r="K178" s="34" t="b">
        <v>1</v>
      </c>
      <c r="L178" s="34"/>
      <c r="M178" s="34"/>
      <c r="N178" s="34" t="s">
        <v>7150</v>
      </c>
      <c r="O178" s="34" t="s">
        <v>7150</v>
      </c>
      <c r="P178" s="34" t="s">
        <v>7150</v>
      </c>
      <c r="Q178" s="34" t="b">
        <v>0</v>
      </c>
      <c r="R178" s="34" t="b">
        <v>0</v>
      </c>
    </row>
    <row r="179" spans="1:18" s="13" customFormat="1">
      <c r="A179" s="34" t="s">
        <v>2370</v>
      </c>
      <c r="B179" s="34"/>
      <c r="C179" s="34"/>
      <c r="D179" s="34">
        <v>0</v>
      </c>
      <c r="E179" s="34">
        <v>0</v>
      </c>
      <c r="F179" s="34">
        <v>0</v>
      </c>
      <c r="G179" s="34" t="s">
        <v>2376</v>
      </c>
      <c r="H179" s="34"/>
      <c r="I179" s="34" t="b">
        <v>1</v>
      </c>
      <c r="J179" s="23" t="b">
        <v>1</v>
      </c>
      <c r="K179" s="34" t="b">
        <v>1</v>
      </c>
      <c r="L179" s="34"/>
      <c r="M179" s="34"/>
      <c r="N179" s="34" t="s">
        <v>7150</v>
      </c>
      <c r="O179" s="34" t="s">
        <v>7150</v>
      </c>
      <c r="P179" s="34" t="s">
        <v>7150</v>
      </c>
      <c r="Q179" s="34" t="b">
        <v>0</v>
      </c>
      <c r="R179" s="34" t="b">
        <v>0</v>
      </c>
    </row>
    <row r="180" spans="1:18" s="13" customFormat="1">
      <c r="A180" s="23" t="s">
        <v>7191</v>
      </c>
      <c r="B180" s="23"/>
      <c r="C180" s="23"/>
      <c r="D180" s="23">
        <v>4000</v>
      </c>
      <c r="E180" s="23">
        <v>0</v>
      </c>
      <c r="F180" s="23">
        <v>0</v>
      </c>
      <c r="G180" s="23" t="s">
        <v>2382</v>
      </c>
      <c r="H180" s="23"/>
      <c r="I180" s="23" t="b">
        <v>0</v>
      </c>
      <c r="J180" s="23" t="b">
        <v>0</v>
      </c>
      <c r="K180" s="23" t="b">
        <v>1</v>
      </c>
      <c r="L180" s="23" t="s">
        <v>317</v>
      </c>
      <c r="M180" s="23" t="s">
        <v>5461</v>
      </c>
      <c r="N180" s="23" t="s">
        <v>318</v>
      </c>
      <c r="O180" s="23" t="s">
        <v>319</v>
      </c>
      <c r="P180" s="23" t="s">
        <v>1179</v>
      </c>
      <c r="Q180" s="23" t="b">
        <v>0</v>
      </c>
      <c r="R180" s="23" t="b">
        <v>0</v>
      </c>
    </row>
    <row r="181" spans="1:18" s="13" customFormat="1">
      <c r="A181" s="23" t="s">
        <v>2377</v>
      </c>
      <c r="B181" s="23"/>
      <c r="C181" s="23"/>
      <c r="D181" s="23">
        <v>5000</v>
      </c>
      <c r="E181" s="23">
        <v>0</v>
      </c>
      <c r="F181" s="23">
        <v>0</v>
      </c>
      <c r="G181" s="23" t="s">
        <v>2383</v>
      </c>
      <c r="H181" s="23"/>
      <c r="I181" s="23" t="b">
        <v>0</v>
      </c>
      <c r="J181" s="23" t="b">
        <v>0</v>
      </c>
      <c r="K181" s="23" t="b">
        <v>1</v>
      </c>
      <c r="L181" s="23" t="s">
        <v>317</v>
      </c>
      <c r="M181" s="23" t="s">
        <v>5461</v>
      </c>
      <c r="N181" s="23" t="s">
        <v>318</v>
      </c>
      <c r="O181" s="23" t="s">
        <v>319</v>
      </c>
      <c r="P181" s="23" t="s">
        <v>1179</v>
      </c>
      <c r="Q181" s="23" t="b">
        <v>0</v>
      </c>
      <c r="R181" s="23" t="b">
        <v>0</v>
      </c>
    </row>
    <row r="182" spans="1:18" s="13" customFormat="1">
      <c r="A182" s="23" t="s">
        <v>2378</v>
      </c>
      <c r="B182" s="23"/>
      <c r="C182" s="23"/>
      <c r="D182" s="23">
        <v>5000</v>
      </c>
      <c r="E182" s="23">
        <v>0</v>
      </c>
      <c r="F182" s="23">
        <v>0</v>
      </c>
      <c r="G182" s="23" t="s">
        <v>2384</v>
      </c>
      <c r="H182" s="23"/>
      <c r="I182" s="23" t="b">
        <v>0</v>
      </c>
      <c r="J182" s="23" t="b">
        <v>0</v>
      </c>
      <c r="K182" s="23" t="b">
        <v>1</v>
      </c>
      <c r="L182" s="23" t="s">
        <v>317</v>
      </c>
      <c r="M182" s="23" t="s">
        <v>5461</v>
      </c>
      <c r="N182" s="23" t="s">
        <v>318</v>
      </c>
      <c r="O182" s="23" t="s">
        <v>319</v>
      </c>
      <c r="P182" s="23" t="s">
        <v>1179</v>
      </c>
      <c r="Q182" s="23" t="b">
        <v>0</v>
      </c>
      <c r="R182" s="23" t="b">
        <v>0</v>
      </c>
    </row>
    <row r="183" spans="1:18" s="13" customFormat="1">
      <c r="A183" s="34" t="s">
        <v>2379</v>
      </c>
      <c r="B183" s="34"/>
      <c r="C183" s="34"/>
      <c r="D183" s="34">
        <v>6000</v>
      </c>
      <c r="E183" s="34">
        <v>0</v>
      </c>
      <c r="F183" s="34">
        <v>0</v>
      </c>
      <c r="G183" s="34" t="s">
        <v>2385</v>
      </c>
      <c r="H183" s="34"/>
      <c r="I183" s="34" t="b">
        <v>0</v>
      </c>
      <c r="J183" s="34" t="b">
        <v>0</v>
      </c>
      <c r="K183" s="34" t="b">
        <v>1</v>
      </c>
      <c r="L183" s="34" t="s">
        <v>317</v>
      </c>
      <c r="M183" s="34" t="s">
        <v>5461</v>
      </c>
      <c r="N183" s="34" t="s">
        <v>318</v>
      </c>
      <c r="O183" s="34" t="s">
        <v>319</v>
      </c>
      <c r="P183" s="34" t="s">
        <v>1179</v>
      </c>
      <c r="Q183" s="34" t="b">
        <v>0</v>
      </c>
      <c r="R183" s="34" t="b">
        <v>0</v>
      </c>
    </row>
    <row r="184" spans="1:18" s="13" customFormat="1">
      <c r="A184" s="34" t="s">
        <v>2380</v>
      </c>
      <c r="B184" s="34"/>
      <c r="C184" s="34"/>
      <c r="D184" s="34">
        <v>6000</v>
      </c>
      <c r="E184" s="34">
        <v>0</v>
      </c>
      <c r="F184" s="34">
        <v>0</v>
      </c>
      <c r="G184" s="34" t="s">
        <v>2386</v>
      </c>
      <c r="H184" s="34"/>
      <c r="I184" s="34" t="b">
        <v>0</v>
      </c>
      <c r="J184" s="34" t="b">
        <v>0</v>
      </c>
      <c r="K184" s="34" t="b">
        <v>1</v>
      </c>
      <c r="L184" s="34" t="s">
        <v>317</v>
      </c>
      <c r="M184" s="34" t="s">
        <v>5461</v>
      </c>
      <c r="N184" s="34" t="s">
        <v>318</v>
      </c>
      <c r="O184" s="34" t="s">
        <v>319</v>
      </c>
      <c r="P184" s="34" t="s">
        <v>1179</v>
      </c>
      <c r="Q184" s="34" t="b">
        <v>0</v>
      </c>
      <c r="R184" s="34" t="b">
        <v>0</v>
      </c>
    </row>
    <row r="185" spans="1:18" s="13" customFormat="1">
      <c r="A185" s="34" t="s">
        <v>2381</v>
      </c>
      <c r="B185" s="34"/>
      <c r="C185" s="34"/>
      <c r="D185" s="34">
        <v>6000</v>
      </c>
      <c r="E185" s="34">
        <v>0</v>
      </c>
      <c r="F185" s="34">
        <v>0</v>
      </c>
      <c r="G185" s="34" t="s">
        <v>2387</v>
      </c>
      <c r="H185" s="34"/>
      <c r="I185" s="34" t="b">
        <v>0</v>
      </c>
      <c r="J185" s="34" t="b">
        <v>0</v>
      </c>
      <c r="K185" s="34" t="b">
        <v>1</v>
      </c>
      <c r="L185" s="34" t="s">
        <v>317</v>
      </c>
      <c r="M185" s="34" t="s">
        <v>5461</v>
      </c>
      <c r="N185" s="34" t="s">
        <v>318</v>
      </c>
      <c r="O185" s="34" t="s">
        <v>319</v>
      </c>
      <c r="P185" s="34" t="s">
        <v>1179</v>
      </c>
      <c r="Q185" s="34" t="b">
        <v>0</v>
      </c>
      <c r="R185" s="34" t="b">
        <v>0</v>
      </c>
    </row>
    <row r="186" spans="1:18" s="142" customFormat="1" ht="49.5">
      <c r="A186" s="23" t="s">
        <v>3192</v>
      </c>
      <c r="B186" s="23"/>
      <c r="C186" s="23"/>
      <c r="D186" s="23">
        <v>0</v>
      </c>
      <c r="E186" s="23">
        <v>0</v>
      </c>
      <c r="F186" s="23">
        <v>0</v>
      </c>
      <c r="G186" s="39" t="s">
        <v>8865</v>
      </c>
      <c r="H186" s="23"/>
      <c r="I186" s="23" t="b">
        <v>0</v>
      </c>
      <c r="J186" s="23" t="b">
        <v>1</v>
      </c>
      <c r="K186" s="23" t="b">
        <v>1</v>
      </c>
      <c r="L186" s="23"/>
      <c r="M186" s="23"/>
      <c r="N186" s="23" t="s">
        <v>7150</v>
      </c>
      <c r="O186" s="23" t="s">
        <v>7150</v>
      </c>
      <c r="P186" s="23" t="s">
        <v>7150</v>
      </c>
      <c r="Q186" s="23" t="b">
        <v>0</v>
      </c>
      <c r="R186" s="23" t="b">
        <v>0</v>
      </c>
    </row>
    <row r="187" spans="1:18" s="142" customFormat="1" ht="49.5">
      <c r="A187" s="23" t="s">
        <v>3187</v>
      </c>
      <c r="B187" s="23"/>
      <c r="C187" s="23"/>
      <c r="D187" s="23">
        <v>0</v>
      </c>
      <c r="E187" s="23">
        <v>0</v>
      </c>
      <c r="F187" s="23">
        <v>0</v>
      </c>
      <c r="G187" s="39" t="s">
        <v>8866</v>
      </c>
      <c r="H187" s="23"/>
      <c r="I187" s="23" t="b">
        <v>0</v>
      </c>
      <c r="J187" s="23" t="b">
        <v>1</v>
      </c>
      <c r="K187" s="23" t="b">
        <v>1</v>
      </c>
      <c r="L187" s="23"/>
      <c r="M187" s="23"/>
      <c r="N187" s="23" t="s">
        <v>7150</v>
      </c>
      <c r="O187" s="23" t="s">
        <v>7150</v>
      </c>
      <c r="P187" s="23" t="s">
        <v>7150</v>
      </c>
      <c r="Q187" s="23" t="b">
        <v>0</v>
      </c>
      <c r="R187" s="23" t="b">
        <v>0</v>
      </c>
    </row>
    <row r="188" spans="1:18" s="142" customFormat="1" ht="49.5">
      <c r="A188" s="23" t="s">
        <v>3188</v>
      </c>
      <c r="B188" s="23"/>
      <c r="C188" s="23"/>
      <c r="D188" s="23">
        <v>0</v>
      </c>
      <c r="E188" s="23">
        <v>0</v>
      </c>
      <c r="F188" s="23">
        <v>0</v>
      </c>
      <c r="G188" s="39" t="s">
        <v>8867</v>
      </c>
      <c r="H188" s="23"/>
      <c r="I188" s="23" t="b">
        <v>0</v>
      </c>
      <c r="J188" s="23" t="b">
        <v>1</v>
      </c>
      <c r="K188" s="23" t="b">
        <v>1</v>
      </c>
      <c r="L188" s="23"/>
      <c r="M188" s="23"/>
      <c r="N188" s="23" t="s">
        <v>7150</v>
      </c>
      <c r="O188" s="23" t="s">
        <v>7150</v>
      </c>
      <c r="P188" s="23" t="s">
        <v>7150</v>
      </c>
      <c r="Q188" s="23" t="b">
        <v>0</v>
      </c>
      <c r="R188" s="23" t="b">
        <v>0</v>
      </c>
    </row>
    <row r="189" spans="1:18" s="142" customFormat="1" ht="49.5">
      <c r="A189" s="23" t="s">
        <v>3189</v>
      </c>
      <c r="B189" s="23"/>
      <c r="C189" s="23"/>
      <c r="D189" s="23">
        <v>0</v>
      </c>
      <c r="E189" s="23">
        <v>0</v>
      </c>
      <c r="F189" s="23">
        <v>0</v>
      </c>
      <c r="G189" s="39" t="s">
        <v>8868</v>
      </c>
      <c r="H189" s="23"/>
      <c r="I189" s="23" t="b">
        <v>0</v>
      </c>
      <c r="J189" s="23" t="b">
        <v>1</v>
      </c>
      <c r="K189" s="23" t="b">
        <v>1</v>
      </c>
      <c r="L189" s="23"/>
      <c r="M189" s="23"/>
      <c r="N189" s="23" t="s">
        <v>7150</v>
      </c>
      <c r="O189" s="23" t="s">
        <v>7150</v>
      </c>
      <c r="P189" s="23" t="s">
        <v>7150</v>
      </c>
      <c r="Q189" s="23" t="b">
        <v>0</v>
      </c>
      <c r="R189" s="23" t="b">
        <v>0</v>
      </c>
    </row>
    <row r="190" spans="1:18" s="142" customFormat="1" ht="49.5">
      <c r="A190" s="23" t="s">
        <v>3190</v>
      </c>
      <c r="B190" s="23"/>
      <c r="C190" s="23"/>
      <c r="D190" s="23">
        <v>0</v>
      </c>
      <c r="E190" s="23">
        <v>0</v>
      </c>
      <c r="F190" s="23">
        <v>0</v>
      </c>
      <c r="G190" s="39" t="s">
        <v>8869</v>
      </c>
      <c r="H190" s="23"/>
      <c r="I190" s="23" t="b">
        <v>0</v>
      </c>
      <c r="J190" s="23" t="b">
        <v>1</v>
      </c>
      <c r="K190" s="23" t="b">
        <v>1</v>
      </c>
      <c r="L190" s="23"/>
      <c r="M190" s="23"/>
      <c r="N190" s="23" t="s">
        <v>7150</v>
      </c>
      <c r="O190" s="23" t="s">
        <v>7150</v>
      </c>
      <c r="P190" s="23" t="s">
        <v>7150</v>
      </c>
      <c r="Q190" s="23" t="b">
        <v>0</v>
      </c>
      <c r="R190" s="23" t="b">
        <v>0</v>
      </c>
    </row>
    <row r="191" spans="1:18" s="142" customFormat="1" ht="49.5">
      <c r="A191" s="23" t="s">
        <v>3191</v>
      </c>
      <c r="B191" s="23"/>
      <c r="C191" s="23"/>
      <c r="D191" s="23">
        <v>0</v>
      </c>
      <c r="E191" s="23">
        <v>0</v>
      </c>
      <c r="F191" s="23">
        <v>0</v>
      </c>
      <c r="G191" s="39" t="s">
        <v>8870</v>
      </c>
      <c r="H191" s="23"/>
      <c r="I191" s="23" t="b">
        <v>0</v>
      </c>
      <c r="J191" s="23" t="b">
        <v>1</v>
      </c>
      <c r="K191" s="23" t="b">
        <v>1</v>
      </c>
      <c r="L191" s="23"/>
      <c r="M191" s="23"/>
      <c r="N191" s="23" t="s">
        <v>7150</v>
      </c>
      <c r="O191" s="23" t="s">
        <v>7150</v>
      </c>
      <c r="P191" s="23" t="s">
        <v>7150</v>
      </c>
      <c r="Q191" s="23" t="b">
        <v>0</v>
      </c>
      <c r="R191" s="23" t="b">
        <v>0</v>
      </c>
    </row>
    <row r="192" spans="1:18" s="13" customFormat="1">
      <c r="A192" s="24" t="s">
        <v>8887</v>
      </c>
      <c r="B192" s="24"/>
      <c r="C192" s="24"/>
      <c r="D192" s="24">
        <v>0</v>
      </c>
      <c r="E192" s="24">
        <v>0</v>
      </c>
      <c r="F192" s="24">
        <v>0</v>
      </c>
      <c r="G192" s="38" t="s">
        <v>122</v>
      </c>
      <c r="H192" s="24"/>
      <c r="I192" s="34" t="b">
        <v>1</v>
      </c>
      <c r="J192" s="23" t="b">
        <v>1</v>
      </c>
      <c r="K192" s="24" t="b">
        <v>1</v>
      </c>
      <c r="L192" s="24"/>
      <c r="M192" s="24"/>
      <c r="N192" s="24" t="s">
        <v>7150</v>
      </c>
      <c r="O192" s="24" t="s">
        <v>7150</v>
      </c>
      <c r="P192" s="24" t="s">
        <v>7150</v>
      </c>
      <c r="Q192" s="24" t="b">
        <v>0</v>
      </c>
      <c r="R192" s="24" t="b">
        <v>0</v>
      </c>
    </row>
    <row r="193" spans="1:18" s="13" customFormat="1">
      <c r="A193" s="24" t="s">
        <v>8888</v>
      </c>
      <c r="B193" s="24"/>
      <c r="C193" s="24"/>
      <c r="D193" s="24">
        <v>0</v>
      </c>
      <c r="E193" s="24">
        <v>0</v>
      </c>
      <c r="F193" s="24">
        <v>0</v>
      </c>
      <c r="G193" s="38" t="s">
        <v>122</v>
      </c>
      <c r="H193" s="24"/>
      <c r="I193" s="34" t="b">
        <v>1</v>
      </c>
      <c r="J193" s="23" t="b">
        <v>1</v>
      </c>
      <c r="K193" s="24" t="b">
        <v>1</v>
      </c>
      <c r="L193" s="24"/>
      <c r="M193" s="24"/>
      <c r="N193" s="24" t="s">
        <v>7150</v>
      </c>
      <c r="O193" s="24" t="s">
        <v>7150</v>
      </c>
      <c r="P193" s="24" t="s">
        <v>7150</v>
      </c>
      <c r="Q193" s="24" t="b">
        <v>0</v>
      </c>
      <c r="R193" s="24" t="b">
        <v>0</v>
      </c>
    </row>
    <row r="194" spans="1:18" s="13" customFormat="1">
      <c r="A194" s="23" t="s">
        <v>5472</v>
      </c>
      <c r="B194" s="23"/>
      <c r="C194" s="23"/>
      <c r="D194" s="23">
        <v>3000</v>
      </c>
      <c r="E194" s="23">
        <v>0</v>
      </c>
      <c r="F194" s="23">
        <v>0</v>
      </c>
      <c r="G194" s="23" t="s">
        <v>122</v>
      </c>
      <c r="H194" s="23"/>
      <c r="I194" s="23" t="b">
        <v>0</v>
      </c>
      <c r="J194" s="23" t="b">
        <v>0</v>
      </c>
      <c r="K194" s="23" t="b">
        <v>1</v>
      </c>
      <c r="L194" s="23" t="s">
        <v>7192</v>
      </c>
      <c r="M194" s="23"/>
      <c r="N194" s="23" t="s">
        <v>7150</v>
      </c>
      <c r="O194" s="23" t="s">
        <v>7150</v>
      </c>
      <c r="P194" s="23" t="s">
        <v>7150</v>
      </c>
      <c r="Q194" s="23" t="b">
        <v>0</v>
      </c>
      <c r="R194" s="23" t="b">
        <v>0</v>
      </c>
    </row>
    <row r="195" spans="1:18" ht="49.5">
      <c r="A195" s="44" t="s">
        <v>2690</v>
      </c>
      <c r="B195" s="44"/>
      <c r="C195" s="44"/>
      <c r="D195" s="44">
        <v>0</v>
      </c>
      <c r="E195" s="44">
        <v>0</v>
      </c>
      <c r="F195" s="44">
        <v>0</v>
      </c>
      <c r="G195" s="66" t="s">
        <v>7193</v>
      </c>
      <c r="H195" s="44"/>
      <c r="I195" s="44" t="b">
        <v>1</v>
      </c>
      <c r="J195" s="44" t="b">
        <v>0</v>
      </c>
      <c r="K195" s="44" t="b">
        <v>1</v>
      </c>
      <c r="L195" s="44"/>
      <c r="M195" s="44" t="s">
        <v>5639</v>
      </c>
      <c r="N195" s="44" t="s">
        <v>5640</v>
      </c>
      <c r="O195" s="44" t="s">
        <v>5639</v>
      </c>
      <c r="P195" s="44" t="s">
        <v>5641</v>
      </c>
      <c r="Q195" s="44" t="b">
        <v>0</v>
      </c>
      <c r="R195" s="44" t="b">
        <v>0</v>
      </c>
    </row>
    <row r="196" spans="1:18" ht="49.5">
      <c r="A196" s="44" t="s">
        <v>2684</v>
      </c>
      <c r="B196" s="44"/>
      <c r="C196" s="44"/>
      <c r="D196" s="44">
        <v>0</v>
      </c>
      <c r="E196" s="44">
        <v>0</v>
      </c>
      <c r="F196" s="44">
        <v>0</v>
      </c>
      <c r="G196" s="66" t="s">
        <v>7194</v>
      </c>
      <c r="H196" s="44"/>
      <c r="I196" s="44" t="b">
        <v>1</v>
      </c>
      <c r="J196" s="44" t="b">
        <v>0</v>
      </c>
      <c r="K196" s="44" t="b">
        <v>1</v>
      </c>
      <c r="L196" s="44"/>
      <c r="M196" s="44" t="s">
        <v>5639</v>
      </c>
      <c r="N196" s="44" t="s">
        <v>5640</v>
      </c>
      <c r="O196" s="44" t="s">
        <v>5639</v>
      </c>
      <c r="P196" s="44" t="s">
        <v>5641</v>
      </c>
      <c r="Q196" s="44" t="b">
        <v>0</v>
      </c>
      <c r="R196" s="44" t="b">
        <v>0</v>
      </c>
    </row>
    <row r="197" spans="1:18" ht="49.5">
      <c r="A197" s="44" t="s">
        <v>2685</v>
      </c>
      <c r="B197" s="44"/>
      <c r="C197" s="44"/>
      <c r="D197" s="44">
        <v>0</v>
      </c>
      <c r="E197" s="44">
        <v>0</v>
      </c>
      <c r="F197" s="44">
        <v>0</v>
      </c>
      <c r="G197" s="66" t="s">
        <v>7195</v>
      </c>
      <c r="H197" s="44"/>
      <c r="I197" s="44" t="b">
        <v>1</v>
      </c>
      <c r="J197" s="44" t="b">
        <v>0</v>
      </c>
      <c r="K197" s="44" t="b">
        <v>1</v>
      </c>
      <c r="L197" s="44"/>
      <c r="M197" s="44" t="s">
        <v>5639</v>
      </c>
      <c r="N197" s="44" t="s">
        <v>5640</v>
      </c>
      <c r="O197" s="44" t="s">
        <v>5639</v>
      </c>
      <c r="P197" s="44" t="s">
        <v>5641</v>
      </c>
      <c r="Q197" s="44" t="b">
        <v>0</v>
      </c>
      <c r="R197" s="44" t="b">
        <v>0</v>
      </c>
    </row>
    <row r="198" spans="1:18" ht="49.5">
      <c r="A198" s="44" t="s">
        <v>2686</v>
      </c>
      <c r="B198" s="44"/>
      <c r="C198" s="44"/>
      <c r="D198" s="44">
        <v>0</v>
      </c>
      <c r="E198" s="44">
        <v>0</v>
      </c>
      <c r="F198" s="44">
        <v>0</v>
      </c>
      <c r="G198" s="66" t="s">
        <v>7196</v>
      </c>
      <c r="H198" s="44"/>
      <c r="I198" s="44" t="b">
        <v>1</v>
      </c>
      <c r="J198" s="44" t="b">
        <v>0</v>
      </c>
      <c r="K198" s="44" t="b">
        <v>1</v>
      </c>
      <c r="L198" s="44"/>
      <c r="M198" s="44" t="s">
        <v>5639</v>
      </c>
      <c r="N198" s="44" t="s">
        <v>5640</v>
      </c>
      <c r="O198" s="44" t="s">
        <v>5639</v>
      </c>
      <c r="P198" s="44" t="s">
        <v>5641</v>
      </c>
      <c r="Q198" s="44" t="b">
        <v>0</v>
      </c>
      <c r="R198" s="44" t="b">
        <v>0</v>
      </c>
    </row>
    <row r="199" spans="1:18" ht="49.5">
      <c r="A199" s="44" t="s">
        <v>2687</v>
      </c>
      <c r="B199" s="44"/>
      <c r="C199" s="44"/>
      <c r="D199" s="44">
        <v>0</v>
      </c>
      <c r="E199" s="44">
        <v>0</v>
      </c>
      <c r="F199" s="44">
        <v>0</v>
      </c>
      <c r="G199" s="66" t="s">
        <v>7197</v>
      </c>
      <c r="H199" s="44"/>
      <c r="I199" s="44" t="b">
        <v>1</v>
      </c>
      <c r="J199" s="44" t="b">
        <v>0</v>
      </c>
      <c r="K199" s="44" t="b">
        <v>1</v>
      </c>
      <c r="L199" s="44"/>
      <c r="M199" s="44" t="s">
        <v>5639</v>
      </c>
      <c r="N199" s="44" t="s">
        <v>5640</v>
      </c>
      <c r="O199" s="44" t="s">
        <v>5639</v>
      </c>
      <c r="P199" s="44" t="s">
        <v>5641</v>
      </c>
      <c r="Q199" s="44" t="b">
        <v>0</v>
      </c>
      <c r="R199" s="44" t="b">
        <v>0</v>
      </c>
    </row>
    <row r="200" spans="1:18" ht="49.5">
      <c r="A200" s="44" t="s">
        <v>2688</v>
      </c>
      <c r="B200" s="44"/>
      <c r="C200" s="44"/>
      <c r="D200" s="44">
        <v>0</v>
      </c>
      <c r="E200" s="44">
        <v>0</v>
      </c>
      <c r="F200" s="44">
        <v>0</v>
      </c>
      <c r="G200" s="66" t="s">
        <v>7198</v>
      </c>
      <c r="H200" s="44"/>
      <c r="I200" s="44" t="b">
        <v>1</v>
      </c>
      <c r="J200" s="44" t="b">
        <v>0</v>
      </c>
      <c r="K200" s="44" t="b">
        <v>1</v>
      </c>
      <c r="L200" s="44"/>
      <c r="M200" s="44" t="s">
        <v>5639</v>
      </c>
      <c r="N200" s="44" t="s">
        <v>5640</v>
      </c>
      <c r="O200" s="44" t="s">
        <v>5639</v>
      </c>
      <c r="P200" s="44" t="s">
        <v>5641</v>
      </c>
      <c r="Q200" s="44" t="b">
        <v>0</v>
      </c>
      <c r="R200" s="44" t="b">
        <v>0</v>
      </c>
    </row>
    <row r="201" spans="1:18" ht="49.5">
      <c r="A201" s="44" t="s">
        <v>2689</v>
      </c>
      <c r="B201" s="44"/>
      <c r="C201" s="44"/>
      <c r="D201" s="44">
        <v>0</v>
      </c>
      <c r="E201" s="44">
        <v>0</v>
      </c>
      <c r="F201" s="44">
        <v>0</v>
      </c>
      <c r="G201" s="66" t="s">
        <v>7199</v>
      </c>
      <c r="H201" s="44"/>
      <c r="I201" s="44" t="b">
        <v>1</v>
      </c>
      <c r="J201" s="44" t="b">
        <v>0</v>
      </c>
      <c r="K201" s="44" t="b">
        <v>1</v>
      </c>
      <c r="L201" s="44"/>
      <c r="M201" s="44" t="s">
        <v>5639</v>
      </c>
      <c r="N201" s="44" t="s">
        <v>5640</v>
      </c>
      <c r="O201" s="44" t="s">
        <v>5639</v>
      </c>
      <c r="P201" s="44" t="s">
        <v>5641</v>
      </c>
      <c r="Q201" s="44" t="b">
        <v>0</v>
      </c>
      <c r="R201" s="44" t="b">
        <v>0</v>
      </c>
    </row>
    <row r="202" spans="1:18">
      <c r="A202" s="25" t="s">
        <v>2408</v>
      </c>
      <c r="B202" s="25"/>
      <c r="C202" s="25"/>
      <c r="D202" s="25">
        <v>5000</v>
      </c>
      <c r="E202" s="25">
        <v>0</v>
      </c>
      <c r="F202" s="25">
        <v>0</v>
      </c>
      <c r="G202" s="25" t="s">
        <v>810</v>
      </c>
      <c r="H202" s="25"/>
      <c r="I202" s="25" t="b">
        <v>0</v>
      </c>
      <c r="J202" s="25" t="b">
        <v>0</v>
      </c>
      <c r="K202" s="25" t="b">
        <v>1</v>
      </c>
      <c r="L202" s="25" t="s">
        <v>317</v>
      </c>
      <c r="M202" s="25" t="s">
        <v>5461</v>
      </c>
      <c r="N202" s="25" t="s">
        <v>318</v>
      </c>
      <c r="O202" s="25" t="s">
        <v>319</v>
      </c>
      <c r="P202" s="25" t="s">
        <v>1179</v>
      </c>
      <c r="Q202" s="25" t="b">
        <v>0</v>
      </c>
      <c r="R202" s="25" t="b">
        <v>0</v>
      </c>
    </row>
    <row r="203" spans="1:18">
      <c r="A203" s="25" t="s">
        <v>2409</v>
      </c>
      <c r="B203" s="25"/>
      <c r="C203" s="25"/>
      <c r="D203" s="25">
        <v>5000</v>
      </c>
      <c r="E203" s="25">
        <v>0</v>
      </c>
      <c r="F203" s="25">
        <v>0</v>
      </c>
      <c r="G203" s="25" t="s">
        <v>811</v>
      </c>
      <c r="H203" s="25"/>
      <c r="I203" s="25" t="b">
        <v>0</v>
      </c>
      <c r="J203" s="25" t="b">
        <v>0</v>
      </c>
      <c r="K203" s="25" t="b">
        <v>1</v>
      </c>
      <c r="L203" s="25" t="s">
        <v>317</v>
      </c>
      <c r="M203" s="25" t="s">
        <v>5461</v>
      </c>
      <c r="N203" s="25" t="s">
        <v>318</v>
      </c>
      <c r="O203" s="25" t="s">
        <v>319</v>
      </c>
      <c r="P203" s="25" t="s">
        <v>1179</v>
      </c>
      <c r="Q203" s="25" t="b">
        <v>0</v>
      </c>
      <c r="R203" s="25" t="b">
        <v>0</v>
      </c>
    </row>
    <row r="204" spans="1:18">
      <c r="A204" s="25" t="s">
        <v>2410</v>
      </c>
      <c r="B204" s="25"/>
      <c r="C204" s="25"/>
      <c r="D204" s="25">
        <v>5000</v>
      </c>
      <c r="E204" s="25">
        <v>0</v>
      </c>
      <c r="F204" s="25">
        <v>0</v>
      </c>
      <c r="G204" s="25" t="s">
        <v>812</v>
      </c>
      <c r="H204" s="25"/>
      <c r="I204" s="25" t="b">
        <v>0</v>
      </c>
      <c r="J204" s="25" t="b">
        <v>0</v>
      </c>
      <c r="K204" s="25" t="b">
        <v>1</v>
      </c>
      <c r="L204" s="25" t="s">
        <v>317</v>
      </c>
      <c r="M204" s="25" t="s">
        <v>5461</v>
      </c>
      <c r="N204" s="25" t="s">
        <v>318</v>
      </c>
      <c r="O204" s="25" t="s">
        <v>319</v>
      </c>
      <c r="P204" s="25" t="s">
        <v>1179</v>
      </c>
      <c r="Q204" s="25" t="b">
        <v>0</v>
      </c>
      <c r="R204" s="25" t="b">
        <v>0</v>
      </c>
    </row>
    <row r="205" spans="1:18">
      <c r="A205" s="34" t="s">
        <v>2411</v>
      </c>
      <c r="B205" s="34"/>
      <c r="C205" s="34"/>
      <c r="D205" s="34">
        <v>5000</v>
      </c>
      <c r="E205" s="34">
        <v>0</v>
      </c>
      <c r="F205" s="34">
        <v>0</v>
      </c>
      <c r="G205" s="34" t="s">
        <v>7200</v>
      </c>
      <c r="H205" s="34"/>
      <c r="I205" s="34" t="b">
        <v>0</v>
      </c>
      <c r="J205" s="34" t="b">
        <v>0</v>
      </c>
      <c r="K205" s="34" t="b">
        <v>1</v>
      </c>
      <c r="L205" s="34" t="s">
        <v>317</v>
      </c>
      <c r="M205" s="34" t="s">
        <v>5461</v>
      </c>
      <c r="N205" s="34" t="s">
        <v>318</v>
      </c>
      <c r="O205" s="34" t="s">
        <v>319</v>
      </c>
      <c r="P205" s="34" t="s">
        <v>1179</v>
      </c>
      <c r="Q205" s="34" t="b">
        <v>0</v>
      </c>
      <c r="R205" s="34" t="b">
        <v>0</v>
      </c>
    </row>
    <row r="206" spans="1:18">
      <c r="A206" s="34" t="s">
        <v>2612</v>
      </c>
      <c r="B206" s="34"/>
      <c r="C206" s="34"/>
      <c r="D206" s="34">
        <v>5000</v>
      </c>
      <c r="E206" s="34">
        <v>0</v>
      </c>
      <c r="F206" s="34">
        <v>0</v>
      </c>
      <c r="G206" s="34" t="s">
        <v>2616</v>
      </c>
      <c r="H206" s="34"/>
      <c r="I206" s="34" t="b">
        <v>0</v>
      </c>
      <c r="J206" s="34" t="b">
        <v>0</v>
      </c>
      <c r="K206" s="34" t="b">
        <v>1</v>
      </c>
      <c r="L206" s="34" t="s">
        <v>317</v>
      </c>
      <c r="M206" s="34" t="s">
        <v>5461</v>
      </c>
      <c r="N206" s="34" t="s">
        <v>318</v>
      </c>
      <c r="O206" s="34" t="s">
        <v>319</v>
      </c>
      <c r="P206" s="34" t="s">
        <v>1179</v>
      </c>
      <c r="Q206" s="34" t="b">
        <v>0</v>
      </c>
      <c r="R206" s="34" t="b">
        <v>0</v>
      </c>
    </row>
    <row r="207" spans="1:18">
      <c r="A207" s="34" t="s">
        <v>2613</v>
      </c>
      <c r="B207" s="34"/>
      <c r="C207" s="34"/>
      <c r="D207" s="34">
        <v>5000</v>
      </c>
      <c r="E207" s="34">
        <v>0</v>
      </c>
      <c r="F207" s="34">
        <v>0</v>
      </c>
      <c r="G207" s="34" t="s">
        <v>2617</v>
      </c>
      <c r="H207" s="34"/>
      <c r="I207" s="34" t="b">
        <v>0</v>
      </c>
      <c r="J207" s="34" t="b">
        <v>0</v>
      </c>
      <c r="K207" s="34" t="b">
        <v>1</v>
      </c>
      <c r="L207" s="34" t="s">
        <v>317</v>
      </c>
      <c r="M207" s="34" t="s">
        <v>5461</v>
      </c>
      <c r="N207" s="34" t="s">
        <v>318</v>
      </c>
      <c r="O207" s="34" t="s">
        <v>319</v>
      </c>
      <c r="P207" s="34" t="s">
        <v>1179</v>
      </c>
      <c r="Q207" s="34" t="b">
        <v>0</v>
      </c>
      <c r="R207" s="34" t="b">
        <v>0</v>
      </c>
    </row>
    <row r="208" spans="1:18">
      <c r="A208" s="26" t="s">
        <v>2412</v>
      </c>
      <c r="B208" s="26"/>
      <c r="C208" s="26"/>
      <c r="D208" s="26">
        <v>6000</v>
      </c>
      <c r="E208" s="26">
        <v>0</v>
      </c>
      <c r="F208" s="26">
        <v>0</v>
      </c>
      <c r="G208" s="26" t="s">
        <v>1516</v>
      </c>
      <c r="H208" s="26"/>
      <c r="I208" s="26" t="b">
        <v>0</v>
      </c>
      <c r="J208" s="26" t="b">
        <v>0</v>
      </c>
      <c r="K208" s="26" t="b">
        <v>0</v>
      </c>
      <c r="L208" s="26" t="s">
        <v>175</v>
      </c>
      <c r="M208" s="26" t="s">
        <v>1516</v>
      </c>
      <c r="N208" s="26" t="s">
        <v>375</v>
      </c>
      <c r="O208" s="26" t="s">
        <v>5269</v>
      </c>
      <c r="P208" s="26" t="s">
        <v>4926</v>
      </c>
      <c r="Q208" s="26" t="b">
        <v>0</v>
      </c>
      <c r="R208" s="26" t="b">
        <v>0</v>
      </c>
    </row>
    <row r="209" spans="1:18">
      <c r="A209" s="26" t="s">
        <v>2413</v>
      </c>
      <c r="B209" s="26"/>
      <c r="C209" s="26"/>
      <c r="D209" s="26">
        <v>7000</v>
      </c>
      <c r="E209" s="26">
        <v>0</v>
      </c>
      <c r="F209" s="26">
        <v>0</v>
      </c>
      <c r="G209" s="26" t="s">
        <v>1516</v>
      </c>
      <c r="H209" s="26"/>
      <c r="I209" s="26" t="b">
        <v>0</v>
      </c>
      <c r="J209" s="26" t="b">
        <v>0</v>
      </c>
      <c r="K209" s="26" t="b">
        <v>0</v>
      </c>
      <c r="L209" s="26" t="s">
        <v>175</v>
      </c>
      <c r="M209" s="26" t="s">
        <v>1516</v>
      </c>
      <c r="N209" s="26" t="s">
        <v>375</v>
      </c>
      <c r="O209" s="26" t="s">
        <v>5269</v>
      </c>
      <c r="P209" s="26" t="s">
        <v>4926</v>
      </c>
      <c r="Q209" s="26" t="b">
        <v>0</v>
      </c>
      <c r="R209" s="26" t="b">
        <v>0</v>
      </c>
    </row>
    <row r="210" spans="1:18">
      <c r="A210" s="26" t="s">
        <v>2414</v>
      </c>
      <c r="B210" s="26"/>
      <c r="C210" s="26"/>
      <c r="D210" s="26">
        <v>7000</v>
      </c>
      <c r="E210" s="26">
        <v>0</v>
      </c>
      <c r="F210" s="26">
        <v>0</v>
      </c>
      <c r="G210" s="26" t="s">
        <v>1517</v>
      </c>
      <c r="H210" s="26"/>
      <c r="I210" s="26" t="b">
        <v>0</v>
      </c>
      <c r="J210" s="26" t="b">
        <v>0</v>
      </c>
      <c r="K210" s="26" t="b">
        <v>0</v>
      </c>
      <c r="L210" s="26" t="s">
        <v>175</v>
      </c>
      <c r="M210" s="26" t="s">
        <v>1517</v>
      </c>
      <c r="N210" s="26" t="s">
        <v>375</v>
      </c>
      <c r="O210" s="26" t="s">
        <v>5270</v>
      </c>
      <c r="P210" s="26" t="s">
        <v>4927</v>
      </c>
      <c r="Q210" s="26" t="b">
        <v>0</v>
      </c>
      <c r="R210" s="26" t="b">
        <v>0</v>
      </c>
    </row>
    <row r="211" spans="1:18">
      <c r="A211" s="34" t="s">
        <v>2415</v>
      </c>
      <c r="B211" s="34"/>
      <c r="C211" s="34"/>
      <c r="D211" s="34">
        <v>8000</v>
      </c>
      <c r="E211" s="34">
        <v>0</v>
      </c>
      <c r="F211" s="34">
        <v>0</v>
      </c>
      <c r="G211" s="34" t="s">
        <v>1517</v>
      </c>
      <c r="H211" s="34"/>
      <c r="I211" s="34" t="b">
        <v>0</v>
      </c>
      <c r="J211" s="34" t="b">
        <v>0</v>
      </c>
      <c r="K211" s="34" t="b">
        <v>0</v>
      </c>
      <c r="L211" s="34" t="s">
        <v>175</v>
      </c>
      <c r="M211" s="34" t="s">
        <v>1517</v>
      </c>
      <c r="N211" s="34" t="s">
        <v>375</v>
      </c>
      <c r="O211" s="34" t="s">
        <v>5270</v>
      </c>
      <c r="P211" s="34" t="s">
        <v>4927</v>
      </c>
      <c r="Q211" s="34" t="b">
        <v>0</v>
      </c>
      <c r="R211" s="34" t="b">
        <v>0</v>
      </c>
    </row>
    <row r="212" spans="1:18">
      <c r="A212" s="34" t="s">
        <v>2614</v>
      </c>
      <c r="B212" s="34"/>
      <c r="C212" s="34"/>
      <c r="D212" s="34">
        <v>6000</v>
      </c>
      <c r="E212" s="34">
        <v>0</v>
      </c>
      <c r="F212" s="34">
        <v>0</v>
      </c>
      <c r="G212" s="34" t="s">
        <v>1518</v>
      </c>
      <c r="H212" s="34"/>
      <c r="I212" s="34" t="b">
        <v>0</v>
      </c>
      <c r="J212" s="34" t="b">
        <v>0</v>
      </c>
      <c r="K212" s="34" t="b">
        <v>0</v>
      </c>
      <c r="L212" s="34" t="s">
        <v>175</v>
      </c>
      <c r="M212" s="34" t="s">
        <v>1518</v>
      </c>
      <c r="N212" s="34" t="s">
        <v>375</v>
      </c>
      <c r="O212" s="34" t="s">
        <v>5271</v>
      </c>
      <c r="P212" s="34" t="s">
        <v>4928</v>
      </c>
      <c r="Q212" s="34" t="b">
        <v>0</v>
      </c>
      <c r="R212" s="34" t="b">
        <v>0</v>
      </c>
    </row>
    <row r="213" spans="1:18">
      <c r="A213" s="34" t="s">
        <v>2615</v>
      </c>
      <c r="B213" s="34"/>
      <c r="C213" s="34"/>
      <c r="D213" s="34">
        <v>6000</v>
      </c>
      <c r="E213" s="34">
        <v>0</v>
      </c>
      <c r="F213" s="34">
        <v>0</v>
      </c>
      <c r="G213" s="34" t="s">
        <v>1518</v>
      </c>
      <c r="H213" s="34"/>
      <c r="I213" s="34" t="b">
        <v>0</v>
      </c>
      <c r="J213" s="34" t="b">
        <v>0</v>
      </c>
      <c r="K213" s="34" t="b">
        <v>0</v>
      </c>
      <c r="L213" s="34" t="s">
        <v>175</v>
      </c>
      <c r="M213" s="34" t="s">
        <v>1518</v>
      </c>
      <c r="N213" s="34" t="s">
        <v>375</v>
      </c>
      <c r="O213" s="34" t="s">
        <v>5271</v>
      </c>
      <c r="P213" s="34" t="s">
        <v>4928</v>
      </c>
      <c r="Q213" s="34" t="b">
        <v>0</v>
      </c>
      <c r="R213" s="34" t="b">
        <v>0</v>
      </c>
    </row>
    <row r="214" spans="1:18">
      <c r="A214" s="25" t="s">
        <v>1289</v>
      </c>
      <c r="B214" s="25" t="s">
        <v>1367</v>
      </c>
      <c r="C214" s="25" t="s">
        <v>7139</v>
      </c>
      <c r="D214" s="25">
        <v>0</v>
      </c>
      <c r="E214" s="25">
        <v>0</v>
      </c>
      <c r="F214" s="25">
        <v>0</v>
      </c>
      <c r="G214" s="25" t="s">
        <v>1290</v>
      </c>
      <c r="H214" s="25"/>
      <c r="I214" s="25" t="b">
        <v>0</v>
      </c>
      <c r="J214" s="23" t="b">
        <v>1</v>
      </c>
      <c r="K214" s="25" t="b">
        <v>1</v>
      </c>
      <c r="L214" s="25"/>
      <c r="M214" s="25"/>
      <c r="N214" s="25" t="s">
        <v>7150</v>
      </c>
      <c r="O214" s="25" t="s">
        <v>7150</v>
      </c>
      <c r="P214" s="25" t="s">
        <v>7150</v>
      </c>
      <c r="Q214" s="25" t="b">
        <v>0</v>
      </c>
      <c r="R214" s="25" t="b">
        <v>0</v>
      </c>
    </row>
    <row r="215" spans="1:18">
      <c r="A215" s="25" t="s">
        <v>1291</v>
      </c>
      <c r="B215" s="25" t="s">
        <v>1367</v>
      </c>
      <c r="C215" s="25" t="s">
        <v>7139</v>
      </c>
      <c r="D215" s="25">
        <v>0</v>
      </c>
      <c r="E215" s="25">
        <v>0</v>
      </c>
      <c r="F215" s="25">
        <v>0</v>
      </c>
      <c r="G215" s="25" t="s">
        <v>1292</v>
      </c>
      <c r="H215" s="25"/>
      <c r="I215" s="25" t="b">
        <v>0</v>
      </c>
      <c r="J215" s="23" t="b">
        <v>1</v>
      </c>
      <c r="K215" s="25" t="b">
        <v>1</v>
      </c>
      <c r="L215" s="25"/>
      <c r="M215" s="25"/>
      <c r="N215" s="25" t="s">
        <v>7150</v>
      </c>
      <c r="O215" s="25" t="s">
        <v>7150</v>
      </c>
      <c r="P215" s="25" t="s">
        <v>7150</v>
      </c>
      <c r="Q215" s="25" t="b">
        <v>0</v>
      </c>
      <c r="R215" s="25" t="b">
        <v>0</v>
      </c>
    </row>
    <row r="216" spans="1:18">
      <c r="A216" s="25" t="s">
        <v>1293</v>
      </c>
      <c r="B216" s="25" t="s">
        <v>1367</v>
      </c>
      <c r="C216" s="25" t="s">
        <v>7139</v>
      </c>
      <c r="D216" s="25">
        <v>0</v>
      </c>
      <c r="E216" s="25">
        <v>0</v>
      </c>
      <c r="F216" s="25">
        <v>0</v>
      </c>
      <c r="G216" s="25" t="s">
        <v>1294</v>
      </c>
      <c r="H216" s="25"/>
      <c r="I216" s="25" t="b">
        <v>0</v>
      </c>
      <c r="J216" s="23" t="b">
        <v>1</v>
      </c>
      <c r="K216" s="25" t="b">
        <v>1</v>
      </c>
      <c r="L216" s="25"/>
      <c r="M216" s="25"/>
      <c r="N216" s="25" t="s">
        <v>7150</v>
      </c>
      <c r="O216" s="25" t="s">
        <v>7150</v>
      </c>
      <c r="P216" s="25" t="s">
        <v>7150</v>
      </c>
      <c r="Q216" s="25" t="b">
        <v>0</v>
      </c>
      <c r="R216" s="25" t="b">
        <v>0</v>
      </c>
    </row>
    <row r="217" spans="1:18">
      <c r="A217" s="34" t="s">
        <v>1295</v>
      </c>
      <c r="B217" s="34" t="s">
        <v>1367</v>
      </c>
      <c r="C217" s="34" t="s">
        <v>7139</v>
      </c>
      <c r="D217" s="34">
        <v>0</v>
      </c>
      <c r="E217" s="34">
        <v>0</v>
      </c>
      <c r="F217" s="34">
        <v>0</v>
      </c>
      <c r="G217" s="34" t="s">
        <v>1296</v>
      </c>
      <c r="H217" s="34"/>
      <c r="I217" s="34" t="b">
        <v>0</v>
      </c>
      <c r="J217" s="23" t="b">
        <v>1</v>
      </c>
      <c r="K217" s="34" t="b">
        <v>1</v>
      </c>
      <c r="L217" s="34"/>
      <c r="M217" s="34"/>
      <c r="N217" s="34" t="s">
        <v>7150</v>
      </c>
      <c r="O217" s="34" t="s">
        <v>7150</v>
      </c>
      <c r="P217" s="34" t="s">
        <v>7150</v>
      </c>
      <c r="Q217" s="34" t="b">
        <v>0</v>
      </c>
      <c r="R217" s="34" t="b">
        <v>0</v>
      </c>
    </row>
    <row r="218" spans="1:18">
      <c r="A218" s="34" t="s">
        <v>1297</v>
      </c>
      <c r="B218" s="34" t="s">
        <v>1367</v>
      </c>
      <c r="C218" s="34" t="s">
        <v>7139</v>
      </c>
      <c r="D218" s="34">
        <v>0</v>
      </c>
      <c r="E218" s="34">
        <v>0</v>
      </c>
      <c r="F218" s="34">
        <v>0</v>
      </c>
      <c r="G218" s="34" t="s">
        <v>1298</v>
      </c>
      <c r="H218" s="34"/>
      <c r="I218" s="34" t="b">
        <v>0</v>
      </c>
      <c r="J218" s="23" t="b">
        <v>1</v>
      </c>
      <c r="K218" s="34" t="b">
        <v>1</v>
      </c>
      <c r="L218" s="34"/>
      <c r="M218" s="34"/>
      <c r="N218" s="34" t="s">
        <v>7150</v>
      </c>
      <c r="O218" s="34" t="s">
        <v>7150</v>
      </c>
      <c r="P218" s="34" t="s">
        <v>7150</v>
      </c>
      <c r="Q218" s="34" t="b">
        <v>0</v>
      </c>
      <c r="R218" s="34" t="b">
        <v>0</v>
      </c>
    </row>
    <row r="219" spans="1:18">
      <c r="A219" s="34" t="s">
        <v>1299</v>
      </c>
      <c r="B219" s="34" t="s">
        <v>1367</v>
      </c>
      <c r="C219" s="34" t="s">
        <v>7139</v>
      </c>
      <c r="D219" s="34">
        <v>0</v>
      </c>
      <c r="E219" s="34">
        <v>0</v>
      </c>
      <c r="F219" s="34">
        <v>0</v>
      </c>
      <c r="G219" s="34" t="s">
        <v>1300</v>
      </c>
      <c r="H219" s="34"/>
      <c r="I219" s="34" t="b">
        <v>0</v>
      </c>
      <c r="J219" s="23" t="b">
        <v>1</v>
      </c>
      <c r="K219" s="34" t="b">
        <v>1</v>
      </c>
      <c r="L219" s="34"/>
      <c r="M219" s="34"/>
      <c r="N219" s="34" t="s">
        <v>7150</v>
      </c>
      <c r="O219" s="34" t="s">
        <v>7150</v>
      </c>
      <c r="P219" s="34" t="s">
        <v>7150</v>
      </c>
      <c r="Q219" s="34" t="b">
        <v>0</v>
      </c>
      <c r="R219" s="34" t="b">
        <v>0</v>
      </c>
    </row>
    <row r="220" spans="1:18" ht="33">
      <c r="A220" s="26" t="s">
        <v>7201</v>
      </c>
      <c r="B220" s="26"/>
      <c r="C220" s="26"/>
      <c r="D220" s="26">
        <v>5000</v>
      </c>
      <c r="E220" s="26">
        <v>0</v>
      </c>
      <c r="F220" s="26">
        <v>0</v>
      </c>
      <c r="G220" s="45" t="s">
        <v>7202</v>
      </c>
      <c r="H220" s="26"/>
      <c r="I220" s="26" t="b">
        <v>0</v>
      </c>
      <c r="J220" s="26" t="b">
        <v>0</v>
      </c>
      <c r="K220" s="26" t="b">
        <v>1</v>
      </c>
      <c r="L220" s="26" t="s">
        <v>790</v>
      </c>
      <c r="M220" s="26" t="s">
        <v>5637</v>
      </c>
      <c r="N220" s="26" t="s">
        <v>5640</v>
      </c>
      <c r="O220" s="26" t="s">
        <v>5637</v>
      </c>
      <c r="P220" s="26" t="s">
        <v>5638</v>
      </c>
      <c r="Q220" s="26" t="b">
        <v>0</v>
      </c>
      <c r="R220" s="26" t="b">
        <v>0</v>
      </c>
    </row>
    <row r="221" spans="1:18" ht="33">
      <c r="A221" s="26" t="s">
        <v>2416</v>
      </c>
      <c r="B221" s="26"/>
      <c r="C221" s="26"/>
      <c r="D221" s="26">
        <v>5000</v>
      </c>
      <c r="E221" s="26">
        <v>0</v>
      </c>
      <c r="F221" s="26">
        <v>0</v>
      </c>
      <c r="G221" s="45" t="s">
        <v>7203</v>
      </c>
      <c r="H221" s="26"/>
      <c r="I221" s="26" t="b">
        <v>0</v>
      </c>
      <c r="J221" s="26" t="b">
        <v>0</v>
      </c>
      <c r="K221" s="26" t="b">
        <v>1</v>
      </c>
      <c r="L221" s="26" t="s">
        <v>790</v>
      </c>
      <c r="M221" s="26" t="s">
        <v>5637</v>
      </c>
      <c r="N221" s="26" t="s">
        <v>5640</v>
      </c>
      <c r="O221" s="26" t="s">
        <v>5637</v>
      </c>
      <c r="P221" s="26" t="s">
        <v>5638</v>
      </c>
      <c r="Q221" s="26" t="b">
        <v>0</v>
      </c>
      <c r="R221" s="26" t="b">
        <v>0</v>
      </c>
    </row>
    <row r="222" spans="1:18" ht="33">
      <c r="A222" s="26" t="s">
        <v>2417</v>
      </c>
      <c r="B222" s="26"/>
      <c r="C222" s="26"/>
      <c r="D222" s="26">
        <v>5000</v>
      </c>
      <c r="E222" s="26">
        <v>0</v>
      </c>
      <c r="F222" s="26">
        <v>0</v>
      </c>
      <c r="G222" s="45" t="s">
        <v>7204</v>
      </c>
      <c r="H222" s="26"/>
      <c r="I222" s="26" t="b">
        <v>0</v>
      </c>
      <c r="J222" s="26" t="b">
        <v>0</v>
      </c>
      <c r="K222" s="26" t="b">
        <v>1</v>
      </c>
      <c r="L222" s="26" t="s">
        <v>790</v>
      </c>
      <c r="M222" s="26" t="s">
        <v>5637</v>
      </c>
      <c r="N222" s="26" t="s">
        <v>5640</v>
      </c>
      <c r="O222" s="26" t="s">
        <v>5637</v>
      </c>
      <c r="P222" s="26" t="s">
        <v>5638</v>
      </c>
      <c r="Q222" s="26" t="b">
        <v>0</v>
      </c>
      <c r="R222" s="26" t="b">
        <v>0</v>
      </c>
    </row>
    <row r="223" spans="1:18" ht="33">
      <c r="A223" s="34" t="s">
        <v>7205</v>
      </c>
      <c r="B223" s="34"/>
      <c r="C223" s="34"/>
      <c r="D223" s="34">
        <v>5000</v>
      </c>
      <c r="E223" s="34">
        <v>0</v>
      </c>
      <c r="F223" s="34">
        <v>0</v>
      </c>
      <c r="G223" s="40" t="s">
        <v>7206</v>
      </c>
      <c r="H223" s="34"/>
      <c r="I223" s="34" t="b">
        <v>0</v>
      </c>
      <c r="J223" s="34" t="b">
        <v>0</v>
      </c>
      <c r="K223" s="34" t="b">
        <v>1</v>
      </c>
      <c r="L223" s="34" t="s">
        <v>790</v>
      </c>
      <c r="M223" s="34" t="s">
        <v>5637</v>
      </c>
      <c r="N223" s="34" t="s">
        <v>5640</v>
      </c>
      <c r="O223" s="34" t="s">
        <v>5637</v>
      </c>
      <c r="P223" s="34" t="s">
        <v>5638</v>
      </c>
      <c r="Q223" s="34" t="b">
        <v>0</v>
      </c>
      <c r="R223" s="34" t="b">
        <v>0</v>
      </c>
    </row>
    <row r="224" spans="1:18" ht="33">
      <c r="A224" s="34" t="s">
        <v>2418</v>
      </c>
      <c r="B224" s="34"/>
      <c r="C224" s="34"/>
      <c r="D224" s="34">
        <v>5000</v>
      </c>
      <c r="E224" s="34">
        <v>0</v>
      </c>
      <c r="F224" s="34">
        <v>0</v>
      </c>
      <c r="G224" s="40" t="s">
        <v>7207</v>
      </c>
      <c r="H224" s="34"/>
      <c r="I224" s="34" t="b">
        <v>0</v>
      </c>
      <c r="J224" s="34" t="b">
        <v>0</v>
      </c>
      <c r="K224" s="34" t="b">
        <v>1</v>
      </c>
      <c r="L224" s="34" t="s">
        <v>790</v>
      </c>
      <c r="M224" s="34" t="s">
        <v>5637</v>
      </c>
      <c r="N224" s="34" t="s">
        <v>5640</v>
      </c>
      <c r="O224" s="34" t="s">
        <v>5637</v>
      </c>
      <c r="P224" s="34" t="s">
        <v>5638</v>
      </c>
      <c r="Q224" s="34" t="b">
        <v>0</v>
      </c>
      <c r="R224" s="34" t="b">
        <v>0</v>
      </c>
    </row>
    <row r="225" spans="1:18" ht="33">
      <c r="A225" s="34" t="s">
        <v>2419</v>
      </c>
      <c r="B225" s="34"/>
      <c r="C225" s="34"/>
      <c r="D225" s="34">
        <v>5000</v>
      </c>
      <c r="E225" s="34">
        <v>0</v>
      </c>
      <c r="F225" s="34">
        <v>0</v>
      </c>
      <c r="G225" s="40" t="s">
        <v>7208</v>
      </c>
      <c r="H225" s="34"/>
      <c r="I225" s="34" t="b">
        <v>0</v>
      </c>
      <c r="J225" s="34" t="b">
        <v>0</v>
      </c>
      <c r="K225" s="34" t="b">
        <v>1</v>
      </c>
      <c r="L225" s="34" t="s">
        <v>790</v>
      </c>
      <c r="M225" s="34" t="s">
        <v>5637</v>
      </c>
      <c r="N225" s="34" t="s">
        <v>5640</v>
      </c>
      <c r="O225" s="34" t="s">
        <v>5637</v>
      </c>
      <c r="P225" s="34" t="s">
        <v>5638</v>
      </c>
      <c r="Q225" s="34" t="b">
        <v>0</v>
      </c>
      <c r="R225" s="34" t="b">
        <v>0</v>
      </c>
    </row>
    <row r="226" spans="1:18">
      <c r="A226" s="34" t="s">
        <v>7139</v>
      </c>
      <c r="B226" s="34"/>
      <c r="C226" s="34"/>
      <c r="D226" s="34">
        <v>0</v>
      </c>
      <c r="E226" s="34">
        <v>0</v>
      </c>
      <c r="F226" s="34">
        <v>0</v>
      </c>
      <c r="G226" s="34" t="s">
        <v>122</v>
      </c>
      <c r="H226" s="34"/>
      <c r="I226" s="34" t="b">
        <v>0</v>
      </c>
      <c r="J226" s="23" t="b">
        <v>1</v>
      </c>
      <c r="K226" s="34" t="b">
        <v>1</v>
      </c>
      <c r="L226" s="34"/>
      <c r="M226" s="34"/>
      <c r="N226" s="34" t="s">
        <v>7150</v>
      </c>
      <c r="O226" s="34" t="s">
        <v>7150</v>
      </c>
      <c r="P226" s="34" t="s">
        <v>7150</v>
      </c>
      <c r="Q226" s="34" t="b">
        <v>0</v>
      </c>
      <c r="R226" s="34" t="b">
        <v>0</v>
      </c>
    </row>
    <row r="227" spans="1:18">
      <c r="A227" s="26" t="s">
        <v>3186</v>
      </c>
      <c r="B227" s="26"/>
      <c r="C227" s="26"/>
      <c r="D227" s="26">
        <v>0</v>
      </c>
      <c r="E227" s="26">
        <v>0</v>
      </c>
      <c r="F227" s="26">
        <v>0</v>
      </c>
      <c r="G227" s="45" t="s">
        <v>122</v>
      </c>
      <c r="H227" s="26"/>
      <c r="I227" s="26" t="b">
        <v>0</v>
      </c>
      <c r="J227" s="23" t="b">
        <v>1</v>
      </c>
      <c r="K227" s="26" t="b">
        <v>1</v>
      </c>
      <c r="L227" s="26"/>
      <c r="M227" s="26"/>
      <c r="N227" s="26" t="s">
        <v>7150</v>
      </c>
      <c r="O227" s="26" t="s">
        <v>7150</v>
      </c>
      <c r="P227" s="26" t="s">
        <v>7150</v>
      </c>
      <c r="Q227" s="26" t="b">
        <v>0</v>
      </c>
      <c r="R227" s="26" t="b">
        <v>0</v>
      </c>
    </row>
    <row r="228" spans="1:18">
      <c r="A228" s="26" t="s">
        <v>3181</v>
      </c>
      <c r="B228" s="26"/>
      <c r="C228" s="26"/>
      <c r="D228" s="26">
        <v>0</v>
      </c>
      <c r="E228" s="26">
        <v>0</v>
      </c>
      <c r="F228" s="26">
        <v>0</v>
      </c>
      <c r="G228" s="45" t="s">
        <v>122</v>
      </c>
      <c r="H228" s="26"/>
      <c r="I228" s="26" t="b">
        <v>0</v>
      </c>
      <c r="J228" s="23" t="b">
        <v>1</v>
      </c>
      <c r="K228" s="26" t="b">
        <v>1</v>
      </c>
      <c r="L228" s="26"/>
      <c r="M228" s="26"/>
      <c r="N228" s="26" t="s">
        <v>7150</v>
      </c>
      <c r="O228" s="26" t="s">
        <v>7150</v>
      </c>
      <c r="P228" s="26" t="s">
        <v>7150</v>
      </c>
      <c r="Q228" s="26" t="b">
        <v>0</v>
      </c>
      <c r="R228" s="26" t="b">
        <v>0</v>
      </c>
    </row>
    <row r="229" spans="1:18">
      <c r="A229" s="26" t="s">
        <v>3182</v>
      </c>
      <c r="B229" s="26"/>
      <c r="C229" s="26"/>
      <c r="D229" s="26">
        <v>0</v>
      </c>
      <c r="E229" s="26">
        <v>0</v>
      </c>
      <c r="F229" s="26">
        <v>0</v>
      </c>
      <c r="G229" s="45" t="s">
        <v>122</v>
      </c>
      <c r="H229" s="26"/>
      <c r="I229" s="26" t="b">
        <v>0</v>
      </c>
      <c r="J229" s="23" t="b">
        <v>1</v>
      </c>
      <c r="K229" s="26" t="b">
        <v>1</v>
      </c>
      <c r="L229" s="26"/>
      <c r="M229" s="26"/>
      <c r="N229" s="26" t="s">
        <v>7150</v>
      </c>
      <c r="O229" s="26" t="s">
        <v>7150</v>
      </c>
      <c r="P229" s="26" t="s">
        <v>7150</v>
      </c>
      <c r="Q229" s="26" t="b">
        <v>0</v>
      </c>
      <c r="R229" s="26" t="b">
        <v>0</v>
      </c>
    </row>
    <row r="230" spans="1:18">
      <c r="A230" s="34" t="s">
        <v>3183</v>
      </c>
      <c r="B230" s="34"/>
      <c r="C230" s="34"/>
      <c r="D230" s="34">
        <v>0</v>
      </c>
      <c r="E230" s="34">
        <v>0</v>
      </c>
      <c r="F230" s="34">
        <v>0</v>
      </c>
      <c r="G230" s="40" t="s">
        <v>122</v>
      </c>
      <c r="H230" s="34"/>
      <c r="I230" s="34" t="b">
        <v>0</v>
      </c>
      <c r="J230" s="23" t="b">
        <v>1</v>
      </c>
      <c r="K230" s="34" t="b">
        <v>1</v>
      </c>
      <c r="L230" s="34"/>
      <c r="M230" s="34"/>
      <c r="N230" s="34" t="s">
        <v>7150</v>
      </c>
      <c r="O230" s="34" t="s">
        <v>7150</v>
      </c>
      <c r="P230" s="34" t="s">
        <v>7150</v>
      </c>
      <c r="Q230" s="34" t="b">
        <v>0</v>
      </c>
      <c r="R230" s="34" t="b">
        <v>0</v>
      </c>
    </row>
    <row r="231" spans="1:18">
      <c r="A231" s="34" t="s">
        <v>3184</v>
      </c>
      <c r="B231" s="34"/>
      <c r="C231" s="34"/>
      <c r="D231" s="34">
        <v>0</v>
      </c>
      <c r="E231" s="34">
        <v>0</v>
      </c>
      <c r="F231" s="34">
        <v>0</v>
      </c>
      <c r="G231" s="40" t="s">
        <v>122</v>
      </c>
      <c r="H231" s="34"/>
      <c r="I231" s="34" t="b">
        <v>0</v>
      </c>
      <c r="J231" s="23" t="b">
        <v>1</v>
      </c>
      <c r="K231" s="34" t="b">
        <v>1</v>
      </c>
      <c r="L231" s="34"/>
      <c r="M231" s="34"/>
      <c r="N231" s="34" t="s">
        <v>7150</v>
      </c>
      <c r="O231" s="34" t="s">
        <v>7150</v>
      </c>
      <c r="P231" s="34" t="s">
        <v>7150</v>
      </c>
      <c r="Q231" s="34" t="b">
        <v>0</v>
      </c>
      <c r="R231" s="34" t="b">
        <v>0</v>
      </c>
    </row>
    <row r="232" spans="1:18">
      <c r="A232" s="34" t="s">
        <v>3185</v>
      </c>
      <c r="B232" s="34"/>
      <c r="C232" s="34"/>
      <c r="D232" s="34">
        <v>0</v>
      </c>
      <c r="E232" s="34">
        <v>0</v>
      </c>
      <c r="F232" s="34">
        <v>0</v>
      </c>
      <c r="G232" s="40" t="s">
        <v>122</v>
      </c>
      <c r="H232" s="34"/>
      <c r="I232" s="34" t="b">
        <v>0</v>
      </c>
      <c r="J232" s="23" t="b">
        <v>1</v>
      </c>
      <c r="K232" s="34" t="b">
        <v>1</v>
      </c>
      <c r="L232" s="34"/>
      <c r="M232" s="34"/>
      <c r="N232" s="34" t="s">
        <v>7150</v>
      </c>
      <c r="O232" s="34" t="s">
        <v>7150</v>
      </c>
      <c r="P232" s="34" t="s">
        <v>7150</v>
      </c>
      <c r="Q232" s="34" t="b">
        <v>0</v>
      </c>
      <c r="R232" s="34" t="b">
        <v>0</v>
      </c>
    </row>
    <row r="233" spans="1:18" ht="99">
      <c r="A233" s="26" t="s">
        <v>7140</v>
      </c>
      <c r="B233" s="26"/>
      <c r="C233" s="26"/>
      <c r="D233" s="26">
        <v>0</v>
      </c>
      <c r="E233" s="26">
        <v>0</v>
      </c>
      <c r="F233" s="26">
        <v>0</v>
      </c>
      <c r="G233" s="45" t="s">
        <v>7141</v>
      </c>
      <c r="H233" s="26"/>
      <c r="I233" s="26" t="b">
        <v>0</v>
      </c>
      <c r="J233" s="23" t="b">
        <v>1</v>
      </c>
      <c r="K233" s="26" t="b">
        <v>1</v>
      </c>
      <c r="L233" s="26"/>
      <c r="M233" s="26"/>
      <c r="N233" s="26" t="s">
        <v>7150</v>
      </c>
      <c r="O233" s="26" t="s">
        <v>7150</v>
      </c>
      <c r="P233" s="26" t="s">
        <v>7150</v>
      </c>
      <c r="Q233" s="26" t="b">
        <v>0</v>
      </c>
      <c r="R233" s="26" t="b">
        <v>0</v>
      </c>
    </row>
    <row r="234" spans="1:18" s="143" customFormat="1">
      <c r="A234" s="25" t="s">
        <v>4645</v>
      </c>
      <c r="B234" s="25" t="s">
        <v>1367</v>
      </c>
      <c r="C234" s="25" t="s">
        <v>3186</v>
      </c>
      <c r="D234" s="25">
        <v>0</v>
      </c>
      <c r="E234" s="25">
        <v>0</v>
      </c>
      <c r="F234" s="25">
        <v>0</v>
      </c>
      <c r="G234" s="43" t="s">
        <v>4639</v>
      </c>
      <c r="H234" s="25"/>
      <c r="I234" s="25" t="b">
        <v>0</v>
      </c>
      <c r="J234" s="25" t="b">
        <v>0</v>
      </c>
      <c r="K234" s="25" t="b">
        <v>1</v>
      </c>
      <c r="L234" s="25"/>
      <c r="M234" s="25"/>
      <c r="N234" s="25" t="s">
        <v>7150</v>
      </c>
      <c r="O234" s="25" t="s">
        <v>7150</v>
      </c>
      <c r="P234" s="25" t="s">
        <v>7150</v>
      </c>
      <c r="Q234" s="25" t="b">
        <v>0</v>
      </c>
      <c r="R234" s="25" t="b">
        <v>0</v>
      </c>
    </row>
    <row r="235" spans="1:18" s="143" customFormat="1">
      <c r="A235" s="25" t="s">
        <v>4646</v>
      </c>
      <c r="B235" s="25" t="s">
        <v>1367</v>
      </c>
      <c r="C235" s="25" t="s">
        <v>3181</v>
      </c>
      <c r="D235" s="25">
        <v>0</v>
      </c>
      <c r="E235" s="25">
        <v>0</v>
      </c>
      <c r="F235" s="25">
        <v>0</v>
      </c>
      <c r="G235" s="43" t="s">
        <v>4640</v>
      </c>
      <c r="H235" s="25"/>
      <c r="I235" s="25" t="b">
        <v>0</v>
      </c>
      <c r="J235" s="25" t="b">
        <v>0</v>
      </c>
      <c r="K235" s="25" t="b">
        <v>1</v>
      </c>
      <c r="L235" s="25"/>
      <c r="M235" s="25"/>
      <c r="N235" s="25" t="s">
        <v>7150</v>
      </c>
      <c r="O235" s="25" t="s">
        <v>7150</v>
      </c>
      <c r="P235" s="25" t="s">
        <v>7150</v>
      </c>
      <c r="Q235" s="25" t="b">
        <v>0</v>
      </c>
      <c r="R235" s="25" t="b">
        <v>0</v>
      </c>
    </row>
    <row r="236" spans="1:18" s="143" customFormat="1">
      <c r="A236" s="25" t="s">
        <v>4647</v>
      </c>
      <c r="B236" s="25" t="s">
        <v>1367</v>
      </c>
      <c r="C236" s="25" t="s">
        <v>3182</v>
      </c>
      <c r="D236" s="25">
        <v>0</v>
      </c>
      <c r="E236" s="25">
        <v>0</v>
      </c>
      <c r="F236" s="25">
        <v>0</v>
      </c>
      <c r="G236" s="43" t="s">
        <v>4641</v>
      </c>
      <c r="H236" s="25"/>
      <c r="I236" s="25" t="b">
        <v>0</v>
      </c>
      <c r="J236" s="25" t="b">
        <v>0</v>
      </c>
      <c r="K236" s="25" t="b">
        <v>1</v>
      </c>
      <c r="L236" s="25"/>
      <c r="M236" s="25"/>
      <c r="N236" s="25" t="s">
        <v>7150</v>
      </c>
      <c r="O236" s="25" t="s">
        <v>7150</v>
      </c>
      <c r="P236" s="25" t="s">
        <v>7150</v>
      </c>
      <c r="Q236" s="25" t="b">
        <v>0</v>
      </c>
      <c r="R236" s="25" t="b">
        <v>0</v>
      </c>
    </row>
    <row r="237" spans="1:18" s="143" customFormat="1">
      <c r="A237" s="25" t="s">
        <v>4648</v>
      </c>
      <c r="B237" s="25" t="s">
        <v>1367</v>
      </c>
      <c r="C237" s="25" t="s">
        <v>3183</v>
      </c>
      <c r="D237" s="25">
        <v>0</v>
      </c>
      <c r="E237" s="25">
        <v>0</v>
      </c>
      <c r="F237" s="25">
        <v>0</v>
      </c>
      <c r="G237" s="43" t="s">
        <v>4642</v>
      </c>
      <c r="H237" s="25"/>
      <c r="I237" s="25" t="b">
        <v>0</v>
      </c>
      <c r="J237" s="25" t="b">
        <v>0</v>
      </c>
      <c r="K237" s="25" t="b">
        <v>1</v>
      </c>
      <c r="L237" s="25"/>
      <c r="M237" s="25"/>
      <c r="N237" s="25" t="s">
        <v>7150</v>
      </c>
      <c r="O237" s="25" t="s">
        <v>7150</v>
      </c>
      <c r="P237" s="25" t="s">
        <v>7150</v>
      </c>
      <c r="Q237" s="25" t="b">
        <v>0</v>
      </c>
      <c r="R237" s="25" t="b">
        <v>0</v>
      </c>
    </row>
    <row r="238" spans="1:18" s="143" customFormat="1">
      <c r="A238" s="25" t="s">
        <v>4649</v>
      </c>
      <c r="B238" s="25" t="s">
        <v>1367</v>
      </c>
      <c r="C238" s="25" t="s">
        <v>3184</v>
      </c>
      <c r="D238" s="25">
        <v>0</v>
      </c>
      <c r="E238" s="25">
        <v>0</v>
      </c>
      <c r="F238" s="25">
        <v>0</v>
      </c>
      <c r="G238" s="43" t="s">
        <v>4643</v>
      </c>
      <c r="H238" s="25"/>
      <c r="I238" s="25" t="b">
        <v>0</v>
      </c>
      <c r="J238" s="25" t="b">
        <v>0</v>
      </c>
      <c r="K238" s="25" t="b">
        <v>1</v>
      </c>
      <c r="L238" s="25"/>
      <c r="M238" s="25"/>
      <c r="N238" s="25" t="s">
        <v>7150</v>
      </c>
      <c r="O238" s="25" t="s">
        <v>7150</v>
      </c>
      <c r="P238" s="25" t="s">
        <v>7150</v>
      </c>
      <c r="Q238" s="25" t="b">
        <v>0</v>
      </c>
      <c r="R238" s="25" t="b">
        <v>0</v>
      </c>
    </row>
    <row r="239" spans="1:18" s="143" customFormat="1">
      <c r="A239" s="25" t="s">
        <v>4650</v>
      </c>
      <c r="B239" s="25" t="s">
        <v>1367</v>
      </c>
      <c r="C239" s="25" t="s">
        <v>3185</v>
      </c>
      <c r="D239" s="25">
        <v>0</v>
      </c>
      <c r="E239" s="25">
        <v>0</v>
      </c>
      <c r="F239" s="25">
        <v>0</v>
      </c>
      <c r="G239" s="25" t="s">
        <v>4644</v>
      </c>
      <c r="H239" s="25"/>
      <c r="I239" s="25" t="b">
        <v>0</v>
      </c>
      <c r="J239" s="25" t="b">
        <v>0</v>
      </c>
      <c r="K239" s="25" t="b">
        <v>1</v>
      </c>
      <c r="L239" s="25"/>
      <c r="M239" s="25"/>
      <c r="N239" s="25" t="s">
        <v>7150</v>
      </c>
      <c r="O239" s="25" t="s">
        <v>7150</v>
      </c>
      <c r="P239" s="25" t="s">
        <v>7150</v>
      </c>
      <c r="Q239" s="25" t="b">
        <v>0</v>
      </c>
      <c r="R239" s="25" t="b">
        <v>0</v>
      </c>
    </row>
    <row r="240" spans="1:18" s="142" customFormat="1">
      <c r="A240" s="23" t="s">
        <v>813</v>
      </c>
      <c r="B240" s="23"/>
      <c r="C240" s="23"/>
      <c r="D240" s="23">
        <v>8000</v>
      </c>
      <c r="E240" s="23">
        <v>0</v>
      </c>
      <c r="F240" s="23">
        <v>0</v>
      </c>
      <c r="G240" s="23" t="s">
        <v>814</v>
      </c>
      <c r="H240" s="23"/>
      <c r="I240" s="23" t="b">
        <v>0</v>
      </c>
      <c r="J240" s="23" t="b">
        <v>0</v>
      </c>
      <c r="K240" s="23" t="b">
        <v>1</v>
      </c>
      <c r="L240" s="23" t="s">
        <v>66</v>
      </c>
      <c r="M240" s="23"/>
      <c r="N240" s="23" t="s">
        <v>7150</v>
      </c>
      <c r="O240" s="23" t="s">
        <v>7150</v>
      </c>
      <c r="P240" s="23" t="s">
        <v>7150</v>
      </c>
      <c r="Q240" s="23" t="b">
        <v>0</v>
      </c>
      <c r="R240" s="23" t="b">
        <v>0</v>
      </c>
    </row>
    <row r="241" spans="1:18" s="142" customFormat="1">
      <c r="A241" s="23" t="s">
        <v>815</v>
      </c>
      <c r="B241" s="23"/>
      <c r="C241" s="23"/>
      <c r="D241" s="23">
        <v>10000</v>
      </c>
      <c r="E241" s="23">
        <v>0</v>
      </c>
      <c r="F241" s="23">
        <v>0</v>
      </c>
      <c r="G241" s="23" t="s">
        <v>816</v>
      </c>
      <c r="H241" s="23"/>
      <c r="I241" s="23" t="b">
        <v>0</v>
      </c>
      <c r="J241" s="23" t="b">
        <v>0</v>
      </c>
      <c r="K241" s="23" t="b">
        <v>1</v>
      </c>
      <c r="L241" s="23" t="s">
        <v>66</v>
      </c>
      <c r="M241" s="23"/>
      <c r="N241" s="23" t="s">
        <v>7150</v>
      </c>
      <c r="O241" s="23" t="s">
        <v>7150</v>
      </c>
      <c r="P241" s="23" t="s">
        <v>7150</v>
      </c>
      <c r="Q241" s="23" t="b">
        <v>0</v>
      </c>
      <c r="R241" s="23" t="b">
        <v>0</v>
      </c>
    </row>
    <row r="242" spans="1:18" s="142" customFormat="1">
      <c r="A242" s="23" t="s">
        <v>817</v>
      </c>
      <c r="B242" s="23"/>
      <c r="C242" s="23"/>
      <c r="D242" s="23">
        <v>10000</v>
      </c>
      <c r="E242" s="23">
        <v>0</v>
      </c>
      <c r="F242" s="23">
        <v>0</v>
      </c>
      <c r="G242" s="23" t="s">
        <v>818</v>
      </c>
      <c r="H242" s="23"/>
      <c r="I242" s="23" t="b">
        <v>0</v>
      </c>
      <c r="J242" s="23" t="b">
        <v>0</v>
      </c>
      <c r="K242" s="23" t="b">
        <v>1</v>
      </c>
      <c r="L242" s="23" t="s">
        <v>66</v>
      </c>
      <c r="M242" s="23"/>
      <c r="N242" s="23" t="s">
        <v>7150</v>
      </c>
      <c r="O242" s="23" t="s">
        <v>7150</v>
      </c>
      <c r="P242" s="23" t="s">
        <v>7150</v>
      </c>
      <c r="Q242" s="23" t="b">
        <v>0</v>
      </c>
      <c r="R242" s="23" t="b">
        <v>0</v>
      </c>
    </row>
    <row r="243" spans="1:18" s="142" customFormat="1">
      <c r="A243" s="23" t="s">
        <v>7209</v>
      </c>
      <c r="B243" s="23"/>
      <c r="C243" s="23"/>
      <c r="D243" s="23">
        <v>10000</v>
      </c>
      <c r="E243" s="23">
        <v>0</v>
      </c>
      <c r="F243" s="23">
        <v>0</v>
      </c>
      <c r="G243" s="23" t="s">
        <v>819</v>
      </c>
      <c r="H243" s="23"/>
      <c r="I243" s="23" t="b">
        <v>0</v>
      </c>
      <c r="J243" s="23" t="b">
        <v>0</v>
      </c>
      <c r="K243" s="23" t="b">
        <v>1</v>
      </c>
      <c r="L243" s="23" t="s">
        <v>66</v>
      </c>
      <c r="M243" s="23"/>
      <c r="N243" s="23" t="s">
        <v>7150</v>
      </c>
      <c r="O243" s="23" t="s">
        <v>7150</v>
      </c>
      <c r="P243" s="23" t="s">
        <v>7150</v>
      </c>
      <c r="Q243" s="23" t="b">
        <v>0</v>
      </c>
      <c r="R243" s="23" t="b">
        <v>0</v>
      </c>
    </row>
    <row r="244" spans="1:18" s="142" customFormat="1">
      <c r="A244" s="23" t="s">
        <v>820</v>
      </c>
      <c r="B244" s="23"/>
      <c r="C244" s="23"/>
      <c r="D244" s="23">
        <v>10000</v>
      </c>
      <c r="E244" s="23">
        <v>0</v>
      </c>
      <c r="F244" s="23">
        <v>0</v>
      </c>
      <c r="G244" s="23" t="s">
        <v>821</v>
      </c>
      <c r="H244" s="23"/>
      <c r="I244" s="23" t="b">
        <v>0</v>
      </c>
      <c r="J244" s="23" t="b">
        <v>0</v>
      </c>
      <c r="K244" s="23" t="b">
        <v>1</v>
      </c>
      <c r="L244" s="23" t="s">
        <v>66</v>
      </c>
      <c r="M244" s="23"/>
      <c r="N244" s="23" t="s">
        <v>7150</v>
      </c>
      <c r="O244" s="23" t="s">
        <v>7150</v>
      </c>
      <c r="P244" s="23" t="s">
        <v>7150</v>
      </c>
      <c r="Q244" s="23" t="b">
        <v>0</v>
      </c>
      <c r="R244" s="23" t="b">
        <v>0</v>
      </c>
    </row>
    <row r="245" spans="1:18" s="142" customFormat="1">
      <c r="A245" s="23" t="s">
        <v>822</v>
      </c>
      <c r="B245" s="23"/>
      <c r="C245" s="23"/>
      <c r="D245" s="23">
        <v>10000</v>
      </c>
      <c r="E245" s="23">
        <v>0</v>
      </c>
      <c r="F245" s="23">
        <v>0</v>
      </c>
      <c r="G245" s="23" t="s">
        <v>823</v>
      </c>
      <c r="H245" s="23"/>
      <c r="I245" s="23" t="b">
        <v>0</v>
      </c>
      <c r="J245" s="23" t="b">
        <v>0</v>
      </c>
      <c r="K245" s="23" t="b">
        <v>1</v>
      </c>
      <c r="L245" s="23" t="s">
        <v>66</v>
      </c>
      <c r="M245" s="23"/>
      <c r="N245" s="23" t="s">
        <v>7150</v>
      </c>
      <c r="O245" s="23" t="s">
        <v>7150</v>
      </c>
      <c r="P245" s="23" t="s">
        <v>7150</v>
      </c>
      <c r="Q245" s="23" t="b">
        <v>0</v>
      </c>
      <c r="R245" s="23" t="b">
        <v>0</v>
      </c>
    </row>
    <row r="246" spans="1:18" s="142" customFormat="1">
      <c r="A246" s="23" t="s">
        <v>7210</v>
      </c>
      <c r="B246" s="23"/>
      <c r="C246" s="23"/>
      <c r="D246" s="23">
        <v>10000</v>
      </c>
      <c r="E246" s="23">
        <v>0</v>
      </c>
      <c r="F246" s="23">
        <v>0</v>
      </c>
      <c r="G246" s="23" t="s">
        <v>824</v>
      </c>
      <c r="H246" s="23"/>
      <c r="I246" s="23" t="b">
        <v>0</v>
      </c>
      <c r="J246" s="23" t="b">
        <v>0</v>
      </c>
      <c r="K246" s="23" t="b">
        <v>1</v>
      </c>
      <c r="L246" s="23" t="s">
        <v>66</v>
      </c>
      <c r="M246" s="23"/>
      <c r="N246" s="23" t="s">
        <v>7150</v>
      </c>
      <c r="O246" s="23" t="s">
        <v>7150</v>
      </c>
      <c r="P246" s="23" t="s">
        <v>7150</v>
      </c>
      <c r="Q246" s="23" t="b">
        <v>0</v>
      </c>
      <c r="R246" s="23" t="b">
        <v>0</v>
      </c>
    </row>
    <row r="247" spans="1:18" s="150" customFormat="1">
      <c r="A247" s="24" t="s">
        <v>7211</v>
      </c>
      <c r="B247" s="24"/>
      <c r="C247" s="24"/>
      <c r="D247" s="24">
        <v>4000</v>
      </c>
      <c r="E247" s="24">
        <v>0</v>
      </c>
      <c r="F247" s="24">
        <v>0</v>
      </c>
      <c r="G247" s="24" t="s">
        <v>7212</v>
      </c>
      <c r="H247" s="24"/>
      <c r="I247" s="24" t="b">
        <v>0</v>
      </c>
      <c r="J247" s="24" t="b">
        <v>0</v>
      </c>
      <c r="K247" s="24" t="b">
        <v>1</v>
      </c>
      <c r="L247" s="24" t="s">
        <v>790</v>
      </c>
      <c r="M247" s="24"/>
      <c r="N247" s="24" t="s">
        <v>7150</v>
      </c>
      <c r="O247" s="24" t="s">
        <v>7150</v>
      </c>
      <c r="P247" s="24" t="s">
        <v>7150</v>
      </c>
      <c r="Q247" s="24" t="b">
        <v>0</v>
      </c>
      <c r="R247" s="24" t="b">
        <v>0</v>
      </c>
    </row>
    <row r="248" spans="1:18" s="150" customFormat="1">
      <c r="A248" s="24" t="s">
        <v>1098</v>
      </c>
      <c r="B248" s="24"/>
      <c r="C248" s="24"/>
      <c r="D248" s="24">
        <v>4000</v>
      </c>
      <c r="E248" s="24">
        <v>0</v>
      </c>
      <c r="F248" s="24">
        <v>0</v>
      </c>
      <c r="G248" s="24" t="s">
        <v>1104</v>
      </c>
      <c r="H248" s="24"/>
      <c r="I248" s="24" t="b">
        <v>0</v>
      </c>
      <c r="J248" s="24" t="b">
        <v>0</v>
      </c>
      <c r="K248" s="24" t="b">
        <v>1</v>
      </c>
      <c r="L248" s="24" t="s">
        <v>790</v>
      </c>
      <c r="M248" s="24"/>
      <c r="N248" s="24" t="s">
        <v>7150</v>
      </c>
      <c r="O248" s="24" t="s">
        <v>7150</v>
      </c>
      <c r="P248" s="24" t="s">
        <v>7150</v>
      </c>
      <c r="Q248" s="24" t="b">
        <v>0</v>
      </c>
      <c r="R248" s="24" t="b">
        <v>0</v>
      </c>
    </row>
    <row r="249" spans="1:18" s="150" customFormat="1">
      <c r="A249" s="24" t="s">
        <v>1099</v>
      </c>
      <c r="B249" s="24"/>
      <c r="C249" s="24"/>
      <c r="D249" s="24">
        <v>4000</v>
      </c>
      <c r="E249" s="24">
        <v>0</v>
      </c>
      <c r="F249" s="24">
        <v>0</v>
      </c>
      <c r="G249" s="24" t="s">
        <v>1105</v>
      </c>
      <c r="H249" s="24"/>
      <c r="I249" s="24" t="b">
        <v>0</v>
      </c>
      <c r="J249" s="24" t="b">
        <v>0</v>
      </c>
      <c r="K249" s="24" t="b">
        <v>1</v>
      </c>
      <c r="L249" s="24" t="s">
        <v>790</v>
      </c>
      <c r="M249" s="24"/>
      <c r="N249" s="24" t="s">
        <v>7150</v>
      </c>
      <c r="O249" s="24" t="s">
        <v>7150</v>
      </c>
      <c r="P249" s="24" t="s">
        <v>7150</v>
      </c>
      <c r="Q249" s="24" t="b">
        <v>0</v>
      </c>
      <c r="R249" s="24" t="b">
        <v>0</v>
      </c>
    </row>
    <row r="250" spans="1:18" s="150" customFormat="1">
      <c r="A250" s="24" t="s">
        <v>1100</v>
      </c>
      <c r="B250" s="24"/>
      <c r="C250" s="24"/>
      <c r="D250" s="24">
        <v>4000</v>
      </c>
      <c r="E250" s="24">
        <v>0</v>
      </c>
      <c r="F250" s="24">
        <v>0</v>
      </c>
      <c r="G250" s="24" t="s">
        <v>1106</v>
      </c>
      <c r="H250" s="24"/>
      <c r="I250" s="24" t="b">
        <v>0</v>
      </c>
      <c r="J250" s="24" t="b">
        <v>0</v>
      </c>
      <c r="K250" s="24" t="b">
        <v>1</v>
      </c>
      <c r="L250" s="24" t="s">
        <v>790</v>
      </c>
      <c r="M250" s="24"/>
      <c r="N250" s="24" t="s">
        <v>7150</v>
      </c>
      <c r="O250" s="24" t="s">
        <v>7150</v>
      </c>
      <c r="P250" s="24" t="s">
        <v>7150</v>
      </c>
      <c r="Q250" s="24" t="b">
        <v>0</v>
      </c>
      <c r="R250" s="24" t="b">
        <v>0</v>
      </c>
    </row>
    <row r="251" spans="1:18" s="150" customFormat="1">
      <c r="A251" s="24" t="s">
        <v>1101</v>
      </c>
      <c r="B251" s="24"/>
      <c r="C251" s="24"/>
      <c r="D251" s="24">
        <v>4000</v>
      </c>
      <c r="E251" s="24">
        <v>0</v>
      </c>
      <c r="F251" s="24">
        <v>0</v>
      </c>
      <c r="G251" s="24" t="s">
        <v>1107</v>
      </c>
      <c r="H251" s="24"/>
      <c r="I251" s="24" t="b">
        <v>0</v>
      </c>
      <c r="J251" s="24" t="b">
        <v>0</v>
      </c>
      <c r="K251" s="24" t="b">
        <v>1</v>
      </c>
      <c r="L251" s="24" t="s">
        <v>790</v>
      </c>
      <c r="M251" s="24"/>
      <c r="N251" s="24" t="s">
        <v>7150</v>
      </c>
      <c r="O251" s="24" t="s">
        <v>7150</v>
      </c>
      <c r="P251" s="24" t="s">
        <v>7150</v>
      </c>
      <c r="Q251" s="24" t="b">
        <v>0</v>
      </c>
      <c r="R251" s="24" t="b">
        <v>0</v>
      </c>
    </row>
    <row r="252" spans="1:18" s="150" customFormat="1">
      <c r="A252" s="24" t="s">
        <v>1102</v>
      </c>
      <c r="B252" s="24"/>
      <c r="C252" s="24"/>
      <c r="D252" s="24">
        <v>4000</v>
      </c>
      <c r="E252" s="24">
        <v>0</v>
      </c>
      <c r="F252" s="24">
        <v>0</v>
      </c>
      <c r="G252" s="24" t="s">
        <v>1108</v>
      </c>
      <c r="H252" s="24"/>
      <c r="I252" s="24" t="b">
        <v>0</v>
      </c>
      <c r="J252" s="24" t="b">
        <v>0</v>
      </c>
      <c r="K252" s="24" t="b">
        <v>1</v>
      </c>
      <c r="L252" s="24" t="s">
        <v>790</v>
      </c>
      <c r="M252" s="24"/>
      <c r="N252" s="24" t="s">
        <v>7150</v>
      </c>
      <c r="O252" s="24" t="s">
        <v>7150</v>
      </c>
      <c r="P252" s="24" t="s">
        <v>7150</v>
      </c>
      <c r="Q252" s="24" t="b">
        <v>0</v>
      </c>
      <c r="R252" s="24" t="b">
        <v>0</v>
      </c>
    </row>
    <row r="253" spans="1:18" s="150" customFormat="1">
      <c r="A253" s="24" t="s">
        <v>1103</v>
      </c>
      <c r="B253" s="24"/>
      <c r="C253" s="24"/>
      <c r="D253" s="24">
        <v>4000</v>
      </c>
      <c r="E253" s="24">
        <v>0</v>
      </c>
      <c r="F253" s="24">
        <v>0</v>
      </c>
      <c r="G253" s="24" t="s">
        <v>1109</v>
      </c>
      <c r="H253" s="24"/>
      <c r="I253" s="24" t="b">
        <v>0</v>
      </c>
      <c r="J253" s="24" t="b">
        <v>0</v>
      </c>
      <c r="K253" s="24" t="b">
        <v>1</v>
      </c>
      <c r="L253" s="24" t="s">
        <v>790</v>
      </c>
      <c r="M253" s="24"/>
      <c r="N253" s="24" t="s">
        <v>7150</v>
      </c>
      <c r="O253" s="24" t="s">
        <v>7150</v>
      </c>
      <c r="P253" s="24" t="s">
        <v>7150</v>
      </c>
      <c r="Q253" s="24" t="b">
        <v>0</v>
      </c>
      <c r="R253" s="24" t="b">
        <v>0</v>
      </c>
    </row>
    <row r="254" spans="1:18" s="152" customFormat="1">
      <c r="A254" s="151" t="s">
        <v>7501</v>
      </c>
      <c r="B254" s="151"/>
      <c r="C254" s="151"/>
      <c r="D254" s="151">
        <v>8000</v>
      </c>
      <c r="E254" s="151">
        <v>0</v>
      </c>
      <c r="F254" s="151">
        <v>0</v>
      </c>
      <c r="G254" s="151" t="s">
        <v>7502</v>
      </c>
      <c r="H254" s="151"/>
      <c r="I254" s="151" t="b">
        <v>0</v>
      </c>
      <c r="J254" s="151" t="b">
        <v>0</v>
      </c>
      <c r="K254" s="151" t="b">
        <v>1</v>
      </c>
      <c r="L254" s="151" t="s">
        <v>7503</v>
      </c>
      <c r="M254" s="151"/>
      <c r="N254" s="151" t="s">
        <v>7150</v>
      </c>
      <c r="O254" s="151" t="s">
        <v>7150</v>
      </c>
      <c r="P254" s="151" t="s">
        <v>7150</v>
      </c>
      <c r="Q254" s="151" t="b">
        <v>0</v>
      </c>
      <c r="R254" s="151" t="b">
        <v>0</v>
      </c>
    </row>
    <row r="255" spans="1:18" s="150" customFormat="1">
      <c r="A255" s="24" t="s">
        <v>825</v>
      </c>
      <c r="B255" s="24"/>
      <c r="C255" s="24"/>
      <c r="D255" s="24">
        <v>5000</v>
      </c>
      <c r="E255" s="24">
        <v>0</v>
      </c>
      <c r="F255" s="24">
        <v>0</v>
      </c>
      <c r="G255" s="24" t="s">
        <v>258</v>
      </c>
      <c r="H255" s="24"/>
      <c r="I255" s="24" t="b">
        <v>0</v>
      </c>
      <c r="J255" s="24" t="b">
        <v>0</v>
      </c>
      <c r="K255" s="24" t="b">
        <v>0</v>
      </c>
      <c r="L255" s="24" t="s">
        <v>826</v>
      </c>
      <c r="M255" s="24"/>
      <c r="N255" s="24" t="s">
        <v>7150</v>
      </c>
      <c r="O255" s="24" t="s">
        <v>7150</v>
      </c>
      <c r="P255" s="24" t="s">
        <v>7150</v>
      </c>
      <c r="Q255" s="24" t="b">
        <v>0</v>
      </c>
      <c r="R255" s="24" t="b">
        <v>0</v>
      </c>
    </row>
    <row r="256" spans="1:18" s="150" customFormat="1">
      <c r="A256" s="24" t="s">
        <v>827</v>
      </c>
      <c r="B256" s="24"/>
      <c r="C256" s="24"/>
      <c r="D256" s="24">
        <v>10000</v>
      </c>
      <c r="E256" s="24">
        <v>0</v>
      </c>
      <c r="F256" s="24">
        <v>0</v>
      </c>
      <c r="G256" s="24" t="s">
        <v>258</v>
      </c>
      <c r="H256" s="24"/>
      <c r="I256" s="24" t="b">
        <v>0</v>
      </c>
      <c r="J256" s="24" t="b">
        <v>0</v>
      </c>
      <c r="K256" s="24" t="b">
        <v>0</v>
      </c>
      <c r="L256" s="24" t="s">
        <v>826</v>
      </c>
      <c r="M256" s="24"/>
      <c r="N256" s="24" t="s">
        <v>7150</v>
      </c>
      <c r="O256" s="24" t="s">
        <v>7150</v>
      </c>
      <c r="P256" s="24" t="s">
        <v>7150</v>
      </c>
      <c r="Q256" s="24" t="b">
        <v>0</v>
      </c>
      <c r="R256" s="24" t="b">
        <v>0</v>
      </c>
    </row>
    <row r="257" spans="1:18" s="142" customFormat="1">
      <c r="A257" s="23" t="s">
        <v>8820</v>
      </c>
      <c r="B257" s="23"/>
      <c r="C257" s="23"/>
      <c r="D257" s="23">
        <v>0</v>
      </c>
      <c r="E257" s="23">
        <v>0</v>
      </c>
      <c r="F257" s="23">
        <v>0</v>
      </c>
      <c r="G257" s="23" t="s">
        <v>8821</v>
      </c>
      <c r="H257" s="23"/>
      <c r="I257" s="23" t="b">
        <v>0</v>
      </c>
      <c r="J257" s="23" t="b">
        <v>0</v>
      </c>
      <c r="K257" s="23" t="b">
        <v>1</v>
      </c>
      <c r="L257" s="23"/>
      <c r="M257" s="23"/>
      <c r="N257" s="23" t="s">
        <v>7150</v>
      </c>
      <c r="O257" s="23" t="s">
        <v>7150</v>
      </c>
      <c r="P257" s="23" t="s">
        <v>7150</v>
      </c>
      <c r="Q257" s="23" t="b">
        <v>0</v>
      </c>
      <c r="R257" s="23" t="b">
        <v>0</v>
      </c>
    </row>
    <row r="258" spans="1:18" s="142" customFormat="1">
      <c r="A258" s="23" t="s">
        <v>1301</v>
      </c>
      <c r="B258" s="23"/>
      <c r="C258" s="23"/>
      <c r="D258" s="23">
        <v>0</v>
      </c>
      <c r="E258" s="23">
        <v>0</v>
      </c>
      <c r="F258" s="23">
        <v>0</v>
      </c>
      <c r="G258" s="23" t="s">
        <v>8821</v>
      </c>
      <c r="H258" s="23"/>
      <c r="I258" s="23" t="b">
        <v>0</v>
      </c>
      <c r="J258" s="23" t="b">
        <v>0</v>
      </c>
      <c r="K258" s="23" t="b">
        <v>1</v>
      </c>
      <c r="L258" s="23"/>
      <c r="M258" s="23"/>
      <c r="N258" s="23" t="s">
        <v>7150</v>
      </c>
      <c r="O258" s="23" t="s">
        <v>7150</v>
      </c>
      <c r="P258" s="23" t="s">
        <v>7150</v>
      </c>
      <c r="Q258" s="23" t="b">
        <v>0</v>
      </c>
      <c r="R258" s="23" t="b">
        <v>0</v>
      </c>
    </row>
    <row r="259" spans="1:18" s="142" customFormat="1">
      <c r="A259" s="23" t="s">
        <v>1302</v>
      </c>
      <c r="B259" s="23"/>
      <c r="C259" s="23"/>
      <c r="D259" s="23">
        <v>0</v>
      </c>
      <c r="E259" s="23">
        <v>0</v>
      </c>
      <c r="F259" s="23">
        <v>0</v>
      </c>
      <c r="G259" s="23" t="s">
        <v>8821</v>
      </c>
      <c r="H259" s="23"/>
      <c r="I259" s="23" t="b">
        <v>0</v>
      </c>
      <c r="J259" s="23" t="b">
        <v>0</v>
      </c>
      <c r="K259" s="23" t="b">
        <v>1</v>
      </c>
      <c r="L259" s="23"/>
      <c r="M259" s="23"/>
      <c r="N259" s="23" t="s">
        <v>7150</v>
      </c>
      <c r="O259" s="23" t="s">
        <v>7150</v>
      </c>
      <c r="P259" s="23" t="s">
        <v>7150</v>
      </c>
      <c r="Q259" s="23" t="b">
        <v>0</v>
      </c>
      <c r="R259" s="23" t="b">
        <v>0</v>
      </c>
    </row>
    <row r="260" spans="1:18" s="142" customFormat="1">
      <c r="A260" s="23" t="s">
        <v>1303</v>
      </c>
      <c r="B260" s="23"/>
      <c r="C260" s="23"/>
      <c r="D260" s="23">
        <v>0</v>
      </c>
      <c r="E260" s="23">
        <v>0</v>
      </c>
      <c r="F260" s="23">
        <v>0</v>
      </c>
      <c r="G260" s="23" t="s">
        <v>8821</v>
      </c>
      <c r="H260" s="23"/>
      <c r="I260" s="23" t="b">
        <v>0</v>
      </c>
      <c r="J260" s="23" t="b">
        <v>0</v>
      </c>
      <c r="K260" s="23" t="b">
        <v>1</v>
      </c>
      <c r="L260" s="23"/>
      <c r="M260" s="23"/>
      <c r="N260" s="23" t="s">
        <v>7150</v>
      </c>
      <c r="O260" s="23" t="s">
        <v>7150</v>
      </c>
      <c r="P260" s="23" t="s">
        <v>7150</v>
      </c>
      <c r="Q260" s="23" t="b">
        <v>0</v>
      </c>
      <c r="R260" s="23" t="b">
        <v>0</v>
      </c>
    </row>
    <row r="261" spans="1:18" s="142" customFormat="1">
      <c r="A261" s="23" t="s">
        <v>1304</v>
      </c>
      <c r="B261" s="23"/>
      <c r="C261" s="23"/>
      <c r="D261" s="23">
        <v>0</v>
      </c>
      <c r="E261" s="23">
        <v>0</v>
      </c>
      <c r="F261" s="23">
        <v>0</v>
      </c>
      <c r="G261" s="23" t="s">
        <v>8821</v>
      </c>
      <c r="H261" s="23"/>
      <c r="I261" s="23" t="b">
        <v>0</v>
      </c>
      <c r="J261" s="23" t="b">
        <v>0</v>
      </c>
      <c r="K261" s="23" t="b">
        <v>1</v>
      </c>
      <c r="L261" s="23"/>
      <c r="M261" s="23"/>
      <c r="N261" s="23" t="s">
        <v>7150</v>
      </c>
      <c r="O261" s="23" t="s">
        <v>7150</v>
      </c>
      <c r="P261" s="23" t="s">
        <v>7150</v>
      </c>
      <c r="Q261" s="23" t="b">
        <v>0</v>
      </c>
      <c r="R261" s="23" t="b">
        <v>0</v>
      </c>
    </row>
    <row r="262" spans="1:18" s="142" customFormat="1">
      <c r="A262" s="23" t="s">
        <v>1305</v>
      </c>
      <c r="B262" s="23"/>
      <c r="C262" s="23"/>
      <c r="D262" s="23">
        <v>0</v>
      </c>
      <c r="E262" s="23">
        <v>0</v>
      </c>
      <c r="F262" s="23">
        <v>0</v>
      </c>
      <c r="G262" s="23" t="s">
        <v>8821</v>
      </c>
      <c r="H262" s="23"/>
      <c r="I262" s="23" t="b">
        <v>0</v>
      </c>
      <c r="J262" s="23" t="b">
        <v>0</v>
      </c>
      <c r="K262" s="23" t="b">
        <v>1</v>
      </c>
      <c r="L262" s="23"/>
      <c r="M262" s="23"/>
      <c r="N262" s="23" t="s">
        <v>7150</v>
      </c>
      <c r="O262" s="23" t="s">
        <v>7150</v>
      </c>
      <c r="P262" s="23" t="s">
        <v>7150</v>
      </c>
      <c r="Q262" s="23" t="b">
        <v>0</v>
      </c>
      <c r="R262" s="23" t="b">
        <v>0</v>
      </c>
    </row>
    <row r="263" spans="1:18" s="152" customFormat="1">
      <c r="A263" s="151" t="s">
        <v>8814</v>
      </c>
      <c r="B263" s="151"/>
      <c r="C263" s="151"/>
      <c r="D263" s="151">
        <v>0</v>
      </c>
      <c r="E263" s="151">
        <v>0</v>
      </c>
      <c r="F263" s="151">
        <v>0</v>
      </c>
      <c r="G263" s="151" t="s">
        <v>8823</v>
      </c>
      <c r="H263" s="151"/>
      <c r="I263" s="151" t="b">
        <v>0</v>
      </c>
      <c r="J263" s="151" t="b">
        <v>0</v>
      </c>
      <c r="K263" s="151" t="b">
        <v>1</v>
      </c>
      <c r="L263" s="151"/>
      <c r="M263" s="151"/>
      <c r="N263" s="151" t="s">
        <v>7150</v>
      </c>
      <c r="O263" s="151" t="s">
        <v>7150</v>
      </c>
      <c r="P263" s="151" t="s">
        <v>7150</v>
      </c>
      <c r="Q263" s="151" t="b">
        <v>0</v>
      </c>
      <c r="R263" s="151" t="b">
        <v>0</v>
      </c>
    </row>
    <row r="264" spans="1:18" s="152" customFormat="1">
      <c r="A264" s="151" t="s">
        <v>8815</v>
      </c>
      <c r="B264" s="151"/>
      <c r="C264" s="151"/>
      <c r="D264" s="151">
        <v>0</v>
      </c>
      <c r="E264" s="151">
        <v>0</v>
      </c>
      <c r="F264" s="151">
        <v>0</v>
      </c>
      <c r="G264" s="151" t="s">
        <v>8824</v>
      </c>
      <c r="H264" s="151"/>
      <c r="I264" s="151" t="b">
        <v>0</v>
      </c>
      <c r="J264" s="151" t="b">
        <v>0</v>
      </c>
      <c r="K264" s="151" t="b">
        <v>1</v>
      </c>
      <c r="L264" s="151"/>
      <c r="M264" s="151"/>
      <c r="N264" s="151" t="s">
        <v>7150</v>
      </c>
      <c r="O264" s="151" t="s">
        <v>7150</v>
      </c>
      <c r="P264" s="151" t="s">
        <v>7150</v>
      </c>
      <c r="Q264" s="151" t="b">
        <v>0</v>
      </c>
      <c r="R264" s="151" t="b">
        <v>0</v>
      </c>
    </row>
    <row r="265" spans="1:18" s="152" customFormat="1">
      <c r="A265" s="151" t="s">
        <v>8816</v>
      </c>
      <c r="B265" s="151"/>
      <c r="C265" s="151"/>
      <c r="D265" s="151">
        <v>0</v>
      </c>
      <c r="E265" s="151">
        <v>0</v>
      </c>
      <c r="F265" s="151">
        <v>0</v>
      </c>
      <c r="G265" s="151" t="s">
        <v>8825</v>
      </c>
      <c r="H265" s="151"/>
      <c r="I265" s="151" t="b">
        <v>0</v>
      </c>
      <c r="J265" s="151" t="b">
        <v>0</v>
      </c>
      <c r="K265" s="151" t="b">
        <v>1</v>
      </c>
      <c r="L265" s="151"/>
      <c r="M265" s="151"/>
      <c r="N265" s="151" t="s">
        <v>7150</v>
      </c>
      <c r="O265" s="151" t="s">
        <v>7150</v>
      </c>
      <c r="P265" s="151" t="s">
        <v>7150</v>
      </c>
      <c r="Q265" s="151" t="b">
        <v>0</v>
      </c>
      <c r="R265" s="151" t="b">
        <v>0</v>
      </c>
    </row>
    <row r="266" spans="1:18" s="152" customFormat="1">
      <c r="A266" s="151" t="s">
        <v>8817</v>
      </c>
      <c r="B266" s="151"/>
      <c r="C266" s="151"/>
      <c r="D266" s="151">
        <v>0</v>
      </c>
      <c r="E266" s="151">
        <v>0</v>
      </c>
      <c r="F266" s="151">
        <v>0</v>
      </c>
      <c r="G266" s="151" t="s">
        <v>8826</v>
      </c>
      <c r="H266" s="151"/>
      <c r="I266" s="151" t="b">
        <v>0</v>
      </c>
      <c r="J266" s="151" t="b">
        <v>0</v>
      </c>
      <c r="K266" s="151" t="b">
        <v>1</v>
      </c>
      <c r="L266" s="151"/>
      <c r="M266" s="151"/>
      <c r="N266" s="151" t="s">
        <v>7150</v>
      </c>
      <c r="O266" s="151" t="s">
        <v>7150</v>
      </c>
      <c r="P266" s="151" t="s">
        <v>7150</v>
      </c>
      <c r="Q266" s="151" t="b">
        <v>0</v>
      </c>
      <c r="R266" s="151" t="b">
        <v>0</v>
      </c>
    </row>
    <row r="267" spans="1:18" s="152" customFormat="1">
      <c r="A267" s="151" t="s">
        <v>8818</v>
      </c>
      <c r="B267" s="151"/>
      <c r="C267" s="151"/>
      <c r="D267" s="151">
        <v>0</v>
      </c>
      <c r="E267" s="151">
        <v>0</v>
      </c>
      <c r="F267" s="151">
        <v>0</v>
      </c>
      <c r="G267" s="151" t="s">
        <v>8827</v>
      </c>
      <c r="H267" s="151"/>
      <c r="I267" s="151" t="b">
        <v>0</v>
      </c>
      <c r="J267" s="151" t="b">
        <v>0</v>
      </c>
      <c r="K267" s="151" t="b">
        <v>1</v>
      </c>
      <c r="L267" s="151"/>
      <c r="M267" s="151"/>
      <c r="N267" s="151" t="s">
        <v>7150</v>
      </c>
      <c r="O267" s="151" t="s">
        <v>7150</v>
      </c>
      <c r="P267" s="151" t="s">
        <v>7150</v>
      </c>
      <c r="Q267" s="151" t="b">
        <v>0</v>
      </c>
      <c r="R267" s="151" t="b">
        <v>0</v>
      </c>
    </row>
    <row r="268" spans="1:18" s="152" customFormat="1">
      <c r="A268" s="151" t="s">
        <v>8819</v>
      </c>
      <c r="B268" s="151"/>
      <c r="C268" s="151"/>
      <c r="D268" s="151">
        <v>0</v>
      </c>
      <c r="E268" s="151">
        <v>0</v>
      </c>
      <c r="F268" s="151">
        <v>0</v>
      </c>
      <c r="G268" s="151" t="s">
        <v>8828</v>
      </c>
      <c r="H268" s="151"/>
      <c r="I268" s="151" t="b">
        <v>0</v>
      </c>
      <c r="J268" s="151" t="b">
        <v>0</v>
      </c>
      <c r="K268" s="151" t="b">
        <v>1</v>
      </c>
      <c r="L268" s="151"/>
      <c r="M268" s="151"/>
      <c r="N268" s="151" t="s">
        <v>7150</v>
      </c>
      <c r="O268" s="151" t="s">
        <v>7150</v>
      </c>
      <c r="P268" s="151" t="s">
        <v>7150</v>
      </c>
      <c r="Q268" s="151" t="b">
        <v>0</v>
      </c>
      <c r="R268" s="151" t="b">
        <v>0</v>
      </c>
    </row>
    <row r="269" spans="1:18" s="199" customFormat="1">
      <c r="A269" s="105" t="s">
        <v>8829</v>
      </c>
      <c r="B269" s="105"/>
      <c r="C269" s="105"/>
      <c r="D269" s="105">
        <v>0</v>
      </c>
      <c r="E269" s="105">
        <v>0</v>
      </c>
      <c r="F269" s="105">
        <v>0</v>
      </c>
      <c r="G269" s="105" t="s">
        <v>8830</v>
      </c>
      <c r="H269" s="105"/>
      <c r="I269" s="105" t="b">
        <v>1</v>
      </c>
      <c r="J269" s="105" t="b">
        <v>1</v>
      </c>
      <c r="K269" s="105" t="b">
        <v>1</v>
      </c>
      <c r="L269" s="105"/>
      <c r="M269" s="105"/>
      <c r="N269" s="105" t="s">
        <v>7150</v>
      </c>
      <c r="O269" s="105" t="s">
        <v>7150</v>
      </c>
      <c r="P269" s="105" t="s">
        <v>7150</v>
      </c>
      <c r="Q269" s="105" t="b">
        <v>0</v>
      </c>
      <c r="R269" s="105" t="b">
        <v>0</v>
      </c>
    </row>
    <row r="270" spans="1:18" s="199" customFormat="1">
      <c r="A270" s="105" t="s">
        <v>8831</v>
      </c>
      <c r="B270" s="105"/>
      <c r="C270" s="105"/>
      <c r="D270" s="105">
        <v>0</v>
      </c>
      <c r="E270" s="105">
        <v>0</v>
      </c>
      <c r="F270" s="105">
        <v>0</v>
      </c>
      <c r="G270" s="105" t="s">
        <v>8832</v>
      </c>
      <c r="H270" s="105"/>
      <c r="I270" s="105" t="b">
        <v>1</v>
      </c>
      <c r="J270" s="105" t="b">
        <v>1</v>
      </c>
      <c r="K270" s="105" t="b">
        <v>1</v>
      </c>
      <c r="L270" s="105"/>
      <c r="M270" s="105"/>
      <c r="N270" s="105" t="s">
        <v>7150</v>
      </c>
      <c r="O270" s="105" t="s">
        <v>7150</v>
      </c>
      <c r="P270" s="105" t="s">
        <v>7150</v>
      </c>
      <c r="Q270" s="105" t="b">
        <v>0</v>
      </c>
      <c r="R270" s="105" t="b">
        <v>0</v>
      </c>
    </row>
    <row r="271" spans="1:18" s="199" customFormat="1">
      <c r="A271" s="105" t="s">
        <v>8833</v>
      </c>
      <c r="B271" s="105"/>
      <c r="C271" s="105"/>
      <c r="D271" s="105">
        <v>0</v>
      </c>
      <c r="E271" s="105">
        <v>0</v>
      </c>
      <c r="F271" s="105">
        <v>0</v>
      </c>
      <c r="G271" s="105" t="s">
        <v>8834</v>
      </c>
      <c r="H271" s="105"/>
      <c r="I271" s="105" t="b">
        <v>1</v>
      </c>
      <c r="J271" s="105" t="b">
        <v>1</v>
      </c>
      <c r="K271" s="105" t="b">
        <v>1</v>
      </c>
      <c r="L271" s="105"/>
      <c r="M271" s="105"/>
      <c r="N271" s="105" t="s">
        <v>7150</v>
      </c>
      <c r="O271" s="105" t="s">
        <v>7150</v>
      </c>
      <c r="P271" s="105" t="s">
        <v>7150</v>
      </c>
      <c r="Q271" s="105" t="b">
        <v>0</v>
      </c>
      <c r="R271" s="105" t="b">
        <v>0</v>
      </c>
    </row>
    <row r="272" spans="1:18" s="199" customFormat="1">
      <c r="A272" s="105" t="s">
        <v>8835</v>
      </c>
      <c r="B272" s="105"/>
      <c r="C272" s="105"/>
      <c r="D272" s="105">
        <v>0</v>
      </c>
      <c r="E272" s="105">
        <v>0</v>
      </c>
      <c r="F272" s="105">
        <v>0</v>
      </c>
      <c r="G272" s="105" t="s">
        <v>8836</v>
      </c>
      <c r="H272" s="105"/>
      <c r="I272" s="105" t="b">
        <v>1</v>
      </c>
      <c r="J272" s="105" t="b">
        <v>1</v>
      </c>
      <c r="K272" s="105" t="b">
        <v>1</v>
      </c>
      <c r="L272" s="105"/>
      <c r="M272" s="105"/>
      <c r="N272" s="105" t="s">
        <v>7150</v>
      </c>
      <c r="O272" s="105" t="s">
        <v>7150</v>
      </c>
      <c r="P272" s="105" t="s">
        <v>7150</v>
      </c>
      <c r="Q272" s="105" t="b">
        <v>0</v>
      </c>
      <c r="R272" s="105" t="b">
        <v>0</v>
      </c>
    </row>
    <row r="273" spans="1:18" s="199" customFormat="1">
      <c r="A273" s="105" t="s">
        <v>8837</v>
      </c>
      <c r="B273" s="105"/>
      <c r="C273" s="105"/>
      <c r="D273" s="105">
        <v>0</v>
      </c>
      <c r="E273" s="105">
        <v>0</v>
      </c>
      <c r="F273" s="105">
        <v>0</v>
      </c>
      <c r="G273" s="105" t="s">
        <v>8838</v>
      </c>
      <c r="H273" s="105"/>
      <c r="I273" s="105" t="b">
        <v>1</v>
      </c>
      <c r="J273" s="105" t="b">
        <v>1</v>
      </c>
      <c r="K273" s="105" t="b">
        <v>1</v>
      </c>
      <c r="L273" s="105"/>
      <c r="M273" s="105"/>
      <c r="N273" s="105" t="s">
        <v>7150</v>
      </c>
      <c r="O273" s="105" t="s">
        <v>7150</v>
      </c>
      <c r="P273" s="105" t="s">
        <v>7150</v>
      </c>
      <c r="Q273" s="105" t="b">
        <v>0</v>
      </c>
      <c r="R273" s="105" t="b">
        <v>0</v>
      </c>
    </row>
    <row r="274" spans="1:18" s="199" customFormat="1">
      <c r="A274" s="105" t="s">
        <v>8839</v>
      </c>
      <c r="B274" s="105"/>
      <c r="C274" s="105"/>
      <c r="D274" s="105">
        <v>0</v>
      </c>
      <c r="E274" s="105">
        <v>0</v>
      </c>
      <c r="F274" s="105">
        <v>0</v>
      </c>
      <c r="G274" s="105" t="s">
        <v>8840</v>
      </c>
      <c r="H274" s="105"/>
      <c r="I274" s="105" t="b">
        <v>1</v>
      </c>
      <c r="J274" s="105" t="b">
        <v>1</v>
      </c>
      <c r="K274" s="105" t="b">
        <v>1</v>
      </c>
      <c r="L274" s="105"/>
      <c r="M274" s="105"/>
      <c r="N274" s="105" t="s">
        <v>7150</v>
      </c>
      <c r="O274" s="105" t="s">
        <v>7150</v>
      </c>
      <c r="P274" s="105" t="s">
        <v>7150</v>
      </c>
      <c r="Q274" s="105" t="b">
        <v>0</v>
      </c>
      <c r="R274" s="105" t="b">
        <v>0</v>
      </c>
    </row>
    <row r="275" spans="1:18" s="152" customFormat="1">
      <c r="A275" s="151" t="s">
        <v>8841</v>
      </c>
      <c r="B275" s="151"/>
      <c r="C275" s="151"/>
      <c r="D275" s="151">
        <v>4000</v>
      </c>
      <c r="E275" s="151">
        <v>0</v>
      </c>
      <c r="F275" s="151">
        <v>0</v>
      </c>
      <c r="G275" s="151" t="s">
        <v>8842</v>
      </c>
      <c r="H275" s="151"/>
      <c r="I275" s="151" t="b">
        <v>0</v>
      </c>
      <c r="J275" s="151" t="b">
        <v>0</v>
      </c>
      <c r="K275" s="151" t="b">
        <v>1</v>
      </c>
      <c r="L275" s="151" t="s">
        <v>317</v>
      </c>
      <c r="M275" s="151" t="s">
        <v>5461</v>
      </c>
      <c r="N275" s="151" t="s">
        <v>318</v>
      </c>
      <c r="O275" s="151" t="s">
        <v>319</v>
      </c>
      <c r="P275" s="151" t="s">
        <v>1179</v>
      </c>
      <c r="Q275" s="151" t="b">
        <v>0</v>
      </c>
      <c r="R275" s="151" t="b">
        <v>0</v>
      </c>
    </row>
    <row r="276" spans="1:18" s="152" customFormat="1">
      <c r="A276" s="151" t="s">
        <v>8843</v>
      </c>
      <c r="B276" s="151"/>
      <c r="C276" s="151"/>
      <c r="D276" s="151">
        <v>5000</v>
      </c>
      <c r="E276" s="151">
        <v>0</v>
      </c>
      <c r="F276" s="151">
        <v>0</v>
      </c>
      <c r="G276" s="151" t="s">
        <v>8844</v>
      </c>
      <c r="H276" s="151"/>
      <c r="I276" s="151" t="b">
        <v>0</v>
      </c>
      <c r="J276" s="151" t="b">
        <v>0</v>
      </c>
      <c r="K276" s="151" t="b">
        <v>1</v>
      </c>
      <c r="L276" s="151" t="s">
        <v>317</v>
      </c>
      <c r="M276" s="151" t="s">
        <v>5461</v>
      </c>
      <c r="N276" s="151" t="s">
        <v>318</v>
      </c>
      <c r="O276" s="151" t="s">
        <v>319</v>
      </c>
      <c r="P276" s="151" t="s">
        <v>1179</v>
      </c>
      <c r="Q276" s="151" t="b">
        <v>0</v>
      </c>
      <c r="R276" s="151" t="b">
        <v>0</v>
      </c>
    </row>
    <row r="277" spans="1:18" s="152" customFormat="1">
      <c r="A277" s="151" t="s">
        <v>8845</v>
      </c>
      <c r="B277" s="151"/>
      <c r="C277" s="151"/>
      <c r="D277" s="151">
        <v>5000</v>
      </c>
      <c r="E277" s="151">
        <v>0</v>
      </c>
      <c r="F277" s="151">
        <v>0</v>
      </c>
      <c r="G277" s="151" t="s">
        <v>8846</v>
      </c>
      <c r="H277" s="151"/>
      <c r="I277" s="151" t="b">
        <v>0</v>
      </c>
      <c r="J277" s="151" t="b">
        <v>0</v>
      </c>
      <c r="K277" s="151" t="b">
        <v>1</v>
      </c>
      <c r="L277" s="151" t="s">
        <v>317</v>
      </c>
      <c r="M277" s="151" t="s">
        <v>5461</v>
      </c>
      <c r="N277" s="151" t="s">
        <v>318</v>
      </c>
      <c r="O277" s="151" t="s">
        <v>319</v>
      </c>
      <c r="P277" s="151" t="s">
        <v>1179</v>
      </c>
      <c r="Q277" s="151" t="b">
        <v>0</v>
      </c>
      <c r="R277" s="151" t="b">
        <v>0</v>
      </c>
    </row>
    <row r="278" spans="1:18" s="152" customFormat="1">
      <c r="A278" s="151" t="s">
        <v>8847</v>
      </c>
      <c r="B278" s="151"/>
      <c r="C278" s="151"/>
      <c r="D278" s="151">
        <v>6000</v>
      </c>
      <c r="E278" s="151">
        <v>0</v>
      </c>
      <c r="F278" s="151">
        <v>0</v>
      </c>
      <c r="G278" s="151" t="s">
        <v>8848</v>
      </c>
      <c r="H278" s="151"/>
      <c r="I278" s="151" t="b">
        <v>0</v>
      </c>
      <c r="J278" s="151" t="b">
        <v>0</v>
      </c>
      <c r="K278" s="151" t="b">
        <v>1</v>
      </c>
      <c r="L278" s="151" t="s">
        <v>317</v>
      </c>
      <c r="M278" s="151" t="s">
        <v>5461</v>
      </c>
      <c r="N278" s="151" t="s">
        <v>318</v>
      </c>
      <c r="O278" s="151" t="s">
        <v>319</v>
      </c>
      <c r="P278" s="151" t="s">
        <v>1179</v>
      </c>
      <c r="Q278" s="151" t="b">
        <v>0</v>
      </c>
      <c r="R278" s="151" t="b">
        <v>0</v>
      </c>
    </row>
    <row r="279" spans="1:18" s="152" customFormat="1">
      <c r="A279" s="151" t="s">
        <v>8849</v>
      </c>
      <c r="B279" s="151"/>
      <c r="C279" s="151"/>
      <c r="D279" s="151">
        <v>6000</v>
      </c>
      <c r="E279" s="151">
        <v>0</v>
      </c>
      <c r="F279" s="151">
        <v>0</v>
      </c>
      <c r="G279" s="151" t="s">
        <v>8850</v>
      </c>
      <c r="H279" s="151"/>
      <c r="I279" s="151" t="b">
        <v>0</v>
      </c>
      <c r="J279" s="151" t="b">
        <v>0</v>
      </c>
      <c r="K279" s="151" t="b">
        <v>1</v>
      </c>
      <c r="L279" s="151" t="s">
        <v>317</v>
      </c>
      <c r="M279" s="151" t="s">
        <v>5461</v>
      </c>
      <c r="N279" s="151" t="s">
        <v>318</v>
      </c>
      <c r="O279" s="151" t="s">
        <v>319</v>
      </c>
      <c r="P279" s="151" t="s">
        <v>1179</v>
      </c>
      <c r="Q279" s="151" t="b">
        <v>0</v>
      </c>
      <c r="R279" s="151" t="b">
        <v>0</v>
      </c>
    </row>
    <row r="280" spans="1:18" s="152" customFormat="1">
      <c r="A280" s="151" t="s">
        <v>8851</v>
      </c>
      <c r="B280" s="151"/>
      <c r="C280" s="151"/>
      <c r="D280" s="151">
        <v>6000</v>
      </c>
      <c r="E280" s="151">
        <v>0</v>
      </c>
      <c r="F280" s="151">
        <v>0</v>
      </c>
      <c r="G280" s="151" t="s">
        <v>8852</v>
      </c>
      <c r="H280" s="151"/>
      <c r="I280" s="151" t="b">
        <v>0</v>
      </c>
      <c r="J280" s="151" t="b">
        <v>0</v>
      </c>
      <c r="K280" s="151" t="b">
        <v>1</v>
      </c>
      <c r="L280" s="151" t="s">
        <v>317</v>
      </c>
      <c r="M280" s="151" t="s">
        <v>5461</v>
      </c>
      <c r="N280" s="151" t="s">
        <v>318</v>
      </c>
      <c r="O280" s="151" t="s">
        <v>319</v>
      </c>
      <c r="P280" s="151" t="s">
        <v>1179</v>
      </c>
      <c r="Q280" s="151" t="b">
        <v>0</v>
      </c>
      <c r="R280" s="151" t="b">
        <v>0</v>
      </c>
    </row>
    <row r="281" spans="1:18" s="154" customFormat="1">
      <c r="A281" s="51" t="s">
        <v>7213</v>
      </c>
      <c r="B281" s="51"/>
      <c r="C281" s="51"/>
      <c r="D281" s="51">
        <v>0</v>
      </c>
      <c r="E281" s="51">
        <v>0</v>
      </c>
      <c r="F281" s="51">
        <v>0</v>
      </c>
      <c r="G281" s="51" t="s">
        <v>122</v>
      </c>
      <c r="H281" s="51"/>
      <c r="I281" s="51" t="b">
        <v>1</v>
      </c>
      <c r="J281" s="51" t="b">
        <v>0</v>
      </c>
      <c r="K281" s="51" t="b">
        <v>1</v>
      </c>
      <c r="L281" s="51"/>
      <c r="M281" s="51"/>
      <c r="N281" s="51" t="s">
        <v>7150</v>
      </c>
      <c r="O281" s="51" t="s">
        <v>7150</v>
      </c>
      <c r="P281" s="51" t="s">
        <v>7150</v>
      </c>
      <c r="Q281" s="51" t="b">
        <v>0</v>
      </c>
      <c r="R281" s="51" t="b">
        <v>0</v>
      </c>
    </row>
    <row r="282" spans="1:18" s="13" customFormat="1">
      <c r="A282" s="23" t="s">
        <v>2461</v>
      </c>
      <c r="B282" s="23"/>
      <c r="C282" s="23"/>
      <c r="D282" s="23">
        <v>1500</v>
      </c>
      <c r="E282" s="23">
        <v>0</v>
      </c>
      <c r="F282" s="23">
        <v>0</v>
      </c>
      <c r="G282" s="23" t="s">
        <v>1416</v>
      </c>
      <c r="H282" s="23"/>
      <c r="I282" s="23" t="b">
        <v>0</v>
      </c>
      <c r="J282" s="23" t="b">
        <v>0</v>
      </c>
      <c r="K282" s="23" t="b">
        <v>1</v>
      </c>
      <c r="L282" s="23" t="s">
        <v>66</v>
      </c>
      <c r="M282" s="23" t="s">
        <v>1416</v>
      </c>
      <c r="N282" s="23" t="s">
        <v>375</v>
      </c>
      <c r="O282" s="23" t="s">
        <v>5113</v>
      </c>
      <c r="P282" s="23" t="s">
        <v>4770</v>
      </c>
      <c r="Q282" s="23" t="b">
        <v>0</v>
      </c>
      <c r="R282" s="23" t="b">
        <v>0</v>
      </c>
    </row>
    <row r="283" spans="1:18" s="13" customFormat="1">
      <c r="A283" s="34" t="s">
        <v>2462</v>
      </c>
      <c r="B283" s="34"/>
      <c r="C283" s="34"/>
      <c r="D283" s="34">
        <v>1500</v>
      </c>
      <c r="E283" s="34">
        <v>0</v>
      </c>
      <c r="F283" s="34">
        <v>0</v>
      </c>
      <c r="G283" s="34" t="s">
        <v>1416</v>
      </c>
      <c r="H283" s="34"/>
      <c r="I283" s="34" t="b">
        <v>0</v>
      </c>
      <c r="J283" s="34" t="b">
        <v>0</v>
      </c>
      <c r="K283" s="34" t="b">
        <v>1</v>
      </c>
      <c r="L283" s="34" t="s">
        <v>66</v>
      </c>
      <c r="M283" s="34" t="s">
        <v>1416</v>
      </c>
      <c r="N283" s="34" t="s">
        <v>375</v>
      </c>
      <c r="O283" s="34" t="s">
        <v>5113</v>
      </c>
      <c r="P283" s="34" t="s">
        <v>4770</v>
      </c>
      <c r="Q283" s="34" t="b">
        <v>0</v>
      </c>
      <c r="R283" s="34" t="b">
        <v>0</v>
      </c>
    </row>
    <row r="284" spans="1:18" s="13" customFormat="1">
      <c r="A284" s="34" t="s">
        <v>2463</v>
      </c>
      <c r="B284" s="34"/>
      <c r="C284" s="34"/>
      <c r="D284" s="34">
        <v>1500</v>
      </c>
      <c r="E284" s="34">
        <v>0</v>
      </c>
      <c r="F284" s="34">
        <v>0</v>
      </c>
      <c r="G284" s="34" t="s">
        <v>1417</v>
      </c>
      <c r="H284" s="34"/>
      <c r="I284" s="34" t="b">
        <v>0</v>
      </c>
      <c r="J284" s="34" t="b">
        <v>0</v>
      </c>
      <c r="K284" s="34" t="b">
        <v>1</v>
      </c>
      <c r="L284" s="34" t="s">
        <v>66</v>
      </c>
      <c r="M284" s="34" t="s">
        <v>1417</v>
      </c>
      <c r="N284" s="34" t="s">
        <v>375</v>
      </c>
      <c r="O284" s="34" t="s">
        <v>5114</v>
      </c>
      <c r="P284" s="34" t="s">
        <v>4771</v>
      </c>
      <c r="Q284" s="34" t="b">
        <v>0</v>
      </c>
      <c r="R284" s="34" t="b">
        <v>0</v>
      </c>
    </row>
    <row r="285" spans="1:18" s="13" customFormat="1">
      <c r="A285" s="34" t="s">
        <v>2464</v>
      </c>
      <c r="B285" s="34"/>
      <c r="C285" s="34"/>
      <c r="D285" s="34">
        <v>1500</v>
      </c>
      <c r="E285" s="34">
        <v>0</v>
      </c>
      <c r="F285" s="34">
        <v>0</v>
      </c>
      <c r="G285" s="34" t="s">
        <v>1417</v>
      </c>
      <c r="H285" s="34"/>
      <c r="I285" s="34" t="b">
        <v>0</v>
      </c>
      <c r="J285" s="34" t="b">
        <v>0</v>
      </c>
      <c r="K285" s="34" t="b">
        <v>1</v>
      </c>
      <c r="L285" s="34" t="s">
        <v>66</v>
      </c>
      <c r="M285" s="34" t="s">
        <v>1417</v>
      </c>
      <c r="N285" s="34" t="s">
        <v>375</v>
      </c>
      <c r="O285" s="34" t="s">
        <v>5114</v>
      </c>
      <c r="P285" s="34" t="s">
        <v>4771</v>
      </c>
      <c r="Q285" s="34" t="b">
        <v>0</v>
      </c>
      <c r="R285" s="34" t="b">
        <v>0</v>
      </c>
    </row>
    <row r="286" spans="1:18" s="13" customFormat="1">
      <c r="A286" s="53" t="s">
        <v>2465</v>
      </c>
      <c r="B286" s="53"/>
      <c r="C286" s="53"/>
      <c r="D286" s="53">
        <v>1500</v>
      </c>
      <c r="E286" s="53">
        <v>0</v>
      </c>
      <c r="F286" s="53">
        <v>0</v>
      </c>
      <c r="G286" s="53" t="s">
        <v>1418</v>
      </c>
      <c r="H286" s="53"/>
      <c r="I286" s="60" t="b">
        <v>0</v>
      </c>
      <c r="J286" s="53" t="b">
        <v>0</v>
      </c>
      <c r="K286" s="53" t="b">
        <v>1</v>
      </c>
      <c r="L286" s="53" t="s">
        <v>66</v>
      </c>
      <c r="M286" s="53" t="s">
        <v>1418</v>
      </c>
      <c r="N286" s="53" t="s">
        <v>375</v>
      </c>
      <c r="O286" s="53" t="s">
        <v>5115</v>
      </c>
      <c r="P286" s="53" t="s">
        <v>4772</v>
      </c>
      <c r="Q286" s="53" t="b">
        <v>0</v>
      </c>
      <c r="R286" s="53" t="b">
        <v>0</v>
      </c>
    </row>
    <row r="287" spans="1:18" s="13" customFormat="1">
      <c r="A287" s="51" t="s">
        <v>2466</v>
      </c>
      <c r="B287" s="51"/>
      <c r="C287" s="51"/>
      <c r="D287" s="51">
        <v>1500</v>
      </c>
      <c r="E287" s="51">
        <v>0</v>
      </c>
      <c r="F287" s="51">
        <v>0</v>
      </c>
      <c r="G287" s="51" t="s">
        <v>1418</v>
      </c>
      <c r="H287" s="51"/>
      <c r="I287" s="51" t="b">
        <v>0</v>
      </c>
      <c r="J287" s="51" t="b">
        <v>0</v>
      </c>
      <c r="K287" s="51" t="b">
        <v>1</v>
      </c>
      <c r="L287" s="51" t="s">
        <v>66</v>
      </c>
      <c r="M287" s="51" t="s">
        <v>1418</v>
      </c>
      <c r="N287" s="51" t="s">
        <v>375</v>
      </c>
      <c r="O287" s="51" t="s">
        <v>5115</v>
      </c>
      <c r="P287" s="51" t="s">
        <v>4772</v>
      </c>
      <c r="Q287" s="51" t="b">
        <v>0</v>
      </c>
      <c r="R287" s="51" t="b">
        <v>0</v>
      </c>
    </row>
    <row r="288" spans="1:18" s="13" customFormat="1">
      <c r="A288" s="51" t="s">
        <v>2467</v>
      </c>
      <c r="B288" s="51"/>
      <c r="C288" s="51"/>
      <c r="D288" s="51">
        <v>1500</v>
      </c>
      <c r="E288" s="51">
        <v>0</v>
      </c>
      <c r="F288" s="51">
        <v>0</v>
      </c>
      <c r="G288" s="51" t="s">
        <v>1418</v>
      </c>
      <c r="H288" s="51"/>
      <c r="I288" s="51" t="b">
        <v>0</v>
      </c>
      <c r="J288" s="51" t="b">
        <v>0</v>
      </c>
      <c r="K288" s="51" t="b">
        <v>1</v>
      </c>
      <c r="L288" s="51" t="s">
        <v>66</v>
      </c>
      <c r="M288" s="51" t="s">
        <v>1418</v>
      </c>
      <c r="N288" s="51" t="s">
        <v>375</v>
      </c>
      <c r="O288" s="51" t="s">
        <v>5115</v>
      </c>
      <c r="P288" s="51" t="s">
        <v>4772</v>
      </c>
      <c r="Q288" s="51" t="b">
        <v>0</v>
      </c>
      <c r="R288" s="51" t="b">
        <v>0</v>
      </c>
    </row>
    <row r="289" spans="1:18" s="13" customFormat="1">
      <c r="A289" s="51" t="s">
        <v>7214</v>
      </c>
      <c r="B289" s="51"/>
      <c r="C289" s="51"/>
      <c r="D289" s="51">
        <v>1500</v>
      </c>
      <c r="E289" s="51">
        <v>0</v>
      </c>
      <c r="F289" s="51">
        <v>0</v>
      </c>
      <c r="G289" s="51" t="s">
        <v>1516</v>
      </c>
      <c r="H289" s="51"/>
      <c r="I289" s="51" t="b">
        <v>0</v>
      </c>
      <c r="J289" s="51" t="b">
        <v>0</v>
      </c>
      <c r="K289" s="51" t="b">
        <v>0</v>
      </c>
      <c r="L289" s="51" t="s">
        <v>175</v>
      </c>
      <c r="M289" s="51" t="s">
        <v>1516</v>
      </c>
      <c r="N289" s="51" t="s">
        <v>375</v>
      </c>
      <c r="O289" s="51" t="s">
        <v>5269</v>
      </c>
      <c r="P289" s="51" t="s">
        <v>4926</v>
      </c>
      <c r="Q289" s="51" t="b">
        <v>0</v>
      </c>
      <c r="R289" s="51" t="b">
        <v>0</v>
      </c>
    </row>
    <row r="290" spans="1:18" s="13" customFormat="1">
      <c r="A290" s="51" t="s">
        <v>5745</v>
      </c>
      <c r="B290" s="51"/>
      <c r="C290" s="51"/>
      <c r="D290" s="51">
        <v>1500</v>
      </c>
      <c r="E290" s="51">
        <v>0</v>
      </c>
      <c r="F290" s="51">
        <v>0</v>
      </c>
      <c r="G290" s="51" t="s">
        <v>1516</v>
      </c>
      <c r="H290" s="51"/>
      <c r="I290" s="51" t="b">
        <v>0</v>
      </c>
      <c r="J290" s="51" t="b">
        <v>0</v>
      </c>
      <c r="K290" s="51" t="b">
        <v>0</v>
      </c>
      <c r="L290" s="51" t="s">
        <v>175</v>
      </c>
      <c r="M290" s="51" t="s">
        <v>1516</v>
      </c>
      <c r="N290" s="51" t="s">
        <v>375</v>
      </c>
      <c r="O290" s="51" t="s">
        <v>5269</v>
      </c>
      <c r="P290" s="51" t="s">
        <v>4926</v>
      </c>
      <c r="Q290" s="51" t="b">
        <v>0</v>
      </c>
      <c r="R290" s="51" t="b">
        <v>0</v>
      </c>
    </row>
    <row r="291" spans="1:18" s="13" customFormat="1">
      <c r="A291" s="51" t="s">
        <v>5746</v>
      </c>
      <c r="B291" s="51"/>
      <c r="C291" s="51"/>
      <c r="D291" s="51">
        <v>1500</v>
      </c>
      <c r="E291" s="51">
        <v>0</v>
      </c>
      <c r="F291" s="51">
        <v>0</v>
      </c>
      <c r="G291" s="51" t="s">
        <v>1517</v>
      </c>
      <c r="H291" s="51"/>
      <c r="I291" s="51" t="b">
        <v>0</v>
      </c>
      <c r="J291" s="51" t="b">
        <v>0</v>
      </c>
      <c r="K291" s="51" t="b">
        <v>0</v>
      </c>
      <c r="L291" s="51" t="s">
        <v>175</v>
      </c>
      <c r="M291" s="51" t="s">
        <v>1517</v>
      </c>
      <c r="N291" s="51" t="s">
        <v>375</v>
      </c>
      <c r="O291" s="51" t="s">
        <v>5270</v>
      </c>
      <c r="P291" s="51" t="s">
        <v>4927</v>
      </c>
      <c r="Q291" s="51" t="b">
        <v>0</v>
      </c>
      <c r="R291" s="51" t="b">
        <v>0</v>
      </c>
    </row>
    <row r="292" spans="1:18" s="13" customFormat="1">
      <c r="A292" s="34" t="s">
        <v>5747</v>
      </c>
      <c r="B292" s="34"/>
      <c r="C292" s="34"/>
      <c r="D292" s="34">
        <v>1500</v>
      </c>
      <c r="E292" s="34">
        <v>0</v>
      </c>
      <c r="F292" s="34">
        <v>0</v>
      </c>
      <c r="G292" s="34" t="s">
        <v>1517</v>
      </c>
      <c r="H292" s="34"/>
      <c r="I292" s="34" t="b">
        <v>0</v>
      </c>
      <c r="J292" s="34" t="b">
        <v>0</v>
      </c>
      <c r="K292" s="34" t="b">
        <v>0</v>
      </c>
      <c r="L292" s="34" t="s">
        <v>175</v>
      </c>
      <c r="M292" s="34" t="s">
        <v>1517</v>
      </c>
      <c r="N292" s="34" t="s">
        <v>375</v>
      </c>
      <c r="O292" s="34" t="s">
        <v>5270</v>
      </c>
      <c r="P292" s="34" t="s">
        <v>4927</v>
      </c>
      <c r="Q292" s="34" t="b">
        <v>0</v>
      </c>
      <c r="R292" s="34" t="b">
        <v>0</v>
      </c>
    </row>
    <row r="293" spans="1:18" s="13" customFormat="1">
      <c r="A293" s="34" t="s">
        <v>5748</v>
      </c>
      <c r="B293" s="34"/>
      <c r="C293" s="34"/>
      <c r="D293" s="34">
        <v>1500</v>
      </c>
      <c r="E293" s="34">
        <v>0</v>
      </c>
      <c r="F293" s="34">
        <v>0</v>
      </c>
      <c r="G293" s="34" t="s">
        <v>1517</v>
      </c>
      <c r="H293" s="34"/>
      <c r="I293" s="34" t="b">
        <v>0</v>
      </c>
      <c r="J293" s="34" t="b">
        <v>0</v>
      </c>
      <c r="K293" s="34" t="b">
        <v>0</v>
      </c>
      <c r="L293" s="34" t="s">
        <v>175</v>
      </c>
      <c r="M293" s="34" t="s">
        <v>1517</v>
      </c>
      <c r="N293" s="34" t="s">
        <v>375</v>
      </c>
      <c r="O293" s="34" t="s">
        <v>5270</v>
      </c>
      <c r="P293" s="34" t="s">
        <v>4927</v>
      </c>
      <c r="Q293" s="34" t="b">
        <v>0</v>
      </c>
      <c r="R293" s="34" t="b">
        <v>0</v>
      </c>
    </row>
    <row r="294" spans="1:18" s="13" customFormat="1">
      <c r="A294" s="51" t="s">
        <v>5749</v>
      </c>
      <c r="B294" s="51"/>
      <c r="C294" s="51"/>
      <c r="D294" s="51">
        <v>1500</v>
      </c>
      <c r="E294" s="51">
        <v>0</v>
      </c>
      <c r="F294" s="51">
        <v>0</v>
      </c>
      <c r="G294" s="52" t="s">
        <v>1517</v>
      </c>
      <c r="H294" s="51"/>
      <c r="I294" s="51" t="b">
        <v>0</v>
      </c>
      <c r="J294" s="51" t="b">
        <v>0</v>
      </c>
      <c r="K294" s="51" t="b">
        <v>0</v>
      </c>
      <c r="L294" s="51" t="s">
        <v>175</v>
      </c>
      <c r="M294" s="52" t="s">
        <v>1517</v>
      </c>
      <c r="N294" s="51" t="s">
        <v>375</v>
      </c>
      <c r="O294" s="51" t="s">
        <v>5270</v>
      </c>
      <c r="P294" s="51" t="s">
        <v>4927</v>
      </c>
      <c r="Q294" s="51" t="b">
        <v>0</v>
      </c>
      <c r="R294" s="51" t="b">
        <v>0</v>
      </c>
    </row>
    <row r="295" spans="1:18" s="13" customFormat="1">
      <c r="A295" s="157" t="s">
        <v>5750</v>
      </c>
      <c r="B295" s="51"/>
      <c r="C295" s="51"/>
      <c r="D295" s="51">
        <v>1500</v>
      </c>
      <c r="E295" s="51">
        <v>0</v>
      </c>
      <c r="F295" s="51">
        <v>0</v>
      </c>
      <c r="G295" s="52" t="s">
        <v>1517</v>
      </c>
      <c r="H295" s="51"/>
      <c r="I295" s="51" t="b">
        <v>0</v>
      </c>
      <c r="J295" s="51" t="b">
        <v>0</v>
      </c>
      <c r="K295" s="51" t="b">
        <v>0</v>
      </c>
      <c r="L295" s="51" t="s">
        <v>175</v>
      </c>
      <c r="M295" s="52" t="s">
        <v>1517</v>
      </c>
      <c r="N295" s="51" t="s">
        <v>375</v>
      </c>
      <c r="O295" s="51" t="s">
        <v>5270</v>
      </c>
      <c r="P295" s="51" t="s">
        <v>4927</v>
      </c>
      <c r="Q295" s="51" t="b">
        <v>0</v>
      </c>
      <c r="R295" s="51" t="b">
        <v>0</v>
      </c>
    </row>
    <row r="296" spans="1:18" s="13" customFormat="1">
      <c r="A296" s="51" t="s">
        <v>7215</v>
      </c>
      <c r="B296" s="51"/>
      <c r="C296" s="51"/>
      <c r="D296" s="51">
        <v>1500</v>
      </c>
      <c r="E296" s="51">
        <v>0</v>
      </c>
      <c r="F296" s="51">
        <v>0</v>
      </c>
      <c r="G296" s="52" t="s">
        <v>1520</v>
      </c>
      <c r="H296" s="51"/>
      <c r="I296" s="51" t="b">
        <v>0</v>
      </c>
      <c r="J296" s="51" t="b">
        <v>0</v>
      </c>
      <c r="K296" s="51" t="b">
        <v>0</v>
      </c>
      <c r="L296" s="51" t="s">
        <v>5476</v>
      </c>
      <c r="M296" s="52" t="s">
        <v>1520</v>
      </c>
      <c r="N296" s="51" t="s">
        <v>316</v>
      </c>
      <c r="O296" s="51" t="s">
        <v>5274</v>
      </c>
      <c r="P296" s="51" t="s">
        <v>4931</v>
      </c>
      <c r="Q296" s="51" t="b">
        <v>0</v>
      </c>
      <c r="R296" s="51" t="b">
        <v>0</v>
      </c>
    </row>
    <row r="297" spans="1:18" s="13" customFormat="1">
      <c r="A297" s="51" t="s">
        <v>5751</v>
      </c>
      <c r="B297" s="51"/>
      <c r="C297" s="51"/>
      <c r="D297" s="51">
        <v>1500</v>
      </c>
      <c r="E297" s="51">
        <v>0</v>
      </c>
      <c r="F297" s="51">
        <v>0</v>
      </c>
      <c r="G297" s="52" t="s">
        <v>1520</v>
      </c>
      <c r="H297" s="51"/>
      <c r="I297" s="51" t="b">
        <v>0</v>
      </c>
      <c r="J297" s="51" t="b">
        <v>0</v>
      </c>
      <c r="K297" s="51" t="b">
        <v>0</v>
      </c>
      <c r="L297" s="51" t="s">
        <v>5476</v>
      </c>
      <c r="M297" s="52" t="s">
        <v>1520</v>
      </c>
      <c r="N297" s="51" t="s">
        <v>316</v>
      </c>
      <c r="O297" s="51" t="s">
        <v>5274</v>
      </c>
      <c r="P297" s="51" t="s">
        <v>4931</v>
      </c>
      <c r="Q297" s="51" t="b">
        <v>0</v>
      </c>
      <c r="R297" s="51" t="b">
        <v>0</v>
      </c>
    </row>
    <row r="298" spans="1:18" s="13" customFormat="1">
      <c r="A298" s="51" t="s">
        <v>5752</v>
      </c>
      <c r="B298" s="51"/>
      <c r="C298" s="51"/>
      <c r="D298" s="51">
        <v>1500</v>
      </c>
      <c r="E298" s="51">
        <v>0</v>
      </c>
      <c r="F298" s="51">
        <v>0</v>
      </c>
      <c r="G298" s="52" t="s">
        <v>1521</v>
      </c>
      <c r="H298" s="51"/>
      <c r="I298" s="51" t="b">
        <v>0</v>
      </c>
      <c r="J298" s="51" t="b">
        <v>0</v>
      </c>
      <c r="K298" s="51" t="b">
        <v>0</v>
      </c>
      <c r="L298" s="51" t="s">
        <v>5476</v>
      </c>
      <c r="M298" s="52" t="s">
        <v>1521</v>
      </c>
      <c r="N298" s="51" t="s">
        <v>316</v>
      </c>
      <c r="O298" s="51" t="s">
        <v>5275</v>
      </c>
      <c r="P298" s="51" t="s">
        <v>4932</v>
      </c>
      <c r="Q298" s="51" t="b">
        <v>0</v>
      </c>
      <c r="R298" s="51" t="b">
        <v>0</v>
      </c>
    </row>
    <row r="299" spans="1:18" s="13" customFormat="1">
      <c r="A299" s="34" t="s">
        <v>5753</v>
      </c>
      <c r="B299" s="34"/>
      <c r="C299" s="34"/>
      <c r="D299" s="34">
        <v>1500</v>
      </c>
      <c r="E299" s="34">
        <v>0</v>
      </c>
      <c r="F299" s="34">
        <v>0</v>
      </c>
      <c r="G299" s="40" t="s">
        <v>1521</v>
      </c>
      <c r="H299" s="34"/>
      <c r="I299" s="34" t="b">
        <v>0</v>
      </c>
      <c r="J299" s="34" t="b">
        <v>0</v>
      </c>
      <c r="K299" s="51" t="b">
        <v>0</v>
      </c>
      <c r="L299" s="34" t="s">
        <v>5476</v>
      </c>
      <c r="M299" s="40" t="s">
        <v>1521</v>
      </c>
      <c r="N299" s="34" t="s">
        <v>316</v>
      </c>
      <c r="O299" s="34" t="s">
        <v>5275</v>
      </c>
      <c r="P299" s="34" t="s">
        <v>4932</v>
      </c>
      <c r="Q299" s="34" t="b">
        <v>0</v>
      </c>
      <c r="R299" s="34" t="b">
        <v>0</v>
      </c>
    </row>
    <row r="300" spans="1:18" s="13" customFormat="1">
      <c r="A300" s="34" t="s">
        <v>5754</v>
      </c>
      <c r="B300" s="34"/>
      <c r="C300" s="34"/>
      <c r="D300" s="34">
        <v>1500</v>
      </c>
      <c r="E300" s="34">
        <v>0</v>
      </c>
      <c r="F300" s="34">
        <v>0</v>
      </c>
      <c r="G300" s="40" t="s">
        <v>1521</v>
      </c>
      <c r="H300" s="34"/>
      <c r="I300" s="34" t="b">
        <v>0</v>
      </c>
      <c r="J300" s="34" t="b">
        <v>0</v>
      </c>
      <c r="K300" s="51" t="b">
        <v>0</v>
      </c>
      <c r="L300" s="34" t="s">
        <v>5476</v>
      </c>
      <c r="M300" s="40" t="s">
        <v>1521</v>
      </c>
      <c r="N300" s="34" t="s">
        <v>316</v>
      </c>
      <c r="O300" s="34" t="s">
        <v>5275</v>
      </c>
      <c r="P300" s="34" t="s">
        <v>4932</v>
      </c>
      <c r="Q300" s="34" t="b">
        <v>0</v>
      </c>
      <c r="R300" s="34" t="b">
        <v>0</v>
      </c>
    </row>
    <row r="301" spans="1:18" s="13" customFormat="1">
      <c r="A301" s="51" t="s">
        <v>5755</v>
      </c>
      <c r="B301" s="51"/>
      <c r="C301" s="51"/>
      <c r="D301" s="51">
        <v>1500</v>
      </c>
      <c r="E301" s="51">
        <v>0</v>
      </c>
      <c r="F301" s="51">
        <v>0</v>
      </c>
      <c r="G301" s="52" t="s">
        <v>1521</v>
      </c>
      <c r="H301" s="51"/>
      <c r="I301" s="51" t="b">
        <v>0</v>
      </c>
      <c r="J301" s="51" t="b">
        <v>0</v>
      </c>
      <c r="K301" s="51" t="b">
        <v>0</v>
      </c>
      <c r="L301" s="53" t="s">
        <v>5476</v>
      </c>
      <c r="M301" s="52" t="s">
        <v>1521</v>
      </c>
      <c r="N301" s="51" t="s">
        <v>316</v>
      </c>
      <c r="O301" s="51" t="s">
        <v>5275</v>
      </c>
      <c r="P301" s="51" t="s">
        <v>4932</v>
      </c>
      <c r="Q301" s="51" t="b">
        <v>0</v>
      </c>
      <c r="R301" s="51" t="b">
        <v>0</v>
      </c>
    </row>
    <row r="302" spans="1:18" s="13" customFormat="1">
      <c r="A302" s="51" t="s">
        <v>5756</v>
      </c>
      <c r="B302" s="51"/>
      <c r="C302" s="51"/>
      <c r="D302" s="51">
        <v>1500</v>
      </c>
      <c r="E302" s="51">
        <v>0</v>
      </c>
      <c r="F302" s="51">
        <v>0</v>
      </c>
      <c r="G302" s="52" t="s">
        <v>1521</v>
      </c>
      <c r="H302" s="51"/>
      <c r="I302" s="51" t="b">
        <v>0</v>
      </c>
      <c r="J302" s="51" t="b">
        <v>0</v>
      </c>
      <c r="K302" s="51" t="b">
        <v>0</v>
      </c>
      <c r="L302" s="53" t="s">
        <v>5476</v>
      </c>
      <c r="M302" s="52" t="s">
        <v>1521</v>
      </c>
      <c r="N302" s="51" t="s">
        <v>316</v>
      </c>
      <c r="O302" s="51" t="s">
        <v>5275</v>
      </c>
      <c r="P302" s="51" t="s">
        <v>4932</v>
      </c>
      <c r="Q302" s="51" t="b">
        <v>0</v>
      </c>
      <c r="R302" s="51" t="b">
        <v>0</v>
      </c>
    </row>
    <row r="303" spans="1:18" s="13" customFormat="1">
      <c r="A303" s="51" t="s">
        <v>7216</v>
      </c>
      <c r="B303" s="51"/>
      <c r="C303" s="51"/>
      <c r="D303" s="51">
        <v>7000</v>
      </c>
      <c r="E303" s="51">
        <v>0</v>
      </c>
      <c r="F303" s="51">
        <v>0</v>
      </c>
      <c r="G303" s="52" t="s">
        <v>1519</v>
      </c>
      <c r="H303" s="51"/>
      <c r="I303" s="51" t="b">
        <v>0</v>
      </c>
      <c r="J303" s="51" t="b">
        <v>0</v>
      </c>
      <c r="K303" s="51" t="b">
        <v>0</v>
      </c>
      <c r="L303" s="53" t="s">
        <v>5476</v>
      </c>
      <c r="M303" s="52" t="s">
        <v>1519</v>
      </c>
      <c r="N303" s="51" t="s">
        <v>316</v>
      </c>
      <c r="O303" s="51" t="s">
        <v>5273</v>
      </c>
      <c r="P303" s="51" t="s">
        <v>4930</v>
      </c>
      <c r="Q303" s="51" t="b">
        <v>0</v>
      </c>
      <c r="R303" s="51" t="b">
        <v>0</v>
      </c>
    </row>
    <row r="304" spans="1:18" s="13" customFormat="1">
      <c r="A304" s="51" t="s">
        <v>7217</v>
      </c>
      <c r="B304" s="51"/>
      <c r="C304" s="51"/>
      <c r="D304" s="51">
        <v>7000</v>
      </c>
      <c r="E304" s="51">
        <v>0</v>
      </c>
      <c r="F304" s="51">
        <v>0</v>
      </c>
      <c r="G304" s="52" t="s">
        <v>1520</v>
      </c>
      <c r="H304" s="51"/>
      <c r="I304" s="51" t="b">
        <v>0</v>
      </c>
      <c r="J304" s="51" t="b">
        <v>0</v>
      </c>
      <c r="K304" s="51" t="b">
        <v>0</v>
      </c>
      <c r="L304" s="53" t="s">
        <v>5476</v>
      </c>
      <c r="M304" s="52" t="s">
        <v>1520</v>
      </c>
      <c r="N304" s="51" t="s">
        <v>316</v>
      </c>
      <c r="O304" s="51" t="s">
        <v>5274</v>
      </c>
      <c r="P304" s="51" t="s">
        <v>4931</v>
      </c>
      <c r="Q304" s="51" t="b">
        <v>0</v>
      </c>
      <c r="R304" s="51" t="b">
        <v>0</v>
      </c>
    </row>
    <row r="305" spans="1:18" s="13" customFormat="1">
      <c r="A305" s="51" t="s">
        <v>7218</v>
      </c>
      <c r="B305" s="51"/>
      <c r="C305" s="51"/>
      <c r="D305" s="51">
        <v>8000</v>
      </c>
      <c r="E305" s="51">
        <v>0</v>
      </c>
      <c r="F305" s="51">
        <v>0</v>
      </c>
      <c r="G305" s="52" t="s">
        <v>1520</v>
      </c>
      <c r="H305" s="51"/>
      <c r="I305" s="51" t="b">
        <v>0</v>
      </c>
      <c r="J305" s="51" t="b">
        <v>0</v>
      </c>
      <c r="K305" s="51" t="b">
        <v>0</v>
      </c>
      <c r="L305" s="53" t="s">
        <v>5476</v>
      </c>
      <c r="M305" s="52" t="s">
        <v>1520</v>
      </c>
      <c r="N305" s="51" t="s">
        <v>316</v>
      </c>
      <c r="O305" s="51" t="s">
        <v>5274</v>
      </c>
      <c r="P305" s="51" t="s">
        <v>4931</v>
      </c>
      <c r="Q305" s="51" t="b">
        <v>0</v>
      </c>
      <c r="R305" s="51" t="b">
        <v>0</v>
      </c>
    </row>
    <row r="306" spans="1:18" s="13" customFormat="1">
      <c r="A306" s="34" t="s">
        <v>7219</v>
      </c>
      <c r="B306" s="34"/>
      <c r="C306" s="34"/>
      <c r="D306" s="34">
        <v>8000</v>
      </c>
      <c r="E306" s="34">
        <v>0</v>
      </c>
      <c r="F306" s="34">
        <v>0</v>
      </c>
      <c r="G306" s="40" t="s">
        <v>1521</v>
      </c>
      <c r="H306" s="34"/>
      <c r="I306" s="34" t="b">
        <v>0</v>
      </c>
      <c r="J306" s="34" t="b">
        <v>0</v>
      </c>
      <c r="K306" s="51" t="b">
        <v>0</v>
      </c>
      <c r="L306" s="53" t="s">
        <v>5476</v>
      </c>
      <c r="M306" s="40" t="s">
        <v>1521</v>
      </c>
      <c r="N306" s="34" t="s">
        <v>316</v>
      </c>
      <c r="O306" s="34" t="s">
        <v>5275</v>
      </c>
      <c r="P306" s="34" t="s">
        <v>4932</v>
      </c>
      <c r="Q306" s="34" t="b">
        <v>0</v>
      </c>
      <c r="R306" s="34" t="b">
        <v>0</v>
      </c>
    </row>
    <row r="307" spans="1:18" s="13" customFormat="1">
      <c r="A307" s="34" t="s">
        <v>2622</v>
      </c>
      <c r="B307" s="34"/>
      <c r="C307" s="34"/>
      <c r="D307" s="34">
        <v>6000</v>
      </c>
      <c r="E307" s="34">
        <v>0</v>
      </c>
      <c r="F307" s="34">
        <v>0</v>
      </c>
      <c r="G307" s="40" t="s">
        <v>1521</v>
      </c>
      <c r="H307" s="34"/>
      <c r="I307" s="34" t="b">
        <v>0</v>
      </c>
      <c r="J307" s="34" t="b">
        <v>0</v>
      </c>
      <c r="K307" s="51" t="b">
        <v>0</v>
      </c>
      <c r="L307" s="53" t="s">
        <v>5476</v>
      </c>
      <c r="M307" s="40" t="s">
        <v>1521</v>
      </c>
      <c r="N307" s="34" t="s">
        <v>316</v>
      </c>
      <c r="O307" s="34" t="s">
        <v>5275</v>
      </c>
      <c r="P307" s="34" t="s">
        <v>4932</v>
      </c>
      <c r="Q307" s="34" t="b">
        <v>0</v>
      </c>
      <c r="R307" s="34" t="b">
        <v>0</v>
      </c>
    </row>
    <row r="308" spans="1:18" s="13" customFormat="1">
      <c r="A308" s="51" t="s">
        <v>2623</v>
      </c>
      <c r="B308" s="51"/>
      <c r="C308" s="51"/>
      <c r="D308" s="51">
        <v>6000</v>
      </c>
      <c r="E308" s="51">
        <v>0</v>
      </c>
      <c r="F308" s="51">
        <v>0</v>
      </c>
      <c r="G308" s="51" t="s">
        <v>1521</v>
      </c>
      <c r="H308" s="51"/>
      <c r="I308" s="51" t="b">
        <v>0</v>
      </c>
      <c r="J308" s="51" t="b">
        <v>0</v>
      </c>
      <c r="K308" s="51" t="b">
        <v>0</v>
      </c>
      <c r="L308" s="53" t="s">
        <v>5476</v>
      </c>
      <c r="M308" s="51" t="s">
        <v>1521</v>
      </c>
      <c r="N308" s="51" t="s">
        <v>316</v>
      </c>
      <c r="O308" s="51" t="s">
        <v>5275</v>
      </c>
      <c r="P308" s="51" t="s">
        <v>4932</v>
      </c>
      <c r="Q308" s="51" t="b">
        <v>0</v>
      </c>
      <c r="R308" s="51" t="b">
        <v>0</v>
      </c>
    </row>
    <row r="309" spans="1:18" s="13" customFormat="1">
      <c r="A309" s="51" t="s">
        <v>1306</v>
      </c>
      <c r="B309" s="51"/>
      <c r="C309" s="51"/>
      <c r="D309" s="51">
        <v>0</v>
      </c>
      <c r="E309" s="51">
        <v>0</v>
      </c>
      <c r="F309" s="51">
        <v>0</v>
      </c>
      <c r="G309" s="51" t="s">
        <v>1312</v>
      </c>
      <c r="H309" s="51"/>
      <c r="I309" s="51" t="b">
        <v>0</v>
      </c>
      <c r="J309" s="51" t="b">
        <v>1</v>
      </c>
      <c r="K309" s="51" t="b">
        <v>1</v>
      </c>
      <c r="L309" s="53"/>
      <c r="M309" s="51"/>
      <c r="N309" s="51" t="s">
        <v>7150</v>
      </c>
      <c r="O309" s="51" t="s">
        <v>7150</v>
      </c>
      <c r="P309" s="51" t="s">
        <v>7150</v>
      </c>
      <c r="Q309" s="51" t="b">
        <v>0</v>
      </c>
      <c r="R309" s="51" t="b">
        <v>0</v>
      </c>
    </row>
    <row r="310" spans="1:18" s="13" customFormat="1">
      <c r="A310" s="51" t="s">
        <v>1307</v>
      </c>
      <c r="B310" s="51"/>
      <c r="C310" s="51"/>
      <c r="D310" s="51">
        <v>0</v>
      </c>
      <c r="E310" s="51">
        <v>0</v>
      </c>
      <c r="F310" s="51">
        <v>0</v>
      </c>
      <c r="G310" s="51" t="s">
        <v>1313</v>
      </c>
      <c r="H310" s="51"/>
      <c r="I310" s="51" t="b">
        <v>0</v>
      </c>
      <c r="J310" s="51" t="b">
        <v>1</v>
      </c>
      <c r="K310" s="51" t="b">
        <v>1</v>
      </c>
      <c r="L310" s="53"/>
      <c r="M310" s="51"/>
      <c r="N310" s="51" t="s">
        <v>7150</v>
      </c>
      <c r="O310" s="51" t="s">
        <v>7150</v>
      </c>
      <c r="P310" s="51" t="s">
        <v>7150</v>
      </c>
      <c r="Q310" s="51" t="b">
        <v>0</v>
      </c>
      <c r="R310" s="51" t="b">
        <v>0</v>
      </c>
    </row>
    <row r="311" spans="1:18" s="13" customFormat="1">
      <c r="A311" s="34" t="s">
        <v>1308</v>
      </c>
      <c r="B311" s="34"/>
      <c r="C311" s="34"/>
      <c r="D311" s="34">
        <v>0</v>
      </c>
      <c r="E311" s="34">
        <v>0</v>
      </c>
      <c r="F311" s="34">
        <v>0</v>
      </c>
      <c r="G311" s="34" t="s">
        <v>1314</v>
      </c>
      <c r="H311" s="34"/>
      <c r="I311" s="34" t="b">
        <v>0</v>
      </c>
      <c r="J311" s="34" t="b">
        <v>1</v>
      </c>
      <c r="K311" s="34" t="b">
        <v>1</v>
      </c>
      <c r="L311" s="53"/>
      <c r="M311" s="34"/>
      <c r="N311" s="34" t="s">
        <v>7150</v>
      </c>
      <c r="O311" s="34" t="s">
        <v>7150</v>
      </c>
      <c r="P311" s="34" t="s">
        <v>7150</v>
      </c>
      <c r="Q311" s="34" t="b">
        <v>0</v>
      </c>
      <c r="R311" s="34" t="b">
        <v>0</v>
      </c>
    </row>
    <row r="312" spans="1:18" s="13" customFormat="1">
      <c r="A312" s="34" t="s">
        <v>1309</v>
      </c>
      <c r="B312" s="34"/>
      <c r="C312" s="34"/>
      <c r="D312" s="34">
        <v>0</v>
      </c>
      <c r="E312" s="34">
        <v>0</v>
      </c>
      <c r="F312" s="34">
        <v>0</v>
      </c>
      <c r="G312" s="34" t="s">
        <v>1315</v>
      </c>
      <c r="H312" s="34"/>
      <c r="I312" s="34" t="b">
        <v>0</v>
      </c>
      <c r="J312" s="34" t="b">
        <v>1</v>
      </c>
      <c r="K312" s="34" t="b">
        <v>1</v>
      </c>
      <c r="L312" s="53"/>
      <c r="M312" s="34"/>
      <c r="N312" s="34" t="s">
        <v>7150</v>
      </c>
      <c r="O312" s="34" t="s">
        <v>7150</v>
      </c>
      <c r="P312" s="34" t="s">
        <v>7150</v>
      </c>
      <c r="Q312" s="34" t="b">
        <v>0</v>
      </c>
      <c r="R312" s="34" t="b">
        <v>0</v>
      </c>
    </row>
    <row r="313" spans="1:18" s="13" customFormat="1">
      <c r="A313" s="34" t="s">
        <v>1310</v>
      </c>
      <c r="B313" s="34"/>
      <c r="C313" s="34"/>
      <c r="D313" s="34">
        <v>0</v>
      </c>
      <c r="E313" s="34">
        <v>0</v>
      </c>
      <c r="F313" s="34">
        <v>0</v>
      </c>
      <c r="G313" s="34" t="s">
        <v>1316</v>
      </c>
      <c r="H313" s="34"/>
      <c r="I313" s="34" t="b">
        <v>0</v>
      </c>
      <c r="J313" s="34" t="b">
        <v>1</v>
      </c>
      <c r="K313" s="34" t="b">
        <v>1</v>
      </c>
      <c r="L313" s="53"/>
      <c r="M313" s="34"/>
      <c r="N313" s="34" t="s">
        <v>7150</v>
      </c>
      <c r="O313" s="34" t="s">
        <v>7150</v>
      </c>
      <c r="P313" s="34" t="s">
        <v>7150</v>
      </c>
      <c r="Q313" s="34" t="b">
        <v>0</v>
      </c>
      <c r="R313" s="34" t="b">
        <v>0</v>
      </c>
    </row>
    <row r="314" spans="1:18" s="13" customFormat="1">
      <c r="A314" s="53" t="s">
        <v>1311</v>
      </c>
      <c r="B314" s="53"/>
      <c r="C314" s="53"/>
      <c r="D314" s="53">
        <v>0</v>
      </c>
      <c r="E314" s="53">
        <v>0</v>
      </c>
      <c r="F314" s="53">
        <v>0</v>
      </c>
      <c r="G314" s="53" t="s">
        <v>1317</v>
      </c>
      <c r="H314" s="53"/>
      <c r="I314" s="53" t="b">
        <v>0</v>
      </c>
      <c r="J314" s="23" t="b">
        <v>1</v>
      </c>
      <c r="K314" s="53" t="b">
        <v>1</v>
      </c>
      <c r="L314" s="53"/>
      <c r="M314" s="53"/>
      <c r="N314" s="53" t="s">
        <v>7150</v>
      </c>
      <c r="O314" s="53" t="s">
        <v>7150</v>
      </c>
      <c r="P314" s="53" t="s">
        <v>7150</v>
      </c>
      <c r="Q314" s="53" t="b">
        <v>0</v>
      </c>
      <c r="R314" s="53" t="b">
        <v>0</v>
      </c>
    </row>
    <row r="315" spans="1:18" s="13" customFormat="1">
      <c r="A315" s="53" t="s">
        <v>2468</v>
      </c>
      <c r="B315" s="53"/>
      <c r="C315" s="53"/>
      <c r="D315" s="53">
        <v>0</v>
      </c>
      <c r="E315" s="53">
        <v>0</v>
      </c>
      <c r="F315" s="53">
        <v>0</v>
      </c>
      <c r="G315" s="53" t="s">
        <v>2474</v>
      </c>
      <c r="H315" s="53"/>
      <c r="I315" s="53" t="b">
        <v>0</v>
      </c>
      <c r="J315" s="23" t="b">
        <v>1</v>
      </c>
      <c r="K315" s="53" t="b">
        <v>1</v>
      </c>
      <c r="L315" s="53"/>
      <c r="M315" s="53"/>
      <c r="N315" s="53" t="s">
        <v>7150</v>
      </c>
      <c r="O315" s="53" t="s">
        <v>7150</v>
      </c>
      <c r="P315" s="53" t="s">
        <v>7150</v>
      </c>
      <c r="Q315" s="53" t="b">
        <v>0</v>
      </c>
      <c r="R315" s="53" t="b">
        <v>0</v>
      </c>
    </row>
    <row r="316" spans="1:18" s="13" customFormat="1">
      <c r="A316" s="53" t="s">
        <v>2469</v>
      </c>
      <c r="B316" s="53"/>
      <c r="C316" s="53"/>
      <c r="D316" s="53">
        <v>0</v>
      </c>
      <c r="E316" s="53">
        <v>0</v>
      </c>
      <c r="F316" s="53">
        <v>0</v>
      </c>
      <c r="G316" s="53" t="s">
        <v>2475</v>
      </c>
      <c r="H316" s="53"/>
      <c r="I316" s="53" t="b">
        <v>0</v>
      </c>
      <c r="J316" s="23" t="b">
        <v>1</v>
      </c>
      <c r="K316" s="53" t="b">
        <v>1</v>
      </c>
      <c r="L316" s="53"/>
      <c r="M316" s="53"/>
      <c r="N316" s="53" t="s">
        <v>7150</v>
      </c>
      <c r="O316" s="53" t="s">
        <v>7150</v>
      </c>
      <c r="P316" s="53" t="s">
        <v>7150</v>
      </c>
      <c r="Q316" s="53" t="b">
        <v>0</v>
      </c>
      <c r="R316" s="53" t="b">
        <v>0</v>
      </c>
    </row>
    <row r="317" spans="1:18" s="13" customFormat="1">
      <c r="A317" s="34" t="s">
        <v>2470</v>
      </c>
      <c r="B317" s="34"/>
      <c r="C317" s="34"/>
      <c r="D317" s="34">
        <v>0</v>
      </c>
      <c r="E317" s="34">
        <v>0</v>
      </c>
      <c r="F317" s="34">
        <v>0</v>
      </c>
      <c r="G317" s="34" t="s">
        <v>2476</v>
      </c>
      <c r="H317" s="34"/>
      <c r="I317" s="34" t="b">
        <v>0</v>
      </c>
      <c r="J317" s="23" t="b">
        <v>1</v>
      </c>
      <c r="K317" s="34" t="b">
        <v>1</v>
      </c>
      <c r="L317" s="34"/>
      <c r="M317" s="34"/>
      <c r="N317" s="34" t="s">
        <v>7150</v>
      </c>
      <c r="O317" s="34" t="s">
        <v>7150</v>
      </c>
      <c r="P317" s="34" t="s">
        <v>7150</v>
      </c>
      <c r="Q317" s="34" t="b">
        <v>0</v>
      </c>
      <c r="R317" s="34" t="b">
        <v>0</v>
      </c>
    </row>
    <row r="318" spans="1:18" s="13" customFormat="1">
      <c r="A318" s="34" t="s">
        <v>2471</v>
      </c>
      <c r="B318" s="34"/>
      <c r="C318" s="34"/>
      <c r="D318" s="34">
        <v>0</v>
      </c>
      <c r="E318" s="34">
        <v>0</v>
      </c>
      <c r="F318" s="34">
        <v>0</v>
      </c>
      <c r="G318" s="34" t="s">
        <v>2477</v>
      </c>
      <c r="H318" s="34"/>
      <c r="I318" s="34" t="b">
        <v>0</v>
      </c>
      <c r="J318" s="23" t="b">
        <v>1</v>
      </c>
      <c r="K318" s="34" t="b">
        <v>1</v>
      </c>
      <c r="L318" s="34"/>
      <c r="M318" s="34"/>
      <c r="N318" s="34" t="s">
        <v>7150</v>
      </c>
      <c r="O318" s="34" t="s">
        <v>7150</v>
      </c>
      <c r="P318" s="34" t="s">
        <v>7150</v>
      </c>
      <c r="Q318" s="34" t="b">
        <v>0</v>
      </c>
      <c r="R318" s="34" t="b">
        <v>0</v>
      </c>
    </row>
    <row r="319" spans="1:18" s="13" customFormat="1">
      <c r="A319" s="34" t="s">
        <v>2472</v>
      </c>
      <c r="B319" s="34"/>
      <c r="C319" s="34"/>
      <c r="D319" s="34">
        <v>0</v>
      </c>
      <c r="E319" s="34">
        <v>0</v>
      </c>
      <c r="F319" s="34">
        <v>0</v>
      </c>
      <c r="G319" s="34" t="s">
        <v>2478</v>
      </c>
      <c r="H319" s="34"/>
      <c r="I319" s="34" t="b">
        <v>0</v>
      </c>
      <c r="J319" s="23" t="b">
        <v>1</v>
      </c>
      <c r="K319" s="34" t="b">
        <v>1</v>
      </c>
      <c r="L319" s="34"/>
      <c r="M319" s="34"/>
      <c r="N319" s="34" t="s">
        <v>7150</v>
      </c>
      <c r="O319" s="34" t="s">
        <v>7150</v>
      </c>
      <c r="P319" s="34" t="s">
        <v>7150</v>
      </c>
      <c r="Q319" s="34" t="b">
        <v>0</v>
      </c>
      <c r="R319" s="34" t="b">
        <v>0</v>
      </c>
    </row>
    <row r="320" spans="1:18" s="13" customFormat="1">
      <c r="A320" s="53" t="s">
        <v>2473</v>
      </c>
      <c r="B320" s="53"/>
      <c r="C320" s="53"/>
      <c r="D320" s="53">
        <v>0</v>
      </c>
      <c r="E320" s="53">
        <v>0</v>
      </c>
      <c r="F320" s="53">
        <v>0</v>
      </c>
      <c r="G320" s="53" t="s">
        <v>2479</v>
      </c>
      <c r="H320" s="53"/>
      <c r="I320" s="53" t="b">
        <v>0</v>
      </c>
      <c r="J320" s="23" t="b">
        <v>1</v>
      </c>
      <c r="K320" s="53" t="b">
        <v>1</v>
      </c>
      <c r="L320" s="53"/>
      <c r="M320" s="53"/>
      <c r="N320" s="53" t="s">
        <v>7150</v>
      </c>
      <c r="O320" s="53" t="s">
        <v>7150</v>
      </c>
      <c r="P320" s="53" t="s">
        <v>7150</v>
      </c>
      <c r="Q320" s="53" t="b">
        <v>0</v>
      </c>
      <c r="R320" s="53" t="b">
        <v>0</v>
      </c>
    </row>
    <row r="321" spans="1:18" s="13" customFormat="1">
      <c r="A321" s="53" t="s">
        <v>3180</v>
      </c>
      <c r="B321" s="53"/>
      <c r="C321" s="53"/>
      <c r="D321" s="53">
        <v>0</v>
      </c>
      <c r="E321" s="53">
        <v>0</v>
      </c>
      <c r="F321" s="53">
        <v>0</v>
      </c>
      <c r="G321" s="53" t="s">
        <v>4625</v>
      </c>
      <c r="H321" s="53"/>
      <c r="I321" s="53" t="b">
        <v>0</v>
      </c>
      <c r="J321" s="23" t="b">
        <v>1</v>
      </c>
      <c r="K321" s="53" t="b">
        <v>1</v>
      </c>
      <c r="L321" s="53"/>
      <c r="M321" s="53"/>
      <c r="N321" s="53" t="s">
        <v>7150</v>
      </c>
      <c r="O321" s="53" t="s">
        <v>7150</v>
      </c>
      <c r="P321" s="53" t="s">
        <v>7150</v>
      </c>
      <c r="Q321" s="53" t="b">
        <v>0</v>
      </c>
      <c r="R321" s="53" t="b">
        <v>0</v>
      </c>
    </row>
    <row r="322" spans="1:18" s="13" customFormat="1">
      <c r="A322" s="53" t="s">
        <v>3175</v>
      </c>
      <c r="B322" s="53"/>
      <c r="C322" s="53"/>
      <c r="D322" s="53">
        <v>0</v>
      </c>
      <c r="E322" s="53">
        <v>0</v>
      </c>
      <c r="F322" s="53">
        <v>0</v>
      </c>
      <c r="G322" s="53" t="s">
        <v>4626</v>
      </c>
      <c r="H322" s="53"/>
      <c r="I322" s="53" t="b">
        <v>0</v>
      </c>
      <c r="J322" s="23" t="b">
        <v>1</v>
      </c>
      <c r="K322" s="53" t="b">
        <v>1</v>
      </c>
      <c r="L322" s="53"/>
      <c r="M322" s="53"/>
      <c r="N322" s="53" t="s">
        <v>7150</v>
      </c>
      <c r="O322" s="53" t="s">
        <v>7150</v>
      </c>
      <c r="P322" s="53" t="s">
        <v>7150</v>
      </c>
      <c r="Q322" s="53" t="b">
        <v>0</v>
      </c>
      <c r="R322" s="53" t="b">
        <v>0</v>
      </c>
    </row>
    <row r="323" spans="1:18" s="13" customFormat="1">
      <c r="A323" s="34" t="s">
        <v>3176</v>
      </c>
      <c r="B323" s="34"/>
      <c r="C323" s="34"/>
      <c r="D323" s="34">
        <v>0</v>
      </c>
      <c r="E323" s="34">
        <v>0</v>
      </c>
      <c r="F323" s="34">
        <v>0</v>
      </c>
      <c r="G323" s="34" t="s">
        <v>4627</v>
      </c>
      <c r="H323" s="34"/>
      <c r="I323" s="34" t="b">
        <v>0</v>
      </c>
      <c r="J323" s="23" t="b">
        <v>1</v>
      </c>
      <c r="K323" s="34" t="b">
        <v>1</v>
      </c>
      <c r="L323" s="34"/>
      <c r="M323" s="34"/>
      <c r="N323" s="34" t="s">
        <v>7150</v>
      </c>
      <c r="O323" s="34" t="s">
        <v>7150</v>
      </c>
      <c r="P323" s="34" t="s">
        <v>7150</v>
      </c>
      <c r="Q323" s="34" t="b">
        <v>0</v>
      </c>
      <c r="R323" s="34" t="b">
        <v>0</v>
      </c>
    </row>
    <row r="324" spans="1:18" s="13" customFormat="1">
      <c r="A324" s="34" t="s">
        <v>3177</v>
      </c>
      <c r="B324" s="34"/>
      <c r="C324" s="34"/>
      <c r="D324" s="34">
        <v>0</v>
      </c>
      <c r="E324" s="34">
        <v>0</v>
      </c>
      <c r="F324" s="34">
        <v>0</v>
      </c>
      <c r="G324" s="34" t="s">
        <v>4628</v>
      </c>
      <c r="H324" s="34"/>
      <c r="I324" s="34" t="b">
        <v>0</v>
      </c>
      <c r="J324" s="23" t="b">
        <v>1</v>
      </c>
      <c r="K324" s="34" t="b">
        <v>1</v>
      </c>
      <c r="L324" s="34"/>
      <c r="M324" s="34"/>
      <c r="N324" s="34" t="s">
        <v>7150</v>
      </c>
      <c r="O324" s="34" t="s">
        <v>7150</v>
      </c>
      <c r="P324" s="34" t="s">
        <v>7150</v>
      </c>
      <c r="Q324" s="34" t="b">
        <v>0</v>
      </c>
      <c r="R324" s="34" t="b">
        <v>0</v>
      </c>
    </row>
    <row r="325" spans="1:18" s="13" customFormat="1">
      <c r="A325" s="34" t="s">
        <v>3178</v>
      </c>
      <c r="B325" s="34"/>
      <c r="C325" s="34"/>
      <c r="D325" s="34">
        <v>0</v>
      </c>
      <c r="E325" s="34">
        <v>0</v>
      </c>
      <c r="F325" s="34">
        <v>0</v>
      </c>
      <c r="G325" s="34" t="s">
        <v>4629</v>
      </c>
      <c r="H325" s="34"/>
      <c r="I325" s="34" t="b">
        <v>0</v>
      </c>
      <c r="J325" s="23" t="b">
        <v>1</v>
      </c>
      <c r="K325" s="34" t="b">
        <v>1</v>
      </c>
      <c r="L325" s="34"/>
      <c r="M325" s="34"/>
      <c r="N325" s="34" t="s">
        <v>7150</v>
      </c>
      <c r="O325" s="34" t="s">
        <v>7150</v>
      </c>
      <c r="P325" s="34" t="s">
        <v>7150</v>
      </c>
      <c r="Q325" s="34" t="b">
        <v>0</v>
      </c>
      <c r="R325" s="34" t="b">
        <v>0</v>
      </c>
    </row>
    <row r="326" spans="1:18" s="13" customFormat="1">
      <c r="A326" s="53" t="s">
        <v>3179</v>
      </c>
      <c r="B326" s="53"/>
      <c r="C326" s="53"/>
      <c r="D326" s="53">
        <v>0</v>
      </c>
      <c r="E326" s="53">
        <v>0</v>
      </c>
      <c r="F326" s="53">
        <v>0</v>
      </c>
      <c r="G326" s="53" t="s">
        <v>4630</v>
      </c>
      <c r="H326" s="53"/>
      <c r="I326" s="53" t="b">
        <v>0</v>
      </c>
      <c r="J326" s="23" t="b">
        <v>1</v>
      </c>
      <c r="K326" s="53" t="b">
        <v>1</v>
      </c>
      <c r="L326" s="53"/>
      <c r="M326" s="53"/>
      <c r="N326" s="53" t="s">
        <v>7150</v>
      </c>
      <c r="O326" s="53" t="s">
        <v>7150</v>
      </c>
      <c r="P326" s="53" t="s">
        <v>7150</v>
      </c>
      <c r="Q326" s="53" t="b">
        <v>0</v>
      </c>
      <c r="R326" s="53" t="b">
        <v>0</v>
      </c>
    </row>
    <row r="327" spans="1:18" s="13" customFormat="1">
      <c r="A327" s="53" t="s">
        <v>7220</v>
      </c>
      <c r="B327" s="53"/>
      <c r="C327" s="53"/>
      <c r="D327" s="53">
        <v>0</v>
      </c>
      <c r="E327" s="53">
        <v>0</v>
      </c>
      <c r="F327" s="53">
        <v>0</v>
      </c>
      <c r="G327" s="53" t="s">
        <v>1148</v>
      </c>
      <c r="H327" s="53"/>
      <c r="I327" s="53" t="b">
        <v>1</v>
      </c>
      <c r="J327" s="23" t="b">
        <v>1</v>
      </c>
      <c r="K327" s="53" t="b">
        <v>1</v>
      </c>
      <c r="L327" s="53"/>
      <c r="M327" s="53"/>
      <c r="N327" s="53" t="s">
        <v>7150</v>
      </c>
      <c r="O327" s="53" t="s">
        <v>7150</v>
      </c>
      <c r="P327" s="53" t="s">
        <v>7150</v>
      </c>
      <c r="Q327" s="53" t="b">
        <v>0</v>
      </c>
      <c r="R327" s="53" t="b">
        <v>0</v>
      </c>
    </row>
    <row r="328" spans="1:18" s="13" customFormat="1">
      <c r="A328" s="53" t="s">
        <v>7221</v>
      </c>
      <c r="B328" s="53"/>
      <c r="C328" s="53"/>
      <c r="D328" s="53">
        <v>300000</v>
      </c>
      <c r="E328" s="53">
        <v>0</v>
      </c>
      <c r="F328" s="53">
        <v>0</v>
      </c>
      <c r="G328" s="53" t="s">
        <v>122</v>
      </c>
      <c r="H328" s="53"/>
      <c r="I328" s="53" t="b">
        <v>1</v>
      </c>
      <c r="J328" s="23" t="b">
        <v>1</v>
      </c>
      <c r="K328" s="53" t="b">
        <v>1</v>
      </c>
      <c r="L328" s="53" t="s">
        <v>7222</v>
      </c>
      <c r="M328" s="53"/>
      <c r="N328" s="53" t="s">
        <v>7150</v>
      </c>
      <c r="O328" s="53" t="s">
        <v>7150</v>
      </c>
      <c r="P328" s="53" t="s">
        <v>7150</v>
      </c>
      <c r="Q328" s="53" t="b">
        <v>0</v>
      </c>
      <c r="R328" s="53" t="b">
        <v>0</v>
      </c>
    </row>
    <row r="329" spans="1:18" s="13" customFormat="1">
      <c r="A329" s="34" t="s">
        <v>6130</v>
      </c>
      <c r="B329" s="34"/>
      <c r="C329" s="34"/>
      <c r="D329" s="34">
        <v>0</v>
      </c>
      <c r="E329" s="34">
        <v>0</v>
      </c>
      <c r="F329" s="34">
        <v>0</v>
      </c>
      <c r="G329" s="34" t="s">
        <v>6131</v>
      </c>
      <c r="H329" s="34"/>
      <c r="I329" s="34" t="b">
        <v>0</v>
      </c>
      <c r="J329" s="23" t="b">
        <v>0</v>
      </c>
      <c r="K329" s="34" t="b">
        <v>1</v>
      </c>
      <c r="L329" s="34"/>
      <c r="M329" s="34"/>
      <c r="N329" s="34" t="s">
        <v>7150</v>
      </c>
      <c r="O329" s="34" t="s">
        <v>7150</v>
      </c>
      <c r="P329" s="34" t="s">
        <v>7150</v>
      </c>
      <c r="Q329" s="34" t="b">
        <v>0</v>
      </c>
      <c r="R329" s="34" t="b">
        <v>0</v>
      </c>
    </row>
    <row r="330" spans="1:18" s="13" customFormat="1">
      <c r="A330" s="34" t="s">
        <v>6124</v>
      </c>
      <c r="B330" s="34"/>
      <c r="C330" s="34"/>
      <c r="D330" s="34">
        <v>0</v>
      </c>
      <c r="E330" s="34">
        <v>0</v>
      </c>
      <c r="F330" s="34">
        <v>0</v>
      </c>
      <c r="G330" s="34" t="s">
        <v>6132</v>
      </c>
      <c r="H330" s="34"/>
      <c r="I330" s="34" t="b">
        <v>0</v>
      </c>
      <c r="J330" s="23" t="b">
        <v>0</v>
      </c>
      <c r="K330" s="34" t="b">
        <v>1</v>
      </c>
      <c r="L330" s="34"/>
      <c r="M330" s="34"/>
      <c r="N330" s="34" t="s">
        <v>7150</v>
      </c>
      <c r="O330" s="34" t="s">
        <v>7150</v>
      </c>
      <c r="P330" s="34" t="s">
        <v>7150</v>
      </c>
      <c r="Q330" s="34" t="b">
        <v>0</v>
      </c>
      <c r="R330" s="34" t="b">
        <v>0</v>
      </c>
    </row>
    <row r="331" spans="1:18" s="13" customFormat="1">
      <c r="A331" s="34" t="s">
        <v>6125</v>
      </c>
      <c r="B331" s="34"/>
      <c r="C331" s="34"/>
      <c r="D331" s="34">
        <v>0</v>
      </c>
      <c r="E331" s="34">
        <v>0</v>
      </c>
      <c r="F331" s="34">
        <v>0</v>
      </c>
      <c r="G331" s="34" t="s">
        <v>6133</v>
      </c>
      <c r="H331" s="34"/>
      <c r="I331" s="34" t="b">
        <v>0</v>
      </c>
      <c r="J331" s="23" t="b">
        <v>0</v>
      </c>
      <c r="K331" s="34" t="b">
        <v>1</v>
      </c>
      <c r="L331" s="34"/>
      <c r="M331" s="34"/>
      <c r="N331" s="34" t="s">
        <v>7150</v>
      </c>
      <c r="O331" s="34" t="s">
        <v>7150</v>
      </c>
      <c r="P331" s="34" t="s">
        <v>7150</v>
      </c>
      <c r="Q331" s="34" t="b">
        <v>0</v>
      </c>
      <c r="R331" s="34" t="b">
        <v>0</v>
      </c>
    </row>
    <row r="332" spans="1:18" s="13" customFormat="1">
      <c r="A332" s="60" t="s">
        <v>6126</v>
      </c>
      <c r="B332" s="60"/>
      <c r="C332" s="60"/>
      <c r="D332" s="60">
        <v>0</v>
      </c>
      <c r="E332" s="60">
        <v>0</v>
      </c>
      <c r="F332" s="60">
        <v>0</v>
      </c>
      <c r="G332" s="60" t="s">
        <v>6134</v>
      </c>
      <c r="H332" s="60"/>
      <c r="I332" s="60" t="b">
        <v>0</v>
      </c>
      <c r="J332" s="23" t="b">
        <v>0</v>
      </c>
      <c r="K332" s="60" t="b">
        <v>1</v>
      </c>
      <c r="L332" s="60"/>
      <c r="M332" s="60"/>
      <c r="N332" s="60" t="s">
        <v>7150</v>
      </c>
      <c r="O332" s="60" t="s">
        <v>7150</v>
      </c>
      <c r="P332" s="60" t="s">
        <v>7150</v>
      </c>
      <c r="Q332" s="60" t="b">
        <v>0</v>
      </c>
      <c r="R332" s="60" t="b">
        <v>0</v>
      </c>
    </row>
    <row r="333" spans="1:18" s="13" customFormat="1">
      <c r="A333" s="60" t="s">
        <v>6127</v>
      </c>
      <c r="B333" s="60"/>
      <c r="C333" s="60"/>
      <c r="D333" s="60">
        <v>0</v>
      </c>
      <c r="E333" s="60">
        <v>0</v>
      </c>
      <c r="F333" s="60">
        <v>0</v>
      </c>
      <c r="G333" s="60" t="s">
        <v>6135</v>
      </c>
      <c r="H333" s="60"/>
      <c r="I333" s="60" t="b">
        <v>0</v>
      </c>
      <c r="J333" s="23" t="b">
        <v>0</v>
      </c>
      <c r="K333" s="60" t="b">
        <v>1</v>
      </c>
      <c r="L333" s="60"/>
      <c r="M333" s="60"/>
      <c r="N333" s="60" t="s">
        <v>7150</v>
      </c>
      <c r="O333" s="60" t="s">
        <v>7150</v>
      </c>
      <c r="P333" s="60" t="s">
        <v>7150</v>
      </c>
      <c r="Q333" s="60" t="b">
        <v>0</v>
      </c>
      <c r="R333" s="60" t="b">
        <v>0</v>
      </c>
    </row>
    <row r="334" spans="1:18">
      <c r="A334" s="23" t="s">
        <v>6128</v>
      </c>
      <c r="B334" s="23"/>
      <c r="C334" s="23"/>
      <c r="D334" s="23">
        <v>0</v>
      </c>
      <c r="E334" s="23">
        <v>0</v>
      </c>
      <c r="F334" s="23">
        <v>0</v>
      </c>
      <c r="G334" s="23" t="s">
        <v>6136</v>
      </c>
      <c r="H334" s="23"/>
      <c r="I334" s="23" t="b">
        <v>0</v>
      </c>
      <c r="J334" s="23" t="b">
        <v>0</v>
      </c>
      <c r="K334" s="23" t="b">
        <v>1</v>
      </c>
      <c r="L334" s="23"/>
      <c r="M334" s="23"/>
      <c r="N334" s="23" t="s">
        <v>7150</v>
      </c>
      <c r="O334" s="23" t="s">
        <v>7150</v>
      </c>
      <c r="P334" s="23" t="s">
        <v>7150</v>
      </c>
      <c r="Q334" s="23" t="b">
        <v>0</v>
      </c>
      <c r="R334" s="23" t="b">
        <v>0</v>
      </c>
    </row>
    <row r="335" spans="1:18">
      <c r="A335" s="23" t="s">
        <v>6129</v>
      </c>
      <c r="B335" s="23"/>
      <c r="C335" s="23"/>
      <c r="D335" s="23">
        <v>0</v>
      </c>
      <c r="E335" s="23">
        <v>0</v>
      </c>
      <c r="F335" s="23">
        <v>0</v>
      </c>
      <c r="G335" s="23" t="s">
        <v>6137</v>
      </c>
      <c r="H335" s="23"/>
      <c r="I335" s="23" t="b">
        <v>0</v>
      </c>
      <c r="J335" s="23" t="b">
        <v>0</v>
      </c>
      <c r="K335" s="23" t="b">
        <v>1</v>
      </c>
      <c r="L335" s="23"/>
      <c r="M335" s="23"/>
      <c r="N335" s="23" t="s">
        <v>7150</v>
      </c>
      <c r="O335" s="23" t="s">
        <v>7150</v>
      </c>
      <c r="P335" s="23" t="s">
        <v>7150</v>
      </c>
      <c r="Q335" s="23" t="b">
        <v>0</v>
      </c>
      <c r="R335" s="23" t="b">
        <v>0</v>
      </c>
    </row>
    <row r="336" spans="1:18">
      <c r="A336" s="23" t="s">
        <v>7223</v>
      </c>
      <c r="B336" s="23"/>
      <c r="C336" s="23"/>
      <c r="D336" s="23">
        <v>3000</v>
      </c>
      <c r="E336" s="23">
        <v>0</v>
      </c>
      <c r="F336" s="23">
        <v>0</v>
      </c>
      <c r="G336" s="23" t="s">
        <v>7224</v>
      </c>
      <c r="H336" s="23"/>
      <c r="I336" s="23" t="b">
        <v>0</v>
      </c>
      <c r="J336" s="23" t="b">
        <v>0</v>
      </c>
      <c r="K336" s="23" t="b">
        <v>1</v>
      </c>
      <c r="L336" s="23"/>
      <c r="M336" s="23"/>
      <c r="N336" s="23" t="s">
        <v>7150</v>
      </c>
      <c r="O336" s="23" t="s">
        <v>7150</v>
      </c>
      <c r="P336" s="23" t="s">
        <v>7150</v>
      </c>
      <c r="Q336" s="23" t="b">
        <v>0</v>
      </c>
      <c r="R336" s="23" t="b">
        <v>0</v>
      </c>
    </row>
    <row r="337" spans="1:18">
      <c r="A337" s="34" t="s">
        <v>4399</v>
      </c>
      <c r="B337" s="34"/>
      <c r="C337" s="34"/>
      <c r="D337" s="34">
        <v>4000</v>
      </c>
      <c r="E337" s="34">
        <v>0</v>
      </c>
      <c r="F337" s="34">
        <v>0</v>
      </c>
      <c r="G337" s="34" t="s">
        <v>4405</v>
      </c>
      <c r="H337" s="34"/>
      <c r="I337" s="34" t="b">
        <v>0</v>
      </c>
      <c r="J337" s="34" t="b">
        <v>0</v>
      </c>
      <c r="K337" s="34" t="b">
        <v>1</v>
      </c>
      <c r="L337" s="34"/>
      <c r="M337" s="34"/>
      <c r="N337" s="34" t="s">
        <v>7150</v>
      </c>
      <c r="O337" s="34" t="s">
        <v>7150</v>
      </c>
      <c r="P337" s="34" t="s">
        <v>7150</v>
      </c>
      <c r="Q337" s="34" t="b">
        <v>0</v>
      </c>
      <c r="R337" s="34" t="b">
        <v>0</v>
      </c>
    </row>
    <row r="338" spans="1:18">
      <c r="A338" s="34" t="s">
        <v>4400</v>
      </c>
      <c r="B338" s="34"/>
      <c r="C338" s="34"/>
      <c r="D338" s="34">
        <v>4000</v>
      </c>
      <c r="E338" s="34">
        <v>0</v>
      </c>
      <c r="F338" s="34">
        <v>0</v>
      </c>
      <c r="G338" s="34" t="s">
        <v>4406</v>
      </c>
      <c r="H338" s="34"/>
      <c r="I338" s="34" t="b">
        <v>0</v>
      </c>
      <c r="J338" s="34" t="b">
        <v>0</v>
      </c>
      <c r="K338" s="34" t="b">
        <v>1</v>
      </c>
      <c r="L338" s="34"/>
      <c r="M338" s="34"/>
      <c r="N338" s="34" t="s">
        <v>7150</v>
      </c>
      <c r="O338" s="34" t="s">
        <v>7150</v>
      </c>
      <c r="P338" s="34" t="s">
        <v>7150</v>
      </c>
      <c r="Q338" s="34" t="b">
        <v>0</v>
      </c>
      <c r="R338" s="34" t="b">
        <v>0</v>
      </c>
    </row>
    <row r="339" spans="1:18">
      <c r="A339" s="34" t="s">
        <v>4401</v>
      </c>
      <c r="B339" s="34"/>
      <c r="C339" s="34"/>
      <c r="D339" s="34">
        <v>5000</v>
      </c>
      <c r="E339" s="34">
        <v>0</v>
      </c>
      <c r="F339" s="34">
        <v>0</v>
      </c>
      <c r="G339" s="34" t="s">
        <v>4407</v>
      </c>
      <c r="H339" s="34"/>
      <c r="I339" s="34" t="b">
        <v>0</v>
      </c>
      <c r="J339" s="34" t="b">
        <v>0</v>
      </c>
      <c r="K339" s="34" t="b">
        <v>1</v>
      </c>
      <c r="L339" s="34"/>
      <c r="M339" s="34"/>
      <c r="N339" s="34" t="s">
        <v>7150</v>
      </c>
      <c r="O339" s="34" t="s">
        <v>7150</v>
      </c>
      <c r="P339" s="34" t="s">
        <v>7150</v>
      </c>
      <c r="Q339" s="34" t="b">
        <v>0</v>
      </c>
      <c r="R339" s="34" t="b">
        <v>0</v>
      </c>
    </row>
    <row r="340" spans="1:18">
      <c r="A340" s="34" t="s">
        <v>4402</v>
      </c>
      <c r="B340" s="34"/>
      <c r="C340" s="34"/>
      <c r="D340" s="34">
        <v>5000</v>
      </c>
      <c r="E340" s="34">
        <v>0</v>
      </c>
      <c r="F340" s="34">
        <v>0</v>
      </c>
      <c r="G340" s="34" t="s">
        <v>4408</v>
      </c>
      <c r="H340" s="34"/>
      <c r="I340" s="34" t="b">
        <v>0</v>
      </c>
      <c r="J340" s="34" t="b">
        <v>0</v>
      </c>
      <c r="K340" s="34" t="b">
        <v>1</v>
      </c>
      <c r="L340" s="34"/>
      <c r="M340" s="34"/>
      <c r="N340" s="34" t="s">
        <v>7150</v>
      </c>
      <c r="O340" s="34" t="s">
        <v>7150</v>
      </c>
      <c r="P340" s="34" t="s">
        <v>7150</v>
      </c>
      <c r="Q340" s="34" t="b">
        <v>0</v>
      </c>
      <c r="R340" s="34" t="b">
        <v>0</v>
      </c>
    </row>
    <row r="341" spans="1:18">
      <c r="A341" s="23" t="s">
        <v>4403</v>
      </c>
      <c r="B341" s="23"/>
      <c r="C341" s="23"/>
      <c r="D341" s="23">
        <v>5000</v>
      </c>
      <c r="E341" s="23">
        <v>0</v>
      </c>
      <c r="F341" s="23">
        <v>0</v>
      </c>
      <c r="G341" s="23" t="s">
        <v>4409</v>
      </c>
      <c r="H341" s="23"/>
      <c r="I341" s="23" t="b">
        <v>0</v>
      </c>
      <c r="J341" s="23" t="b">
        <v>0</v>
      </c>
      <c r="K341" s="23" t="b">
        <v>1</v>
      </c>
      <c r="L341" s="23"/>
      <c r="M341" s="23"/>
      <c r="N341" s="23" t="s">
        <v>7150</v>
      </c>
      <c r="O341" s="23" t="s">
        <v>7150</v>
      </c>
      <c r="P341" s="23" t="s">
        <v>7150</v>
      </c>
      <c r="Q341" s="23" t="b">
        <v>0</v>
      </c>
      <c r="R341" s="23" t="b">
        <v>0</v>
      </c>
    </row>
    <row r="342" spans="1:18">
      <c r="A342" s="23" t="s">
        <v>4404</v>
      </c>
      <c r="B342" s="23"/>
      <c r="C342" s="23"/>
      <c r="D342" s="23">
        <v>5000</v>
      </c>
      <c r="E342" s="23">
        <v>0</v>
      </c>
      <c r="F342" s="23">
        <v>0</v>
      </c>
      <c r="G342" s="23" t="s">
        <v>4410</v>
      </c>
      <c r="H342" s="23"/>
      <c r="I342" s="23" t="b">
        <v>0</v>
      </c>
      <c r="J342" s="23" t="b">
        <v>0</v>
      </c>
      <c r="K342" s="23" t="b">
        <v>1</v>
      </c>
      <c r="L342" s="23"/>
      <c r="M342" s="23"/>
      <c r="N342" s="23" t="s">
        <v>7150</v>
      </c>
      <c r="O342" s="23" t="s">
        <v>7150</v>
      </c>
      <c r="P342" s="23" t="s">
        <v>7150</v>
      </c>
      <c r="Q342" s="23" t="b">
        <v>0</v>
      </c>
      <c r="R342" s="23" t="b">
        <v>0</v>
      </c>
    </row>
    <row r="343" spans="1:18">
      <c r="A343" s="23" t="s">
        <v>2480</v>
      </c>
      <c r="B343" s="23"/>
      <c r="C343" s="23"/>
      <c r="D343" s="23">
        <v>5000</v>
      </c>
      <c r="E343" s="23">
        <v>0</v>
      </c>
      <c r="F343" s="23">
        <v>0</v>
      </c>
      <c r="G343" s="23" t="s">
        <v>1696</v>
      </c>
      <c r="H343" s="23"/>
      <c r="I343" s="23" t="b">
        <v>0</v>
      </c>
      <c r="J343" s="23" t="b">
        <v>0</v>
      </c>
      <c r="K343" s="23" t="b">
        <v>0</v>
      </c>
      <c r="L343" s="23" t="s">
        <v>175</v>
      </c>
      <c r="M343" s="23" t="s">
        <v>1696</v>
      </c>
      <c r="N343" s="23" t="s">
        <v>375</v>
      </c>
      <c r="O343" s="23" t="s">
        <v>5267</v>
      </c>
      <c r="P343" s="23" t="s">
        <v>4924</v>
      </c>
      <c r="Q343" s="23" t="b">
        <v>0</v>
      </c>
      <c r="R343" s="23" t="b">
        <v>0</v>
      </c>
    </row>
    <row r="344" spans="1:18">
      <c r="A344" s="34" t="s">
        <v>2481</v>
      </c>
      <c r="B344" s="34"/>
      <c r="C344" s="34"/>
      <c r="D344" s="34">
        <v>6000</v>
      </c>
      <c r="E344" s="34">
        <v>0</v>
      </c>
      <c r="F344" s="34">
        <v>0</v>
      </c>
      <c r="G344" s="34" t="s">
        <v>1696</v>
      </c>
      <c r="H344" s="34"/>
      <c r="I344" s="34" t="b">
        <v>0</v>
      </c>
      <c r="J344" s="34" t="b">
        <v>0</v>
      </c>
      <c r="K344" s="34" t="b">
        <v>0</v>
      </c>
      <c r="L344" s="34" t="s">
        <v>175</v>
      </c>
      <c r="M344" s="34" t="s">
        <v>1696</v>
      </c>
      <c r="N344" s="34" t="s">
        <v>375</v>
      </c>
      <c r="O344" s="34" t="s">
        <v>5267</v>
      </c>
      <c r="P344" s="34" t="s">
        <v>4924</v>
      </c>
      <c r="Q344" s="34" t="b">
        <v>0</v>
      </c>
      <c r="R344" s="34" t="b">
        <v>0</v>
      </c>
    </row>
    <row r="345" spans="1:18">
      <c r="A345" s="34" t="s">
        <v>2482</v>
      </c>
      <c r="B345" s="34"/>
      <c r="C345" s="34"/>
      <c r="D345" s="34">
        <v>6000</v>
      </c>
      <c r="E345" s="34">
        <v>0</v>
      </c>
      <c r="F345" s="34">
        <v>0</v>
      </c>
      <c r="G345" s="34" t="s">
        <v>1515</v>
      </c>
      <c r="H345" s="34"/>
      <c r="I345" s="34" t="b">
        <v>0</v>
      </c>
      <c r="J345" s="34" t="b">
        <v>0</v>
      </c>
      <c r="K345" s="34" t="b">
        <v>0</v>
      </c>
      <c r="L345" s="34" t="s">
        <v>175</v>
      </c>
      <c r="M345" s="34" t="s">
        <v>1515</v>
      </c>
      <c r="N345" s="34" t="s">
        <v>375</v>
      </c>
      <c r="O345" s="34" t="s">
        <v>5268</v>
      </c>
      <c r="P345" s="34" t="s">
        <v>4925</v>
      </c>
      <c r="Q345" s="34" t="b">
        <v>0</v>
      </c>
      <c r="R345" s="34" t="b">
        <v>0</v>
      </c>
    </row>
    <row r="346" spans="1:18">
      <c r="A346" s="34" t="s">
        <v>2483</v>
      </c>
      <c r="B346" s="34"/>
      <c r="C346" s="34"/>
      <c r="D346" s="34">
        <v>7000</v>
      </c>
      <c r="E346" s="34">
        <v>0</v>
      </c>
      <c r="F346" s="34">
        <v>0</v>
      </c>
      <c r="G346" s="34" t="s">
        <v>1515</v>
      </c>
      <c r="H346" s="34"/>
      <c r="I346" s="34" t="b">
        <v>0</v>
      </c>
      <c r="J346" s="34" t="b">
        <v>0</v>
      </c>
      <c r="K346" s="34" t="b">
        <v>0</v>
      </c>
      <c r="L346" s="34" t="s">
        <v>175</v>
      </c>
      <c r="M346" s="34" t="s">
        <v>1515</v>
      </c>
      <c r="N346" s="34" t="s">
        <v>375</v>
      </c>
      <c r="O346" s="34" t="s">
        <v>5268</v>
      </c>
      <c r="P346" s="34" t="s">
        <v>4925</v>
      </c>
      <c r="Q346" s="34" t="b">
        <v>0</v>
      </c>
      <c r="R346" s="34" t="b">
        <v>0</v>
      </c>
    </row>
    <row r="347" spans="1:18">
      <c r="A347" s="34" t="s">
        <v>7225</v>
      </c>
      <c r="B347" s="34"/>
      <c r="C347" s="34"/>
      <c r="D347" s="34">
        <v>0</v>
      </c>
      <c r="E347" s="34">
        <v>0</v>
      </c>
      <c r="F347" s="34">
        <v>0</v>
      </c>
      <c r="G347" s="34" t="s">
        <v>2488</v>
      </c>
      <c r="H347" s="34"/>
      <c r="I347" s="34" t="b">
        <v>0</v>
      </c>
      <c r="J347" s="34" t="b">
        <v>1</v>
      </c>
      <c r="K347" s="34" t="b">
        <v>1</v>
      </c>
      <c r="L347" s="34"/>
      <c r="M347" s="34"/>
      <c r="N347" s="34" t="s">
        <v>7150</v>
      </c>
      <c r="O347" s="34" t="s">
        <v>7150</v>
      </c>
      <c r="P347" s="34" t="s">
        <v>7150</v>
      </c>
      <c r="Q347" s="34" t="b">
        <v>0</v>
      </c>
      <c r="R347" s="34" t="b">
        <v>0</v>
      </c>
    </row>
    <row r="348" spans="1:18">
      <c r="A348" s="24" t="s">
        <v>2484</v>
      </c>
      <c r="B348" s="24"/>
      <c r="C348" s="24"/>
      <c r="D348" s="24">
        <v>0</v>
      </c>
      <c r="E348" s="24">
        <v>0</v>
      </c>
      <c r="F348" s="24">
        <v>0</v>
      </c>
      <c r="G348" s="24" t="s">
        <v>2489</v>
      </c>
      <c r="H348" s="24"/>
      <c r="I348" s="24" t="b">
        <v>0</v>
      </c>
      <c r="J348" s="24" t="b">
        <v>1</v>
      </c>
      <c r="K348" s="24" t="b">
        <v>1</v>
      </c>
      <c r="L348" s="24"/>
      <c r="M348" s="24"/>
      <c r="N348" s="24" t="s">
        <v>7150</v>
      </c>
      <c r="O348" s="24" t="s">
        <v>7150</v>
      </c>
      <c r="P348" s="24" t="s">
        <v>7150</v>
      </c>
      <c r="Q348" s="24" t="b">
        <v>0</v>
      </c>
      <c r="R348" s="24" t="b">
        <v>0</v>
      </c>
    </row>
    <row r="349" spans="1:18">
      <c r="A349" s="24" t="s">
        <v>2485</v>
      </c>
      <c r="B349" s="24"/>
      <c r="C349" s="24"/>
      <c r="D349" s="24">
        <v>0</v>
      </c>
      <c r="E349" s="24">
        <v>0</v>
      </c>
      <c r="F349" s="24">
        <v>0</v>
      </c>
      <c r="G349" s="24" t="s">
        <v>2490</v>
      </c>
      <c r="H349" s="24"/>
      <c r="I349" s="24" t="b">
        <v>0</v>
      </c>
      <c r="J349" s="24" t="b">
        <v>1</v>
      </c>
      <c r="K349" s="24" t="b">
        <v>1</v>
      </c>
      <c r="L349" s="24"/>
      <c r="M349" s="24"/>
      <c r="N349" s="24" t="s">
        <v>7150</v>
      </c>
      <c r="O349" s="24" t="s">
        <v>7150</v>
      </c>
      <c r="P349" s="24" t="s">
        <v>7150</v>
      </c>
      <c r="Q349" s="24" t="b">
        <v>0</v>
      </c>
      <c r="R349" s="24" t="b">
        <v>0</v>
      </c>
    </row>
    <row r="350" spans="1:18">
      <c r="A350" s="24" t="s">
        <v>7226</v>
      </c>
      <c r="B350" s="24"/>
      <c r="C350" s="24"/>
      <c r="D350" s="24">
        <v>0</v>
      </c>
      <c r="E350" s="24">
        <v>0</v>
      </c>
      <c r="F350" s="24">
        <v>0</v>
      </c>
      <c r="G350" s="24" t="s">
        <v>2491</v>
      </c>
      <c r="H350" s="24"/>
      <c r="I350" s="24" t="b">
        <v>0</v>
      </c>
      <c r="J350" s="24" t="b">
        <v>1</v>
      </c>
      <c r="K350" s="24" t="b">
        <v>1</v>
      </c>
      <c r="L350" s="24"/>
      <c r="M350" s="24"/>
      <c r="N350" s="24" t="s">
        <v>7150</v>
      </c>
      <c r="O350" s="24" t="s">
        <v>7150</v>
      </c>
      <c r="P350" s="24" t="s">
        <v>7150</v>
      </c>
      <c r="Q350" s="24" t="b">
        <v>0</v>
      </c>
      <c r="R350" s="24" t="b">
        <v>0</v>
      </c>
    </row>
    <row r="351" spans="1:18">
      <c r="A351" s="24" t="s">
        <v>2486</v>
      </c>
      <c r="B351" s="24"/>
      <c r="C351" s="24"/>
      <c r="D351" s="24">
        <v>0</v>
      </c>
      <c r="E351" s="24">
        <v>0</v>
      </c>
      <c r="F351" s="24">
        <v>0</v>
      </c>
      <c r="G351" s="24" t="s">
        <v>2492</v>
      </c>
      <c r="H351" s="24"/>
      <c r="I351" s="24" t="b">
        <v>0</v>
      </c>
      <c r="J351" s="24" t="b">
        <v>1</v>
      </c>
      <c r="K351" s="24" t="b">
        <v>1</v>
      </c>
      <c r="L351" s="24"/>
      <c r="M351" s="24"/>
      <c r="N351" s="24" t="s">
        <v>7150</v>
      </c>
      <c r="O351" s="24" t="s">
        <v>7150</v>
      </c>
      <c r="P351" s="24" t="s">
        <v>7150</v>
      </c>
      <c r="Q351" s="24" t="b">
        <v>0</v>
      </c>
      <c r="R351" s="24" t="b">
        <v>0</v>
      </c>
    </row>
    <row r="352" spans="1:18">
      <c r="A352" s="23" t="s">
        <v>2487</v>
      </c>
      <c r="B352" s="23"/>
      <c r="C352" s="23"/>
      <c r="D352" s="23">
        <v>0</v>
      </c>
      <c r="E352" s="23">
        <v>0</v>
      </c>
      <c r="F352" s="23">
        <v>0</v>
      </c>
      <c r="G352" s="23" t="s">
        <v>2493</v>
      </c>
      <c r="H352" s="23"/>
      <c r="I352" s="23" t="b">
        <v>0</v>
      </c>
      <c r="J352" s="23" t="b">
        <v>1</v>
      </c>
      <c r="K352" s="23" t="b">
        <v>1</v>
      </c>
      <c r="L352" s="23"/>
      <c r="M352" s="23"/>
      <c r="N352" s="23" t="s">
        <v>7150</v>
      </c>
      <c r="O352" s="23" t="s">
        <v>7150</v>
      </c>
      <c r="P352" s="23" t="s">
        <v>7150</v>
      </c>
      <c r="Q352" s="23" t="b">
        <v>0</v>
      </c>
      <c r="R352" s="23" t="b">
        <v>0</v>
      </c>
    </row>
    <row r="353" spans="1:18">
      <c r="A353" s="23" t="s">
        <v>1013</v>
      </c>
      <c r="B353" s="23"/>
      <c r="C353" s="23"/>
      <c r="D353" s="23">
        <v>5000</v>
      </c>
      <c r="E353" s="23">
        <v>0</v>
      </c>
      <c r="F353" s="23">
        <v>0</v>
      </c>
      <c r="G353" s="23" t="s">
        <v>1012</v>
      </c>
      <c r="H353" s="23"/>
      <c r="I353" s="23" t="b">
        <v>0</v>
      </c>
      <c r="J353" s="23" t="b">
        <v>0</v>
      </c>
      <c r="K353" s="23" t="b">
        <v>1</v>
      </c>
      <c r="L353" s="23" t="s">
        <v>317</v>
      </c>
      <c r="M353" s="23"/>
      <c r="N353" s="23" t="s">
        <v>7150</v>
      </c>
      <c r="O353" s="23" t="s">
        <v>7150</v>
      </c>
      <c r="P353" s="23" t="s">
        <v>7150</v>
      </c>
      <c r="Q353" s="23" t="b">
        <v>0</v>
      </c>
      <c r="R353" s="23" t="b">
        <v>0</v>
      </c>
    </row>
    <row r="354" spans="1:18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>
      <c r="A355" s="34"/>
      <c r="B355" s="34"/>
      <c r="C355" s="34"/>
      <c r="D355" s="34"/>
      <c r="E355" s="34"/>
      <c r="F355" s="34"/>
      <c r="G355" s="34"/>
      <c r="H355" s="34"/>
      <c r="I355" s="34"/>
      <c r="J355" s="23"/>
      <c r="K355" s="34"/>
      <c r="L355" s="34"/>
      <c r="M355" s="34"/>
      <c r="N355" s="34"/>
      <c r="O355" s="34"/>
      <c r="P355" s="34"/>
      <c r="Q355" s="34"/>
      <c r="R355" s="34"/>
    </row>
    <row r="356" spans="1:18">
      <c r="A356" s="34"/>
      <c r="B356" s="34"/>
      <c r="C356" s="34"/>
      <c r="D356" s="34"/>
      <c r="E356" s="34"/>
      <c r="F356" s="34"/>
      <c r="G356" s="34"/>
      <c r="H356" s="34"/>
      <c r="I356" s="34"/>
      <c r="J356" s="23"/>
      <c r="K356" s="34"/>
      <c r="L356" s="34"/>
      <c r="M356" s="34"/>
      <c r="N356" s="34"/>
      <c r="O356" s="34"/>
      <c r="P356" s="34"/>
      <c r="Q356" s="34"/>
      <c r="R356" s="34"/>
    </row>
    <row r="357" spans="1:18">
      <c r="A357" s="34"/>
      <c r="B357" s="34"/>
      <c r="C357" s="34"/>
      <c r="D357" s="34"/>
      <c r="E357" s="34"/>
      <c r="F357" s="34"/>
      <c r="G357" s="34"/>
      <c r="H357" s="34"/>
      <c r="I357" s="34"/>
      <c r="J357" s="23"/>
      <c r="K357" s="34"/>
      <c r="L357" s="34"/>
      <c r="M357" s="34"/>
      <c r="N357" s="34"/>
      <c r="O357" s="34"/>
      <c r="P357" s="34"/>
      <c r="Q357" s="34"/>
      <c r="R357" s="34"/>
    </row>
    <row r="358" spans="1:1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</row>
  </sheetData>
  <phoneticPr fontId="3" type="noConversion"/>
  <conditionalFormatting sqref="A281:A1048576 A239:A262 A1:A232">
    <cfRule type="duplicateValues" dxfId="148" priority="131"/>
  </conditionalFormatting>
  <conditionalFormatting sqref="A1:XFD49 A50:I75 K50:XFD75 A180:XFD185 A156:I179 K156:XFD179 A194:XFD213 K186:XFD192 A220:XFD225 A214:I219 K214:XFD219 A226:I226 K226:XFD232 A334:XFD351 A314:I333 K314:XFD333 A358:XFD1048576 A352:I357 K352:XFD357 A227:F232 H227:I232 A239:I244 K239:XFD244 A76:XFD155 A281:XFD313 A245:XFD262 A186:I192 A193">
    <cfRule type="cellIs" dxfId="147" priority="132" operator="equal">
      <formula>"Single"</formula>
    </cfRule>
    <cfRule type="cellIs" dxfId="146" priority="133" operator="equal">
      <formula>"Self"</formula>
    </cfRule>
    <cfRule type="containsText" dxfId="145" priority="134" operator="containsText" text="debuff">
      <formula>NOT(ISERROR(SEARCH("debuff",A1)))</formula>
    </cfRule>
    <cfRule type="cellIs" dxfId="144" priority="135" operator="equal">
      <formula>FALSE</formula>
    </cfRule>
    <cfRule type="cellIs" dxfId="143" priority="136" operator="equal">
      <formula>TRUE</formula>
    </cfRule>
    <cfRule type="cellIs" dxfId="142" priority="137" operator="equal">
      <formula>0</formula>
    </cfRule>
  </conditionalFormatting>
  <conditionalFormatting sqref="G334:G340">
    <cfRule type="duplicateValues" dxfId="141" priority="130"/>
  </conditionalFormatting>
  <conditionalFormatting sqref="J50:J75">
    <cfRule type="cellIs" dxfId="140" priority="124" operator="equal">
      <formula>"Single"</formula>
    </cfRule>
    <cfRule type="cellIs" dxfId="139" priority="125" operator="equal">
      <formula>"Self"</formula>
    </cfRule>
    <cfRule type="containsText" dxfId="138" priority="126" operator="containsText" text="debuff">
      <formula>NOT(ISERROR(SEARCH("debuff",J50)))</formula>
    </cfRule>
    <cfRule type="cellIs" dxfId="137" priority="127" operator="equal">
      <formula>FALSE</formula>
    </cfRule>
    <cfRule type="cellIs" dxfId="136" priority="128" operator="equal">
      <formula>TRUE</formula>
    </cfRule>
    <cfRule type="cellIs" dxfId="135" priority="129" operator="equal">
      <formula>0</formula>
    </cfRule>
  </conditionalFormatting>
  <conditionalFormatting sqref="J156:J173">
    <cfRule type="cellIs" dxfId="134" priority="118" operator="equal">
      <formula>"Single"</formula>
    </cfRule>
    <cfRule type="cellIs" dxfId="133" priority="119" operator="equal">
      <formula>"Self"</formula>
    </cfRule>
    <cfRule type="containsText" dxfId="132" priority="120" operator="containsText" text="debuff">
      <formula>NOT(ISERROR(SEARCH("debuff",J156)))</formula>
    </cfRule>
    <cfRule type="cellIs" dxfId="131" priority="121" operator="equal">
      <formula>FALSE</formula>
    </cfRule>
    <cfRule type="cellIs" dxfId="130" priority="122" operator="equal">
      <formula>TRUE</formula>
    </cfRule>
    <cfRule type="cellIs" dxfId="129" priority="123" operator="equal">
      <formula>0</formula>
    </cfRule>
  </conditionalFormatting>
  <conditionalFormatting sqref="J174:J179">
    <cfRule type="cellIs" dxfId="128" priority="112" operator="equal">
      <formula>"Single"</formula>
    </cfRule>
    <cfRule type="cellIs" dxfId="127" priority="113" operator="equal">
      <formula>"Self"</formula>
    </cfRule>
    <cfRule type="containsText" dxfId="126" priority="114" operator="containsText" text="debuff">
      <formula>NOT(ISERROR(SEARCH("debuff",J174)))</formula>
    </cfRule>
    <cfRule type="cellIs" dxfId="125" priority="115" operator="equal">
      <formula>FALSE</formula>
    </cfRule>
    <cfRule type="cellIs" dxfId="124" priority="116" operator="equal">
      <formula>TRUE</formula>
    </cfRule>
    <cfRule type="cellIs" dxfId="123" priority="117" operator="equal">
      <formula>0</formula>
    </cfRule>
  </conditionalFormatting>
  <conditionalFormatting sqref="J186:J191">
    <cfRule type="cellIs" dxfId="122" priority="106" operator="equal">
      <formula>"Single"</formula>
    </cfRule>
    <cfRule type="cellIs" dxfId="121" priority="107" operator="equal">
      <formula>"Self"</formula>
    </cfRule>
    <cfRule type="containsText" dxfId="120" priority="108" operator="containsText" text="debuff">
      <formula>NOT(ISERROR(SEARCH("debuff",J186)))</formula>
    </cfRule>
    <cfRule type="cellIs" dxfId="119" priority="109" operator="equal">
      <formula>FALSE</formula>
    </cfRule>
    <cfRule type="cellIs" dxfId="118" priority="110" operator="equal">
      <formula>TRUE</formula>
    </cfRule>
    <cfRule type="cellIs" dxfId="117" priority="111" operator="equal">
      <formula>0</formula>
    </cfRule>
  </conditionalFormatting>
  <conditionalFormatting sqref="J192">
    <cfRule type="cellIs" dxfId="116" priority="100" operator="equal">
      <formula>"Single"</formula>
    </cfRule>
    <cfRule type="cellIs" dxfId="115" priority="101" operator="equal">
      <formula>"Self"</formula>
    </cfRule>
    <cfRule type="containsText" dxfId="114" priority="102" operator="containsText" text="debuff">
      <formula>NOT(ISERROR(SEARCH("debuff",J192)))</formula>
    </cfRule>
    <cfRule type="cellIs" dxfId="113" priority="103" operator="equal">
      <formula>FALSE</formula>
    </cfRule>
    <cfRule type="cellIs" dxfId="112" priority="104" operator="equal">
      <formula>TRUE</formula>
    </cfRule>
    <cfRule type="cellIs" dxfId="111" priority="105" operator="equal">
      <formula>0</formula>
    </cfRule>
  </conditionalFormatting>
  <conditionalFormatting sqref="J214:J219">
    <cfRule type="cellIs" dxfId="110" priority="94" operator="equal">
      <formula>"Single"</formula>
    </cfRule>
    <cfRule type="cellIs" dxfId="109" priority="95" operator="equal">
      <formula>"Self"</formula>
    </cfRule>
    <cfRule type="containsText" dxfId="108" priority="96" operator="containsText" text="debuff">
      <formula>NOT(ISERROR(SEARCH("debuff",J214)))</formula>
    </cfRule>
    <cfRule type="cellIs" dxfId="107" priority="97" operator="equal">
      <formula>FALSE</formula>
    </cfRule>
    <cfRule type="cellIs" dxfId="106" priority="98" operator="equal">
      <formula>TRUE</formula>
    </cfRule>
    <cfRule type="cellIs" dxfId="105" priority="99" operator="equal">
      <formula>0</formula>
    </cfRule>
  </conditionalFormatting>
  <conditionalFormatting sqref="J226">
    <cfRule type="cellIs" dxfId="104" priority="88" operator="equal">
      <formula>"Single"</formula>
    </cfRule>
    <cfRule type="cellIs" dxfId="103" priority="89" operator="equal">
      <formula>"Self"</formula>
    </cfRule>
    <cfRule type="containsText" dxfId="102" priority="90" operator="containsText" text="debuff">
      <formula>NOT(ISERROR(SEARCH("debuff",J226)))</formula>
    </cfRule>
    <cfRule type="cellIs" dxfId="101" priority="91" operator="equal">
      <formula>FALSE</formula>
    </cfRule>
    <cfRule type="cellIs" dxfId="100" priority="92" operator="equal">
      <formula>TRUE</formula>
    </cfRule>
    <cfRule type="cellIs" dxfId="99" priority="93" operator="equal">
      <formula>0</formula>
    </cfRule>
  </conditionalFormatting>
  <conditionalFormatting sqref="J314:J333">
    <cfRule type="cellIs" dxfId="98" priority="82" operator="equal">
      <formula>"Single"</formula>
    </cfRule>
    <cfRule type="cellIs" dxfId="97" priority="83" operator="equal">
      <formula>"Self"</formula>
    </cfRule>
    <cfRule type="containsText" dxfId="96" priority="84" operator="containsText" text="debuff">
      <formula>NOT(ISERROR(SEARCH("debuff",J314)))</formula>
    </cfRule>
    <cfRule type="cellIs" dxfId="95" priority="85" operator="equal">
      <formula>FALSE</formula>
    </cfRule>
    <cfRule type="cellIs" dxfId="94" priority="86" operator="equal">
      <formula>TRUE</formula>
    </cfRule>
    <cfRule type="cellIs" dxfId="93" priority="87" operator="equal">
      <formula>0</formula>
    </cfRule>
  </conditionalFormatting>
  <conditionalFormatting sqref="J352:J357">
    <cfRule type="cellIs" dxfId="92" priority="76" operator="equal">
      <formula>"Single"</formula>
    </cfRule>
    <cfRule type="cellIs" dxfId="91" priority="77" operator="equal">
      <formula>"Self"</formula>
    </cfRule>
    <cfRule type="containsText" dxfId="90" priority="78" operator="containsText" text="debuff">
      <formula>NOT(ISERROR(SEARCH("debuff",J352)))</formula>
    </cfRule>
    <cfRule type="cellIs" dxfId="89" priority="79" operator="equal">
      <formula>FALSE</formula>
    </cfRule>
    <cfRule type="cellIs" dxfId="88" priority="80" operator="equal">
      <formula>TRUE</formula>
    </cfRule>
    <cfRule type="cellIs" dxfId="87" priority="81" operator="equal">
      <formula>0</formula>
    </cfRule>
  </conditionalFormatting>
  <conditionalFormatting sqref="G227:G232">
    <cfRule type="duplicateValues" dxfId="86" priority="65"/>
  </conditionalFormatting>
  <conditionalFormatting sqref="G227:G232">
    <cfRule type="cellIs" dxfId="85" priority="66" operator="equal">
      <formula>TRUE</formula>
    </cfRule>
    <cfRule type="cellIs" dxfId="84" priority="67" operator="equal">
      <formula>FALSE</formula>
    </cfRule>
    <cfRule type="cellIs" dxfId="83" priority="68" operator="equal">
      <formula>0</formula>
    </cfRule>
    <cfRule type="cellIs" dxfId="82" priority="69" operator="equal">
      <formula>"Single"</formula>
    </cfRule>
    <cfRule type="cellIs" dxfId="81" priority="70" operator="equal">
      <formula>"Self"</formula>
    </cfRule>
  </conditionalFormatting>
  <conditionalFormatting sqref="A233:A238">
    <cfRule type="duplicateValues" dxfId="80" priority="58"/>
  </conditionalFormatting>
  <conditionalFormatting sqref="K233:XFD238 A233:F238 H233:I238">
    <cfRule type="cellIs" dxfId="79" priority="59" operator="equal">
      <formula>"Single"</formula>
    </cfRule>
    <cfRule type="cellIs" dxfId="78" priority="60" operator="equal">
      <formula>"Self"</formula>
    </cfRule>
    <cfRule type="containsText" dxfId="77" priority="61" operator="containsText" text="debuff">
      <formula>NOT(ISERROR(SEARCH("debuff",A233)))</formula>
    </cfRule>
    <cfRule type="cellIs" dxfId="76" priority="62" operator="equal">
      <formula>FALSE</formula>
    </cfRule>
    <cfRule type="cellIs" dxfId="75" priority="63" operator="equal">
      <formula>TRUE</formula>
    </cfRule>
    <cfRule type="cellIs" dxfId="74" priority="64" operator="equal">
      <formula>0</formula>
    </cfRule>
  </conditionalFormatting>
  <conditionalFormatting sqref="G233:G238">
    <cfRule type="duplicateValues" dxfId="73" priority="46"/>
  </conditionalFormatting>
  <conditionalFormatting sqref="G233:G238">
    <cfRule type="cellIs" dxfId="72" priority="47" operator="equal">
      <formula>TRUE</formula>
    </cfRule>
    <cfRule type="cellIs" dxfId="71" priority="48" operator="equal">
      <formula>FALSE</formula>
    </cfRule>
    <cfRule type="cellIs" dxfId="70" priority="49" operator="equal">
      <formula>0</formula>
    </cfRule>
    <cfRule type="cellIs" dxfId="69" priority="50" operator="equal">
      <formula>"Single"</formula>
    </cfRule>
    <cfRule type="cellIs" dxfId="68" priority="51" operator="equal">
      <formula>"Self"</formula>
    </cfRule>
  </conditionalFormatting>
  <conditionalFormatting sqref="J227:J244">
    <cfRule type="cellIs" dxfId="67" priority="40" operator="equal">
      <formula>"Single"</formula>
    </cfRule>
    <cfRule type="cellIs" dxfId="66" priority="41" operator="equal">
      <formula>"Self"</formula>
    </cfRule>
    <cfRule type="containsText" dxfId="65" priority="42" operator="containsText" text="debuff">
      <formula>NOT(ISERROR(SEARCH("debuff",J227)))</formula>
    </cfRule>
    <cfRule type="cellIs" dxfId="64" priority="43" operator="equal">
      <formula>FALSE</formula>
    </cfRule>
    <cfRule type="cellIs" dxfId="63" priority="44" operator="equal">
      <formula>TRUE</formula>
    </cfRule>
    <cfRule type="cellIs" dxfId="62" priority="45" operator="equal">
      <formula>0</formula>
    </cfRule>
  </conditionalFormatting>
  <conditionalFormatting sqref="A269:A280">
    <cfRule type="duplicateValues" dxfId="61" priority="33"/>
  </conditionalFormatting>
  <conditionalFormatting sqref="K269:XFD274 A269:I274 A275:XFD280">
    <cfRule type="cellIs" dxfId="60" priority="34" operator="equal">
      <formula>"Single"</formula>
    </cfRule>
    <cfRule type="cellIs" dxfId="59" priority="35" operator="equal">
      <formula>"Self"</formula>
    </cfRule>
    <cfRule type="containsText" dxfId="58" priority="36" operator="containsText" text="debuff">
      <formula>NOT(ISERROR(SEARCH("debuff",A269)))</formula>
    </cfRule>
    <cfRule type="cellIs" dxfId="57" priority="37" operator="equal">
      <formula>FALSE</formula>
    </cfRule>
    <cfRule type="cellIs" dxfId="56" priority="38" operator="equal">
      <formula>TRUE</formula>
    </cfRule>
    <cfRule type="cellIs" dxfId="55" priority="39" operator="equal">
      <formula>0</formula>
    </cfRule>
  </conditionalFormatting>
  <conditionalFormatting sqref="J269:J274">
    <cfRule type="cellIs" dxfId="54" priority="27" operator="equal">
      <formula>"Single"</formula>
    </cfRule>
    <cfRule type="cellIs" dxfId="53" priority="28" operator="equal">
      <formula>"Self"</formula>
    </cfRule>
    <cfRule type="containsText" dxfId="52" priority="29" operator="containsText" text="debuff">
      <formula>NOT(ISERROR(SEARCH("debuff",J269)))</formula>
    </cfRule>
    <cfRule type="cellIs" dxfId="51" priority="30" operator="equal">
      <formula>FALSE</formula>
    </cfRule>
    <cfRule type="cellIs" dxfId="50" priority="31" operator="equal">
      <formula>TRUE</formula>
    </cfRule>
    <cfRule type="cellIs" dxfId="49" priority="32" operator="equal">
      <formula>0</formula>
    </cfRule>
  </conditionalFormatting>
  <conditionalFormatting sqref="A263:A268">
    <cfRule type="duplicateValues" dxfId="48" priority="20"/>
  </conditionalFormatting>
  <conditionalFormatting sqref="A263:F268 H263:XFD268">
    <cfRule type="cellIs" dxfId="47" priority="21" operator="equal">
      <formula>"Single"</formula>
    </cfRule>
    <cfRule type="cellIs" dxfId="46" priority="22" operator="equal">
      <formula>"Self"</formula>
    </cfRule>
    <cfRule type="containsText" dxfId="45" priority="23" operator="containsText" text="debuff">
      <formula>NOT(ISERROR(SEARCH("debuff",A263)))</formula>
    </cfRule>
    <cfRule type="cellIs" dxfId="44" priority="24" operator="equal">
      <formula>FALSE</formula>
    </cfRule>
    <cfRule type="cellIs" dxfId="43" priority="25" operator="equal">
      <formula>TRUE</formula>
    </cfRule>
    <cfRule type="cellIs" dxfId="42" priority="26" operator="equal">
      <formula>0</formula>
    </cfRule>
  </conditionalFormatting>
  <conditionalFormatting sqref="G263:G268">
    <cfRule type="cellIs" dxfId="41" priority="14" operator="equal">
      <formula>"Single"</formula>
    </cfRule>
    <cfRule type="cellIs" dxfId="40" priority="15" operator="equal">
      <formula>"Self"</formula>
    </cfRule>
    <cfRule type="containsText" dxfId="39" priority="16" operator="containsText" text="debuff">
      <formula>NOT(ISERROR(SEARCH("debuff",G263)))</formula>
    </cfRule>
    <cfRule type="cellIs" dxfId="38" priority="17" operator="equal">
      <formula>FALSE</formula>
    </cfRule>
    <cfRule type="cellIs" dxfId="37" priority="18" operator="equal">
      <formula>TRUE</formula>
    </cfRule>
    <cfRule type="cellIs" dxfId="36" priority="19" operator="equal">
      <formula>0</formula>
    </cfRule>
  </conditionalFormatting>
  <conditionalFormatting sqref="K193:XFD193 B193:I193">
    <cfRule type="cellIs" dxfId="35" priority="8" operator="equal">
      <formula>"Single"</formula>
    </cfRule>
    <cfRule type="cellIs" dxfId="34" priority="9" operator="equal">
      <formula>"Self"</formula>
    </cfRule>
    <cfRule type="containsText" dxfId="33" priority="10" operator="containsText" text="debuff">
      <formula>NOT(ISERROR(SEARCH("debuff",B193)))</formula>
    </cfRule>
    <cfRule type="cellIs" dxfId="32" priority="11" operator="equal">
      <formula>FALSE</formula>
    </cfRule>
    <cfRule type="cellIs" dxfId="31" priority="12" operator="equal">
      <formula>TRUE</formula>
    </cfRule>
    <cfRule type="cellIs" dxfId="30" priority="13" operator="equal">
      <formula>0</formula>
    </cfRule>
  </conditionalFormatting>
  <conditionalFormatting sqref="J193">
    <cfRule type="cellIs" dxfId="29" priority="1" operator="equal">
      <formula>"Single"</formula>
    </cfRule>
    <cfRule type="cellIs" dxfId="28" priority="2" operator="equal">
      <formula>"Self"</formula>
    </cfRule>
    <cfRule type="containsText" dxfId="27" priority="3" operator="containsText" text="debuff">
      <formula>NOT(ISERROR(SEARCH("debuff",J193)))</formula>
    </cfRule>
    <cfRule type="cellIs" dxfId="26" priority="4" operator="equal">
      <formula>FALSE</formula>
    </cfRule>
    <cfRule type="cellIs" dxfId="25" priority="5" operator="equal">
      <formula>TRUE</formula>
    </cfRule>
    <cfRule type="cellIs" dxfId="24" priority="6" operator="equal">
      <formula>0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>
          <x14:formula1>
            <xm:f>Buff.CM!$A:$A</xm:f>
          </x14:formula1>
          <xm:sqref>M214:M286 M314:M347 M352:M358 M98:M142 M5:M91 M149:M207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R306"/>
  <sheetViews>
    <sheetView tabSelected="1" zoomScale="85" zoomScaleNormal="85" workbookViewId="0">
      <pane xSplit="1" ySplit="4" topLeftCell="B134" activePane="bottomRight" state="frozen"/>
      <selection activeCell="G138" sqref="G138"/>
      <selection pane="topRight" activeCell="G138" sqref="G138"/>
      <selection pane="bottomLeft" activeCell="G138" sqref="G138"/>
      <selection pane="bottomRight" activeCell="C143" sqref="C143"/>
    </sheetView>
  </sheetViews>
  <sheetFormatPr defaultColWidth="79" defaultRowHeight="16.5"/>
  <cols>
    <col min="1" max="1" width="43.25" bestFit="1" customWidth="1"/>
    <col min="2" max="2" width="16.625" bestFit="1" customWidth="1"/>
    <col min="3" max="3" width="23.875" bestFit="1" customWidth="1"/>
    <col min="4" max="4" width="10.125" bestFit="1" customWidth="1"/>
    <col min="5" max="5" width="18.125" bestFit="1" customWidth="1"/>
    <col min="6" max="6" width="15.5" bestFit="1" customWidth="1"/>
    <col min="7" max="7" width="9.375" bestFit="1" customWidth="1"/>
    <col min="8" max="8" width="10.25" bestFit="1" customWidth="1"/>
    <col min="9" max="9" width="12.375" bestFit="1" customWidth="1"/>
    <col min="10" max="10" width="17.75" bestFit="1" customWidth="1"/>
    <col min="11" max="11" width="41.625" bestFit="1" customWidth="1"/>
    <col min="12" max="12" width="48.375" bestFit="1" customWidth="1"/>
    <col min="13" max="13" width="22.75" bestFit="1" customWidth="1"/>
    <col min="14" max="14" width="69.125" bestFit="1" customWidth="1"/>
    <col min="15" max="15" width="9.125" bestFit="1" customWidth="1"/>
    <col min="16" max="16" width="9" bestFit="1" customWidth="1"/>
    <col min="17" max="17" width="8.25" bestFit="1" customWidth="1"/>
    <col min="18" max="18" width="9" bestFit="1" customWidth="1"/>
  </cols>
  <sheetData>
    <row r="1" spans="1:18" ht="33" customHeight="1">
      <c r="A1" s="1" t="s">
        <v>0</v>
      </c>
      <c r="B1" s="3" t="s">
        <v>1</v>
      </c>
      <c r="C1" s="3" t="s">
        <v>2</v>
      </c>
      <c r="D1" s="3" t="s">
        <v>1322</v>
      </c>
      <c r="E1" s="3" t="s">
        <v>1326</v>
      </c>
      <c r="F1" s="4" t="s">
        <v>178</v>
      </c>
      <c r="G1" s="4" t="s">
        <v>179</v>
      </c>
      <c r="H1" s="4" t="s">
        <v>180</v>
      </c>
      <c r="I1" s="4" t="s">
        <v>181</v>
      </c>
      <c r="J1" s="63" t="s">
        <v>834</v>
      </c>
      <c r="K1" s="63" t="s">
        <v>180</v>
      </c>
      <c r="L1" s="63" t="s">
        <v>835</v>
      </c>
      <c r="M1" s="63" t="s">
        <v>836</v>
      </c>
      <c r="N1" s="8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>
      <c r="A2" s="1" t="s">
        <v>17</v>
      </c>
      <c r="B2" s="3" t="s">
        <v>18</v>
      </c>
      <c r="C2" s="3" t="s">
        <v>19</v>
      </c>
      <c r="D2" s="3" t="s">
        <v>1320</v>
      </c>
      <c r="E2" s="3" t="s">
        <v>1318</v>
      </c>
      <c r="F2" s="4" t="s">
        <v>187</v>
      </c>
      <c r="G2" s="4" t="s">
        <v>188</v>
      </c>
      <c r="H2" s="4" t="s">
        <v>189</v>
      </c>
      <c r="I2" s="4" t="s">
        <v>190</v>
      </c>
      <c r="J2" s="63" t="s">
        <v>6814</v>
      </c>
      <c r="K2" s="63" t="s">
        <v>6815</v>
      </c>
      <c r="L2" s="63" t="s">
        <v>6816</v>
      </c>
      <c r="M2" s="63" t="s">
        <v>6817</v>
      </c>
      <c r="N2" s="8" t="s">
        <v>191</v>
      </c>
      <c r="O2" s="1" t="s">
        <v>192</v>
      </c>
      <c r="P2" s="1" t="s">
        <v>193</v>
      </c>
      <c r="Q2" s="1" t="s">
        <v>30</v>
      </c>
      <c r="R2" s="1" t="s">
        <v>194</v>
      </c>
    </row>
    <row r="3" spans="1:18">
      <c r="A3" s="1" t="s">
        <v>34</v>
      </c>
      <c r="B3" s="3" t="s">
        <v>35</v>
      </c>
      <c r="C3" s="3" t="s">
        <v>36</v>
      </c>
      <c r="D3" s="3" t="s">
        <v>37</v>
      </c>
      <c r="E3" s="3" t="s">
        <v>1324</v>
      </c>
      <c r="F3" s="4" t="s">
        <v>187</v>
      </c>
      <c r="G3" s="4" t="s">
        <v>188</v>
      </c>
      <c r="H3" s="4" t="s">
        <v>195</v>
      </c>
      <c r="I3" s="4" t="s">
        <v>37</v>
      </c>
      <c r="J3" s="63" t="s">
        <v>6818</v>
      </c>
      <c r="K3" s="63" t="s">
        <v>6819</v>
      </c>
      <c r="L3" s="63" t="s">
        <v>6819</v>
      </c>
      <c r="M3" s="63" t="s">
        <v>6819</v>
      </c>
      <c r="N3" s="8" t="s">
        <v>196</v>
      </c>
      <c r="O3" s="1" t="s">
        <v>37</v>
      </c>
      <c r="P3" s="1" t="s">
        <v>37</v>
      </c>
      <c r="Q3" s="1" t="s">
        <v>36</v>
      </c>
      <c r="R3" s="1" t="s">
        <v>40</v>
      </c>
    </row>
    <row r="4" spans="1:18">
      <c r="A4" s="1" t="s">
        <v>42</v>
      </c>
      <c r="B4" s="3" t="s">
        <v>42</v>
      </c>
      <c r="C4" s="3" t="s">
        <v>42</v>
      </c>
      <c r="D4" s="3" t="s">
        <v>42</v>
      </c>
      <c r="E4" s="3" t="s">
        <v>42</v>
      </c>
      <c r="F4" s="4" t="s">
        <v>42</v>
      </c>
      <c r="G4" s="4" t="s">
        <v>42</v>
      </c>
      <c r="H4" s="4" t="s">
        <v>42</v>
      </c>
      <c r="I4" s="4" t="s">
        <v>42</v>
      </c>
      <c r="J4" s="63" t="s">
        <v>883</v>
      </c>
      <c r="K4" s="63" t="s">
        <v>883</v>
      </c>
      <c r="L4" s="63" t="s">
        <v>883</v>
      </c>
      <c r="M4" s="63" t="s">
        <v>883</v>
      </c>
      <c r="N4" s="8" t="s">
        <v>42</v>
      </c>
      <c r="O4" s="1" t="s">
        <v>42</v>
      </c>
      <c r="P4" s="1" t="s">
        <v>42</v>
      </c>
      <c r="Q4" s="1" t="s">
        <v>43</v>
      </c>
      <c r="R4" s="1" t="s">
        <v>42</v>
      </c>
    </row>
    <row r="5" spans="1:18" s="150" customFormat="1">
      <c r="A5" s="24" t="s">
        <v>7229</v>
      </c>
      <c r="B5" s="24"/>
      <c r="C5" s="24"/>
      <c r="D5" s="24">
        <v>0</v>
      </c>
      <c r="E5" s="24">
        <v>1</v>
      </c>
      <c r="F5" s="24" t="s">
        <v>197</v>
      </c>
      <c r="G5" s="24" t="s">
        <v>198</v>
      </c>
      <c r="H5" s="24"/>
      <c r="I5" s="24">
        <v>0</v>
      </c>
      <c r="J5" s="24" t="s">
        <v>1621</v>
      </c>
      <c r="K5" s="24" t="s">
        <v>839</v>
      </c>
      <c r="L5" s="24">
        <v>600</v>
      </c>
      <c r="M5" s="24"/>
      <c r="N5" s="24" t="str">
        <f t="shared" ref="N5:N68" si="0">J5&amp;"("&amp;IF(K5="","",K5)&amp;IF(L5="","",", "&amp;L5)&amp;IF(M5="","",", "&amp;M5)&amp;")"</f>
        <v>StatusDistict(DamageDerate, 600)</v>
      </c>
      <c r="O5" s="24">
        <v>0</v>
      </c>
      <c r="P5" s="24">
        <v>0</v>
      </c>
      <c r="Q5" s="24"/>
      <c r="R5" s="24" t="b">
        <v>1</v>
      </c>
    </row>
    <row r="6" spans="1:18" s="150" customFormat="1">
      <c r="A6" s="24" t="s">
        <v>4709</v>
      </c>
      <c r="B6" s="24"/>
      <c r="C6" s="24"/>
      <c r="D6" s="24">
        <v>0</v>
      </c>
      <c r="E6" s="24">
        <v>1</v>
      </c>
      <c r="F6" s="24" t="s">
        <v>197</v>
      </c>
      <c r="G6" s="24" t="s">
        <v>198</v>
      </c>
      <c r="H6" s="24"/>
      <c r="I6" s="24">
        <v>0</v>
      </c>
      <c r="J6" s="24" t="s">
        <v>1621</v>
      </c>
      <c r="K6" s="24" t="s">
        <v>839</v>
      </c>
      <c r="L6" s="24">
        <v>700</v>
      </c>
      <c r="M6" s="24"/>
      <c r="N6" s="24" t="str">
        <f t="shared" si="0"/>
        <v>StatusDistict(DamageDerate, 700)</v>
      </c>
      <c r="O6" s="24">
        <v>0</v>
      </c>
      <c r="P6" s="24">
        <v>0</v>
      </c>
      <c r="Q6" s="24"/>
      <c r="R6" s="24" t="b">
        <v>1</v>
      </c>
    </row>
    <row r="7" spans="1:18" s="150" customFormat="1">
      <c r="A7" s="24" t="s">
        <v>4710</v>
      </c>
      <c r="B7" s="24"/>
      <c r="C7" s="24"/>
      <c r="D7" s="24">
        <v>0</v>
      </c>
      <c r="E7" s="24">
        <v>1</v>
      </c>
      <c r="F7" s="24" t="s">
        <v>197</v>
      </c>
      <c r="G7" s="24" t="s">
        <v>198</v>
      </c>
      <c r="H7" s="24"/>
      <c r="I7" s="24">
        <v>0</v>
      </c>
      <c r="J7" s="24" t="s">
        <v>1621</v>
      </c>
      <c r="K7" s="24" t="s">
        <v>839</v>
      </c>
      <c r="L7" s="24">
        <v>800</v>
      </c>
      <c r="M7" s="24"/>
      <c r="N7" s="24" t="str">
        <f t="shared" si="0"/>
        <v>StatusDistict(DamageDerate, 800)</v>
      </c>
      <c r="O7" s="24">
        <v>0</v>
      </c>
      <c r="P7" s="24">
        <v>0</v>
      </c>
      <c r="Q7" s="24"/>
      <c r="R7" s="24" t="b">
        <v>1</v>
      </c>
    </row>
    <row r="8" spans="1:18" s="150" customFormat="1">
      <c r="A8" s="24" t="s">
        <v>4711</v>
      </c>
      <c r="B8" s="24"/>
      <c r="C8" s="24"/>
      <c r="D8" s="24">
        <v>0</v>
      </c>
      <c r="E8" s="24">
        <v>1</v>
      </c>
      <c r="F8" s="24" t="s">
        <v>197</v>
      </c>
      <c r="G8" s="24" t="s">
        <v>198</v>
      </c>
      <c r="H8" s="24"/>
      <c r="I8" s="24">
        <v>0</v>
      </c>
      <c r="J8" s="24" t="s">
        <v>1621</v>
      </c>
      <c r="K8" s="24" t="s">
        <v>839</v>
      </c>
      <c r="L8" s="24">
        <v>900</v>
      </c>
      <c r="M8" s="24"/>
      <c r="N8" s="24" t="str">
        <f t="shared" si="0"/>
        <v>StatusDistict(DamageDerate, 900)</v>
      </c>
      <c r="O8" s="24">
        <v>0</v>
      </c>
      <c r="P8" s="24">
        <v>0</v>
      </c>
      <c r="Q8" s="24"/>
      <c r="R8" s="24" t="b">
        <v>1</v>
      </c>
    </row>
    <row r="9" spans="1:18" s="150" customFormat="1">
      <c r="A9" s="24" t="s">
        <v>4712</v>
      </c>
      <c r="B9" s="24"/>
      <c r="C9" s="24"/>
      <c r="D9" s="24">
        <v>0</v>
      </c>
      <c r="E9" s="24">
        <v>1</v>
      </c>
      <c r="F9" s="24" t="s">
        <v>197</v>
      </c>
      <c r="G9" s="24" t="s">
        <v>198</v>
      </c>
      <c r="H9" s="24"/>
      <c r="I9" s="24">
        <v>0</v>
      </c>
      <c r="J9" s="24" t="s">
        <v>1621</v>
      </c>
      <c r="K9" s="24" t="s">
        <v>839</v>
      </c>
      <c r="L9" s="24">
        <v>990</v>
      </c>
      <c r="M9" s="24"/>
      <c r="N9" s="24" t="str">
        <f t="shared" si="0"/>
        <v>StatusDistict(DamageDerate, 990)</v>
      </c>
      <c r="O9" s="24">
        <v>0</v>
      </c>
      <c r="P9" s="24">
        <v>0</v>
      </c>
      <c r="Q9" s="24"/>
      <c r="R9" s="24" t="b">
        <v>1</v>
      </c>
    </row>
    <row r="10" spans="1:18" s="150" customFormat="1">
      <c r="A10" s="24" t="s">
        <v>4713</v>
      </c>
      <c r="B10" s="24"/>
      <c r="C10" s="24"/>
      <c r="D10" s="24">
        <v>0</v>
      </c>
      <c r="E10" s="24">
        <v>1</v>
      </c>
      <c r="F10" s="24" t="s">
        <v>197</v>
      </c>
      <c r="G10" s="24" t="s">
        <v>198</v>
      </c>
      <c r="H10" s="24"/>
      <c r="I10" s="24">
        <v>0</v>
      </c>
      <c r="J10" s="24" t="s">
        <v>1621</v>
      </c>
      <c r="K10" s="24" t="s">
        <v>839</v>
      </c>
      <c r="L10" s="24">
        <v>990</v>
      </c>
      <c r="M10" s="24"/>
      <c r="N10" s="24" t="str">
        <f t="shared" si="0"/>
        <v>StatusDistict(DamageDerate, 990)</v>
      </c>
      <c r="O10" s="24">
        <v>0</v>
      </c>
      <c r="P10" s="24">
        <v>0</v>
      </c>
      <c r="Q10" s="24"/>
      <c r="R10" s="24" t="b">
        <v>1</v>
      </c>
    </row>
    <row r="11" spans="1:18" s="150" customFormat="1">
      <c r="A11" s="24" t="s">
        <v>4714</v>
      </c>
      <c r="B11" s="24"/>
      <c r="C11" s="24"/>
      <c r="D11" s="24">
        <v>0</v>
      </c>
      <c r="E11" s="24">
        <v>1</v>
      </c>
      <c r="F11" s="24" t="s">
        <v>197</v>
      </c>
      <c r="G11" s="24" t="s">
        <v>198</v>
      </c>
      <c r="H11" s="24"/>
      <c r="I11" s="24">
        <v>0</v>
      </c>
      <c r="J11" s="24" t="s">
        <v>1621</v>
      </c>
      <c r="K11" s="24" t="s">
        <v>839</v>
      </c>
      <c r="L11" s="24">
        <v>900</v>
      </c>
      <c r="M11" s="24"/>
      <c r="N11" s="24" t="str">
        <f t="shared" si="0"/>
        <v>StatusDistict(DamageDerate, 900)</v>
      </c>
      <c r="O11" s="24">
        <v>0</v>
      </c>
      <c r="P11" s="24">
        <v>0</v>
      </c>
      <c r="Q11" s="24"/>
      <c r="R11" s="24" t="b">
        <v>1</v>
      </c>
    </row>
    <row r="12" spans="1:18">
      <c r="A12" s="23" t="s">
        <v>4715</v>
      </c>
      <c r="B12" s="23"/>
      <c r="C12" s="23"/>
      <c r="D12" s="23">
        <v>0</v>
      </c>
      <c r="E12" s="23">
        <v>1</v>
      </c>
      <c r="F12" s="23" t="s">
        <v>197</v>
      </c>
      <c r="G12" s="23" t="s">
        <v>198</v>
      </c>
      <c r="H12" s="23"/>
      <c r="I12" s="23">
        <v>0</v>
      </c>
      <c r="J12" s="23" t="s">
        <v>838</v>
      </c>
      <c r="K12" s="23" t="s">
        <v>925</v>
      </c>
      <c r="L12" s="23">
        <v>125</v>
      </c>
      <c r="M12" s="23"/>
      <c r="N12" s="23" t="str">
        <f t="shared" si="0"/>
        <v>Status(AddEnergyRate, 125)</v>
      </c>
      <c r="O12" s="23">
        <v>0</v>
      </c>
      <c r="P12" s="23">
        <v>0</v>
      </c>
      <c r="Q12" s="23"/>
      <c r="R12" s="23" t="b">
        <v>1</v>
      </c>
    </row>
    <row r="13" spans="1:18">
      <c r="A13" s="23" t="s">
        <v>4716</v>
      </c>
      <c r="B13" s="23"/>
      <c r="C13" s="23"/>
      <c r="D13" s="23">
        <v>0</v>
      </c>
      <c r="E13" s="23">
        <v>1</v>
      </c>
      <c r="F13" s="23" t="s">
        <v>197</v>
      </c>
      <c r="G13" s="23" t="s">
        <v>198</v>
      </c>
      <c r="H13" s="23"/>
      <c r="I13" s="23">
        <v>0</v>
      </c>
      <c r="J13" s="23" t="s">
        <v>838</v>
      </c>
      <c r="K13" s="23" t="s">
        <v>925</v>
      </c>
      <c r="L13" s="23">
        <v>150</v>
      </c>
      <c r="M13" s="23"/>
      <c r="N13" s="23" t="str">
        <f t="shared" si="0"/>
        <v>Status(AddEnergyRate, 150)</v>
      </c>
      <c r="O13" s="23">
        <v>0</v>
      </c>
      <c r="P13" s="23">
        <v>0</v>
      </c>
      <c r="Q13" s="23"/>
      <c r="R13" s="23" t="b">
        <v>1</v>
      </c>
    </row>
    <row r="14" spans="1:18">
      <c r="A14" s="23" t="s">
        <v>4717</v>
      </c>
      <c r="B14" s="23"/>
      <c r="C14" s="23"/>
      <c r="D14" s="23">
        <v>0</v>
      </c>
      <c r="E14" s="23">
        <v>1</v>
      </c>
      <c r="F14" s="23" t="s">
        <v>197</v>
      </c>
      <c r="G14" s="23" t="s">
        <v>198</v>
      </c>
      <c r="H14" s="23"/>
      <c r="I14" s="23">
        <v>0</v>
      </c>
      <c r="J14" s="23" t="s">
        <v>838</v>
      </c>
      <c r="K14" s="23" t="s">
        <v>925</v>
      </c>
      <c r="L14" s="23">
        <v>175</v>
      </c>
      <c r="M14" s="23"/>
      <c r="N14" s="23" t="str">
        <f t="shared" si="0"/>
        <v>Status(AddEnergyRate, 175)</v>
      </c>
      <c r="O14" s="23">
        <v>0</v>
      </c>
      <c r="P14" s="23">
        <v>0</v>
      </c>
      <c r="Q14" s="23"/>
      <c r="R14" s="23" t="b">
        <v>1</v>
      </c>
    </row>
    <row r="15" spans="1:18">
      <c r="A15" s="23" t="s">
        <v>4718</v>
      </c>
      <c r="B15" s="23"/>
      <c r="C15" s="23"/>
      <c r="D15" s="23">
        <v>0</v>
      </c>
      <c r="E15" s="23">
        <v>1</v>
      </c>
      <c r="F15" s="23" t="s">
        <v>197</v>
      </c>
      <c r="G15" s="23" t="s">
        <v>198</v>
      </c>
      <c r="H15" s="23"/>
      <c r="I15" s="23">
        <v>0</v>
      </c>
      <c r="J15" s="23" t="s">
        <v>838</v>
      </c>
      <c r="K15" s="23" t="s">
        <v>925</v>
      </c>
      <c r="L15" s="23">
        <v>200</v>
      </c>
      <c r="M15" s="23"/>
      <c r="N15" s="23" t="str">
        <f t="shared" si="0"/>
        <v>Status(AddEnergyRate, 200)</v>
      </c>
      <c r="O15" s="23">
        <v>0</v>
      </c>
      <c r="P15" s="23">
        <v>0</v>
      </c>
      <c r="Q15" s="23"/>
      <c r="R15" s="23" t="b">
        <v>1</v>
      </c>
    </row>
    <row r="16" spans="1:18">
      <c r="A16" s="23" t="s">
        <v>4719</v>
      </c>
      <c r="B16" s="23"/>
      <c r="C16" s="23"/>
      <c r="D16" s="23">
        <v>0</v>
      </c>
      <c r="E16" s="23">
        <v>1</v>
      </c>
      <c r="F16" s="23" t="s">
        <v>197</v>
      </c>
      <c r="G16" s="23" t="s">
        <v>198</v>
      </c>
      <c r="H16" s="23"/>
      <c r="I16" s="23">
        <v>0</v>
      </c>
      <c r="J16" s="23" t="s">
        <v>838</v>
      </c>
      <c r="K16" s="23" t="s">
        <v>925</v>
      </c>
      <c r="L16" s="23">
        <v>225</v>
      </c>
      <c r="M16" s="23"/>
      <c r="N16" s="23" t="str">
        <f t="shared" si="0"/>
        <v>Status(AddEnergyRate, 225)</v>
      </c>
      <c r="O16" s="23">
        <v>0</v>
      </c>
      <c r="P16" s="23">
        <v>0</v>
      </c>
      <c r="Q16" s="23"/>
      <c r="R16" s="23" t="b">
        <v>1</v>
      </c>
    </row>
    <row r="17" spans="1:18">
      <c r="A17" s="23" t="s">
        <v>4720</v>
      </c>
      <c r="B17" s="23"/>
      <c r="C17" s="23"/>
      <c r="D17" s="23">
        <v>0</v>
      </c>
      <c r="E17" s="23">
        <v>1</v>
      </c>
      <c r="F17" s="23" t="s">
        <v>197</v>
      </c>
      <c r="G17" s="23" t="s">
        <v>198</v>
      </c>
      <c r="H17" s="23"/>
      <c r="I17" s="23">
        <v>0</v>
      </c>
      <c r="J17" s="23" t="s">
        <v>838</v>
      </c>
      <c r="K17" s="23" t="s">
        <v>925</v>
      </c>
      <c r="L17" s="23">
        <v>1000</v>
      </c>
      <c r="M17" s="23"/>
      <c r="N17" s="23" t="str">
        <f t="shared" si="0"/>
        <v>Status(AddEnergyRate, 1000)</v>
      </c>
      <c r="O17" s="23">
        <v>0</v>
      </c>
      <c r="P17" s="23">
        <v>0</v>
      </c>
      <c r="Q17" s="23"/>
      <c r="R17" s="23" t="b">
        <v>1</v>
      </c>
    </row>
    <row r="18" spans="1:18">
      <c r="A18" s="23" t="s">
        <v>4721</v>
      </c>
      <c r="B18" s="23"/>
      <c r="C18" s="23"/>
      <c r="D18" s="23">
        <v>0</v>
      </c>
      <c r="E18" s="23">
        <v>1</v>
      </c>
      <c r="F18" s="23" t="s">
        <v>197</v>
      </c>
      <c r="G18" s="23" t="s">
        <v>198</v>
      </c>
      <c r="H18" s="23"/>
      <c r="I18" s="23">
        <v>0</v>
      </c>
      <c r="J18" s="23" t="s">
        <v>838</v>
      </c>
      <c r="K18" s="23" t="s">
        <v>925</v>
      </c>
      <c r="L18" s="23">
        <v>1000</v>
      </c>
      <c r="M18" s="23"/>
      <c r="N18" s="23" t="str">
        <f t="shared" si="0"/>
        <v>Status(AddEnergyRate, 1000)</v>
      </c>
      <c r="O18" s="23">
        <v>0</v>
      </c>
      <c r="P18" s="23">
        <v>0</v>
      </c>
      <c r="Q18" s="23"/>
      <c r="R18" s="23" t="b">
        <v>1</v>
      </c>
    </row>
    <row r="19" spans="1:18" s="150" customFormat="1">
      <c r="A19" s="24" t="s">
        <v>4722</v>
      </c>
      <c r="B19" s="24"/>
      <c r="C19" s="24"/>
      <c r="D19" s="24">
        <v>0</v>
      </c>
      <c r="E19" s="24">
        <v>1</v>
      </c>
      <c r="F19" s="24" t="s">
        <v>197</v>
      </c>
      <c r="G19" s="24" t="s">
        <v>198</v>
      </c>
      <c r="H19" s="24"/>
      <c r="I19" s="24">
        <v>0</v>
      </c>
      <c r="J19" s="24" t="s">
        <v>838</v>
      </c>
      <c r="K19" s="24" t="s">
        <v>908</v>
      </c>
      <c r="L19" s="24">
        <v>60</v>
      </c>
      <c r="M19" s="24"/>
      <c r="N19" s="24" t="str">
        <f t="shared" si="0"/>
        <v>Status(AttackRatio, 60)</v>
      </c>
      <c r="O19" s="24">
        <v>0</v>
      </c>
      <c r="P19" s="24">
        <v>0</v>
      </c>
      <c r="Q19" s="24"/>
      <c r="R19" s="24" t="b">
        <v>1</v>
      </c>
    </row>
    <row r="20" spans="1:18" s="150" customFormat="1">
      <c r="A20" s="24" t="s">
        <v>4723</v>
      </c>
      <c r="B20" s="24"/>
      <c r="C20" s="24"/>
      <c r="D20" s="24">
        <v>0</v>
      </c>
      <c r="E20" s="24">
        <v>1</v>
      </c>
      <c r="F20" s="24" t="s">
        <v>197</v>
      </c>
      <c r="G20" s="24" t="s">
        <v>198</v>
      </c>
      <c r="H20" s="24"/>
      <c r="I20" s="24">
        <v>0</v>
      </c>
      <c r="J20" s="24" t="s">
        <v>838</v>
      </c>
      <c r="K20" s="24" t="s">
        <v>908</v>
      </c>
      <c r="L20" s="24">
        <v>80</v>
      </c>
      <c r="M20" s="24"/>
      <c r="N20" s="24" t="str">
        <f t="shared" si="0"/>
        <v>Status(AttackRatio, 80)</v>
      </c>
      <c r="O20" s="24">
        <v>0</v>
      </c>
      <c r="P20" s="24">
        <v>0</v>
      </c>
      <c r="Q20" s="24"/>
      <c r="R20" s="24" t="b">
        <v>1</v>
      </c>
    </row>
    <row r="21" spans="1:18" s="150" customFormat="1">
      <c r="A21" s="24" t="s">
        <v>4724</v>
      </c>
      <c r="B21" s="24"/>
      <c r="C21" s="24"/>
      <c r="D21" s="24">
        <v>0</v>
      </c>
      <c r="E21" s="24">
        <v>1</v>
      </c>
      <c r="F21" s="24" t="s">
        <v>197</v>
      </c>
      <c r="G21" s="24" t="s">
        <v>198</v>
      </c>
      <c r="H21" s="24"/>
      <c r="I21" s="24">
        <v>0</v>
      </c>
      <c r="J21" s="24" t="s">
        <v>838</v>
      </c>
      <c r="K21" s="24" t="s">
        <v>908</v>
      </c>
      <c r="L21" s="24">
        <v>100</v>
      </c>
      <c r="M21" s="24"/>
      <c r="N21" s="24" t="str">
        <f t="shared" si="0"/>
        <v>Status(AttackRatio, 100)</v>
      </c>
      <c r="O21" s="24">
        <v>0</v>
      </c>
      <c r="P21" s="24">
        <v>0</v>
      </c>
      <c r="Q21" s="24"/>
      <c r="R21" s="24" t="b">
        <v>1</v>
      </c>
    </row>
    <row r="22" spans="1:18" s="150" customFormat="1">
      <c r="A22" s="24" t="s">
        <v>4725</v>
      </c>
      <c r="B22" s="24"/>
      <c r="C22" s="24"/>
      <c r="D22" s="24">
        <v>0</v>
      </c>
      <c r="E22" s="24">
        <v>1</v>
      </c>
      <c r="F22" s="24" t="s">
        <v>197</v>
      </c>
      <c r="G22" s="24" t="s">
        <v>198</v>
      </c>
      <c r="H22" s="24"/>
      <c r="I22" s="24">
        <v>0</v>
      </c>
      <c r="J22" s="24" t="s">
        <v>838</v>
      </c>
      <c r="K22" s="24" t="s">
        <v>908</v>
      </c>
      <c r="L22" s="24">
        <v>120</v>
      </c>
      <c r="M22" s="24"/>
      <c r="N22" s="24" t="str">
        <f t="shared" si="0"/>
        <v>Status(AttackRatio, 120)</v>
      </c>
      <c r="O22" s="24">
        <v>0</v>
      </c>
      <c r="P22" s="24">
        <v>0</v>
      </c>
      <c r="Q22" s="24"/>
      <c r="R22" s="24" t="b">
        <v>1</v>
      </c>
    </row>
    <row r="23" spans="1:18" s="150" customFormat="1">
      <c r="A23" s="24" t="s">
        <v>4726</v>
      </c>
      <c r="B23" s="24"/>
      <c r="C23" s="24"/>
      <c r="D23" s="24">
        <v>0</v>
      </c>
      <c r="E23" s="24">
        <v>1</v>
      </c>
      <c r="F23" s="24" t="s">
        <v>197</v>
      </c>
      <c r="G23" s="24" t="s">
        <v>198</v>
      </c>
      <c r="H23" s="24"/>
      <c r="I23" s="24">
        <v>0</v>
      </c>
      <c r="J23" s="24" t="s">
        <v>838</v>
      </c>
      <c r="K23" s="24" t="s">
        <v>908</v>
      </c>
      <c r="L23" s="24">
        <v>140</v>
      </c>
      <c r="M23" s="24"/>
      <c r="N23" s="24" t="str">
        <f t="shared" si="0"/>
        <v>Status(AttackRatio, 140)</v>
      </c>
      <c r="O23" s="24">
        <v>0</v>
      </c>
      <c r="P23" s="24">
        <v>0</v>
      </c>
      <c r="Q23" s="24"/>
      <c r="R23" s="24" t="b">
        <v>1</v>
      </c>
    </row>
    <row r="24" spans="1:18" s="150" customFormat="1">
      <c r="A24" s="24" t="s">
        <v>4727</v>
      </c>
      <c r="B24" s="24"/>
      <c r="C24" s="24"/>
      <c r="D24" s="24">
        <v>0</v>
      </c>
      <c r="E24" s="24">
        <v>1</v>
      </c>
      <c r="F24" s="24" t="s">
        <v>197</v>
      </c>
      <c r="G24" s="24" t="s">
        <v>198</v>
      </c>
      <c r="H24" s="24"/>
      <c r="I24" s="24">
        <v>0</v>
      </c>
      <c r="J24" s="24" t="s">
        <v>838</v>
      </c>
      <c r="K24" s="24" t="s">
        <v>908</v>
      </c>
      <c r="L24" s="24">
        <v>140</v>
      </c>
      <c r="M24" s="24"/>
      <c r="N24" s="24" t="str">
        <f t="shared" si="0"/>
        <v>Status(AttackRatio, 140)</v>
      </c>
      <c r="O24" s="24">
        <v>0</v>
      </c>
      <c r="P24" s="24">
        <v>0</v>
      </c>
      <c r="Q24" s="24"/>
      <c r="R24" s="24" t="b">
        <v>1</v>
      </c>
    </row>
    <row r="25" spans="1:18" s="150" customFormat="1">
      <c r="A25" s="24" t="s">
        <v>4728</v>
      </c>
      <c r="B25" s="24"/>
      <c r="C25" s="24"/>
      <c r="D25" s="24">
        <v>0</v>
      </c>
      <c r="E25" s="24">
        <v>1</v>
      </c>
      <c r="F25" s="24" t="s">
        <v>197</v>
      </c>
      <c r="G25" s="24" t="s">
        <v>198</v>
      </c>
      <c r="H25" s="24"/>
      <c r="I25" s="24">
        <v>0</v>
      </c>
      <c r="J25" s="24" t="s">
        <v>838</v>
      </c>
      <c r="K25" s="24" t="s">
        <v>908</v>
      </c>
      <c r="L25" s="24">
        <v>140</v>
      </c>
      <c r="M25" s="24"/>
      <c r="N25" s="24" t="str">
        <f t="shared" si="0"/>
        <v>Status(AttackRatio, 140)</v>
      </c>
      <c r="O25" s="24">
        <v>0</v>
      </c>
      <c r="P25" s="24">
        <v>0</v>
      </c>
      <c r="Q25" s="24"/>
      <c r="R25" s="24" t="b">
        <v>1</v>
      </c>
    </row>
    <row r="26" spans="1:18">
      <c r="A26" s="23" t="s">
        <v>4760</v>
      </c>
      <c r="B26" s="23"/>
      <c r="C26" s="23"/>
      <c r="D26" s="23">
        <v>0</v>
      </c>
      <c r="E26" s="23">
        <v>1</v>
      </c>
      <c r="F26" s="23" t="s">
        <v>197</v>
      </c>
      <c r="G26" s="23" t="s">
        <v>198</v>
      </c>
      <c r="H26" s="23"/>
      <c r="I26" s="23">
        <v>0</v>
      </c>
      <c r="J26" s="23" t="s">
        <v>838</v>
      </c>
      <c r="K26" s="23" t="s">
        <v>999</v>
      </c>
      <c r="L26" s="23">
        <v>100</v>
      </c>
      <c r="M26" s="23"/>
      <c r="N26" s="23" t="str">
        <f t="shared" si="0"/>
        <v>Status(UltimateDamageRate, 100)</v>
      </c>
      <c r="O26" s="23">
        <v>0</v>
      </c>
      <c r="P26" s="23">
        <v>0</v>
      </c>
      <c r="Q26" s="23"/>
      <c r="R26" s="23" t="b">
        <v>1</v>
      </c>
    </row>
    <row r="27" spans="1:18">
      <c r="A27" s="23" t="s">
        <v>4761</v>
      </c>
      <c r="B27" s="23"/>
      <c r="C27" s="23"/>
      <c r="D27" s="23">
        <v>0</v>
      </c>
      <c r="E27" s="23">
        <v>1</v>
      </c>
      <c r="F27" s="23" t="s">
        <v>197</v>
      </c>
      <c r="G27" s="23" t="s">
        <v>198</v>
      </c>
      <c r="H27" s="23"/>
      <c r="I27" s="23">
        <v>0</v>
      </c>
      <c r="J27" s="23" t="s">
        <v>838</v>
      </c>
      <c r="K27" s="23" t="s">
        <v>999</v>
      </c>
      <c r="L27" s="23">
        <v>125</v>
      </c>
      <c r="M27" s="23"/>
      <c r="N27" s="23" t="str">
        <f t="shared" si="0"/>
        <v>Status(UltimateDamageRate, 125)</v>
      </c>
      <c r="O27" s="23">
        <v>0</v>
      </c>
      <c r="P27" s="23">
        <v>0</v>
      </c>
      <c r="Q27" s="23"/>
      <c r="R27" s="23" t="b">
        <v>1</v>
      </c>
    </row>
    <row r="28" spans="1:18">
      <c r="A28" s="23" t="s">
        <v>4762</v>
      </c>
      <c r="B28" s="23"/>
      <c r="C28" s="23"/>
      <c r="D28" s="23">
        <v>0</v>
      </c>
      <c r="E28" s="23">
        <v>1</v>
      </c>
      <c r="F28" s="23" t="s">
        <v>197</v>
      </c>
      <c r="G28" s="23" t="s">
        <v>198</v>
      </c>
      <c r="H28" s="23"/>
      <c r="I28" s="23">
        <v>0</v>
      </c>
      <c r="J28" s="23" t="s">
        <v>838</v>
      </c>
      <c r="K28" s="23" t="s">
        <v>999</v>
      </c>
      <c r="L28" s="23">
        <v>150</v>
      </c>
      <c r="M28" s="23"/>
      <c r="N28" s="23" t="str">
        <f t="shared" si="0"/>
        <v>Status(UltimateDamageRate, 150)</v>
      </c>
      <c r="O28" s="23">
        <v>0</v>
      </c>
      <c r="P28" s="23">
        <v>0</v>
      </c>
      <c r="Q28" s="23"/>
      <c r="R28" s="23" t="b">
        <v>1</v>
      </c>
    </row>
    <row r="29" spans="1:18">
      <c r="A29" s="23" t="s">
        <v>4763</v>
      </c>
      <c r="B29" s="23"/>
      <c r="C29" s="23"/>
      <c r="D29" s="23">
        <v>0</v>
      </c>
      <c r="E29" s="23">
        <v>1</v>
      </c>
      <c r="F29" s="23" t="s">
        <v>197</v>
      </c>
      <c r="G29" s="23" t="s">
        <v>198</v>
      </c>
      <c r="H29" s="23"/>
      <c r="I29" s="23">
        <v>0</v>
      </c>
      <c r="J29" s="23" t="s">
        <v>838</v>
      </c>
      <c r="K29" s="23" t="s">
        <v>999</v>
      </c>
      <c r="L29" s="23">
        <v>175</v>
      </c>
      <c r="M29" s="23"/>
      <c r="N29" s="23" t="str">
        <f t="shared" si="0"/>
        <v>Status(UltimateDamageRate, 175)</v>
      </c>
      <c r="O29" s="23">
        <v>0</v>
      </c>
      <c r="P29" s="23">
        <v>0</v>
      </c>
      <c r="Q29" s="23"/>
      <c r="R29" s="23" t="b">
        <v>1</v>
      </c>
    </row>
    <row r="30" spans="1:18">
      <c r="A30" s="23" t="s">
        <v>4764</v>
      </c>
      <c r="B30" s="23"/>
      <c r="C30" s="23"/>
      <c r="D30" s="23">
        <v>0</v>
      </c>
      <c r="E30" s="23">
        <v>1</v>
      </c>
      <c r="F30" s="23" t="s">
        <v>197</v>
      </c>
      <c r="G30" s="23" t="s">
        <v>198</v>
      </c>
      <c r="H30" s="23"/>
      <c r="I30" s="23">
        <v>0</v>
      </c>
      <c r="J30" s="23" t="s">
        <v>838</v>
      </c>
      <c r="K30" s="23" t="s">
        <v>999</v>
      </c>
      <c r="L30" s="23">
        <v>200</v>
      </c>
      <c r="M30" s="23"/>
      <c r="N30" s="23" t="str">
        <f t="shared" si="0"/>
        <v>Status(UltimateDamageRate, 200)</v>
      </c>
      <c r="O30" s="23">
        <v>0</v>
      </c>
      <c r="P30" s="23">
        <v>0</v>
      </c>
      <c r="Q30" s="23"/>
      <c r="R30" s="23" t="b">
        <v>1</v>
      </c>
    </row>
    <row r="31" spans="1:18">
      <c r="A31" s="23" t="s">
        <v>4765</v>
      </c>
      <c r="B31" s="23"/>
      <c r="C31" s="23"/>
      <c r="D31" s="23">
        <v>0</v>
      </c>
      <c r="E31" s="23">
        <v>1</v>
      </c>
      <c r="F31" s="23" t="s">
        <v>197</v>
      </c>
      <c r="G31" s="23" t="s">
        <v>198</v>
      </c>
      <c r="H31" s="23"/>
      <c r="I31" s="23">
        <v>0</v>
      </c>
      <c r="J31" s="23" t="s">
        <v>838</v>
      </c>
      <c r="K31" s="23" t="s">
        <v>999</v>
      </c>
      <c r="L31" s="23">
        <v>200</v>
      </c>
      <c r="M31" s="23"/>
      <c r="N31" s="23" t="str">
        <f t="shared" si="0"/>
        <v>Status(UltimateDamageRate, 200)</v>
      </c>
      <c r="O31" s="23">
        <v>0</v>
      </c>
      <c r="P31" s="23">
        <v>0</v>
      </c>
      <c r="Q31" s="23"/>
      <c r="R31" s="23" t="b">
        <v>1</v>
      </c>
    </row>
    <row r="32" spans="1:18">
      <c r="A32" s="23" t="s">
        <v>4766</v>
      </c>
      <c r="B32" s="23"/>
      <c r="C32" s="23"/>
      <c r="D32" s="23">
        <v>0</v>
      </c>
      <c r="E32" s="23">
        <v>1</v>
      </c>
      <c r="F32" s="23" t="s">
        <v>197</v>
      </c>
      <c r="G32" s="23" t="s">
        <v>198</v>
      </c>
      <c r="H32" s="23"/>
      <c r="I32" s="23">
        <v>0</v>
      </c>
      <c r="J32" s="23" t="s">
        <v>838</v>
      </c>
      <c r="K32" s="23" t="s">
        <v>999</v>
      </c>
      <c r="L32" s="23">
        <v>200</v>
      </c>
      <c r="M32" s="23"/>
      <c r="N32" s="23" t="str">
        <f t="shared" si="0"/>
        <v>Status(UltimateDamageRate, 200)</v>
      </c>
      <c r="O32" s="23">
        <v>0</v>
      </c>
      <c r="P32" s="23">
        <v>0</v>
      </c>
      <c r="Q32" s="23"/>
      <c r="R32" s="23" t="b">
        <v>1</v>
      </c>
    </row>
    <row r="33" spans="1:18" s="160" customFormat="1">
      <c r="A33" s="65" t="s">
        <v>5719</v>
      </c>
      <c r="B33" s="65" t="s">
        <v>5470</v>
      </c>
      <c r="C33" s="65" t="s">
        <v>7230</v>
      </c>
      <c r="D33" s="65">
        <v>0</v>
      </c>
      <c r="E33" s="65">
        <v>1</v>
      </c>
      <c r="F33" s="65" t="s">
        <v>197</v>
      </c>
      <c r="G33" s="65" t="s">
        <v>198</v>
      </c>
      <c r="H33" s="65"/>
      <c r="I33" s="65">
        <v>0</v>
      </c>
      <c r="J33" s="65" t="s">
        <v>893</v>
      </c>
      <c r="K33" s="65" t="s">
        <v>7231</v>
      </c>
      <c r="L33" s="65"/>
      <c r="M33" s="65"/>
      <c r="N33" s="65" t="str">
        <f t="shared" si="0"/>
        <v>Active(yurizia.passive.position.skilleffect.01)</v>
      </c>
      <c r="O33" s="65">
        <v>0</v>
      </c>
      <c r="P33" s="65">
        <v>0</v>
      </c>
      <c r="Q33" s="65"/>
      <c r="R33" s="65" t="b">
        <v>1</v>
      </c>
    </row>
    <row r="34" spans="1:18" s="160" customFormat="1">
      <c r="A34" s="65" t="s">
        <v>5720</v>
      </c>
      <c r="B34" s="65" t="s">
        <v>5470</v>
      </c>
      <c r="C34" s="65" t="s">
        <v>5471</v>
      </c>
      <c r="D34" s="65">
        <v>0</v>
      </c>
      <c r="E34" s="65">
        <v>1</v>
      </c>
      <c r="F34" s="65" t="s">
        <v>197</v>
      </c>
      <c r="G34" s="65" t="s">
        <v>198</v>
      </c>
      <c r="H34" s="65"/>
      <c r="I34" s="65">
        <v>0</v>
      </c>
      <c r="J34" s="65" t="s">
        <v>893</v>
      </c>
      <c r="K34" s="65" t="s">
        <v>5722</v>
      </c>
      <c r="L34" s="65"/>
      <c r="M34" s="65"/>
      <c r="N34" s="65" t="str">
        <f t="shared" si="0"/>
        <v>Active(yurizia.passive.position.skilleffect.02)</v>
      </c>
      <c r="O34" s="65">
        <v>0</v>
      </c>
      <c r="P34" s="65">
        <v>0</v>
      </c>
      <c r="Q34" s="65"/>
      <c r="R34" s="65" t="b">
        <v>1</v>
      </c>
    </row>
    <row r="35" spans="1:18" s="160" customFormat="1">
      <c r="A35" s="65" t="s">
        <v>5721</v>
      </c>
      <c r="B35" s="65" t="s">
        <v>5470</v>
      </c>
      <c r="C35" s="65" t="s">
        <v>7232</v>
      </c>
      <c r="D35" s="65">
        <v>0</v>
      </c>
      <c r="E35" s="65">
        <v>1</v>
      </c>
      <c r="F35" s="65" t="s">
        <v>197</v>
      </c>
      <c r="G35" s="65" t="s">
        <v>198</v>
      </c>
      <c r="H35" s="65"/>
      <c r="I35" s="65">
        <v>0</v>
      </c>
      <c r="J35" s="65" t="s">
        <v>893</v>
      </c>
      <c r="K35" s="65" t="s">
        <v>5723</v>
      </c>
      <c r="L35" s="65"/>
      <c r="M35" s="65"/>
      <c r="N35" s="65" t="str">
        <f t="shared" si="0"/>
        <v>Active(yurizia.passive.position.skilleffect.03)</v>
      </c>
      <c r="O35" s="65">
        <v>0</v>
      </c>
      <c r="P35" s="65">
        <v>0</v>
      </c>
      <c r="Q35" s="65"/>
      <c r="R35" s="65" t="b">
        <v>1</v>
      </c>
    </row>
    <row r="36" spans="1:18" s="142" customFormat="1">
      <c r="A36" s="23" t="s">
        <v>7158</v>
      </c>
      <c r="B36" s="23"/>
      <c r="C36" s="23"/>
      <c r="D36" s="23">
        <v>0</v>
      </c>
      <c r="E36" s="23">
        <v>1</v>
      </c>
      <c r="F36" s="23" t="s">
        <v>417</v>
      </c>
      <c r="G36" s="23" t="s">
        <v>418</v>
      </c>
      <c r="H36" s="23"/>
      <c r="I36" s="23">
        <v>0</v>
      </c>
      <c r="J36" s="23" t="s">
        <v>1254</v>
      </c>
      <c r="K36" s="23" t="s">
        <v>778</v>
      </c>
      <c r="L36" s="23"/>
      <c r="M36" s="23"/>
      <c r="N36" s="23" t="str">
        <f t="shared" si="0"/>
        <v>Passive(yurizia.passive.consume.buff.01)</v>
      </c>
      <c r="O36" s="23">
        <v>0</v>
      </c>
      <c r="P36" s="23">
        <v>0</v>
      </c>
      <c r="Q36" s="23"/>
      <c r="R36" s="23" t="b">
        <v>1</v>
      </c>
    </row>
    <row r="37" spans="1:18" s="142" customFormat="1">
      <c r="A37" s="23" t="s">
        <v>5724</v>
      </c>
      <c r="B37" s="23"/>
      <c r="C37" s="23"/>
      <c r="D37" s="23">
        <v>0</v>
      </c>
      <c r="E37" s="23">
        <v>1</v>
      </c>
      <c r="F37" s="23" t="s">
        <v>417</v>
      </c>
      <c r="G37" s="23" t="s">
        <v>418</v>
      </c>
      <c r="H37" s="23"/>
      <c r="I37" s="23">
        <v>0</v>
      </c>
      <c r="J37" s="23" t="s">
        <v>1254</v>
      </c>
      <c r="K37" s="23" t="s">
        <v>779</v>
      </c>
      <c r="L37" s="23"/>
      <c r="M37" s="23"/>
      <c r="N37" s="23" t="str">
        <f t="shared" si="0"/>
        <v>Passive(yurizia.passive.consume.buff.02)</v>
      </c>
      <c r="O37" s="23">
        <v>0</v>
      </c>
      <c r="P37" s="23">
        <v>0</v>
      </c>
      <c r="Q37" s="23"/>
      <c r="R37" s="23" t="b">
        <v>1</v>
      </c>
    </row>
    <row r="38" spans="1:18" s="142" customFormat="1">
      <c r="A38" s="23" t="s">
        <v>5725</v>
      </c>
      <c r="B38" s="23"/>
      <c r="C38" s="23"/>
      <c r="D38" s="23">
        <v>0</v>
      </c>
      <c r="E38" s="23">
        <v>1</v>
      </c>
      <c r="F38" s="23" t="s">
        <v>417</v>
      </c>
      <c r="G38" s="23" t="s">
        <v>418</v>
      </c>
      <c r="H38" s="23"/>
      <c r="I38" s="23">
        <v>0</v>
      </c>
      <c r="J38" s="23" t="s">
        <v>1254</v>
      </c>
      <c r="K38" s="23" t="s">
        <v>780</v>
      </c>
      <c r="L38" s="23"/>
      <c r="M38" s="23"/>
      <c r="N38" s="23" t="str">
        <f t="shared" si="0"/>
        <v>Passive(yurizia.passive.consume.buff.03)</v>
      </c>
      <c r="O38" s="23">
        <v>0</v>
      </c>
      <c r="P38" s="23">
        <v>0</v>
      </c>
      <c r="Q38" s="23"/>
      <c r="R38" s="23" t="b">
        <v>1</v>
      </c>
    </row>
    <row r="39" spans="1:18" s="142" customFormat="1">
      <c r="A39" s="23" t="s">
        <v>5726</v>
      </c>
      <c r="B39" s="23"/>
      <c r="C39" s="23"/>
      <c r="D39" s="23">
        <v>0</v>
      </c>
      <c r="E39" s="23">
        <v>1</v>
      </c>
      <c r="F39" s="23" t="s">
        <v>417</v>
      </c>
      <c r="G39" s="23" t="s">
        <v>418</v>
      </c>
      <c r="H39" s="23"/>
      <c r="I39" s="23">
        <v>0</v>
      </c>
      <c r="J39" s="23" t="s">
        <v>1254</v>
      </c>
      <c r="K39" s="23" t="s">
        <v>781</v>
      </c>
      <c r="L39" s="23"/>
      <c r="M39" s="23"/>
      <c r="N39" s="23" t="str">
        <f t="shared" si="0"/>
        <v>Passive(yurizia.passive.consume.buff.04)</v>
      </c>
      <c r="O39" s="23">
        <v>0</v>
      </c>
      <c r="P39" s="23">
        <v>0</v>
      </c>
      <c r="Q39" s="23"/>
      <c r="R39" s="23" t="b">
        <v>1</v>
      </c>
    </row>
    <row r="40" spans="1:18" s="142" customFormat="1">
      <c r="A40" s="23" t="s">
        <v>5727</v>
      </c>
      <c r="B40" s="23"/>
      <c r="C40" s="23"/>
      <c r="D40" s="23">
        <v>0</v>
      </c>
      <c r="E40" s="23">
        <v>1</v>
      </c>
      <c r="F40" s="23" t="s">
        <v>417</v>
      </c>
      <c r="G40" s="23" t="s">
        <v>418</v>
      </c>
      <c r="H40" s="23"/>
      <c r="I40" s="23">
        <v>0</v>
      </c>
      <c r="J40" s="23" t="s">
        <v>1254</v>
      </c>
      <c r="K40" s="23" t="s">
        <v>782</v>
      </c>
      <c r="L40" s="23"/>
      <c r="M40" s="23"/>
      <c r="N40" s="23" t="str">
        <f t="shared" si="0"/>
        <v>Passive(yurizia.passive.consume.buff.05)</v>
      </c>
      <c r="O40" s="23">
        <v>0</v>
      </c>
      <c r="P40" s="23">
        <v>0</v>
      </c>
      <c r="Q40" s="23"/>
      <c r="R40" s="23" t="b">
        <v>1</v>
      </c>
    </row>
    <row r="41" spans="1:18" s="142" customFormat="1">
      <c r="A41" s="23" t="s">
        <v>5728</v>
      </c>
      <c r="B41" s="23"/>
      <c r="C41" s="23"/>
      <c r="D41" s="23">
        <v>0</v>
      </c>
      <c r="E41" s="23">
        <v>1</v>
      </c>
      <c r="F41" s="23" t="s">
        <v>417</v>
      </c>
      <c r="G41" s="23" t="s">
        <v>418</v>
      </c>
      <c r="H41" s="23"/>
      <c r="I41" s="23">
        <v>0</v>
      </c>
      <c r="J41" s="23" t="s">
        <v>1254</v>
      </c>
      <c r="K41" s="23" t="s">
        <v>783</v>
      </c>
      <c r="L41" s="23"/>
      <c r="M41" s="23"/>
      <c r="N41" s="23" t="str">
        <f t="shared" si="0"/>
        <v>Passive(yurizia.passive.consume.buff.06)</v>
      </c>
      <c r="O41" s="23">
        <v>0</v>
      </c>
      <c r="P41" s="23">
        <v>0</v>
      </c>
      <c r="Q41" s="23"/>
      <c r="R41" s="23" t="b">
        <v>1</v>
      </c>
    </row>
    <row r="42" spans="1:18">
      <c r="A42" s="24" t="s">
        <v>7233</v>
      </c>
      <c r="B42" s="24"/>
      <c r="C42" s="24"/>
      <c r="D42" s="24">
        <v>0</v>
      </c>
      <c r="E42" s="24">
        <v>1</v>
      </c>
      <c r="F42" s="24" t="s">
        <v>197</v>
      </c>
      <c r="G42" s="24" t="s">
        <v>198</v>
      </c>
      <c r="H42" s="24"/>
      <c r="I42" s="24">
        <v>0</v>
      </c>
      <c r="J42" s="24" t="s">
        <v>191</v>
      </c>
      <c r="K42" s="24" t="s">
        <v>927</v>
      </c>
      <c r="L42" s="24" t="s">
        <v>980</v>
      </c>
      <c r="M42" s="24"/>
      <c r="N42" s="24" t="str">
        <f t="shared" si="0"/>
        <v>Effect(OnHitNormal, yurizia.passive.consume.buff.buffeffect.skilleffect.01)</v>
      </c>
      <c r="O42" s="24">
        <v>0</v>
      </c>
      <c r="P42" s="24">
        <v>0</v>
      </c>
      <c r="Q42" s="24"/>
      <c r="R42" s="24" t="b">
        <v>1</v>
      </c>
    </row>
    <row r="43" spans="1:18">
      <c r="A43" s="24" t="s">
        <v>5861</v>
      </c>
      <c r="B43" s="24"/>
      <c r="C43" s="24"/>
      <c r="D43" s="24">
        <v>0</v>
      </c>
      <c r="E43" s="24">
        <v>1</v>
      </c>
      <c r="F43" s="24" t="s">
        <v>197</v>
      </c>
      <c r="G43" s="24" t="s">
        <v>198</v>
      </c>
      <c r="H43" s="24"/>
      <c r="I43" s="24">
        <v>0</v>
      </c>
      <c r="J43" s="24" t="s">
        <v>191</v>
      </c>
      <c r="K43" s="24" t="s">
        <v>927</v>
      </c>
      <c r="L43" s="24" t="s">
        <v>981</v>
      </c>
      <c r="M43" s="24"/>
      <c r="N43" s="24" t="str">
        <f t="shared" si="0"/>
        <v>Effect(OnHitNormal, yurizia.passive.consume.buff.buffeffect.skilleffect.02)</v>
      </c>
      <c r="O43" s="24">
        <v>0</v>
      </c>
      <c r="P43" s="24">
        <v>0</v>
      </c>
      <c r="Q43" s="24"/>
      <c r="R43" s="24" t="b">
        <v>1</v>
      </c>
    </row>
    <row r="44" spans="1:18">
      <c r="A44" s="24" t="s">
        <v>5862</v>
      </c>
      <c r="B44" s="24"/>
      <c r="C44" s="24"/>
      <c r="D44" s="24">
        <v>0</v>
      </c>
      <c r="E44" s="24">
        <v>1</v>
      </c>
      <c r="F44" s="24" t="s">
        <v>197</v>
      </c>
      <c r="G44" s="24" t="s">
        <v>198</v>
      </c>
      <c r="H44" s="24"/>
      <c r="I44" s="24">
        <v>0</v>
      </c>
      <c r="J44" s="24" t="s">
        <v>191</v>
      </c>
      <c r="K44" s="24" t="s">
        <v>927</v>
      </c>
      <c r="L44" s="24" t="s">
        <v>982</v>
      </c>
      <c r="M44" s="24"/>
      <c r="N44" s="24" t="str">
        <f t="shared" si="0"/>
        <v>Effect(OnHitNormal, yurizia.passive.consume.buff.buffeffect.skilleffect.03)</v>
      </c>
      <c r="O44" s="24">
        <v>0</v>
      </c>
      <c r="P44" s="24">
        <v>0</v>
      </c>
      <c r="Q44" s="24"/>
      <c r="R44" s="24" t="b">
        <v>1</v>
      </c>
    </row>
    <row r="45" spans="1:18">
      <c r="A45" s="34" t="s">
        <v>5863</v>
      </c>
      <c r="B45" s="34"/>
      <c r="C45" s="34"/>
      <c r="D45" s="34">
        <v>0</v>
      </c>
      <c r="E45" s="34">
        <v>1</v>
      </c>
      <c r="F45" s="34" t="s">
        <v>197</v>
      </c>
      <c r="G45" s="34" t="s">
        <v>198</v>
      </c>
      <c r="H45" s="34"/>
      <c r="I45" s="34">
        <v>0</v>
      </c>
      <c r="J45" s="34" t="s">
        <v>191</v>
      </c>
      <c r="K45" s="34" t="s">
        <v>927</v>
      </c>
      <c r="L45" s="34" t="s">
        <v>983</v>
      </c>
      <c r="M45" s="34"/>
      <c r="N45" s="34" t="str">
        <f t="shared" si="0"/>
        <v>Effect(OnHitNormal, yurizia.passive.consume.buff.buffeffect.skilleffect.04)</v>
      </c>
      <c r="O45" s="34">
        <v>0</v>
      </c>
      <c r="P45" s="34">
        <v>0</v>
      </c>
      <c r="Q45" s="34"/>
      <c r="R45" s="34" t="b">
        <v>1</v>
      </c>
    </row>
    <row r="46" spans="1:18">
      <c r="A46" s="34" t="s">
        <v>5864</v>
      </c>
      <c r="B46" s="34"/>
      <c r="C46" s="34"/>
      <c r="D46" s="34">
        <v>0</v>
      </c>
      <c r="E46" s="34">
        <v>1</v>
      </c>
      <c r="F46" s="34" t="s">
        <v>197</v>
      </c>
      <c r="G46" s="34" t="s">
        <v>198</v>
      </c>
      <c r="H46" s="34"/>
      <c r="I46" s="34">
        <v>0</v>
      </c>
      <c r="J46" s="34" t="s">
        <v>191</v>
      </c>
      <c r="K46" s="34" t="s">
        <v>927</v>
      </c>
      <c r="L46" s="34" t="s">
        <v>984</v>
      </c>
      <c r="M46" s="34"/>
      <c r="N46" s="34" t="str">
        <f t="shared" si="0"/>
        <v>Effect(OnHitNormal, yurizia.passive.consume.buff.buffeffect.skilleffect.05)</v>
      </c>
      <c r="O46" s="34">
        <v>0</v>
      </c>
      <c r="P46" s="34">
        <v>0</v>
      </c>
      <c r="Q46" s="34"/>
      <c r="R46" s="34" t="b">
        <v>1</v>
      </c>
    </row>
    <row r="47" spans="1:18">
      <c r="A47" s="34" t="s">
        <v>5865</v>
      </c>
      <c r="B47" s="34"/>
      <c r="C47" s="34"/>
      <c r="D47" s="34">
        <v>0</v>
      </c>
      <c r="E47" s="34">
        <v>1</v>
      </c>
      <c r="F47" s="34" t="s">
        <v>197</v>
      </c>
      <c r="G47" s="34" t="s">
        <v>198</v>
      </c>
      <c r="H47" s="34"/>
      <c r="I47" s="34">
        <v>0</v>
      </c>
      <c r="J47" s="34" t="s">
        <v>191</v>
      </c>
      <c r="K47" s="34" t="s">
        <v>927</v>
      </c>
      <c r="L47" s="34" t="s">
        <v>985</v>
      </c>
      <c r="M47" s="34"/>
      <c r="N47" s="34" t="str">
        <f t="shared" si="0"/>
        <v>Effect(OnHitNormal, yurizia.passive.consume.buff.buffeffect.skilleffect.06)</v>
      </c>
      <c r="O47" s="34">
        <v>0</v>
      </c>
      <c r="P47" s="34">
        <v>0</v>
      </c>
      <c r="Q47" s="34"/>
      <c r="R47" s="34" t="b">
        <v>1</v>
      </c>
    </row>
    <row r="48" spans="1:18">
      <c r="A48" s="24" t="s">
        <v>7234</v>
      </c>
      <c r="B48" s="24"/>
      <c r="C48" s="24"/>
      <c r="D48" s="24">
        <v>0</v>
      </c>
      <c r="E48" s="24">
        <v>1</v>
      </c>
      <c r="F48" s="24" t="s">
        <v>197</v>
      </c>
      <c r="G48" s="24" t="s">
        <v>198</v>
      </c>
      <c r="H48" s="24"/>
      <c r="I48" s="24">
        <v>0</v>
      </c>
      <c r="J48" s="24" t="s">
        <v>838</v>
      </c>
      <c r="K48" s="24" t="s">
        <v>924</v>
      </c>
      <c r="L48" s="24">
        <v>80</v>
      </c>
      <c r="M48" s="24"/>
      <c r="N48" s="24" t="str">
        <f t="shared" si="0"/>
        <v>Status(HpDrainRate, 80)</v>
      </c>
      <c r="O48" s="24">
        <v>0</v>
      </c>
      <c r="P48" s="24">
        <v>0</v>
      </c>
      <c r="Q48" s="24"/>
      <c r="R48" s="24" t="b">
        <v>1</v>
      </c>
    </row>
    <row r="49" spans="1:18">
      <c r="A49" s="24" t="s">
        <v>5866</v>
      </c>
      <c r="B49" s="24"/>
      <c r="C49" s="24"/>
      <c r="D49" s="24">
        <v>0</v>
      </c>
      <c r="E49" s="24">
        <v>1</v>
      </c>
      <c r="F49" s="24" t="s">
        <v>197</v>
      </c>
      <c r="G49" s="24" t="s">
        <v>198</v>
      </c>
      <c r="H49" s="24"/>
      <c r="I49" s="24">
        <v>0</v>
      </c>
      <c r="J49" s="24" t="s">
        <v>838</v>
      </c>
      <c r="K49" s="24" t="s">
        <v>924</v>
      </c>
      <c r="L49" s="24">
        <v>95</v>
      </c>
      <c r="M49" s="24"/>
      <c r="N49" s="24" t="str">
        <f t="shared" si="0"/>
        <v>Status(HpDrainRate, 95)</v>
      </c>
      <c r="O49" s="24">
        <v>0</v>
      </c>
      <c r="P49" s="24">
        <v>0</v>
      </c>
      <c r="Q49" s="24"/>
      <c r="R49" s="24" t="b">
        <v>1</v>
      </c>
    </row>
    <row r="50" spans="1:18">
      <c r="A50" s="24" t="s">
        <v>5867</v>
      </c>
      <c r="B50" s="24"/>
      <c r="C50" s="24"/>
      <c r="D50" s="24">
        <v>0</v>
      </c>
      <c r="E50" s="24">
        <v>1</v>
      </c>
      <c r="F50" s="24" t="s">
        <v>197</v>
      </c>
      <c r="G50" s="24" t="s">
        <v>198</v>
      </c>
      <c r="H50" s="24"/>
      <c r="I50" s="24">
        <v>0</v>
      </c>
      <c r="J50" s="24" t="s">
        <v>838</v>
      </c>
      <c r="K50" s="24" t="s">
        <v>924</v>
      </c>
      <c r="L50" s="24">
        <v>110</v>
      </c>
      <c r="M50" s="24"/>
      <c r="N50" s="24" t="str">
        <f t="shared" si="0"/>
        <v>Status(HpDrainRate, 110)</v>
      </c>
      <c r="O50" s="24">
        <v>0</v>
      </c>
      <c r="P50" s="24">
        <v>0</v>
      </c>
      <c r="Q50" s="24"/>
      <c r="R50" s="24" t="b">
        <v>1</v>
      </c>
    </row>
    <row r="51" spans="1:18">
      <c r="A51" s="34" t="s">
        <v>5868</v>
      </c>
      <c r="B51" s="34"/>
      <c r="C51" s="34"/>
      <c r="D51" s="34">
        <v>0</v>
      </c>
      <c r="E51" s="34">
        <v>1</v>
      </c>
      <c r="F51" s="34" t="s">
        <v>197</v>
      </c>
      <c r="G51" s="34" t="s">
        <v>198</v>
      </c>
      <c r="H51" s="34"/>
      <c r="I51" s="34">
        <v>0</v>
      </c>
      <c r="J51" s="34" t="s">
        <v>838</v>
      </c>
      <c r="K51" s="34" t="s">
        <v>924</v>
      </c>
      <c r="L51" s="34">
        <v>125</v>
      </c>
      <c r="M51" s="34"/>
      <c r="N51" s="34" t="str">
        <f t="shared" si="0"/>
        <v>Status(HpDrainRate, 125)</v>
      </c>
      <c r="O51" s="34">
        <v>0</v>
      </c>
      <c r="P51" s="34">
        <v>0</v>
      </c>
      <c r="Q51" s="34"/>
      <c r="R51" s="34" t="b">
        <v>1</v>
      </c>
    </row>
    <row r="52" spans="1:18">
      <c r="A52" s="34" t="s">
        <v>5869</v>
      </c>
      <c r="B52" s="34"/>
      <c r="C52" s="34"/>
      <c r="D52" s="34">
        <v>0</v>
      </c>
      <c r="E52" s="34">
        <v>1</v>
      </c>
      <c r="F52" s="34" t="s">
        <v>197</v>
      </c>
      <c r="G52" s="34" t="s">
        <v>198</v>
      </c>
      <c r="H52" s="34"/>
      <c r="I52" s="34">
        <v>0</v>
      </c>
      <c r="J52" s="34" t="s">
        <v>838</v>
      </c>
      <c r="K52" s="34" t="s">
        <v>924</v>
      </c>
      <c r="L52" s="34">
        <v>140</v>
      </c>
      <c r="M52" s="34"/>
      <c r="N52" s="34" t="str">
        <f t="shared" si="0"/>
        <v>Status(HpDrainRate, 140)</v>
      </c>
      <c r="O52" s="34">
        <v>0</v>
      </c>
      <c r="P52" s="34">
        <v>0</v>
      </c>
      <c r="Q52" s="34"/>
      <c r="R52" s="34" t="b">
        <v>1</v>
      </c>
    </row>
    <row r="53" spans="1:18">
      <c r="A53" s="34" t="s">
        <v>5870</v>
      </c>
      <c r="B53" s="34"/>
      <c r="C53" s="34"/>
      <c r="D53" s="34">
        <v>0</v>
      </c>
      <c r="E53" s="34">
        <v>1</v>
      </c>
      <c r="F53" s="34" t="s">
        <v>197</v>
      </c>
      <c r="G53" s="34" t="s">
        <v>198</v>
      </c>
      <c r="H53" s="34"/>
      <c r="I53" s="34">
        <v>0</v>
      </c>
      <c r="J53" s="34" t="s">
        <v>838</v>
      </c>
      <c r="K53" s="34" t="s">
        <v>924</v>
      </c>
      <c r="L53" s="34">
        <v>225</v>
      </c>
      <c r="M53" s="34"/>
      <c r="N53" s="34" t="str">
        <f t="shared" si="0"/>
        <v>Status(HpDrainRate, 225)</v>
      </c>
      <c r="O53" s="34">
        <v>0</v>
      </c>
      <c r="P53" s="34">
        <v>0</v>
      </c>
      <c r="Q53" s="34"/>
      <c r="R53" s="34" t="b">
        <v>1</v>
      </c>
    </row>
    <row r="54" spans="1:18">
      <c r="A54" s="23" t="s">
        <v>784</v>
      </c>
      <c r="B54" s="23"/>
      <c r="C54" s="23"/>
      <c r="D54" s="23">
        <v>0</v>
      </c>
      <c r="E54" s="23">
        <v>1</v>
      </c>
      <c r="F54" s="23" t="s">
        <v>197</v>
      </c>
      <c r="G54" s="23" t="s">
        <v>198</v>
      </c>
      <c r="H54" s="23"/>
      <c r="I54" s="23">
        <v>0</v>
      </c>
      <c r="J54" s="23" t="s">
        <v>893</v>
      </c>
      <c r="K54" s="23" t="s">
        <v>986</v>
      </c>
      <c r="L54" s="23"/>
      <c r="M54" s="23"/>
      <c r="N54" s="23" t="str">
        <f t="shared" si="0"/>
        <v>Active(yurizia.passive.recharge.effect.01)</v>
      </c>
      <c r="O54" s="23">
        <v>0</v>
      </c>
      <c r="P54" s="23">
        <v>0</v>
      </c>
      <c r="Q54" s="23"/>
      <c r="R54" s="23" t="b">
        <v>1</v>
      </c>
    </row>
    <row r="55" spans="1:18">
      <c r="A55" s="23" t="s">
        <v>785</v>
      </c>
      <c r="B55" s="23"/>
      <c r="C55" s="23"/>
      <c r="D55" s="23">
        <v>0</v>
      </c>
      <c r="E55" s="23">
        <v>1</v>
      </c>
      <c r="F55" s="23" t="s">
        <v>197</v>
      </c>
      <c r="G55" s="23" t="s">
        <v>198</v>
      </c>
      <c r="H55" s="23"/>
      <c r="I55" s="23">
        <v>0</v>
      </c>
      <c r="J55" s="23" t="s">
        <v>893</v>
      </c>
      <c r="K55" s="23" t="s">
        <v>987</v>
      </c>
      <c r="L55" s="23"/>
      <c r="M55" s="23"/>
      <c r="N55" s="23" t="str">
        <f t="shared" si="0"/>
        <v>Active(yurizia.passive.recharge.effect.02)</v>
      </c>
      <c r="O55" s="23">
        <v>0</v>
      </c>
      <c r="P55" s="23">
        <v>0</v>
      </c>
      <c r="Q55" s="23"/>
      <c r="R55" s="23" t="b">
        <v>1</v>
      </c>
    </row>
    <row r="56" spans="1:18">
      <c r="A56" s="23" t="s">
        <v>786</v>
      </c>
      <c r="B56" s="23"/>
      <c r="C56" s="23"/>
      <c r="D56" s="23">
        <v>0</v>
      </c>
      <c r="E56" s="23">
        <v>1</v>
      </c>
      <c r="F56" s="23" t="s">
        <v>197</v>
      </c>
      <c r="G56" s="23" t="s">
        <v>198</v>
      </c>
      <c r="H56" s="23"/>
      <c r="I56" s="23">
        <v>0</v>
      </c>
      <c r="J56" s="23" t="s">
        <v>893</v>
      </c>
      <c r="K56" s="23" t="s">
        <v>988</v>
      </c>
      <c r="L56" s="23"/>
      <c r="M56" s="23"/>
      <c r="N56" s="23" t="str">
        <f t="shared" si="0"/>
        <v>Active(yurizia.passive.recharge.effect.03)</v>
      </c>
      <c r="O56" s="23">
        <v>0</v>
      </c>
      <c r="P56" s="23">
        <v>0</v>
      </c>
      <c r="Q56" s="23"/>
      <c r="R56" s="23" t="b">
        <v>1</v>
      </c>
    </row>
    <row r="57" spans="1:18">
      <c r="A57" s="34" t="s">
        <v>787</v>
      </c>
      <c r="B57" s="34"/>
      <c r="C57" s="34"/>
      <c r="D57" s="34">
        <v>0</v>
      </c>
      <c r="E57" s="34">
        <v>1</v>
      </c>
      <c r="F57" s="34" t="s">
        <v>197</v>
      </c>
      <c r="G57" s="34" t="s">
        <v>198</v>
      </c>
      <c r="H57" s="34"/>
      <c r="I57" s="34">
        <v>0</v>
      </c>
      <c r="J57" s="34" t="s">
        <v>893</v>
      </c>
      <c r="K57" s="34" t="s">
        <v>989</v>
      </c>
      <c r="L57" s="34"/>
      <c r="M57" s="34"/>
      <c r="N57" s="34" t="str">
        <f t="shared" si="0"/>
        <v>Active(yurizia.passive.recharge.effect.04)</v>
      </c>
      <c r="O57" s="34">
        <v>0</v>
      </c>
      <c r="P57" s="34">
        <v>0</v>
      </c>
      <c r="Q57" s="34"/>
      <c r="R57" s="34" t="b">
        <v>1</v>
      </c>
    </row>
    <row r="58" spans="1:18">
      <c r="A58" s="34" t="s">
        <v>788</v>
      </c>
      <c r="B58" s="34"/>
      <c r="C58" s="34"/>
      <c r="D58" s="34">
        <v>0</v>
      </c>
      <c r="E58" s="34">
        <v>1</v>
      </c>
      <c r="F58" s="34" t="s">
        <v>197</v>
      </c>
      <c r="G58" s="34" t="s">
        <v>198</v>
      </c>
      <c r="H58" s="34"/>
      <c r="I58" s="34">
        <v>0</v>
      </c>
      <c r="J58" s="34" t="s">
        <v>893</v>
      </c>
      <c r="K58" s="34" t="s">
        <v>990</v>
      </c>
      <c r="L58" s="34"/>
      <c r="M58" s="34"/>
      <c r="N58" s="34" t="str">
        <f t="shared" si="0"/>
        <v>Active(yurizia.passive.recharge.effect.05)</v>
      </c>
      <c r="O58" s="34">
        <v>0</v>
      </c>
      <c r="P58" s="34">
        <v>0</v>
      </c>
      <c r="Q58" s="34"/>
      <c r="R58" s="34" t="b">
        <v>1</v>
      </c>
    </row>
    <row r="59" spans="1:18">
      <c r="A59" s="34" t="s">
        <v>789</v>
      </c>
      <c r="B59" s="34"/>
      <c r="C59" s="34"/>
      <c r="D59" s="34">
        <v>0</v>
      </c>
      <c r="E59" s="34">
        <v>1</v>
      </c>
      <c r="F59" s="34" t="s">
        <v>197</v>
      </c>
      <c r="G59" s="34" t="s">
        <v>198</v>
      </c>
      <c r="H59" s="34"/>
      <c r="I59" s="34">
        <v>0</v>
      </c>
      <c r="J59" s="34" t="s">
        <v>893</v>
      </c>
      <c r="K59" s="34" t="s">
        <v>991</v>
      </c>
      <c r="L59" s="34"/>
      <c r="M59" s="34"/>
      <c r="N59" s="34" t="str">
        <f t="shared" si="0"/>
        <v>Active(yurizia.passive.recharge.effect.06)</v>
      </c>
      <c r="O59" s="34">
        <v>0</v>
      </c>
      <c r="P59" s="34">
        <v>0</v>
      </c>
      <c r="Q59" s="34"/>
      <c r="R59" s="34" t="b">
        <v>1</v>
      </c>
    </row>
    <row r="60" spans="1:18">
      <c r="A60" s="23" t="s">
        <v>7167</v>
      </c>
      <c r="B60" s="23"/>
      <c r="C60" s="23"/>
      <c r="D60" s="23">
        <v>0</v>
      </c>
      <c r="E60" s="23">
        <v>1</v>
      </c>
      <c r="F60" s="23" t="s">
        <v>197</v>
      </c>
      <c r="G60" s="23" t="s">
        <v>198</v>
      </c>
      <c r="H60" s="23"/>
      <c r="I60" s="23">
        <v>0</v>
      </c>
      <c r="J60" s="23" t="s">
        <v>876</v>
      </c>
      <c r="K60" s="23" t="s">
        <v>1758</v>
      </c>
      <c r="L60" s="23" t="s">
        <v>986</v>
      </c>
      <c r="M60" s="23" t="s">
        <v>3976</v>
      </c>
      <c r="N60" s="23" t="str">
        <f t="shared" si="0"/>
        <v>Event(FireSkill, yurizia.passive.recharge.effect.01, FireCondition(Ultimate))</v>
      </c>
      <c r="O60" s="23">
        <v>0</v>
      </c>
      <c r="P60" s="23">
        <v>0</v>
      </c>
      <c r="Q60" s="23"/>
      <c r="R60" s="23" t="b">
        <v>1</v>
      </c>
    </row>
    <row r="61" spans="1:18">
      <c r="A61" s="23" t="s">
        <v>5730</v>
      </c>
      <c r="B61" s="23"/>
      <c r="C61" s="23"/>
      <c r="D61" s="23">
        <v>0</v>
      </c>
      <c r="E61" s="23">
        <v>1</v>
      </c>
      <c r="F61" s="23" t="s">
        <v>197</v>
      </c>
      <c r="G61" s="23" t="s">
        <v>198</v>
      </c>
      <c r="H61" s="23"/>
      <c r="I61" s="23">
        <v>0</v>
      </c>
      <c r="J61" s="23" t="s">
        <v>876</v>
      </c>
      <c r="K61" s="23" t="s">
        <v>1758</v>
      </c>
      <c r="L61" s="23" t="s">
        <v>987</v>
      </c>
      <c r="M61" s="23" t="s">
        <v>3976</v>
      </c>
      <c r="N61" s="23" t="str">
        <f t="shared" si="0"/>
        <v>Event(FireSkill, yurizia.passive.recharge.effect.02, FireCondition(Ultimate))</v>
      </c>
      <c r="O61" s="23">
        <v>0</v>
      </c>
      <c r="P61" s="23">
        <v>0</v>
      </c>
      <c r="Q61" s="23"/>
      <c r="R61" s="23" t="b">
        <v>1</v>
      </c>
    </row>
    <row r="62" spans="1:18">
      <c r="A62" s="23" t="s">
        <v>5731</v>
      </c>
      <c r="B62" s="23"/>
      <c r="C62" s="23"/>
      <c r="D62" s="23">
        <v>0</v>
      </c>
      <c r="E62" s="23">
        <v>1</v>
      </c>
      <c r="F62" s="23" t="s">
        <v>197</v>
      </c>
      <c r="G62" s="23" t="s">
        <v>198</v>
      </c>
      <c r="H62" s="23"/>
      <c r="I62" s="23">
        <v>0</v>
      </c>
      <c r="J62" s="23" t="s">
        <v>876</v>
      </c>
      <c r="K62" s="23" t="s">
        <v>1758</v>
      </c>
      <c r="L62" s="23" t="s">
        <v>988</v>
      </c>
      <c r="M62" s="23" t="s">
        <v>3976</v>
      </c>
      <c r="N62" s="23" t="str">
        <f t="shared" si="0"/>
        <v>Event(FireSkill, yurizia.passive.recharge.effect.03, FireCondition(Ultimate))</v>
      </c>
      <c r="O62" s="23">
        <v>0</v>
      </c>
      <c r="P62" s="23">
        <v>0</v>
      </c>
      <c r="Q62" s="23"/>
      <c r="R62" s="23" t="b">
        <v>1</v>
      </c>
    </row>
    <row r="63" spans="1:18">
      <c r="A63" s="34" t="s">
        <v>5732</v>
      </c>
      <c r="B63" s="34"/>
      <c r="C63" s="34"/>
      <c r="D63" s="34">
        <v>0</v>
      </c>
      <c r="E63" s="34">
        <v>1</v>
      </c>
      <c r="F63" s="34" t="s">
        <v>197</v>
      </c>
      <c r="G63" s="34" t="s">
        <v>198</v>
      </c>
      <c r="H63" s="34"/>
      <c r="I63" s="34">
        <v>0</v>
      </c>
      <c r="J63" s="34" t="s">
        <v>876</v>
      </c>
      <c r="K63" s="34" t="s">
        <v>1758</v>
      </c>
      <c r="L63" s="34" t="s">
        <v>989</v>
      </c>
      <c r="M63" s="34" t="s">
        <v>3976</v>
      </c>
      <c r="N63" s="34" t="str">
        <f t="shared" si="0"/>
        <v>Event(FireSkill, yurizia.passive.recharge.effect.04, FireCondition(Ultimate))</v>
      </c>
      <c r="O63" s="34">
        <v>0</v>
      </c>
      <c r="P63" s="34">
        <v>0</v>
      </c>
      <c r="Q63" s="34"/>
      <c r="R63" s="34" t="b">
        <v>1</v>
      </c>
    </row>
    <row r="64" spans="1:18">
      <c r="A64" s="34" t="s">
        <v>5733</v>
      </c>
      <c r="B64" s="34"/>
      <c r="C64" s="34"/>
      <c r="D64" s="34">
        <v>0</v>
      </c>
      <c r="E64" s="34">
        <v>1</v>
      </c>
      <c r="F64" s="34" t="s">
        <v>197</v>
      </c>
      <c r="G64" s="34" t="s">
        <v>198</v>
      </c>
      <c r="H64" s="34"/>
      <c r="I64" s="34">
        <v>0</v>
      </c>
      <c r="J64" s="34" t="s">
        <v>876</v>
      </c>
      <c r="K64" s="34" t="s">
        <v>1758</v>
      </c>
      <c r="L64" s="34" t="s">
        <v>990</v>
      </c>
      <c r="M64" s="34" t="s">
        <v>3976</v>
      </c>
      <c r="N64" s="34" t="str">
        <f t="shared" si="0"/>
        <v>Event(FireSkill, yurizia.passive.recharge.effect.05, FireCondition(Ultimate))</v>
      </c>
      <c r="O64" s="34">
        <v>0</v>
      </c>
      <c r="P64" s="34">
        <v>0</v>
      </c>
      <c r="Q64" s="34"/>
      <c r="R64" s="34" t="b">
        <v>1</v>
      </c>
    </row>
    <row r="65" spans="1:18">
      <c r="A65" s="34" t="s">
        <v>5734</v>
      </c>
      <c r="B65" s="34"/>
      <c r="C65" s="34"/>
      <c r="D65" s="34">
        <v>0</v>
      </c>
      <c r="E65" s="34">
        <v>1</v>
      </c>
      <c r="F65" s="34" t="s">
        <v>197</v>
      </c>
      <c r="G65" s="34" t="s">
        <v>198</v>
      </c>
      <c r="H65" s="34"/>
      <c r="I65" s="34">
        <v>0</v>
      </c>
      <c r="J65" s="34" t="s">
        <v>876</v>
      </c>
      <c r="K65" s="34" t="s">
        <v>1758</v>
      </c>
      <c r="L65" s="34" t="s">
        <v>991</v>
      </c>
      <c r="M65" s="34" t="s">
        <v>3976</v>
      </c>
      <c r="N65" s="34" t="str">
        <f t="shared" si="0"/>
        <v>Event(FireSkill, yurizia.passive.recharge.effect.06, FireCondition(Ultimate))</v>
      </c>
      <c r="O65" s="34">
        <v>0</v>
      </c>
      <c r="P65" s="34">
        <v>0</v>
      </c>
      <c r="Q65" s="34"/>
      <c r="R65" s="34" t="b">
        <v>1</v>
      </c>
    </row>
    <row r="66" spans="1:18" s="13" customFormat="1">
      <c r="A66" s="26" t="s">
        <v>803</v>
      </c>
      <c r="B66" s="26"/>
      <c r="C66" s="26"/>
      <c r="D66" s="26">
        <v>0</v>
      </c>
      <c r="E66" s="26">
        <v>1</v>
      </c>
      <c r="F66" s="26" t="s">
        <v>197</v>
      </c>
      <c r="G66" s="26" t="s">
        <v>198</v>
      </c>
      <c r="H66" s="26"/>
      <c r="I66" s="26">
        <v>0</v>
      </c>
      <c r="J66" s="26" t="s">
        <v>860</v>
      </c>
      <c r="K66" s="26">
        <v>1110002002</v>
      </c>
      <c r="L66" s="26"/>
      <c r="M66" s="26"/>
      <c r="N66" s="26" t="str">
        <f t="shared" si="0"/>
        <v>Polymorph(1110002002)</v>
      </c>
      <c r="O66" s="26">
        <v>0</v>
      </c>
      <c r="P66" s="26">
        <v>0</v>
      </c>
      <c r="Q66" s="26"/>
      <c r="R66" s="26" t="b">
        <v>1</v>
      </c>
    </row>
    <row r="67" spans="1:18">
      <c r="A67" s="34" t="s">
        <v>4696</v>
      </c>
      <c r="B67" s="34"/>
      <c r="C67" s="34"/>
      <c r="D67" s="34">
        <v>0</v>
      </c>
      <c r="E67" s="34">
        <v>1</v>
      </c>
      <c r="F67" s="34" t="s">
        <v>197</v>
      </c>
      <c r="G67" s="34" t="s">
        <v>198</v>
      </c>
      <c r="H67" s="34"/>
      <c r="I67" s="34">
        <v>0</v>
      </c>
      <c r="J67" s="34" t="s">
        <v>893</v>
      </c>
      <c r="K67" s="34" t="s">
        <v>4699</v>
      </c>
      <c r="L67" s="34"/>
      <c r="M67" s="34"/>
      <c r="N67" s="34" t="str">
        <f t="shared" si="0"/>
        <v>Active(shale.ult.front.effect.01)</v>
      </c>
      <c r="O67" s="34">
        <v>0</v>
      </c>
      <c r="P67" s="34">
        <v>0</v>
      </c>
      <c r="Q67" s="34"/>
      <c r="R67" s="34" t="b">
        <v>1</v>
      </c>
    </row>
    <row r="68" spans="1:18">
      <c r="A68" s="34" t="s">
        <v>4697</v>
      </c>
      <c r="B68" s="34"/>
      <c r="C68" s="34"/>
      <c r="D68" s="34">
        <v>0</v>
      </c>
      <c r="E68" s="34">
        <v>1</v>
      </c>
      <c r="F68" s="34" t="s">
        <v>197</v>
      </c>
      <c r="G68" s="34" t="s">
        <v>198</v>
      </c>
      <c r="H68" s="34"/>
      <c r="I68" s="34">
        <v>0</v>
      </c>
      <c r="J68" s="34" t="s">
        <v>893</v>
      </c>
      <c r="K68" s="34" t="s">
        <v>4700</v>
      </c>
      <c r="L68" s="34"/>
      <c r="M68" s="34"/>
      <c r="N68" s="34" t="str">
        <f t="shared" si="0"/>
        <v>Active(shale.ult.middle.effect.01)</v>
      </c>
      <c r="O68" s="34">
        <v>0</v>
      </c>
      <c r="P68" s="34">
        <v>0</v>
      </c>
      <c r="Q68" s="34"/>
      <c r="R68" s="34" t="b">
        <v>1</v>
      </c>
    </row>
    <row r="69" spans="1:18" s="13" customFormat="1">
      <c r="A69" s="34" t="s">
        <v>4698</v>
      </c>
      <c r="B69" s="34"/>
      <c r="C69" s="34"/>
      <c r="D69" s="34">
        <v>0</v>
      </c>
      <c r="E69" s="34">
        <v>1</v>
      </c>
      <c r="F69" s="34" t="s">
        <v>197</v>
      </c>
      <c r="G69" s="34" t="s">
        <v>198</v>
      </c>
      <c r="H69" s="34"/>
      <c r="I69" s="34">
        <v>0</v>
      </c>
      <c r="J69" s="34" t="s">
        <v>893</v>
      </c>
      <c r="K69" s="34" t="s">
        <v>4701</v>
      </c>
      <c r="L69" s="34"/>
      <c r="M69" s="34"/>
      <c r="N69" s="34" t="str">
        <f t="shared" ref="N69:N132" si="1">J69&amp;"("&amp;IF(K69="","",K69)&amp;IF(L69="","",", "&amp;L69)&amp;IF(M69="","",", "&amp;M69)&amp;")"</f>
        <v>Active(shale.ult.back.effect.01)</v>
      </c>
      <c r="O69" s="34">
        <v>0</v>
      </c>
      <c r="P69" s="34">
        <v>0</v>
      </c>
      <c r="Q69" s="34"/>
      <c r="R69" s="34" t="b">
        <v>1</v>
      </c>
    </row>
    <row r="70" spans="1:18">
      <c r="A70" s="25" t="s">
        <v>7235</v>
      </c>
      <c r="B70" s="25"/>
      <c r="C70" s="25"/>
      <c r="D70" s="25">
        <v>0</v>
      </c>
      <c r="E70" s="25">
        <v>1</v>
      </c>
      <c r="F70" s="25" t="s">
        <v>197</v>
      </c>
      <c r="G70" s="25" t="s">
        <v>198</v>
      </c>
      <c r="H70" s="25"/>
      <c r="I70" s="25">
        <v>0</v>
      </c>
      <c r="J70" s="25" t="s">
        <v>876</v>
      </c>
      <c r="K70" s="25" t="s">
        <v>1758</v>
      </c>
      <c r="L70" s="25" t="s">
        <v>2454</v>
      </c>
      <c r="M70" s="25" t="s">
        <v>1760</v>
      </c>
      <c r="N70" s="25" t="str">
        <f t="shared" si="1"/>
        <v>Event(FireSkill, shale.passive.skill.event.skilleffect.01, FireCondition(Skill1))</v>
      </c>
      <c r="O70" s="25">
        <v>0</v>
      </c>
      <c r="P70" s="25">
        <v>0</v>
      </c>
      <c r="Q70" s="25"/>
      <c r="R70" s="25" t="b">
        <v>1</v>
      </c>
    </row>
    <row r="71" spans="1:18">
      <c r="A71" s="25" t="s">
        <v>2435</v>
      </c>
      <c r="B71" s="25"/>
      <c r="C71" s="25"/>
      <c r="D71" s="25">
        <v>0</v>
      </c>
      <c r="E71" s="25">
        <v>1</v>
      </c>
      <c r="F71" s="25" t="s">
        <v>197</v>
      </c>
      <c r="G71" s="25" t="s">
        <v>198</v>
      </c>
      <c r="H71" s="25"/>
      <c r="I71" s="25">
        <v>0</v>
      </c>
      <c r="J71" s="25" t="s">
        <v>876</v>
      </c>
      <c r="K71" s="25" t="s">
        <v>1758</v>
      </c>
      <c r="L71" s="25" t="s">
        <v>2455</v>
      </c>
      <c r="M71" s="25" t="s">
        <v>1760</v>
      </c>
      <c r="N71" s="25" t="str">
        <f t="shared" si="1"/>
        <v>Event(FireSkill, shale.passive.skill.event.skilleffect.02, FireCondition(Skill1))</v>
      </c>
      <c r="O71" s="25">
        <v>0</v>
      </c>
      <c r="P71" s="25">
        <v>0</v>
      </c>
      <c r="Q71" s="25"/>
      <c r="R71" s="25" t="b">
        <v>1</v>
      </c>
    </row>
    <row r="72" spans="1:18">
      <c r="A72" s="25" t="s">
        <v>2436</v>
      </c>
      <c r="B72" s="25"/>
      <c r="C72" s="25"/>
      <c r="D72" s="25">
        <v>0</v>
      </c>
      <c r="E72" s="25">
        <v>1</v>
      </c>
      <c r="F72" s="25" t="s">
        <v>197</v>
      </c>
      <c r="G72" s="25" t="s">
        <v>198</v>
      </c>
      <c r="H72" s="25"/>
      <c r="I72" s="25">
        <v>0</v>
      </c>
      <c r="J72" s="25" t="s">
        <v>876</v>
      </c>
      <c r="K72" s="25" t="s">
        <v>1758</v>
      </c>
      <c r="L72" s="25" t="s">
        <v>2456</v>
      </c>
      <c r="M72" s="25" t="s">
        <v>1760</v>
      </c>
      <c r="N72" s="25" t="str">
        <f t="shared" si="1"/>
        <v>Event(FireSkill, shale.passive.skill.event.skilleffect.03, FireCondition(Skill1))</v>
      </c>
      <c r="O72" s="25">
        <v>0</v>
      </c>
      <c r="P72" s="25">
        <v>0</v>
      </c>
      <c r="Q72" s="25"/>
      <c r="R72" s="25" t="b">
        <v>1</v>
      </c>
    </row>
    <row r="73" spans="1:18">
      <c r="A73" s="34" t="s">
        <v>7236</v>
      </c>
      <c r="B73" s="34"/>
      <c r="C73" s="34"/>
      <c r="D73" s="34">
        <v>0</v>
      </c>
      <c r="E73" s="34">
        <v>1</v>
      </c>
      <c r="F73" s="34" t="s">
        <v>197</v>
      </c>
      <c r="G73" s="34" t="s">
        <v>198</v>
      </c>
      <c r="H73" s="34"/>
      <c r="I73" s="34">
        <v>0</v>
      </c>
      <c r="J73" s="34" t="s">
        <v>876</v>
      </c>
      <c r="K73" s="34" t="s">
        <v>1758</v>
      </c>
      <c r="L73" s="34" t="s">
        <v>2457</v>
      </c>
      <c r="M73" s="34" t="s">
        <v>1760</v>
      </c>
      <c r="N73" s="34" t="str">
        <f t="shared" si="1"/>
        <v>Event(FireSkill, shale.passive.skill.event.skilleffect.04, FireCondition(Skill1))</v>
      </c>
      <c r="O73" s="34">
        <v>0</v>
      </c>
      <c r="P73" s="34">
        <v>0</v>
      </c>
      <c r="Q73" s="34"/>
      <c r="R73" s="34" t="b">
        <v>1</v>
      </c>
    </row>
    <row r="74" spans="1:18">
      <c r="A74" s="34" t="s">
        <v>2437</v>
      </c>
      <c r="B74" s="34"/>
      <c r="C74" s="34"/>
      <c r="D74" s="34">
        <v>0</v>
      </c>
      <c r="E74" s="34">
        <v>1</v>
      </c>
      <c r="F74" s="34" t="s">
        <v>197</v>
      </c>
      <c r="G74" s="34" t="s">
        <v>198</v>
      </c>
      <c r="H74" s="34"/>
      <c r="I74" s="34">
        <v>0</v>
      </c>
      <c r="J74" s="34" t="s">
        <v>876</v>
      </c>
      <c r="K74" s="34" t="s">
        <v>1758</v>
      </c>
      <c r="L74" s="34" t="s">
        <v>2458</v>
      </c>
      <c r="M74" s="34" t="s">
        <v>1760</v>
      </c>
      <c r="N74" s="34" t="str">
        <f t="shared" si="1"/>
        <v>Event(FireSkill, shale.passive.skill.event.skilleffect.05, FireCondition(Skill1))</v>
      </c>
      <c r="O74" s="34">
        <v>0</v>
      </c>
      <c r="P74" s="34">
        <v>0</v>
      </c>
      <c r="Q74" s="34"/>
      <c r="R74" s="34" t="b">
        <v>1</v>
      </c>
    </row>
    <row r="75" spans="1:18" s="13" customFormat="1">
      <c r="A75" s="34" t="s">
        <v>2438</v>
      </c>
      <c r="B75" s="34"/>
      <c r="C75" s="34"/>
      <c r="D75" s="34">
        <v>0</v>
      </c>
      <c r="E75" s="34">
        <v>1</v>
      </c>
      <c r="F75" s="34" t="s">
        <v>197</v>
      </c>
      <c r="G75" s="34" t="s">
        <v>198</v>
      </c>
      <c r="H75" s="34"/>
      <c r="I75" s="34">
        <v>0</v>
      </c>
      <c r="J75" s="34" t="s">
        <v>876</v>
      </c>
      <c r="K75" s="34" t="s">
        <v>1758</v>
      </c>
      <c r="L75" s="34" t="s">
        <v>2459</v>
      </c>
      <c r="M75" s="34" t="s">
        <v>1760</v>
      </c>
      <c r="N75" s="34" t="str">
        <f t="shared" si="1"/>
        <v>Event(FireSkill, shale.passive.skill.event.skilleffect.06, FireCondition(Skill1))</v>
      </c>
      <c r="O75" s="34">
        <v>0</v>
      </c>
      <c r="P75" s="34">
        <v>0</v>
      </c>
      <c r="Q75" s="34"/>
      <c r="R75" s="34" t="b">
        <v>1</v>
      </c>
    </row>
    <row r="76" spans="1:18" s="13" customFormat="1">
      <c r="A76" s="26" t="s">
        <v>2439</v>
      </c>
      <c r="B76" s="26"/>
      <c r="C76" s="26"/>
      <c r="D76" s="26">
        <v>0</v>
      </c>
      <c r="E76" s="26">
        <v>1</v>
      </c>
      <c r="F76" s="26" t="s">
        <v>197</v>
      </c>
      <c r="G76" s="26" t="s">
        <v>198</v>
      </c>
      <c r="H76" s="26"/>
      <c r="I76" s="26">
        <v>0</v>
      </c>
      <c r="J76" s="26" t="s">
        <v>876</v>
      </c>
      <c r="K76" s="26" t="s">
        <v>1758</v>
      </c>
      <c r="L76" s="26" t="s">
        <v>2454</v>
      </c>
      <c r="M76" s="26" t="s">
        <v>1759</v>
      </c>
      <c r="N76" s="26" t="str">
        <f t="shared" si="1"/>
        <v>Event(FireSkill, shale.passive.skill.event.skilleffect.01, FireCondition(Skill2))</v>
      </c>
      <c r="O76" s="26">
        <v>0</v>
      </c>
      <c r="P76" s="26">
        <v>0</v>
      </c>
      <c r="Q76" s="26"/>
      <c r="R76" s="26" t="b">
        <v>1</v>
      </c>
    </row>
    <row r="77" spans="1:18" s="13" customFormat="1">
      <c r="A77" s="26" t="s">
        <v>2440</v>
      </c>
      <c r="B77" s="26"/>
      <c r="C77" s="26"/>
      <c r="D77" s="26">
        <v>0</v>
      </c>
      <c r="E77" s="26">
        <v>1</v>
      </c>
      <c r="F77" s="26" t="s">
        <v>197</v>
      </c>
      <c r="G77" s="26" t="s">
        <v>198</v>
      </c>
      <c r="H77" s="26"/>
      <c r="I77" s="26">
        <v>0</v>
      </c>
      <c r="J77" s="26" t="s">
        <v>876</v>
      </c>
      <c r="K77" s="26" t="s">
        <v>1758</v>
      </c>
      <c r="L77" s="26" t="s">
        <v>2455</v>
      </c>
      <c r="M77" s="26" t="s">
        <v>1759</v>
      </c>
      <c r="N77" s="26" t="str">
        <f t="shared" si="1"/>
        <v>Event(FireSkill, shale.passive.skill.event.skilleffect.02, FireCondition(Skill2))</v>
      </c>
      <c r="O77" s="26">
        <v>0</v>
      </c>
      <c r="P77" s="26">
        <v>0</v>
      </c>
      <c r="Q77" s="26"/>
      <c r="R77" s="26" t="b">
        <v>1</v>
      </c>
    </row>
    <row r="78" spans="1:18" s="13" customFormat="1">
      <c r="A78" s="26" t="s">
        <v>2441</v>
      </c>
      <c r="B78" s="26"/>
      <c r="C78" s="26"/>
      <c r="D78" s="26">
        <v>0</v>
      </c>
      <c r="E78" s="26">
        <v>1</v>
      </c>
      <c r="F78" s="26" t="s">
        <v>197</v>
      </c>
      <c r="G78" s="26" t="s">
        <v>198</v>
      </c>
      <c r="H78" s="26"/>
      <c r="I78" s="26">
        <v>0</v>
      </c>
      <c r="J78" s="26" t="s">
        <v>876</v>
      </c>
      <c r="K78" s="26" t="s">
        <v>1758</v>
      </c>
      <c r="L78" s="26" t="s">
        <v>2456</v>
      </c>
      <c r="M78" s="26" t="s">
        <v>1759</v>
      </c>
      <c r="N78" s="26" t="str">
        <f t="shared" si="1"/>
        <v>Event(FireSkill, shale.passive.skill.event.skilleffect.03, FireCondition(Skill2))</v>
      </c>
      <c r="O78" s="26">
        <v>0</v>
      </c>
      <c r="P78" s="26">
        <v>0</v>
      </c>
      <c r="Q78" s="26"/>
      <c r="R78" s="26" t="b">
        <v>1</v>
      </c>
    </row>
    <row r="79" spans="1:18" s="13" customFormat="1">
      <c r="A79" s="34" t="s">
        <v>2442</v>
      </c>
      <c r="B79" s="34"/>
      <c r="C79" s="34"/>
      <c r="D79" s="34">
        <v>0</v>
      </c>
      <c r="E79" s="34">
        <v>1</v>
      </c>
      <c r="F79" s="34" t="s">
        <v>197</v>
      </c>
      <c r="G79" s="34" t="s">
        <v>198</v>
      </c>
      <c r="H79" s="34"/>
      <c r="I79" s="34">
        <v>0</v>
      </c>
      <c r="J79" s="34" t="s">
        <v>876</v>
      </c>
      <c r="K79" s="34" t="s">
        <v>1758</v>
      </c>
      <c r="L79" s="34" t="s">
        <v>2457</v>
      </c>
      <c r="M79" s="34" t="s">
        <v>1759</v>
      </c>
      <c r="N79" s="34" t="str">
        <f t="shared" si="1"/>
        <v>Event(FireSkill, shale.passive.skill.event.skilleffect.04, FireCondition(Skill2))</v>
      </c>
      <c r="O79" s="34">
        <v>0</v>
      </c>
      <c r="P79" s="34">
        <v>0</v>
      </c>
      <c r="Q79" s="34"/>
      <c r="R79" s="34" t="b">
        <v>1</v>
      </c>
    </row>
    <row r="80" spans="1:18" s="13" customFormat="1">
      <c r="A80" s="34" t="s">
        <v>2443</v>
      </c>
      <c r="B80" s="34"/>
      <c r="C80" s="34"/>
      <c r="D80" s="34">
        <v>0</v>
      </c>
      <c r="E80" s="34">
        <v>1</v>
      </c>
      <c r="F80" s="34" t="s">
        <v>197</v>
      </c>
      <c r="G80" s="34" t="s">
        <v>198</v>
      </c>
      <c r="H80" s="34"/>
      <c r="I80" s="34">
        <v>0</v>
      </c>
      <c r="J80" s="34" t="s">
        <v>876</v>
      </c>
      <c r="K80" s="34" t="s">
        <v>1758</v>
      </c>
      <c r="L80" s="34" t="s">
        <v>2458</v>
      </c>
      <c r="M80" s="34" t="s">
        <v>1759</v>
      </c>
      <c r="N80" s="34" t="str">
        <f t="shared" si="1"/>
        <v>Event(FireSkill, shale.passive.skill.event.skilleffect.05, FireCondition(Skill2))</v>
      </c>
      <c r="O80" s="34">
        <v>0</v>
      </c>
      <c r="P80" s="34">
        <v>0</v>
      </c>
      <c r="Q80" s="34"/>
      <c r="R80" s="34" t="b">
        <v>1</v>
      </c>
    </row>
    <row r="81" spans="1:18" s="13" customFormat="1">
      <c r="A81" s="34" t="s">
        <v>2444</v>
      </c>
      <c r="B81" s="34"/>
      <c r="C81" s="34"/>
      <c r="D81" s="34">
        <v>0</v>
      </c>
      <c r="E81" s="34">
        <v>1</v>
      </c>
      <c r="F81" s="34" t="s">
        <v>197</v>
      </c>
      <c r="G81" s="34" t="s">
        <v>198</v>
      </c>
      <c r="H81" s="34"/>
      <c r="I81" s="34">
        <v>0</v>
      </c>
      <c r="J81" s="34" t="s">
        <v>876</v>
      </c>
      <c r="K81" s="34" t="s">
        <v>1758</v>
      </c>
      <c r="L81" s="34" t="s">
        <v>2459</v>
      </c>
      <c r="M81" s="34" t="s">
        <v>1759</v>
      </c>
      <c r="N81" s="34" t="str">
        <f t="shared" si="1"/>
        <v>Event(FireSkill, shale.passive.skill.event.skilleffect.06, FireCondition(Skill2))</v>
      </c>
      <c r="O81" s="34">
        <v>0</v>
      </c>
      <c r="P81" s="34">
        <v>0</v>
      </c>
      <c r="Q81" s="34"/>
      <c r="R81" s="34" t="b">
        <v>1</v>
      </c>
    </row>
    <row r="82" spans="1:18" s="13" customFormat="1">
      <c r="A82" s="25" t="s">
        <v>7237</v>
      </c>
      <c r="B82" s="25"/>
      <c r="C82" s="25"/>
      <c r="D82" s="25">
        <v>0</v>
      </c>
      <c r="E82" s="25">
        <v>1</v>
      </c>
      <c r="F82" s="25" t="s">
        <v>197</v>
      </c>
      <c r="G82" s="25" t="s">
        <v>198</v>
      </c>
      <c r="H82" s="25"/>
      <c r="I82" s="25">
        <v>0</v>
      </c>
      <c r="J82" s="25" t="s">
        <v>838</v>
      </c>
      <c r="K82" s="25" t="s">
        <v>908</v>
      </c>
      <c r="L82" s="25">
        <v>36</v>
      </c>
      <c r="M82" s="25"/>
      <c r="N82" s="25" t="str">
        <f t="shared" si="1"/>
        <v>Status(AttackRatio, 36)</v>
      </c>
      <c r="O82" s="25">
        <v>0</v>
      </c>
      <c r="P82" s="25">
        <v>0</v>
      </c>
      <c r="Q82" s="25"/>
      <c r="R82" s="25" t="b">
        <v>1</v>
      </c>
    </row>
    <row r="83" spans="1:18" s="13" customFormat="1">
      <c r="A83" s="25" t="s">
        <v>2445</v>
      </c>
      <c r="B83" s="25"/>
      <c r="C83" s="25"/>
      <c r="D83" s="25">
        <v>0</v>
      </c>
      <c r="E83" s="25">
        <v>1</v>
      </c>
      <c r="F83" s="25" t="s">
        <v>197</v>
      </c>
      <c r="G83" s="25" t="s">
        <v>198</v>
      </c>
      <c r="H83" s="25"/>
      <c r="I83" s="25">
        <v>0</v>
      </c>
      <c r="J83" s="25" t="s">
        <v>838</v>
      </c>
      <c r="K83" s="25" t="s">
        <v>908</v>
      </c>
      <c r="L83" s="25">
        <v>39</v>
      </c>
      <c r="M83" s="25"/>
      <c r="N83" s="25" t="str">
        <f t="shared" si="1"/>
        <v>Status(AttackRatio, 39)</v>
      </c>
      <c r="O83" s="25">
        <v>0</v>
      </c>
      <c r="P83" s="25">
        <v>0</v>
      </c>
      <c r="Q83" s="25"/>
      <c r="R83" s="25" t="b">
        <v>1</v>
      </c>
    </row>
    <row r="84" spans="1:18" s="13" customFormat="1">
      <c r="A84" s="25" t="s">
        <v>2446</v>
      </c>
      <c r="B84" s="25"/>
      <c r="C84" s="25"/>
      <c r="D84" s="25">
        <v>0</v>
      </c>
      <c r="E84" s="25">
        <v>1</v>
      </c>
      <c r="F84" s="25" t="s">
        <v>197</v>
      </c>
      <c r="G84" s="25" t="s">
        <v>198</v>
      </c>
      <c r="H84" s="25"/>
      <c r="I84" s="25">
        <v>0</v>
      </c>
      <c r="J84" s="25" t="s">
        <v>838</v>
      </c>
      <c r="K84" s="25" t="s">
        <v>908</v>
      </c>
      <c r="L84" s="25">
        <v>43</v>
      </c>
      <c r="M84" s="25"/>
      <c r="N84" s="25" t="str">
        <f t="shared" si="1"/>
        <v>Status(AttackRatio, 43)</v>
      </c>
      <c r="O84" s="25">
        <v>0</v>
      </c>
      <c r="P84" s="25">
        <v>0</v>
      </c>
      <c r="Q84" s="25"/>
      <c r="R84" s="25" t="b">
        <v>1</v>
      </c>
    </row>
    <row r="85" spans="1:18" s="13" customFormat="1">
      <c r="A85" s="34" t="s">
        <v>2447</v>
      </c>
      <c r="B85" s="34"/>
      <c r="C85" s="34"/>
      <c r="D85" s="34">
        <v>0</v>
      </c>
      <c r="E85" s="34">
        <v>1</v>
      </c>
      <c r="F85" s="34" t="s">
        <v>197</v>
      </c>
      <c r="G85" s="34" t="s">
        <v>198</v>
      </c>
      <c r="H85" s="34"/>
      <c r="I85" s="34">
        <v>0</v>
      </c>
      <c r="J85" s="34" t="s">
        <v>838</v>
      </c>
      <c r="K85" s="34" t="s">
        <v>908</v>
      </c>
      <c r="L85" s="34">
        <v>47</v>
      </c>
      <c r="M85" s="34"/>
      <c r="N85" s="34" t="str">
        <f t="shared" si="1"/>
        <v>Status(AttackRatio, 47)</v>
      </c>
      <c r="O85" s="34">
        <v>0</v>
      </c>
      <c r="P85" s="34">
        <v>0</v>
      </c>
      <c r="Q85" s="34"/>
      <c r="R85" s="34" t="b">
        <v>1</v>
      </c>
    </row>
    <row r="86" spans="1:18" s="13" customFormat="1">
      <c r="A86" s="34" t="s">
        <v>2448</v>
      </c>
      <c r="B86" s="34"/>
      <c r="C86" s="34"/>
      <c r="D86" s="34">
        <v>0</v>
      </c>
      <c r="E86" s="34">
        <v>1</v>
      </c>
      <c r="F86" s="34" t="s">
        <v>197</v>
      </c>
      <c r="G86" s="34" t="s">
        <v>198</v>
      </c>
      <c r="H86" s="34"/>
      <c r="I86" s="34">
        <v>0</v>
      </c>
      <c r="J86" s="34" t="s">
        <v>838</v>
      </c>
      <c r="K86" s="34" t="s">
        <v>908</v>
      </c>
      <c r="L86" s="34">
        <v>50</v>
      </c>
      <c r="M86" s="34"/>
      <c r="N86" s="34" t="str">
        <f t="shared" si="1"/>
        <v>Status(AttackRatio, 50)</v>
      </c>
      <c r="O86" s="34">
        <v>0</v>
      </c>
      <c r="P86" s="34">
        <v>0</v>
      </c>
      <c r="Q86" s="34"/>
      <c r="R86" s="34" t="b">
        <v>1</v>
      </c>
    </row>
    <row r="87" spans="1:18" s="13" customFormat="1">
      <c r="A87" s="34" t="s">
        <v>2449</v>
      </c>
      <c r="B87" s="34"/>
      <c r="C87" s="34"/>
      <c r="D87" s="34">
        <v>0</v>
      </c>
      <c r="E87" s="34">
        <v>1</v>
      </c>
      <c r="F87" s="34" t="s">
        <v>197</v>
      </c>
      <c r="G87" s="34" t="s">
        <v>198</v>
      </c>
      <c r="H87" s="34"/>
      <c r="I87" s="34">
        <v>0</v>
      </c>
      <c r="J87" s="34" t="s">
        <v>838</v>
      </c>
      <c r="K87" s="34" t="s">
        <v>908</v>
      </c>
      <c r="L87" s="34">
        <v>35</v>
      </c>
      <c r="M87" s="34"/>
      <c r="N87" s="34" t="str">
        <f t="shared" si="1"/>
        <v>Status(AttackRatio, 35)</v>
      </c>
      <c r="O87" s="34">
        <v>0</v>
      </c>
      <c r="P87" s="34">
        <v>0</v>
      </c>
      <c r="Q87" s="34"/>
      <c r="R87" s="34" t="b">
        <v>1</v>
      </c>
    </row>
    <row r="88" spans="1:18" s="13" customFormat="1">
      <c r="A88" s="44" t="s">
        <v>7227</v>
      </c>
      <c r="B88" s="44" t="s">
        <v>419</v>
      </c>
      <c r="C88" s="44">
        <v>-70</v>
      </c>
      <c r="D88" s="44">
        <v>0</v>
      </c>
      <c r="E88" s="44">
        <v>1</v>
      </c>
      <c r="F88" s="44" t="s">
        <v>197</v>
      </c>
      <c r="G88" s="44" t="s">
        <v>198</v>
      </c>
      <c r="H88" s="44"/>
      <c r="I88" s="44">
        <v>0</v>
      </c>
      <c r="J88" s="44" t="s">
        <v>893</v>
      </c>
      <c r="K88" s="44" t="s">
        <v>2460</v>
      </c>
      <c r="L88" s="44"/>
      <c r="M88" s="44"/>
      <c r="N88" s="44" t="str">
        <f t="shared" si="1"/>
        <v>Active(shale.bookmark.check.condition)</v>
      </c>
      <c r="O88" s="44">
        <v>0</v>
      </c>
      <c r="P88" s="44">
        <v>1000</v>
      </c>
      <c r="Q88" s="44"/>
      <c r="R88" s="44" t="b">
        <v>1</v>
      </c>
    </row>
    <row r="89" spans="1:18" s="143" customFormat="1">
      <c r="A89" s="25" t="s">
        <v>7184</v>
      </c>
      <c r="B89" s="25"/>
      <c r="C89" s="25"/>
      <c r="D89" s="25">
        <v>0</v>
      </c>
      <c r="E89" s="25">
        <v>1</v>
      </c>
      <c r="F89" s="25" t="s">
        <v>197</v>
      </c>
      <c r="G89" s="25" t="s">
        <v>198</v>
      </c>
      <c r="H89" s="25"/>
      <c r="I89" s="25">
        <v>0</v>
      </c>
      <c r="J89" s="25" t="s">
        <v>1254</v>
      </c>
      <c r="K89" s="25" t="s">
        <v>7185</v>
      </c>
      <c r="L89" s="25"/>
      <c r="M89" s="25"/>
      <c r="N89" s="25" t="str">
        <f t="shared" si="1"/>
        <v>Passive(shale.passive.ex.bookmark.buff.01)</v>
      </c>
      <c r="O89" s="25">
        <v>0</v>
      </c>
      <c r="P89" s="25">
        <v>0</v>
      </c>
      <c r="Q89" s="25"/>
      <c r="R89" s="25" t="b">
        <v>1</v>
      </c>
    </row>
    <row r="90" spans="1:18" s="143" customFormat="1">
      <c r="A90" s="25" t="s">
        <v>7134</v>
      </c>
      <c r="B90" s="25"/>
      <c r="C90" s="25"/>
      <c r="D90" s="25">
        <v>0</v>
      </c>
      <c r="E90" s="25">
        <v>1</v>
      </c>
      <c r="F90" s="25" t="s">
        <v>197</v>
      </c>
      <c r="G90" s="25" t="s">
        <v>198</v>
      </c>
      <c r="H90" s="25"/>
      <c r="I90" s="25">
        <v>0</v>
      </c>
      <c r="J90" s="25" t="s">
        <v>1254</v>
      </c>
      <c r="K90" s="25" t="s">
        <v>3735</v>
      </c>
      <c r="L90" s="25"/>
      <c r="M90" s="25"/>
      <c r="N90" s="25" t="str">
        <f t="shared" si="1"/>
        <v>Passive(shale.passive.ex.bookmark.buff.02)</v>
      </c>
      <c r="O90" s="25">
        <v>0</v>
      </c>
      <c r="P90" s="25">
        <v>0</v>
      </c>
      <c r="Q90" s="25"/>
      <c r="R90" s="25" t="b">
        <v>1</v>
      </c>
    </row>
    <row r="91" spans="1:18" s="143" customFormat="1">
      <c r="A91" s="25" t="s">
        <v>7135</v>
      </c>
      <c r="B91" s="25"/>
      <c r="C91" s="25"/>
      <c r="D91" s="25">
        <v>0</v>
      </c>
      <c r="E91" s="25">
        <v>1</v>
      </c>
      <c r="F91" s="25" t="s">
        <v>197</v>
      </c>
      <c r="G91" s="25" t="s">
        <v>198</v>
      </c>
      <c r="H91" s="25"/>
      <c r="I91" s="25">
        <v>0</v>
      </c>
      <c r="J91" s="25" t="s">
        <v>1254</v>
      </c>
      <c r="K91" s="25" t="s">
        <v>3736</v>
      </c>
      <c r="L91" s="25"/>
      <c r="M91" s="25"/>
      <c r="N91" s="25" t="str">
        <f t="shared" si="1"/>
        <v>Passive(shale.passive.ex.bookmark.buff.03)</v>
      </c>
      <c r="O91" s="25">
        <v>0</v>
      </c>
      <c r="P91" s="25">
        <v>0</v>
      </c>
      <c r="Q91" s="25"/>
      <c r="R91" s="25" t="b">
        <v>1</v>
      </c>
    </row>
    <row r="92" spans="1:18" s="143" customFormat="1">
      <c r="A92" s="25" t="s">
        <v>7136</v>
      </c>
      <c r="B92" s="25"/>
      <c r="C92" s="25"/>
      <c r="D92" s="25">
        <v>0</v>
      </c>
      <c r="E92" s="25">
        <v>1</v>
      </c>
      <c r="F92" s="25" t="s">
        <v>197</v>
      </c>
      <c r="G92" s="25" t="s">
        <v>198</v>
      </c>
      <c r="H92" s="25"/>
      <c r="I92" s="25">
        <v>0</v>
      </c>
      <c r="J92" s="25" t="s">
        <v>1254</v>
      </c>
      <c r="K92" s="25" t="s">
        <v>3737</v>
      </c>
      <c r="L92" s="25"/>
      <c r="M92" s="25"/>
      <c r="N92" s="25" t="str">
        <f t="shared" si="1"/>
        <v>Passive(shale.passive.ex.bookmark.buff.04)</v>
      </c>
      <c r="O92" s="25">
        <v>0</v>
      </c>
      <c r="P92" s="25">
        <v>0</v>
      </c>
      <c r="Q92" s="25"/>
      <c r="R92" s="25" t="b">
        <v>1</v>
      </c>
    </row>
    <row r="93" spans="1:18" s="143" customFormat="1">
      <c r="A93" s="25" t="s">
        <v>7137</v>
      </c>
      <c r="B93" s="25"/>
      <c r="C93" s="25"/>
      <c r="D93" s="25">
        <v>0</v>
      </c>
      <c r="E93" s="25">
        <v>1</v>
      </c>
      <c r="F93" s="25" t="s">
        <v>197</v>
      </c>
      <c r="G93" s="25" t="s">
        <v>198</v>
      </c>
      <c r="H93" s="25"/>
      <c r="I93" s="25">
        <v>0</v>
      </c>
      <c r="J93" s="25" t="s">
        <v>1254</v>
      </c>
      <c r="K93" s="25" t="s">
        <v>3738</v>
      </c>
      <c r="L93" s="25"/>
      <c r="M93" s="25"/>
      <c r="N93" s="25" t="str">
        <f t="shared" si="1"/>
        <v>Passive(shale.passive.ex.bookmark.buff.05)</v>
      </c>
      <c r="O93" s="25">
        <v>0</v>
      </c>
      <c r="P93" s="25">
        <v>0</v>
      </c>
      <c r="Q93" s="25"/>
      <c r="R93" s="25" t="b">
        <v>1</v>
      </c>
    </row>
    <row r="94" spans="1:18" s="143" customFormat="1">
      <c r="A94" s="25" t="s">
        <v>7138</v>
      </c>
      <c r="B94" s="25"/>
      <c r="C94" s="25"/>
      <c r="D94" s="25">
        <v>0</v>
      </c>
      <c r="E94" s="25">
        <v>1</v>
      </c>
      <c r="F94" s="25" t="s">
        <v>197</v>
      </c>
      <c r="G94" s="25" t="s">
        <v>198</v>
      </c>
      <c r="H94" s="25"/>
      <c r="I94" s="25">
        <v>0</v>
      </c>
      <c r="J94" s="25" t="s">
        <v>1254</v>
      </c>
      <c r="K94" s="25" t="s">
        <v>3739</v>
      </c>
      <c r="L94" s="25"/>
      <c r="M94" s="25"/>
      <c r="N94" s="25" t="str">
        <f t="shared" si="1"/>
        <v>Passive(shale.passive.ex.bookmark.buff.06)</v>
      </c>
      <c r="O94" s="25">
        <v>0</v>
      </c>
      <c r="P94" s="25">
        <v>0</v>
      </c>
      <c r="Q94" s="25"/>
      <c r="R94" s="25" t="b">
        <v>1</v>
      </c>
    </row>
    <row r="95" spans="1:18" s="154" customFormat="1">
      <c r="A95" s="51" t="s">
        <v>3740</v>
      </c>
      <c r="B95" s="51" t="s">
        <v>1414</v>
      </c>
      <c r="C95" s="51" t="s">
        <v>7227</v>
      </c>
      <c r="D95" s="51">
        <v>0</v>
      </c>
      <c r="E95" s="51">
        <v>1</v>
      </c>
      <c r="F95" s="51" t="s">
        <v>197</v>
      </c>
      <c r="G95" s="51" t="s">
        <v>198</v>
      </c>
      <c r="H95" s="51"/>
      <c r="I95" s="51">
        <v>0</v>
      </c>
      <c r="J95" s="51" t="s">
        <v>838</v>
      </c>
      <c r="K95" s="51" t="s">
        <v>905</v>
      </c>
      <c r="L95" s="51">
        <v>180</v>
      </c>
      <c r="M95" s="51"/>
      <c r="N95" s="51" t="str">
        <f t="shared" si="1"/>
        <v>Status(DamageRate, 180)</v>
      </c>
      <c r="O95" s="51">
        <v>0</v>
      </c>
      <c r="P95" s="51">
        <v>0</v>
      </c>
      <c r="Q95" s="51"/>
      <c r="R95" s="51" t="b">
        <v>1</v>
      </c>
    </row>
    <row r="96" spans="1:18" s="154" customFormat="1">
      <c r="A96" s="51" t="s">
        <v>3741</v>
      </c>
      <c r="B96" s="51" t="s">
        <v>1414</v>
      </c>
      <c r="C96" s="51" t="s">
        <v>7227</v>
      </c>
      <c r="D96" s="51">
        <v>0</v>
      </c>
      <c r="E96" s="51">
        <v>1</v>
      </c>
      <c r="F96" s="51" t="s">
        <v>197</v>
      </c>
      <c r="G96" s="51" t="s">
        <v>198</v>
      </c>
      <c r="H96" s="51"/>
      <c r="I96" s="51">
        <v>0</v>
      </c>
      <c r="J96" s="51" t="s">
        <v>838</v>
      </c>
      <c r="K96" s="51" t="s">
        <v>905</v>
      </c>
      <c r="L96" s="51">
        <v>200</v>
      </c>
      <c r="M96" s="51"/>
      <c r="N96" s="51" t="str">
        <f t="shared" si="1"/>
        <v>Status(DamageRate, 200)</v>
      </c>
      <c r="O96" s="51">
        <v>0</v>
      </c>
      <c r="P96" s="51">
        <v>0</v>
      </c>
      <c r="Q96" s="51"/>
      <c r="R96" s="51" t="b">
        <v>1</v>
      </c>
    </row>
    <row r="97" spans="1:18" s="154" customFormat="1">
      <c r="A97" s="51" t="s">
        <v>3742</v>
      </c>
      <c r="B97" s="51" t="s">
        <v>1414</v>
      </c>
      <c r="C97" s="51" t="s">
        <v>7227</v>
      </c>
      <c r="D97" s="51">
        <v>0</v>
      </c>
      <c r="E97" s="51">
        <v>1</v>
      </c>
      <c r="F97" s="51" t="s">
        <v>197</v>
      </c>
      <c r="G97" s="51" t="s">
        <v>198</v>
      </c>
      <c r="H97" s="51"/>
      <c r="I97" s="51">
        <v>0</v>
      </c>
      <c r="J97" s="51" t="s">
        <v>838</v>
      </c>
      <c r="K97" s="51" t="s">
        <v>905</v>
      </c>
      <c r="L97" s="51">
        <v>220</v>
      </c>
      <c r="M97" s="51"/>
      <c r="N97" s="51" t="str">
        <f t="shared" si="1"/>
        <v>Status(DamageRate, 220)</v>
      </c>
      <c r="O97" s="51">
        <v>0</v>
      </c>
      <c r="P97" s="51">
        <v>0</v>
      </c>
      <c r="Q97" s="51"/>
      <c r="R97" s="51" t="b">
        <v>1</v>
      </c>
    </row>
    <row r="98" spans="1:18" s="154" customFormat="1">
      <c r="A98" s="51" t="s">
        <v>3743</v>
      </c>
      <c r="B98" s="51" t="s">
        <v>1414</v>
      </c>
      <c r="C98" s="51" t="s">
        <v>7227</v>
      </c>
      <c r="D98" s="51">
        <v>0</v>
      </c>
      <c r="E98" s="51">
        <v>1</v>
      </c>
      <c r="F98" s="51" t="s">
        <v>197</v>
      </c>
      <c r="G98" s="51" t="s">
        <v>198</v>
      </c>
      <c r="H98" s="51"/>
      <c r="I98" s="51">
        <v>0</v>
      </c>
      <c r="J98" s="51" t="s">
        <v>838</v>
      </c>
      <c r="K98" s="51" t="s">
        <v>905</v>
      </c>
      <c r="L98" s="51">
        <v>240</v>
      </c>
      <c r="M98" s="51"/>
      <c r="N98" s="51" t="str">
        <f t="shared" si="1"/>
        <v>Status(DamageRate, 240)</v>
      </c>
      <c r="O98" s="51">
        <v>0</v>
      </c>
      <c r="P98" s="51">
        <v>0</v>
      </c>
      <c r="Q98" s="51"/>
      <c r="R98" s="51" t="b">
        <v>1</v>
      </c>
    </row>
    <row r="99" spans="1:18" s="154" customFormat="1">
      <c r="A99" s="51" t="s">
        <v>3744</v>
      </c>
      <c r="B99" s="51" t="s">
        <v>1414</v>
      </c>
      <c r="C99" s="51" t="s">
        <v>7227</v>
      </c>
      <c r="D99" s="51">
        <v>0</v>
      </c>
      <c r="E99" s="51">
        <v>1</v>
      </c>
      <c r="F99" s="51" t="s">
        <v>197</v>
      </c>
      <c r="G99" s="51" t="s">
        <v>198</v>
      </c>
      <c r="H99" s="51"/>
      <c r="I99" s="51">
        <v>0</v>
      </c>
      <c r="J99" s="51" t="s">
        <v>838</v>
      </c>
      <c r="K99" s="51" t="s">
        <v>905</v>
      </c>
      <c r="L99" s="51">
        <v>240</v>
      </c>
      <c r="M99" s="51"/>
      <c r="N99" s="51" t="str">
        <f t="shared" si="1"/>
        <v>Status(DamageRate, 240)</v>
      </c>
      <c r="O99" s="51">
        <v>0</v>
      </c>
      <c r="P99" s="51">
        <v>0</v>
      </c>
      <c r="Q99" s="51"/>
      <c r="R99" s="51" t="b">
        <v>1</v>
      </c>
    </row>
    <row r="100" spans="1:18" s="154" customFormat="1">
      <c r="A100" s="51" t="s">
        <v>3745</v>
      </c>
      <c r="B100" s="51" t="s">
        <v>1414</v>
      </c>
      <c r="C100" s="51" t="s">
        <v>7227</v>
      </c>
      <c r="D100" s="51">
        <v>0</v>
      </c>
      <c r="E100" s="51">
        <v>1</v>
      </c>
      <c r="F100" s="51" t="s">
        <v>197</v>
      </c>
      <c r="G100" s="51" t="s">
        <v>198</v>
      </c>
      <c r="H100" s="51"/>
      <c r="I100" s="51">
        <v>0</v>
      </c>
      <c r="J100" s="51" t="s">
        <v>838</v>
      </c>
      <c r="K100" s="51" t="s">
        <v>905</v>
      </c>
      <c r="L100" s="51">
        <v>240</v>
      </c>
      <c r="M100" s="51"/>
      <c r="N100" s="51" t="str">
        <f t="shared" si="1"/>
        <v>Status(DamageRate, 240)</v>
      </c>
      <c r="O100" s="51">
        <v>0</v>
      </c>
      <c r="P100" s="51">
        <v>0</v>
      </c>
      <c r="Q100" s="51"/>
      <c r="R100" s="51" t="b">
        <v>1</v>
      </c>
    </row>
    <row r="101" spans="1:18" s="13" customFormat="1">
      <c r="A101" s="25" t="s">
        <v>2358</v>
      </c>
      <c r="B101" s="25"/>
      <c r="C101" s="25"/>
      <c r="D101" s="25">
        <v>0</v>
      </c>
      <c r="E101" s="25">
        <v>1</v>
      </c>
      <c r="F101" s="25" t="s">
        <v>197</v>
      </c>
      <c r="G101" s="25" t="s">
        <v>198</v>
      </c>
      <c r="H101" s="25"/>
      <c r="I101" s="25">
        <v>0</v>
      </c>
      <c r="J101" s="25" t="s">
        <v>992</v>
      </c>
      <c r="K101" s="25" t="s">
        <v>993</v>
      </c>
      <c r="L101" s="25">
        <v>25</v>
      </c>
      <c r="M101" s="25"/>
      <c r="N101" s="25" t="str">
        <f t="shared" si="1"/>
        <v>Hot(MaxHp, 25)</v>
      </c>
      <c r="O101" s="25">
        <v>0</v>
      </c>
      <c r="P101" s="25">
        <v>1000</v>
      </c>
      <c r="Q101" s="25"/>
      <c r="R101" s="25" t="b">
        <v>1</v>
      </c>
    </row>
    <row r="102" spans="1:18" s="13" customFormat="1">
      <c r="A102" s="25" t="s">
        <v>2359</v>
      </c>
      <c r="B102" s="25"/>
      <c r="C102" s="25"/>
      <c r="D102" s="25">
        <v>0</v>
      </c>
      <c r="E102" s="25">
        <v>1</v>
      </c>
      <c r="F102" s="25" t="s">
        <v>197</v>
      </c>
      <c r="G102" s="25" t="s">
        <v>198</v>
      </c>
      <c r="H102" s="25"/>
      <c r="I102" s="25">
        <v>0</v>
      </c>
      <c r="J102" s="25" t="s">
        <v>992</v>
      </c>
      <c r="K102" s="25" t="s">
        <v>993</v>
      </c>
      <c r="L102" s="25">
        <v>25</v>
      </c>
      <c r="M102" s="25"/>
      <c r="N102" s="25" t="str">
        <f t="shared" si="1"/>
        <v>Hot(MaxHp, 25)</v>
      </c>
      <c r="O102" s="25">
        <v>0</v>
      </c>
      <c r="P102" s="25">
        <v>1000</v>
      </c>
      <c r="Q102" s="25"/>
      <c r="R102" s="25" t="b">
        <v>1</v>
      </c>
    </row>
    <row r="103" spans="1:18" s="13" customFormat="1">
      <c r="A103" s="25" t="s">
        <v>2360</v>
      </c>
      <c r="B103" s="25"/>
      <c r="C103" s="25"/>
      <c r="D103" s="25">
        <v>0</v>
      </c>
      <c r="E103" s="25">
        <v>1</v>
      </c>
      <c r="F103" s="25" t="s">
        <v>197</v>
      </c>
      <c r="G103" s="25" t="s">
        <v>198</v>
      </c>
      <c r="H103" s="25"/>
      <c r="I103" s="25">
        <v>0</v>
      </c>
      <c r="J103" s="25" t="s">
        <v>992</v>
      </c>
      <c r="K103" s="25" t="s">
        <v>993</v>
      </c>
      <c r="L103" s="25">
        <v>30</v>
      </c>
      <c r="M103" s="25"/>
      <c r="N103" s="25" t="str">
        <f t="shared" si="1"/>
        <v>Hot(MaxHp, 30)</v>
      </c>
      <c r="O103" s="25">
        <v>0</v>
      </c>
      <c r="P103" s="25">
        <v>1000</v>
      </c>
      <c r="Q103" s="25"/>
      <c r="R103" s="25" t="b">
        <v>1</v>
      </c>
    </row>
    <row r="104" spans="1:18" s="13" customFormat="1">
      <c r="A104" s="34" t="s">
        <v>2361</v>
      </c>
      <c r="B104" s="34"/>
      <c r="C104" s="34"/>
      <c r="D104" s="34">
        <v>0</v>
      </c>
      <c r="E104" s="34">
        <v>1</v>
      </c>
      <c r="F104" s="34" t="s">
        <v>197</v>
      </c>
      <c r="G104" s="34" t="s">
        <v>198</v>
      </c>
      <c r="H104" s="34"/>
      <c r="I104" s="34">
        <v>0</v>
      </c>
      <c r="J104" s="34" t="s">
        <v>992</v>
      </c>
      <c r="K104" s="34" t="s">
        <v>993</v>
      </c>
      <c r="L104" s="34">
        <v>30</v>
      </c>
      <c r="M104" s="34"/>
      <c r="N104" s="34" t="str">
        <f t="shared" si="1"/>
        <v>Hot(MaxHp, 30)</v>
      </c>
      <c r="O104" s="34">
        <v>0</v>
      </c>
      <c r="P104" s="34">
        <v>1000</v>
      </c>
      <c r="Q104" s="34"/>
      <c r="R104" s="34" t="b">
        <v>1</v>
      </c>
    </row>
    <row r="105" spans="1:18" s="13" customFormat="1">
      <c r="A105" s="34" t="s">
        <v>2603</v>
      </c>
      <c r="B105" s="34"/>
      <c r="C105" s="34"/>
      <c r="D105" s="34">
        <v>0</v>
      </c>
      <c r="E105" s="34">
        <v>1</v>
      </c>
      <c r="F105" s="34" t="s">
        <v>197</v>
      </c>
      <c r="G105" s="34" t="s">
        <v>198</v>
      </c>
      <c r="H105" s="34"/>
      <c r="I105" s="34">
        <v>0</v>
      </c>
      <c r="J105" s="34" t="s">
        <v>992</v>
      </c>
      <c r="K105" s="34" t="s">
        <v>993</v>
      </c>
      <c r="L105" s="34">
        <v>35</v>
      </c>
      <c r="M105" s="34"/>
      <c r="N105" s="34" t="str">
        <f t="shared" si="1"/>
        <v>Hot(MaxHp, 35)</v>
      </c>
      <c r="O105" s="34">
        <v>0</v>
      </c>
      <c r="P105" s="34">
        <v>1000</v>
      </c>
      <c r="Q105" s="34"/>
      <c r="R105" s="34" t="b">
        <v>1</v>
      </c>
    </row>
    <row r="106" spans="1:18" s="13" customFormat="1">
      <c r="A106" s="34" t="s">
        <v>2604</v>
      </c>
      <c r="B106" s="34"/>
      <c r="C106" s="34"/>
      <c r="D106" s="34">
        <v>0</v>
      </c>
      <c r="E106" s="34">
        <v>1</v>
      </c>
      <c r="F106" s="34" t="s">
        <v>197</v>
      </c>
      <c r="G106" s="34" t="s">
        <v>198</v>
      </c>
      <c r="H106" s="34"/>
      <c r="I106" s="34">
        <v>0</v>
      </c>
      <c r="J106" s="34" t="s">
        <v>992</v>
      </c>
      <c r="K106" s="34" t="s">
        <v>993</v>
      </c>
      <c r="L106" s="34">
        <v>35</v>
      </c>
      <c r="M106" s="34"/>
      <c r="N106" s="34" t="str">
        <f t="shared" si="1"/>
        <v>Hot(MaxHp, 35)</v>
      </c>
      <c r="O106" s="34">
        <v>0</v>
      </c>
      <c r="P106" s="34">
        <v>1000</v>
      </c>
      <c r="Q106" s="34"/>
      <c r="R106" s="34" t="b">
        <v>1</v>
      </c>
    </row>
    <row r="107" spans="1:18">
      <c r="A107" s="34" t="s">
        <v>2605</v>
      </c>
      <c r="B107" s="34"/>
      <c r="C107" s="34"/>
      <c r="D107" s="34">
        <v>0</v>
      </c>
      <c r="E107" s="34">
        <v>1</v>
      </c>
      <c r="F107" s="34" t="s">
        <v>197</v>
      </c>
      <c r="G107" s="34" t="s">
        <v>198</v>
      </c>
      <c r="H107" s="34"/>
      <c r="I107" s="34">
        <v>0</v>
      </c>
      <c r="J107" s="34" t="s">
        <v>992</v>
      </c>
      <c r="K107" s="34" t="s">
        <v>993</v>
      </c>
      <c r="L107" s="34">
        <v>35</v>
      </c>
      <c r="M107" s="34"/>
      <c r="N107" s="34" t="str">
        <f t="shared" si="1"/>
        <v>Hot(MaxHp, 35)</v>
      </c>
      <c r="O107" s="34">
        <v>0</v>
      </c>
      <c r="P107" s="34">
        <v>1000</v>
      </c>
      <c r="Q107" s="34"/>
      <c r="R107" s="34" t="b">
        <v>1</v>
      </c>
    </row>
    <row r="108" spans="1:18">
      <c r="A108" s="24" t="s">
        <v>3284</v>
      </c>
      <c r="B108" s="24"/>
      <c r="C108" s="24"/>
      <c r="D108" s="24">
        <v>0</v>
      </c>
      <c r="E108" s="24">
        <v>1</v>
      </c>
      <c r="F108" s="24" t="s">
        <v>197</v>
      </c>
      <c r="G108" s="24" t="s">
        <v>198</v>
      </c>
      <c r="H108" s="24"/>
      <c r="I108" s="24">
        <v>0</v>
      </c>
      <c r="J108" s="24" t="s">
        <v>992</v>
      </c>
      <c r="K108" s="24" t="s">
        <v>993</v>
      </c>
      <c r="L108" s="24">
        <v>25</v>
      </c>
      <c r="M108" s="24"/>
      <c r="N108" s="24" t="str">
        <f t="shared" si="1"/>
        <v>Hot(MaxHp, 25)</v>
      </c>
      <c r="O108" s="24">
        <v>0</v>
      </c>
      <c r="P108" s="24">
        <v>1000</v>
      </c>
      <c r="Q108" s="24"/>
      <c r="R108" s="24" t="b">
        <v>1</v>
      </c>
    </row>
    <row r="109" spans="1:18">
      <c r="A109" s="24" t="s">
        <v>3286</v>
      </c>
      <c r="B109" s="24"/>
      <c r="C109" s="24"/>
      <c r="D109" s="24">
        <v>0</v>
      </c>
      <c r="E109" s="24">
        <v>1</v>
      </c>
      <c r="F109" s="24" t="s">
        <v>197</v>
      </c>
      <c r="G109" s="24" t="s">
        <v>198</v>
      </c>
      <c r="H109" s="24"/>
      <c r="I109" s="24">
        <v>0</v>
      </c>
      <c r="J109" s="24" t="s">
        <v>992</v>
      </c>
      <c r="K109" s="24" t="s">
        <v>993</v>
      </c>
      <c r="L109" s="24">
        <v>25</v>
      </c>
      <c r="M109" s="24"/>
      <c r="N109" s="24" t="str">
        <f t="shared" si="1"/>
        <v>Hot(MaxHp, 25)</v>
      </c>
      <c r="O109" s="24">
        <v>0</v>
      </c>
      <c r="P109" s="24">
        <v>1000</v>
      </c>
      <c r="Q109" s="24"/>
      <c r="R109" s="24" t="b">
        <v>1</v>
      </c>
    </row>
    <row r="110" spans="1:18">
      <c r="A110" s="24" t="s">
        <v>3288</v>
      </c>
      <c r="B110" s="24"/>
      <c r="C110" s="24"/>
      <c r="D110" s="24">
        <v>0</v>
      </c>
      <c r="E110" s="24">
        <v>1</v>
      </c>
      <c r="F110" s="24" t="s">
        <v>197</v>
      </c>
      <c r="G110" s="24" t="s">
        <v>198</v>
      </c>
      <c r="H110" s="24"/>
      <c r="I110" s="24">
        <v>0</v>
      </c>
      <c r="J110" s="24" t="s">
        <v>992</v>
      </c>
      <c r="K110" s="24" t="s">
        <v>993</v>
      </c>
      <c r="L110" s="24">
        <v>30</v>
      </c>
      <c r="M110" s="24"/>
      <c r="N110" s="24" t="str">
        <f t="shared" si="1"/>
        <v>Hot(MaxHp, 30)</v>
      </c>
      <c r="O110" s="24">
        <v>0</v>
      </c>
      <c r="P110" s="24">
        <v>1000</v>
      </c>
      <c r="Q110" s="24"/>
      <c r="R110" s="24" t="b">
        <v>1</v>
      </c>
    </row>
    <row r="111" spans="1:18">
      <c r="A111" s="24" t="s">
        <v>3290</v>
      </c>
      <c r="B111" s="24"/>
      <c r="C111" s="24"/>
      <c r="D111" s="24">
        <v>0</v>
      </c>
      <c r="E111" s="24">
        <v>1</v>
      </c>
      <c r="F111" s="24" t="s">
        <v>197</v>
      </c>
      <c r="G111" s="24" t="s">
        <v>198</v>
      </c>
      <c r="H111" s="24"/>
      <c r="I111" s="24">
        <v>0</v>
      </c>
      <c r="J111" s="24" t="s">
        <v>992</v>
      </c>
      <c r="K111" s="24" t="s">
        <v>993</v>
      </c>
      <c r="L111" s="24">
        <v>30</v>
      </c>
      <c r="M111" s="24"/>
      <c r="N111" s="24" t="str">
        <f t="shared" si="1"/>
        <v>Hot(MaxHp, 30)</v>
      </c>
      <c r="O111" s="24">
        <v>0</v>
      </c>
      <c r="P111" s="24">
        <v>1000</v>
      </c>
      <c r="Q111" s="24"/>
      <c r="R111" s="24" t="b">
        <v>1</v>
      </c>
    </row>
    <row r="112" spans="1:18">
      <c r="A112" s="34" t="s">
        <v>3292</v>
      </c>
      <c r="B112" s="34"/>
      <c r="C112" s="34"/>
      <c r="D112" s="34">
        <v>0</v>
      </c>
      <c r="E112" s="34">
        <v>1</v>
      </c>
      <c r="F112" s="34" t="s">
        <v>197</v>
      </c>
      <c r="G112" s="34" t="s">
        <v>198</v>
      </c>
      <c r="H112" s="34"/>
      <c r="I112" s="34">
        <v>0</v>
      </c>
      <c r="J112" s="34" t="s">
        <v>992</v>
      </c>
      <c r="K112" s="34" t="s">
        <v>993</v>
      </c>
      <c r="L112" s="34">
        <v>35</v>
      </c>
      <c r="M112" s="34"/>
      <c r="N112" s="34" t="str">
        <f t="shared" si="1"/>
        <v>Hot(MaxHp, 35)</v>
      </c>
      <c r="O112" s="34">
        <v>0</v>
      </c>
      <c r="P112" s="34">
        <v>1000</v>
      </c>
      <c r="Q112" s="34"/>
      <c r="R112" s="34" t="b">
        <v>1</v>
      </c>
    </row>
    <row r="113" spans="1:18">
      <c r="A113" s="34" t="s">
        <v>3294</v>
      </c>
      <c r="B113" s="34"/>
      <c r="C113" s="34"/>
      <c r="D113" s="34">
        <v>0</v>
      </c>
      <c r="E113" s="34">
        <v>1</v>
      </c>
      <c r="F113" s="34" t="s">
        <v>197</v>
      </c>
      <c r="G113" s="34" t="s">
        <v>198</v>
      </c>
      <c r="H113" s="34"/>
      <c r="I113" s="34">
        <v>0</v>
      </c>
      <c r="J113" s="34" t="s">
        <v>992</v>
      </c>
      <c r="K113" s="34" t="s">
        <v>993</v>
      </c>
      <c r="L113" s="34">
        <v>35</v>
      </c>
      <c r="M113" s="34"/>
      <c r="N113" s="34" t="str">
        <f t="shared" si="1"/>
        <v>Hot(MaxHp, 35)</v>
      </c>
      <c r="O113" s="34">
        <v>0</v>
      </c>
      <c r="P113" s="34">
        <v>1000</v>
      </c>
      <c r="Q113" s="34"/>
      <c r="R113" s="34" t="b">
        <v>1</v>
      </c>
    </row>
    <row r="114" spans="1:18">
      <c r="A114" s="34" t="s">
        <v>3296</v>
      </c>
      <c r="B114" s="34"/>
      <c r="C114" s="34"/>
      <c r="D114" s="34">
        <v>0</v>
      </c>
      <c r="E114" s="34">
        <v>1</v>
      </c>
      <c r="F114" s="34" t="s">
        <v>197</v>
      </c>
      <c r="G114" s="34" t="s">
        <v>198</v>
      </c>
      <c r="H114" s="34"/>
      <c r="I114" s="34">
        <v>0</v>
      </c>
      <c r="J114" s="34" t="s">
        <v>992</v>
      </c>
      <c r="K114" s="34" t="s">
        <v>993</v>
      </c>
      <c r="L114" s="34">
        <v>35</v>
      </c>
      <c r="M114" s="34"/>
      <c r="N114" s="34" t="str">
        <f t="shared" si="1"/>
        <v>Hot(MaxHp, 35)</v>
      </c>
      <c r="O114" s="34">
        <v>0</v>
      </c>
      <c r="P114" s="34">
        <v>1000</v>
      </c>
      <c r="Q114" s="34"/>
      <c r="R114" s="34" t="b">
        <v>1</v>
      </c>
    </row>
    <row r="115" spans="1:18">
      <c r="A115" s="24" t="s">
        <v>3168</v>
      </c>
      <c r="B115" s="24"/>
      <c r="C115" s="24"/>
      <c r="D115" s="24">
        <v>0</v>
      </c>
      <c r="E115" s="24">
        <v>1</v>
      </c>
      <c r="F115" s="24" t="s">
        <v>197</v>
      </c>
      <c r="G115" s="24" t="s">
        <v>198</v>
      </c>
      <c r="H115" s="24"/>
      <c r="I115" s="24">
        <v>0</v>
      </c>
      <c r="J115" s="24" t="s">
        <v>242</v>
      </c>
      <c r="K115" s="24"/>
      <c r="L115" s="24"/>
      <c r="M115" s="24"/>
      <c r="N115" s="24" t="str">
        <f t="shared" si="1"/>
        <v>Invincible()</v>
      </c>
      <c r="O115" s="24">
        <v>0</v>
      </c>
      <c r="P115" s="24">
        <v>1000</v>
      </c>
      <c r="Q115" s="24"/>
      <c r="R115" s="24" t="b">
        <v>1</v>
      </c>
    </row>
    <row r="116" spans="1:18">
      <c r="A116" s="24" t="s">
        <v>3169</v>
      </c>
      <c r="B116" s="24"/>
      <c r="C116" s="24"/>
      <c r="D116" s="24">
        <v>0</v>
      </c>
      <c r="E116" s="24">
        <v>1</v>
      </c>
      <c r="F116" s="24" t="s">
        <v>197</v>
      </c>
      <c r="G116" s="24" t="s">
        <v>198</v>
      </c>
      <c r="H116" s="24"/>
      <c r="I116" s="24">
        <v>0</v>
      </c>
      <c r="J116" s="24" t="s">
        <v>242</v>
      </c>
      <c r="K116" s="24"/>
      <c r="L116" s="24"/>
      <c r="M116" s="24"/>
      <c r="N116" s="24" t="str">
        <f t="shared" si="1"/>
        <v>Invincible()</v>
      </c>
      <c r="O116" s="24">
        <v>0</v>
      </c>
      <c r="P116" s="24">
        <v>1000</v>
      </c>
      <c r="Q116" s="24"/>
      <c r="R116" s="24" t="b">
        <v>1</v>
      </c>
    </row>
    <row r="117" spans="1:18">
      <c r="A117" s="24" t="s">
        <v>3170</v>
      </c>
      <c r="B117" s="24"/>
      <c r="C117" s="24"/>
      <c r="D117" s="24">
        <v>0</v>
      </c>
      <c r="E117" s="24">
        <v>1</v>
      </c>
      <c r="F117" s="24" t="s">
        <v>197</v>
      </c>
      <c r="G117" s="24" t="s">
        <v>198</v>
      </c>
      <c r="H117" s="24"/>
      <c r="I117" s="24">
        <v>0</v>
      </c>
      <c r="J117" s="24" t="s">
        <v>242</v>
      </c>
      <c r="K117" s="24"/>
      <c r="L117" s="24"/>
      <c r="M117" s="24"/>
      <c r="N117" s="24" t="str">
        <f t="shared" si="1"/>
        <v>Invincible()</v>
      </c>
      <c r="O117" s="24">
        <v>0</v>
      </c>
      <c r="P117" s="24">
        <v>1000</v>
      </c>
      <c r="Q117" s="24"/>
      <c r="R117" s="24" t="b">
        <v>1</v>
      </c>
    </row>
    <row r="118" spans="1:18">
      <c r="A118" s="24" t="s">
        <v>3171</v>
      </c>
      <c r="B118" s="24"/>
      <c r="C118" s="24"/>
      <c r="D118" s="24">
        <v>0</v>
      </c>
      <c r="E118" s="24">
        <v>1</v>
      </c>
      <c r="F118" s="24" t="s">
        <v>197</v>
      </c>
      <c r="G118" s="24" t="s">
        <v>198</v>
      </c>
      <c r="H118" s="24"/>
      <c r="I118" s="24">
        <v>0</v>
      </c>
      <c r="J118" s="24" t="s">
        <v>242</v>
      </c>
      <c r="K118" s="24"/>
      <c r="L118" s="24"/>
      <c r="M118" s="24"/>
      <c r="N118" s="24" t="str">
        <f t="shared" si="1"/>
        <v>Invincible()</v>
      </c>
      <c r="O118" s="24">
        <v>0</v>
      </c>
      <c r="P118" s="24">
        <v>1000</v>
      </c>
      <c r="Q118" s="24"/>
      <c r="R118" s="24" t="b">
        <v>1</v>
      </c>
    </row>
    <row r="119" spans="1:18">
      <c r="A119" s="34" t="s">
        <v>3172</v>
      </c>
      <c r="B119" s="34"/>
      <c r="C119" s="34"/>
      <c r="D119" s="34">
        <v>0</v>
      </c>
      <c r="E119" s="34">
        <v>1</v>
      </c>
      <c r="F119" s="34" t="s">
        <v>197</v>
      </c>
      <c r="G119" s="34" t="s">
        <v>198</v>
      </c>
      <c r="H119" s="34"/>
      <c r="I119" s="34">
        <v>0</v>
      </c>
      <c r="J119" s="34" t="s">
        <v>242</v>
      </c>
      <c r="K119" s="34"/>
      <c r="L119" s="34"/>
      <c r="M119" s="34"/>
      <c r="N119" s="34" t="str">
        <f t="shared" si="1"/>
        <v>Invincible()</v>
      </c>
      <c r="O119" s="34">
        <v>0</v>
      </c>
      <c r="P119" s="34">
        <v>1000</v>
      </c>
      <c r="Q119" s="34"/>
      <c r="R119" s="34" t="b">
        <v>1</v>
      </c>
    </row>
    <row r="120" spans="1:18">
      <c r="A120" s="34" t="s">
        <v>3173</v>
      </c>
      <c r="B120" s="34"/>
      <c r="C120" s="34"/>
      <c r="D120" s="34">
        <v>0</v>
      </c>
      <c r="E120" s="34">
        <v>1</v>
      </c>
      <c r="F120" s="34" t="s">
        <v>197</v>
      </c>
      <c r="G120" s="34" t="s">
        <v>198</v>
      </c>
      <c r="H120" s="34"/>
      <c r="I120" s="34">
        <v>0</v>
      </c>
      <c r="J120" s="34" t="s">
        <v>242</v>
      </c>
      <c r="K120" s="34"/>
      <c r="L120" s="34"/>
      <c r="M120" s="34"/>
      <c r="N120" s="34" t="str">
        <f t="shared" si="1"/>
        <v>Invincible()</v>
      </c>
      <c r="O120" s="34">
        <v>0</v>
      </c>
      <c r="P120" s="34">
        <v>1000</v>
      </c>
      <c r="Q120" s="34"/>
      <c r="R120" s="34" t="b">
        <v>1</v>
      </c>
    </row>
    <row r="121" spans="1:18">
      <c r="A121" s="34" t="s">
        <v>3174</v>
      </c>
      <c r="B121" s="34"/>
      <c r="C121" s="34"/>
      <c r="D121" s="34">
        <v>0</v>
      </c>
      <c r="E121" s="34">
        <v>1</v>
      </c>
      <c r="F121" s="34" t="s">
        <v>197</v>
      </c>
      <c r="G121" s="34" t="s">
        <v>198</v>
      </c>
      <c r="H121" s="34"/>
      <c r="I121" s="34">
        <v>0</v>
      </c>
      <c r="J121" s="34" t="s">
        <v>242</v>
      </c>
      <c r="K121" s="34"/>
      <c r="L121" s="34"/>
      <c r="M121" s="34"/>
      <c r="N121" s="34" t="str">
        <f t="shared" si="1"/>
        <v>Invincible()</v>
      </c>
      <c r="O121" s="34">
        <v>0</v>
      </c>
      <c r="P121" s="34">
        <v>1000</v>
      </c>
      <c r="Q121" s="34"/>
      <c r="R121" s="34" t="b">
        <v>1</v>
      </c>
    </row>
    <row r="122" spans="1:18">
      <c r="A122" s="24" t="s">
        <v>2362</v>
      </c>
      <c r="B122" s="24"/>
      <c r="C122" s="24"/>
      <c r="D122" s="24">
        <v>0</v>
      </c>
      <c r="E122" s="24">
        <v>1</v>
      </c>
      <c r="F122" s="24" t="s">
        <v>197</v>
      </c>
      <c r="G122" s="24" t="s">
        <v>198</v>
      </c>
      <c r="H122" s="24"/>
      <c r="I122" s="24">
        <v>0</v>
      </c>
      <c r="J122" s="24" t="s">
        <v>889</v>
      </c>
      <c r="K122" s="24" t="s">
        <v>993</v>
      </c>
      <c r="L122" s="24">
        <v>38</v>
      </c>
      <c r="M122" s="24"/>
      <c r="N122" s="24" t="str">
        <f t="shared" si="1"/>
        <v>Shield(MaxHp, 38)</v>
      </c>
      <c r="O122" s="24">
        <v>0</v>
      </c>
      <c r="P122" s="24">
        <v>0</v>
      </c>
      <c r="Q122" s="24"/>
      <c r="R122" s="24" t="b">
        <v>1</v>
      </c>
    </row>
    <row r="123" spans="1:18">
      <c r="A123" s="24" t="s">
        <v>2363</v>
      </c>
      <c r="B123" s="24"/>
      <c r="C123" s="24"/>
      <c r="D123" s="24">
        <v>0</v>
      </c>
      <c r="E123" s="24">
        <v>1</v>
      </c>
      <c r="F123" s="24" t="s">
        <v>197</v>
      </c>
      <c r="G123" s="24" t="s">
        <v>198</v>
      </c>
      <c r="H123" s="24"/>
      <c r="I123" s="24">
        <v>0</v>
      </c>
      <c r="J123" s="24" t="s">
        <v>889</v>
      </c>
      <c r="K123" s="24" t="s">
        <v>993</v>
      </c>
      <c r="L123" s="24">
        <v>40</v>
      </c>
      <c r="M123" s="24"/>
      <c r="N123" s="24" t="str">
        <f t="shared" si="1"/>
        <v>Shield(MaxHp, 40)</v>
      </c>
      <c r="O123" s="24">
        <v>0</v>
      </c>
      <c r="P123" s="24">
        <v>0</v>
      </c>
      <c r="Q123" s="24"/>
      <c r="R123" s="24" t="b">
        <v>1</v>
      </c>
    </row>
    <row r="124" spans="1:18">
      <c r="A124" s="24" t="s">
        <v>2364</v>
      </c>
      <c r="B124" s="24"/>
      <c r="C124" s="24"/>
      <c r="D124" s="24">
        <v>0</v>
      </c>
      <c r="E124" s="24">
        <v>1</v>
      </c>
      <c r="F124" s="24" t="s">
        <v>197</v>
      </c>
      <c r="G124" s="24" t="s">
        <v>198</v>
      </c>
      <c r="H124" s="24"/>
      <c r="I124" s="24">
        <v>0</v>
      </c>
      <c r="J124" s="24" t="s">
        <v>889</v>
      </c>
      <c r="K124" s="24" t="s">
        <v>993</v>
      </c>
      <c r="L124" s="24">
        <v>44</v>
      </c>
      <c r="M124" s="24"/>
      <c r="N124" s="24" t="str">
        <f t="shared" si="1"/>
        <v>Shield(MaxHp, 44)</v>
      </c>
      <c r="O124" s="24">
        <v>0</v>
      </c>
      <c r="P124" s="24">
        <v>0</v>
      </c>
      <c r="Q124" s="24"/>
      <c r="R124" s="24" t="b">
        <v>1</v>
      </c>
    </row>
    <row r="125" spans="1:18">
      <c r="A125" s="24" t="s">
        <v>2365</v>
      </c>
      <c r="B125" s="24"/>
      <c r="C125" s="24"/>
      <c r="D125" s="24">
        <v>0</v>
      </c>
      <c r="E125" s="24">
        <v>1</v>
      </c>
      <c r="F125" s="24" t="s">
        <v>197</v>
      </c>
      <c r="G125" s="24" t="s">
        <v>198</v>
      </c>
      <c r="H125" s="24"/>
      <c r="I125" s="24">
        <v>0</v>
      </c>
      <c r="J125" s="24" t="s">
        <v>889</v>
      </c>
      <c r="K125" s="24" t="s">
        <v>993</v>
      </c>
      <c r="L125" s="24">
        <v>50</v>
      </c>
      <c r="M125" s="24"/>
      <c r="N125" s="24" t="str">
        <f t="shared" si="1"/>
        <v>Shield(MaxHp, 50)</v>
      </c>
      <c r="O125" s="24">
        <v>0</v>
      </c>
      <c r="P125" s="24">
        <v>0</v>
      </c>
      <c r="Q125" s="24"/>
      <c r="R125" s="24" t="b">
        <v>1</v>
      </c>
    </row>
    <row r="126" spans="1:18">
      <c r="A126" s="34" t="s">
        <v>2610</v>
      </c>
      <c r="B126" s="34"/>
      <c r="C126" s="34"/>
      <c r="D126" s="34">
        <v>0</v>
      </c>
      <c r="E126" s="34">
        <v>1</v>
      </c>
      <c r="F126" s="34" t="s">
        <v>197</v>
      </c>
      <c r="G126" s="34" t="s">
        <v>198</v>
      </c>
      <c r="H126" s="34"/>
      <c r="I126" s="34">
        <v>0</v>
      </c>
      <c r="J126" s="34" t="s">
        <v>889</v>
      </c>
      <c r="K126" s="34" t="s">
        <v>993</v>
      </c>
      <c r="L126" s="34">
        <v>60</v>
      </c>
      <c r="M126" s="34"/>
      <c r="N126" s="34" t="str">
        <f t="shared" si="1"/>
        <v>Shield(MaxHp, 60)</v>
      </c>
      <c r="O126" s="34">
        <v>0</v>
      </c>
      <c r="P126" s="34">
        <v>0</v>
      </c>
      <c r="Q126" s="34"/>
      <c r="R126" s="34" t="b">
        <v>1</v>
      </c>
    </row>
    <row r="127" spans="1:18">
      <c r="A127" s="34" t="s">
        <v>2611</v>
      </c>
      <c r="B127" s="34"/>
      <c r="C127" s="34"/>
      <c r="D127" s="34">
        <v>0</v>
      </c>
      <c r="E127" s="34">
        <v>1</v>
      </c>
      <c r="F127" s="34" t="s">
        <v>197</v>
      </c>
      <c r="G127" s="34" t="s">
        <v>198</v>
      </c>
      <c r="H127" s="34"/>
      <c r="I127" s="34">
        <v>0</v>
      </c>
      <c r="J127" s="34" t="s">
        <v>889</v>
      </c>
      <c r="K127" s="34" t="s">
        <v>993</v>
      </c>
      <c r="L127" s="34">
        <v>60</v>
      </c>
      <c r="M127" s="34"/>
      <c r="N127" s="34" t="str">
        <f t="shared" si="1"/>
        <v>Shield(MaxHp, 60)</v>
      </c>
      <c r="O127" s="34">
        <v>0</v>
      </c>
      <c r="P127" s="34">
        <v>0</v>
      </c>
      <c r="Q127" s="34"/>
      <c r="R127" s="34" t="b">
        <v>1</v>
      </c>
    </row>
    <row r="128" spans="1:18">
      <c r="A128" s="23" t="s">
        <v>792</v>
      </c>
      <c r="B128" s="23"/>
      <c r="C128" s="23"/>
      <c r="D128" s="23">
        <v>0</v>
      </c>
      <c r="E128" s="23">
        <v>1</v>
      </c>
      <c r="F128" s="23" t="s">
        <v>417</v>
      </c>
      <c r="G128" s="23" t="s">
        <v>418</v>
      </c>
      <c r="H128" s="23"/>
      <c r="I128" s="23">
        <v>0</v>
      </c>
      <c r="J128" s="23" t="s">
        <v>1254</v>
      </c>
      <c r="K128" s="23" t="s">
        <v>1277</v>
      </c>
      <c r="L128" s="23"/>
      <c r="M128" s="23"/>
      <c r="N128" s="23" t="str">
        <f t="shared" si="1"/>
        <v>Passive(rayhou.passive.defup.buff.01)</v>
      </c>
      <c r="O128" s="23">
        <v>0</v>
      </c>
      <c r="P128" s="23">
        <v>0</v>
      </c>
      <c r="Q128" s="23"/>
      <c r="R128" s="23" t="b">
        <v>1</v>
      </c>
    </row>
    <row r="129" spans="1:18">
      <c r="A129" s="23" t="s">
        <v>794</v>
      </c>
      <c r="B129" s="23"/>
      <c r="C129" s="23"/>
      <c r="D129" s="23">
        <v>0</v>
      </c>
      <c r="E129" s="23">
        <v>1</v>
      </c>
      <c r="F129" s="23" t="s">
        <v>417</v>
      </c>
      <c r="G129" s="23" t="s">
        <v>418</v>
      </c>
      <c r="H129" s="23"/>
      <c r="I129" s="23">
        <v>0</v>
      </c>
      <c r="J129" s="23" t="s">
        <v>1254</v>
      </c>
      <c r="K129" s="23" t="s">
        <v>1278</v>
      </c>
      <c r="L129" s="23"/>
      <c r="M129" s="23"/>
      <c r="N129" s="23" t="str">
        <f t="shared" si="1"/>
        <v>Passive(rayhou.passive.defup.buff.02)</v>
      </c>
      <c r="O129" s="23">
        <v>0</v>
      </c>
      <c r="P129" s="23">
        <v>0</v>
      </c>
      <c r="Q129" s="23"/>
      <c r="R129" s="23" t="b">
        <v>1</v>
      </c>
    </row>
    <row r="130" spans="1:18">
      <c r="A130" s="23" t="s">
        <v>796</v>
      </c>
      <c r="B130" s="23"/>
      <c r="C130" s="23"/>
      <c r="D130" s="23">
        <v>0</v>
      </c>
      <c r="E130" s="23">
        <v>1</v>
      </c>
      <c r="F130" s="23" t="s">
        <v>417</v>
      </c>
      <c r="G130" s="23" t="s">
        <v>418</v>
      </c>
      <c r="H130" s="23"/>
      <c r="I130" s="23">
        <v>0</v>
      </c>
      <c r="J130" s="23" t="s">
        <v>1254</v>
      </c>
      <c r="K130" s="23" t="s">
        <v>1279</v>
      </c>
      <c r="L130" s="23"/>
      <c r="M130" s="23"/>
      <c r="N130" s="23" t="str">
        <f t="shared" si="1"/>
        <v>Passive(rayhou.passive.defup.buff.03)</v>
      </c>
      <c r="O130" s="23">
        <v>0</v>
      </c>
      <c r="P130" s="23">
        <v>0</v>
      </c>
      <c r="Q130" s="23"/>
      <c r="R130" s="23" t="b">
        <v>1</v>
      </c>
    </row>
    <row r="131" spans="1:18">
      <c r="A131" s="34" t="s">
        <v>798</v>
      </c>
      <c r="B131" s="34"/>
      <c r="C131" s="34"/>
      <c r="D131" s="34">
        <v>0</v>
      </c>
      <c r="E131" s="34">
        <v>1</v>
      </c>
      <c r="F131" s="34" t="s">
        <v>417</v>
      </c>
      <c r="G131" s="34" t="s">
        <v>418</v>
      </c>
      <c r="H131" s="34"/>
      <c r="I131" s="34">
        <v>0</v>
      </c>
      <c r="J131" s="34" t="s">
        <v>1254</v>
      </c>
      <c r="K131" s="34" t="s">
        <v>1280</v>
      </c>
      <c r="L131" s="34"/>
      <c r="M131" s="34"/>
      <c r="N131" s="34" t="str">
        <f t="shared" si="1"/>
        <v>Passive(rayhou.passive.defup.buff.04)</v>
      </c>
      <c r="O131" s="34">
        <v>0</v>
      </c>
      <c r="P131" s="34">
        <v>0</v>
      </c>
      <c r="Q131" s="34"/>
      <c r="R131" s="34" t="b">
        <v>1</v>
      </c>
    </row>
    <row r="132" spans="1:18">
      <c r="A132" s="34" t="s">
        <v>800</v>
      </c>
      <c r="B132" s="34"/>
      <c r="C132" s="34"/>
      <c r="D132" s="34">
        <v>0</v>
      </c>
      <c r="E132" s="34">
        <v>1</v>
      </c>
      <c r="F132" s="34" t="s">
        <v>417</v>
      </c>
      <c r="G132" s="34" t="s">
        <v>418</v>
      </c>
      <c r="H132" s="34"/>
      <c r="I132" s="34">
        <v>0</v>
      </c>
      <c r="J132" s="34" t="s">
        <v>1254</v>
      </c>
      <c r="K132" s="34" t="s">
        <v>1281</v>
      </c>
      <c r="L132" s="34"/>
      <c r="M132" s="34"/>
      <c r="N132" s="34" t="str">
        <f t="shared" si="1"/>
        <v>Passive(rayhou.passive.defup.buff.05)</v>
      </c>
      <c r="O132" s="34">
        <v>0</v>
      </c>
      <c r="P132" s="34">
        <v>0</v>
      </c>
      <c r="Q132" s="34"/>
      <c r="R132" s="34" t="b">
        <v>1</v>
      </c>
    </row>
    <row r="133" spans="1:18">
      <c r="A133" s="34" t="s">
        <v>802</v>
      </c>
      <c r="B133" s="34"/>
      <c r="C133" s="34"/>
      <c r="D133" s="34">
        <v>0</v>
      </c>
      <c r="E133" s="34">
        <v>1</v>
      </c>
      <c r="F133" s="34" t="s">
        <v>417</v>
      </c>
      <c r="G133" s="34" t="s">
        <v>418</v>
      </c>
      <c r="H133" s="34"/>
      <c r="I133" s="34">
        <v>0</v>
      </c>
      <c r="J133" s="34" t="s">
        <v>1254</v>
      </c>
      <c r="K133" s="34" t="s">
        <v>1282</v>
      </c>
      <c r="L133" s="34"/>
      <c r="M133" s="34"/>
      <c r="N133" s="34" t="str">
        <f t="shared" ref="N133:N198" si="2">J133&amp;"("&amp;IF(K133="","",K133)&amp;IF(L133="","",", "&amp;L133)&amp;IF(M133="","",", "&amp;M133)&amp;")"</f>
        <v>Passive(rayhou.passive.defup.buff.06)</v>
      </c>
      <c r="O133" s="34">
        <v>0</v>
      </c>
      <c r="P133" s="34">
        <v>0</v>
      </c>
      <c r="Q133" s="34"/>
      <c r="R133" s="34" t="b">
        <v>1</v>
      </c>
    </row>
    <row r="134" spans="1:18">
      <c r="A134" s="24" t="s">
        <v>1283</v>
      </c>
      <c r="B134" s="24"/>
      <c r="C134" s="24"/>
      <c r="D134" s="24">
        <v>0</v>
      </c>
      <c r="E134" s="24">
        <v>1</v>
      </c>
      <c r="F134" s="24" t="s">
        <v>197</v>
      </c>
      <c r="G134" s="24" t="s">
        <v>198</v>
      </c>
      <c r="H134" s="24"/>
      <c r="I134" s="24">
        <v>0</v>
      </c>
      <c r="J134" s="24" t="s">
        <v>838</v>
      </c>
      <c r="K134" s="24" t="s">
        <v>897</v>
      </c>
      <c r="L134" s="24">
        <v>40</v>
      </c>
      <c r="M134" s="24"/>
      <c r="N134" s="24" t="str">
        <f t="shared" si="2"/>
        <v>Status(DefenseRatio, 40)</v>
      </c>
      <c r="O134" s="24">
        <v>0</v>
      </c>
      <c r="P134" s="24">
        <v>0</v>
      </c>
      <c r="Q134" s="24"/>
      <c r="R134" s="24" t="b">
        <v>1</v>
      </c>
    </row>
    <row r="135" spans="1:18">
      <c r="A135" s="24" t="s">
        <v>1284</v>
      </c>
      <c r="B135" s="24"/>
      <c r="C135" s="24"/>
      <c r="D135" s="24">
        <v>0</v>
      </c>
      <c r="E135" s="24">
        <v>1</v>
      </c>
      <c r="F135" s="24" t="s">
        <v>197</v>
      </c>
      <c r="G135" s="24" t="s">
        <v>198</v>
      </c>
      <c r="H135" s="24"/>
      <c r="I135" s="24">
        <v>0</v>
      </c>
      <c r="J135" s="24" t="s">
        <v>838</v>
      </c>
      <c r="K135" s="24" t="s">
        <v>897</v>
      </c>
      <c r="L135" s="24">
        <v>60</v>
      </c>
      <c r="M135" s="24"/>
      <c r="N135" s="24" t="str">
        <f t="shared" si="2"/>
        <v>Status(DefenseRatio, 60)</v>
      </c>
      <c r="O135" s="24">
        <v>0</v>
      </c>
      <c r="P135" s="24">
        <v>0</v>
      </c>
      <c r="Q135" s="24"/>
      <c r="R135" s="24" t="b">
        <v>1</v>
      </c>
    </row>
    <row r="136" spans="1:18">
      <c r="A136" s="24" t="s">
        <v>1285</v>
      </c>
      <c r="B136" s="24"/>
      <c r="C136" s="24"/>
      <c r="D136" s="24">
        <v>0</v>
      </c>
      <c r="E136" s="24">
        <v>1</v>
      </c>
      <c r="F136" s="24" t="s">
        <v>197</v>
      </c>
      <c r="G136" s="24" t="s">
        <v>198</v>
      </c>
      <c r="H136" s="24"/>
      <c r="I136" s="24">
        <v>0</v>
      </c>
      <c r="J136" s="24" t="s">
        <v>838</v>
      </c>
      <c r="K136" s="24" t="s">
        <v>897</v>
      </c>
      <c r="L136" s="24">
        <v>80</v>
      </c>
      <c r="M136" s="24"/>
      <c r="N136" s="24" t="str">
        <f t="shared" si="2"/>
        <v>Status(DefenseRatio, 80)</v>
      </c>
      <c r="O136" s="24">
        <v>0</v>
      </c>
      <c r="P136" s="24">
        <v>0</v>
      </c>
      <c r="Q136" s="24"/>
      <c r="R136" s="24" t="b">
        <v>1</v>
      </c>
    </row>
    <row r="137" spans="1:18">
      <c r="A137" s="34" t="s">
        <v>1286</v>
      </c>
      <c r="B137" s="34"/>
      <c r="C137" s="34"/>
      <c r="D137" s="34">
        <v>0</v>
      </c>
      <c r="E137" s="34">
        <v>1</v>
      </c>
      <c r="F137" s="34" t="s">
        <v>197</v>
      </c>
      <c r="G137" s="34" t="s">
        <v>198</v>
      </c>
      <c r="H137" s="34"/>
      <c r="I137" s="34">
        <v>0</v>
      </c>
      <c r="J137" s="34" t="s">
        <v>838</v>
      </c>
      <c r="K137" s="34" t="s">
        <v>897</v>
      </c>
      <c r="L137" s="34">
        <v>100</v>
      </c>
      <c r="M137" s="34"/>
      <c r="N137" s="34" t="str">
        <f t="shared" si="2"/>
        <v>Status(DefenseRatio, 100)</v>
      </c>
      <c r="O137" s="34">
        <v>0</v>
      </c>
      <c r="P137" s="34">
        <v>0</v>
      </c>
      <c r="Q137" s="34"/>
      <c r="R137" s="34" t="b">
        <v>1</v>
      </c>
    </row>
    <row r="138" spans="1:18">
      <c r="A138" s="34" t="s">
        <v>1287</v>
      </c>
      <c r="B138" s="34"/>
      <c r="C138" s="34"/>
      <c r="D138" s="34">
        <v>0</v>
      </c>
      <c r="E138" s="34">
        <v>1</v>
      </c>
      <c r="F138" s="34" t="s">
        <v>197</v>
      </c>
      <c r="G138" s="34" t="s">
        <v>198</v>
      </c>
      <c r="H138" s="34"/>
      <c r="I138" s="34">
        <v>0</v>
      </c>
      <c r="J138" s="34" t="s">
        <v>838</v>
      </c>
      <c r="K138" s="34" t="s">
        <v>897</v>
      </c>
      <c r="L138" s="34">
        <v>140</v>
      </c>
      <c r="M138" s="34"/>
      <c r="N138" s="34" t="str">
        <f t="shared" si="2"/>
        <v>Status(DefenseRatio, 140)</v>
      </c>
      <c r="O138" s="34">
        <v>0</v>
      </c>
      <c r="P138" s="34">
        <v>0</v>
      </c>
      <c r="Q138" s="34"/>
      <c r="R138" s="34" t="b">
        <v>1</v>
      </c>
    </row>
    <row r="139" spans="1:18" s="13" customFormat="1">
      <c r="A139" s="34" t="s">
        <v>1288</v>
      </c>
      <c r="B139" s="34"/>
      <c r="C139" s="34"/>
      <c r="D139" s="34">
        <v>0</v>
      </c>
      <c r="E139" s="34">
        <v>1</v>
      </c>
      <c r="F139" s="34" t="s">
        <v>197</v>
      </c>
      <c r="G139" s="34" t="s">
        <v>198</v>
      </c>
      <c r="H139" s="34"/>
      <c r="I139" s="34">
        <v>0</v>
      </c>
      <c r="J139" s="34" t="s">
        <v>838</v>
      </c>
      <c r="K139" s="34" t="s">
        <v>897</v>
      </c>
      <c r="L139" s="34">
        <v>332</v>
      </c>
      <c r="M139" s="34"/>
      <c r="N139" s="34" t="str">
        <f t="shared" si="2"/>
        <v>Status(DefenseRatio, 332)</v>
      </c>
      <c r="O139" s="34">
        <v>0</v>
      </c>
      <c r="P139" s="34">
        <v>0</v>
      </c>
      <c r="Q139" s="34"/>
      <c r="R139" s="34" t="b">
        <v>1</v>
      </c>
    </row>
    <row r="140" spans="1:18" s="13" customFormat="1">
      <c r="A140" s="23" t="s">
        <v>2396</v>
      </c>
      <c r="B140" s="23"/>
      <c r="C140" s="23"/>
      <c r="D140" s="23">
        <v>0</v>
      </c>
      <c r="E140" s="23">
        <v>1</v>
      </c>
      <c r="F140" s="23" t="s">
        <v>197</v>
      </c>
      <c r="G140" s="23" t="s">
        <v>198</v>
      </c>
      <c r="H140" s="23"/>
      <c r="I140" s="23">
        <v>0</v>
      </c>
      <c r="J140" s="23" t="s">
        <v>893</v>
      </c>
      <c r="K140" s="23" t="s">
        <v>2402</v>
      </c>
      <c r="L140" s="23"/>
      <c r="M140" s="23"/>
      <c r="N140" s="23" t="str">
        <f t="shared" si="2"/>
        <v>Active(rayhou.passive.shield.buffeffect.skilleffect.01)</v>
      </c>
      <c r="O140" s="23">
        <v>0</v>
      </c>
      <c r="P140" s="23">
        <v>0</v>
      </c>
      <c r="Q140" s="23"/>
      <c r="R140" s="23" t="b">
        <v>1</v>
      </c>
    </row>
    <row r="141" spans="1:18" s="13" customFormat="1">
      <c r="A141" s="23" t="s">
        <v>2397</v>
      </c>
      <c r="B141" s="23"/>
      <c r="C141" s="23"/>
      <c r="D141" s="23">
        <v>0</v>
      </c>
      <c r="E141" s="23">
        <v>1</v>
      </c>
      <c r="F141" s="23" t="s">
        <v>197</v>
      </c>
      <c r="G141" s="23" t="s">
        <v>198</v>
      </c>
      <c r="H141" s="23"/>
      <c r="I141" s="23">
        <v>0</v>
      </c>
      <c r="J141" s="23" t="s">
        <v>893</v>
      </c>
      <c r="K141" s="23" t="s">
        <v>2403</v>
      </c>
      <c r="L141" s="23"/>
      <c r="M141" s="23"/>
      <c r="N141" s="23" t="str">
        <f t="shared" si="2"/>
        <v>Active(rayhou.passive.shield.buffeffect.skilleffect.02)</v>
      </c>
      <c r="O141" s="23">
        <v>0</v>
      </c>
      <c r="P141" s="23">
        <v>0</v>
      </c>
      <c r="Q141" s="23"/>
      <c r="R141" s="23" t="b">
        <v>1</v>
      </c>
    </row>
    <row r="142" spans="1:18" s="13" customFormat="1">
      <c r="A142" s="23" t="s">
        <v>2398</v>
      </c>
      <c r="B142" s="23"/>
      <c r="C142" s="23"/>
      <c r="D142" s="23">
        <v>0</v>
      </c>
      <c r="E142" s="23">
        <v>1</v>
      </c>
      <c r="F142" s="23" t="s">
        <v>197</v>
      </c>
      <c r="G142" s="23" t="s">
        <v>198</v>
      </c>
      <c r="H142" s="23"/>
      <c r="I142" s="23">
        <v>0</v>
      </c>
      <c r="J142" s="23" t="s">
        <v>893</v>
      </c>
      <c r="K142" s="23" t="s">
        <v>2404</v>
      </c>
      <c r="L142" s="23"/>
      <c r="M142" s="23"/>
      <c r="N142" s="23" t="str">
        <f t="shared" si="2"/>
        <v>Active(rayhou.passive.shield.buffeffect.skilleffect.03)</v>
      </c>
      <c r="O142" s="23">
        <v>0</v>
      </c>
      <c r="P142" s="23">
        <v>0</v>
      </c>
      <c r="Q142" s="23"/>
      <c r="R142" s="23" t="b">
        <v>1</v>
      </c>
    </row>
    <row r="143" spans="1:18" s="13" customFormat="1">
      <c r="A143" s="34" t="s">
        <v>2399</v>
      </c>
      <c r="B143" s="34"/>
      <c r="C143" s="34"/>
      <c r="D143" s="34">
        <v>0</v>
      </c>
      <c r="E143" s="34">
        <v>1</v>
      </c>
      <c r="F143" s="34" t="s">
        <v>197</v>
      </c>
      <c r="G143" s="34" t="s">
        <v>198</v>
      </c>
      <c r="H143" s="34"/>
      <c r="I143" s="34">
        <v>0</v>
      </c>
      <c r="J143" s="34" t="s">
        <v>893</v>
      </c>
      <c r="K143" s="34" t="s">
        <v>2405</v>
      </c>
      <c r="L143" s="34"/>
      <c r="M143" s="34"/>
      <c r="N143" s="34" t="str">
        <f t="shared" si="2"/>
        <v>Active(rayhou.passive.shield.buffeffect.skilleffect.04)</v>
      </c>
      <c r="O143" s="34">
        <v>0</v>
      </c>
      <c r="P143" s="34">
        <v>0</v>
      </c>
      <c r="Q143" s="34"/>
      <c r="R143" s="34" t="b">
        <v>1</v>
      </c>
    </row>
    <row r="144" spans="1:18" s="13" customFormat="1">
      <c r="A144" s="34" t="s">
        <v>2400</v>
      </c>
      <c r="B144" s="34"/>
      <c r="C144" s="34"/>
      <c r="D144" s="34">
        <v>0</v>
      </c>
      <c r="E144" s="34">
        <v>1</v>
      </c>
      <c r="F144" s="34" t="s">
        <v>197</v>
      </c>
      <c r="G144" s="34" t="s">
        <v>198</v>
      </c>
      <c r="H144" s="34"/>
      <c r="I144" s="34">
        <v>0</v>
      </c>
      <c r="J144" s="34" t="s">
        <v>893</v>
      </c>
      <c r="K144" s="34" t="s">
        <v>2406</v>
      </c>
      <c r="L144" s="34"/>
      <c r="M144" s="34"/>
      <c r="N144" s="34" t="str">
        <f t="shared" si="2"/>
        <v>Active(rayhou.passive.shield.buffeffect.skilleffect.05)</v>
      </c>
      <c r="O144" s="34">
        <v>0</v>
      </c>
      <c r="P144" s="34">
        <v>0</v>
      </c>
      <c r="Q144" s="34"/>
      <c r="R144" s="34" t="b">
        <v>1</v>
      </c>
    </row>
    <row r="145" spans="1:18" s="13" customFormat="1">
      <c r="A145" s="34" t="s">
        <v>2401</v>
      </c>
      <c r="B145" s="34"/>
      <c r="C145" s="34"/>
      <c r="D145" s="34">
        <v>0</v>
      </c>
      <c r="E145" s="34">
        <v>1</v>
      </c>
      <c r="F145" s="34" t="s">
        <v>197</v>
      </c>
      <c r="G145" s="34" t="s">
        <v>198</v>
      </c>
      <c r="H145" s="34"/>
      <c r="I145" s="34">
        <v>0</v>
      </c>
      <c r="J145" s="34" t="s">
        <v>893</v>
      </c>
      <c r="K145" s="34" t="s">
        <v>2407</v>
      </c>
      <c r="L145" s="34"/>
      <c r="M145" s="34"/>
      <c r="N145" s="34" t="str">
        <f t="shared" si="2"/>
        <v>Active(rayhou.passive.shield.buffeffect.skilleffect.06)</v>
      </c>
      <c r="O145" s="34">
        <v>0</v>
      </c>
      <c r="P145" s="34">
        <v>0</v>
      </c>
      <c r="Q145" s="34"/>
      <c r="R145" s="34" t="b">
        <v>1</v>
      </c>
    </row>
    <row r="146" spans="1:18" s="13" customFormat="1">
      <c r="A146" s="24" t="s">
        <v>2371</v>
      </c>
      <c r="B146" s="24" t="s">
        <v>419</v>
      </c>
      <c r="C146" s="24">
        <v>-20</v>
      </c>
      <c r="D146" s="24">
        <v>0</v>
      </c>
      <c r="E146" s="24">
        <v>1</v>
      </c>
      <c r="F146" s="24" t="s">
        <v>197</v>
      </c>
      <c r="G146" s="24" t="s">
        <v>198</v>
      </c>
      <c r="H146" s="24"/>
      <c r="I146" s="24">
        <v>0</v>
      </c>
      <c r="J146" s="24" t="s">
        <v>893</v>
      </c>
      <c r="K146" s="24" t="s">
        <v>7238</v>
      </c>
      <c r="L146" s="24"/>
      <c r="M146" s="24"/>
      <c r="N146" s="24" t="str">
        <f t="shared" si="2"/>
        <v>Active(rayhou.passive.shield.trigger.skilleffect.01)</v>
      </c>
      <c r="O146" s="24">
        <v>0</v>
      </c>
      <c r="P146" s="24">
        <v>0</v>
      </c>
      <c r="Q146" s="24"/>
      <c r="R146" s="24" t="b">
        <v>1</v>
      </c>
    </row>
    <row r="147" spans="1:18" s="13" customFormat="1">
      <c r="A147" s="24" t="s">
        <v>2372</v>
      </c>
      <c r="B147" s="24" t="s">
        <v>419</v>
      </c>
      <c r="C147" s="24">
        <v>-20</v>
      </c>
      <c r="D147" s="24">
        <v>0</v>
      </c>
      <c r="E147" s="24">
        <v>1</v>
      </c>
      <c r="F147" s="24" t="s">
        <v>197</v>
      </c>
      <c r="G147" s="24" t="s">
        <v>198</v>
      </c>
      <c r="H147" s="24"/>
      <c r="I147" s="24">
        <v>0</v>
      </c>
      <c r="J147" s="24" t="s">
        <v>893</v>
      </c>
      <c r="K147" s="24" t="s">
        <v>2388</v>
      </c>
      <c r="L147" s="24"/>
      <c r="M147" s="24"/>
      <c r="N147" s="24" t="str">
        <f t="shared" si="2"/>
        <v>Active(rayhou.passive.shield.trigger.skilleffect.02)</v>
      </c>
      <c r="O147" s="24">
        <v>0</v>
      </c>
      <c r="P147" s="24">
        <v>0</v>
      </c>
      <c r="Q147" s="24"/>
      <c r="R147" s="24" t="b">
        <v>1</v>
      </c>
    </row>
    <row r="148" spans="1:18" s="13" customFormat="1">
      <c r="A148" s="24" t="s">
        <v>2373</v>
      </c>
      <c r="B148" s="24" t="s">
        <v>419</v>
      </c>
      <c r="C148" s="24">
        <v>-20</v>
      </c>
      <c r="D148" s="24">
        <v>0</v>
      </c>
      <c r="E148" s="24">
        <v>1</v>
      </c>
      <c r="F148" s="24" t="s">
        <v>197</v>
      </c>
      <c r="G148" s="24" t="s">
        <v>198</v>
      </c>
      <c r="H148" s="24"/>
      <c r="I148" s="24">
        <v>0</v>
      </c>
      <c r="J148" s="24" t="s">
        <v>893</v>
      </c>
      <c r="K148" s="24" t="s">
        <v>2389</v>
      </c>
      <c r="L148" s="24"/>
      <c r="M148" s="24"/>
      <c r="N148" s="24" t="str">
        <f t="shared" si="2"/>
        <v>Active(rayhou.passive.shield.trigger.skilleffect.03)</v>
      </c>
      <c r="O148" s="24">
        <v>0</v>
      </c>
      <c r="P148" s="24">
        <v>0</v>
      </c>
      <c r="Q148" s="24"/>
      <c r="R148" s="24" t="b">
        <v>1</v>
      </c>
    </row>
    <row r="149" spans="1:18" s="13" customFormat="1">
      <c r="A149" s="34" t="s">
        <v>2374</v>
      </c>
      <c r="B149" s="34" t="s">
        <v>419</v>
      </c>
      <c r="C149" s="34">
        <v>-20</v>
      </c>
      <c r="D149" s="34">
        <v>0</v>
      </c>
      <c r="E149" s="34">
        <v>1</v>
      </c>
      <c r="F149" s="34" t="s">
        <v>197</v>
      </c>
      <c r="G149" s="34" t="s">
        <v>198</v>
      </c>
      <c r="H149" s="34"/>
      <c r="I149" s="34">
        <v>0</v>
      </c>
      <c r="J149" s="34" t="s">
        <v>893</v>
      </c>
      <c r="K149" s="34" t="s">
        <v>7239</v>
      </c>
      <c r="L149" s="34"/>
      <c r="M149" s="34"/>
      <c r="N149" s="34" t="str">
        <f t="shared" si="2"/>
        <v>Active(rayhou.passive.shield.trigger.skilleffect.04)</v>
      </c>
      <c r="O149" s="34">
        <v>0</v>
      </c>
      <c r="P149" s="34">
        <v>0</v>
      </c>
      <c r="Q149" s="34"/>
      <c r="R149" s="34" t="b">
        <v>1</v>
      </c>
    </row>
    <row r="150" spans="1:18" s="13" customFormat="1">
      <c r="A150" s="34" t="s">
        <v>2375</v>
      </c>
      <c r="B150" s="34" t="s">
        <v>419</v>
      </c>
      <c r="C150" s="34">
        <v>-20</v>
      </c>
      <c r="D150" s="34">
        <v>0</v>
      </c>
      <c r="E150" s="34">
        <v>1</v>
      </c>
      <c r="F150" s="34" t="s">
        <v>197</v>
      </c>
      <c r="G150" s="34" t="s">
        <v>198</v>
      </c>
      <c r="H150" s="34"/>
      <c r="I150" s="34">
        <v>0</v>
      </c>
      <c r="J150" s="34" t="s">
        <v>893</v>
      </c>
      <c r="K150" s="34" t="s">
        <v>2390</v>
      </c>
      <c r="L150" s="34"/>
      <c r="M150" s="34"/>
      <c r="N150" s="34" t="str">
        <f t="shared" si="2"/>
        <v>Active(rayhou.passive.shield.trigger.skilleffect.05)</v>
      </c>
      <c r="O150" s="34">
        <v>0</v>
      </c>
      <c r="P150" s="34">
        <v>0</v>
      </c>
      <c r="Q150" s="34"/>
      <c r="R150" s="34" t="b">
        <v>1</v>
      </c>
    </row>
    <row r="151" spans="1:18" s="13" customFormat="1">
      <c r="A151" s="34" t="s">
        <v>2376</v>
      </c>
      <c r="B151" s="34" t="s">
        <v>419</v>
      </c>
      <c r="C151" s="34">
        <v>-20</v>
      </c>
      <c r="D151" s="34">
        <v>0</v>
      </c>
      <c r="E151" s="34">
        <v>1</v>
      </c>
      <c r="F151" s="34" t="s">
        <v>197</v>
      </c>
      <c r="G151" s="34" t="s">
        <v>198</v>
      </c>
      <c r="H151" s="34"/>
      <c r="I151" s="34">
        <v>0</v>
      </c>
      <c r="J151" s="34" t="s">
        <v>893</v>
      </c>
      <c r="K151" s="34" t="s">
        <v>2391</v>
      </c>
      <c r="L151" s="34"/>
      <c r="M151" s="34"/>
      <c r="N151" s="34" t="str">
        <f t="shared" si="2"/>
        <v>Active(rayhou.passive.shield.trigger.skilleffect.06)</v>
      </c>
      <c r="O151" s="34">
        <v>0</v>
      </c>
      <c r="P151" s="34">
        <v>0</v>
      </c>
      <c r="Q151" s="34"/>
      <c r="R151" s="34" t="b">
        <v>1</v>
      </c>
    </row>
    <row r="152" spans="1:18" s="13" customFormat="1">
      <c r="A152" s="24" t="s">
        <v>2382</v>
      </c>
      <c r="B152" s="24"/>
      <c r="C152" s="24"/>
      <c r="D152" s="24">
        <v>0</v>
      </c>
      <c r="E152" s="24">
        <v>1</v>
      </c>
      <c r="F152" s="24" t="s">
        <v>197</v>
      </c>
      <c r="G152" s="24" t="s">
        <v>198</v>
      </c>
      <c r="H152" s="24"/>
      <c r="I152" s="24">
        <v>0</v>
      </c>
      <c r="J152" s="24" t="s">
        <v>889</v>
      </c>
      <c r="K152" s="24" t="s">
        <v>993</v>
      </c>
      <c r="L152" s="24">
        <v>60</v>
      </c>
      <c r="M152" s="24"/>
      <c r="N152" s="24" t="str">
        <f t="shared" si="2"/>
        <v>Shield(MaxHp, 60)</v>
      </c>
      <c r="O152" s="24">
        <v>0</v>
      </c>
      <c r="P152" s="24">
        <v>0</v>
      </c>
      <c r="Q152" s="24"/>
      <c r="R152" s="24" t="b">
        <v>1</v>
      </c>
    </row>
    <row r="153" spans="1:18" s="13" customFormat="1">
      <c r="A153" s="24" t="s">
        <v>2383</v>
      </c>
      <c r="B153" s="24"/>
      <c r="C153" s="24"/>
      <c r="D153" s="24">
        <v>0</v>
      </c>
      <c r="E153" s="24">
        <v>1</v>
      </c>
      <c r="F153" s="24" t="s">
        <v>197</v>
      </c>
      <c r="G153" s="24" t="s">
        <v>198</v>
      </c>
      <c r="H153" s="24"/>
      <c r="I153" s="24">
        <v>0</v>
      </c>
      <c r="J153" s="24" t="s">
        <v>889</v>
      </c>
      <c r="K153" s="24" t="s">
        <v>993</v>
      </c>
      <c r="L153" s="24">
        <v>60</v>
      </c>
      <c r="M153" s="24"/>
      <c r="N153" s="24" t="str">
        <f t="shared" si="2"/>
        <v>Shield(MaxHp, 60)</v>
      </c>
      <c r="O153" s="24">
        <v>0</v>
      </c>
      <c r="P153" s="24">
        <v>0</v>
      </c>
      <c r="Q153" s="24"/>
      <c r="R153" s="24" t="b">
        <v>1</v>
      </c>
    </row>
    <row r="154" spans="1:18" s="13" customFormat="1">
      <c r="A154" s="24" t="s">
        <v>2384</v>
      </c>
      <c r="B154" s="24"/>
      <c r="C154" s="24"/>
      <c r="D154" s="24">
        <v>0</v>
      </c>
      <c r="E154" s="24">
        <v>1</v>
      </c>
      <c r="F154" s="24" t="s">
        <v>197</v>
      </c>
      <c r="G154" s="24" t="s">
        <v>198</v>
      </c>
      <c r="H154" s="24"/>
      <c r="I154" s="24">
        <v>0</v>
      </c>
      <c r="J154" s="24" t="s">
        <v>889</v>
      </c>
      <c r="K154" s="24" t="s">
        <v>993</v>
      </c>
      <c r="L154" s="24">
        <v>60</v>
      </c>
      <c r="M154" s="24"/>
      <c r="N154" s="24" t="str">
        <f t="shared" si="2"/>
        <v>Shield(MaxHp, 60)</v>
      </c>
      <c r="O154" s="24">
        <v>0</v>
      </c>
      <c r="P154" s="24">
        <v>0</v>
      </c>
      <c r="Q154" s="24"/>
      <c r="R154" s="24" t="b">
        <v>1</v>
      </c>
    </row>
    <row r="155" spans="1:18" s="13" customFormat="1">
      <c r="A155" s="34" t="s">
        <v>2385</v>
      </c>
      <c r="B155" s="34"/>
      <c r="C155" s="34"/>
      <c r="D155" s="34">
        <v>0</v>
      </c>
      <c r="E155" s="34">
        <v>1</v>
      </c>
      <c r="F155" s="34" t="s">
        <v>197</v>
      </c>
      <c r="G155" s="34" t="s">
        <v>198</v>
      </c>
      <c r="H155" s="34"/>
      <c r="I155" s="34">
        <v>0</v>
      </c>
      <c r="J155" s="34" t="s">
        <v>889</v>
      </c>
      <c r="K155" s="34" t="s">
        <v>993</v>
      </c>
      <c r="L155" s="34">
        <v>60</v>
      </c>
      <c r="M155" s="34"/>
      <c r="N155" s="34" t="str">
        <f t="shared" si="2"/>
        <v>Shield(MaxHp, 60)</v>
      </c>
      <c r="O155" s="34">
        <v>0</v>
      </c>
      <c r="P155" s="34">
        <v>0</v>
      </c>
      <c r="Q155" s="34"/>
      <c r="R155" s="34" t="b">
        <v>1</v>
      </c>
    </row>
    <row r="156" spans="1:18" s="13" customFormat="1">
      <c r="A156" s="34" t="s">
        <v>2386</v>
      </c>
      <c r="B156" s="34"/>
      <c r="C156" s="34"/>
      <c r="D156" s="34">
        <v>0</v>
      </c>
      <c r="E156" s="34">
        <v>1</v>
      </c>
      <c r="F156" s="34" t="s">
        <v>197</v>
      </c>
      <c r="G156" s="34" t="s">
        <v>198</v>
      </c>
      <c r="H156" s="34"/>
      <c r="I156" s="34">
        <v>0</v>
      </c>
      <c r="J156" s="34" t="s">
        <v>889</v>
      </c>
      <c r="K156" s="34" t="s">
        <v>993</v>
      </c>
      <c r="L156" s="34">
        <v>60</v>
      </c>
      <c r="M156" s="34"/>
      <c r="N156" s="34" t="str">
        <f t="shared" si="2"/>
        <v>Shield(MaxHp, 60)</v>
      </c>
      <c r="O156" s="34">
        <v>0</v>
      </c>
      <c r="P156" s="34">
        <v>0</v>
      </c>
      <c r="Q156" s="34"/>
      <c r="R156" s="34" t="b">
        <v>1</v>
      </c>
    </row>
    <row r="157" spans="1:18" s="13" customFormat="1">
      <c r="A157" s="34" t="s">
        <v>2387</v>
      </c>
      <c r="B157" s="34"/>
      <c r="C157" s="34"/>
      <c r="D157" s="34">
        <v>0</v>
      </c>
      <c r="E157" s="34">
        <v>1</v>
      </c>
      <c r="F157" s="34" t="s">
        <v>197</v>
      </c>
      <c r="G157" s="34" t="s">
        <v>198</v>
      </c>
      <c r="H157" s="34"/>
      <c r="I157" s="34">
        <v>0</v>
      </c>
      <c r="J157" s="34" t="s">
        <v>889</v>
      </c>
      <c r="K157" s="34" t="s">
        <v>993</v>
      </c>
      <c r="L157" s="34">
        <v>100</v>
      </c>
      <c r="M157" s="34"/>
      <c r="N157" s="34" t="str">
        <f t="shared" si="2"/>
        <v>Shield(MaxHp, 100)</v>
      </c>
      <c r="O157" s="34">
        <v>0</v>
      </c>
      <c r="P157" s="34">
        <v>0</v>
      </c>
      <c r="Q157" s="34"/>
      <c r="R157" s="34" t="b">
        <v>1</v>
      </c>
    </row>
    <row r="158" spans="1:18" s="13" customFormat="1">
      <c r="A158" s="23" t="s">
        <v>8878</v>
      </c>
      <c r="B158" s="23"/>
      <c r="C158" s="23"/>
      <c r="D158" s="23">
        <v>0</v>
      </c>
      <c r="E158" s="23">
        <v>1</v>
      </c>
      <c r="F158" s="23" t="s">
        <v>197</v>
      </c>
      <c r="G158" s="23" t="s">
        <v>198</v>
      </c>
      <c r="H158" s="23"/>
      <c r="I158" s="23">
        <v>0</v>
      </c>
      <c r="J158" s="23" t="s">
        <v>8877</v>
      </c>
      <c r="K158" s="23" t="s">
        <v>8879</v>
      </c>
      <c r="L158" s="23"/>
      <c r="M158" s="23"/>
      <c r="N158" s="23" t="str">
        <f t="shared" si="2"/>
        <v>Active(rayhou.passive.ex.buff.buffeffect.skilleffect.01)</v>
      </c>
      <c r="O158" s="23">
        <v>0</v>
      </c>
      <c r="P158" s="23">
        <v>0</v>
      </c>
      <c r="Q158" s="23"/>
      <c r="R158" s="23" t="b">
        <v>1</v>
      </c>
    </row>
    <row r="159" spans="1:18" s="13" customFormat="1">
      <c r="A159" s="23" t="s">
        <v>3193</v>
      </c>
      <c r="B159" s="23" t="s">
        <v>8889</v>
      </c>
      <c r="C159" s="23" t="s">
        <v>8886</v>
      </c>
      <c r="D159" s="23">
        <v>0</v>
      </c>
      <c r="E159" s="23">
        <v>1</v>
      </c>
      <c r="F159" s="23" t="s">
        <v>197</v>
      </c>
      <c r="G159" s="23" t="s">
        <v>198</v>
      </c>
      <c r="H159" s="23"/>
      <c r="I159" s="23">
        <v>0</v>
      </c>
      <c r="J159" s="23" t="s">
        <v>876</v>
      </c>
      <c r="K159" s="23" t="s">
        <v>3194</v>
      </c>
      <c r="L159" s="23" t="s">
        <v>3195</v>
      </c>
      <c r="M159" s="23"/>
      <c r="N159" s="23" t="str">
        <f t="shared" si="2"/>
        <v>Event(AllyDie, rayhou.passive.ex.buff.buffeffect.skilleffect.02)</v>
      </c>
      <c r="O159" s="23">
        <v>0</v>
      </c>
      <c r="P159" s="23">
        <v>0</v>
      </c>
      <c r="Q159" s="23"/>
      <c r="R159" s="23" t="b">
        <v>1</v>
      </c>
    </row>
    <row r="160" spans="1:18" s="13" customFormat="1">
      <c r="A160" s="23" t="s">
        <v>8871</v>
      </c>
      <c r="B160" s="23" t="s">
        <v>8366</v>
      </c>
      <c r="C160" s="23" t="s">
        <v>8886</v>
      </c>
      <c r="D160" s="23">
        <v>0</v>
      </c>
      <c r="E160" s="23">
        <v>1</v>
      </c>
      <c r="F160" s="23" t="s">
        <v>197</v>
      </c>
      <c r="G160" s="23" t="s">
        <v>198</v>
      </c>
      <c r="H160" s="23"/>
      <c r="I160" s="23">
        <v>0</v>
      </c>
      <c r="J160" s="23" t="s">
        <v>8877</v>
      </c>
      <c r="K160" s="23" t="s">
        <v>8880</v>
      </c>
      <c r="L160" s="23"/>
      <c r="M160" s="23"/>
      <c r="N160" s="23" t="str">
        <f t="shared" si="2"/>
        <v>Active(rayhou.passive.ex.buff.buffeffect.skilleffect.03.01)</v>
      </c>
      <c r="O160" s="23">
        <v>0</v>
      </c>
      <c r="P160" s="23">
        <v>1000</v>
      </c>
      <c r="Q160" s="23"/>
      <c r="R160" s="23" t="b">
        <v>1</v>
      </c>
    </row>
    <row r="161" spans="1:18" s="13" customFormat="1">
      <c r="A161" s="23" t="s">
        <v>8872</v>
      </c>
      <c r="B161" s="23" t="s">
        <v>8366</v>
      </c>
      <c r="C161" s="23" t="s">
        <v>8886</v>
      </c>
      <c r="D161" s="23">
        <v>0</v>
      </c>
      <c r="E161" s="23">
        <v>1</v>
      </c>
      <c r="F161" s="23" t="s">
        <v>197</v>
      </c>
      <c r="G161" s="23" t="s">
        <v>198</v>
      </c>
      <c r="H161" s="23"/>
      <c r="I161" s="23">
        <v>0</v>
      </c>
      <c r="J161" s="23" t="s">
        <v>8877</v>
      </c>
      <c r="K161" s="23" t="s">
        <v>8881</v>
      </c>
      <c r="L161" s="23"/>
      <c r="M161" s="23"/>
      <c r="N161" s="23" t="str">
        <f t="shared" ref="N161:N165" si="3">J161&amp;"("&amp;IF(K161="","",K161)&amp;IF(L161="","",", "&amp;L161)&amp;IF(M161="","",", "&amp;M161)&amp;")"</f>
        <v>Active(rayhou.passive.ex.buff.buffeffect.skilleffect.03.02)</v>
      </c>
      <c r="O161" s="23">
        <v>0</v>
      </c>
      <c r="P161" s="23">
        <v>1000</v>
      </c>
      <c r="Q161" s="23"/>
      <c r="R161" s="23" t="b">
        <v>1</v>
      </c>
    </row>
    <row r="162" spans="1:18" s="13" customFormat="1">
      <c r="A162" s="23" t="s">
        <v>8873</v>
      </c>
      <c r="B162" s="23" t="s">
        <v>8366</v>
      </c>
      <c r="C162" s="23" t="s">
        <v>8886</v>
      </c>
      <c r="D162" s="23">
        <v>0</v>
      </c>
      <c r="E162" s="23">
        <v>1</v>
      </c>
      <c r="F162" s="23" t="s">
        <v>197</v>
      </c>
      <c r="G162" s="23" t="s">
        <v>198</v>
      </c>
      <c r="H162" s="23"/>
      <c r="I162" s="23">
        <v>0</v>
      </c>
      <c r="J162" s="23" t="s">
        <v>8877</v>
      </c>
      <c r="K162" s="23" t="s">
        <v>8882</v>
      </c>
      <c r="L162" s="23"/>
      <c r="M162" s="23"/>
      <c r="N162" s="23" t="str">
        <f t="shared" si="3"/>
        <v>Active(rayhou.passive.ex.buff.buffeffect.skilleffect.03.03)</v>
      </c>
      <c r="O162" s="23">
        <v>0</v>
      </c>
      <c r="P162" s="23">
        <v>1000</v>
      </c>
      <c r="Q162" s="23"/>
      <c r="R162" s="23" t="b">
        <v>1</v>
      </c>
    </row>
    <row r="163" spans="1:18" s="13" customFormat="1">
      <c r="A163" s="23" t="s">
        <v>8874</v>
      </c>
      <c r="B163" s="23" t="s">
        <v>8366</v>
      </c>
      <c r="C163" s="23" t="s">
        <v>8886</v>
      </c>
      <c r="D163" s="23">
        <v>0</v>
      </c>
      <c r="E163" s="23">
        <v>1</v>
      </c>
      <c r="F163" s="23" t="s">
        <v>197</v>
      </c>
      <c r="G163" s="23" t="s">
        <v>198</v>
      </c>
      <c r="H163" s="23"/>
      <c r="I163" s="23">
        <v>0</v>
      </c>
      <c r="J163" s="23" t="s">
        <v>8877</v>
      </c>
      <c r="K163" s="23" t="s">
        <v>8883</v>
      </c>
      <c r="L163" s="23"/>
      <c r="M163" s="23"/>
      <c r="N163" s="23" t="str">
        <f t="shared" si="3"/>
        <v>Active(rayhou.passive.ex.buff.buffeffect.skilleffect.03.04)</v>
      </c>
      <c r="O163" s="23">
        <v>0</v>
      </c>
      <c r="P163" s="23">
        <v>1000</v>
      </c>
      <c r="Q163" s="23"/>
      <c r="R163" s="23" t="b">
        <v>1</v>
      </c>
    </row>
    <row r="164" spans="1:18" s="13" customFormat="1">
      <c r="A164" s="23" t="s">
        <v>8875</v>
      </c>
      <c r="B164" s="23" t="s">
        <v>8366</v>
      </c>
      <c r="C164" s="23" t="s">
        <v>8886</v>
      </c>
      <c r="D164" s="23">
        <v>0</v>
      </c>
      <c r="E164" s="23">
        <v>1</v>
      </c>
      <c r="F164" s="23" t="s">
        <v>197</v>
      </c>
      <c r="G164" s="23" t="s">
        <v>198</v>
      </c>
      <c r="H164" s="23"/>
      <c r="I164" s="23">
        <v>0</v>
      </c>
      <c r="J164" s="23" t="s">
        <v>8877</v>
      </c>
      <c r="K164" s="23" t="s">
        <v>8884</v>
      </c>
      <c r="L164" s="23"/>
      <c r="M164" s="23"/>
      <c r="N164" s="23" t="str">
        <f t="shared" si="3"/>
        <v>Active(rayhou.passive.ex.buff.buffeffect.skilleffect.03.05)</v>
      </c>
      <c r="O164" s="23">
        <v>0</v>
      </c>
      <c r="P164" s="23">
        <v>1000</v>
      </c>
      <c r="Q164" s="23"/>
      <c r="R164" s="23" t="b">
        <v>1</v>
      </c>
    </row>
    <row r="165" spans="1:18" s="13" customFormat="1">
      <c r="A165" s="23" t="s">
        <v>8876</v>
      </c>
      <c r="B165" s="23" t="s">
        <v>8366</v>
      </c>
      <c r="C165" s="23" t="s">
        <v>8886</v>
      </c>
      <c r="D165" s="23">
        <v>0</v>
      </c>
      <c r="E165" s="23">
        <v>1</v>
      </c>
      <c r="F165" s="23" t="s">
        <v>197</v>
      </c>
      <c r="G165" s="23" t="s">
        <v>198</v>
      </c>
      <c r="H165" s="23"/>
      <c r="I165" s="23">
        <v>0</v>
      </c>
      <c r="J165" s="23" t="s">
        <v>8877</v>
      </c>
      <c r="K165" s="23" t="s">
        <v>8885</v>
      </c>
      <c r="L165" s="23"/>
      <c r="M165" s="23"/>
      <c r="N165" s="23" t="str">
        <f t="shared" si="3"/>
        <v>Active(rayhou.passive.ex.buff.buffeffect.skilleffect.03.06)</v>
      </c>
      <c r="O165" s="23">
        <v>0</v>
      </c>
      <c r="P165" s="23">
        <v>1000</v>
      </c>
      <c r="Q165" s="23"/>
      <c r="R165" s="23" t="b">
        <v>1</v>
      </c>
    </row>
    <row r="166" spans="1:18" s="13" customFormat="1">
      <c r="A166" s="23" t="s">
        <v>2691</v>
      </c>
      <c r="B166" s="23"/>
      <c r="C166" s="23"/>
      <c r="D166" s="23">
        <v>0</v>
      </c>
      <c r="E166" s="23">
        <v>1</v>
      </c>
      <c r="F166" s="23" t="s">
        <v>197</v>
      </c>
      <c r="G166" s="23" t="s">
        <v>198</v>
      </c>
      <c r="H166" s="23"/>
      <c r="I166" s="23">
        <v>0</v>
      </c>
      <c r="J166" s="23" t="s">
        <v>916</v>
      </c>
      <c r="K166" s="23" t="s">
        <v>917</v>
      </c>
      <c r="L166" s="23"/>
      <c r="M166" s="23"/>
      <c r="N166" s="23" t="str">
        <f t="shared" si="2"/>
        <v>ChangeSkill(Normal)</v>
      </c>
      <c r="O166" s="23">
        <v>0</v>
      </c>
      <c r="P166" s="23">
        <v>0</v>
      </c>
      <c r="Q166" s="23"/>
      <c r="R166" s="23" t="b">
        <v>1</v>
      </c>
    </row>
    <row r="167" spans="1:18" s="13" customFormat="1">
      <c r="A167" s="24" t="s">
        <v>7240</v>
      </c>
      <c r="B167" s="24"/>
      <c r="C167" s="24"/>
      <c r="D167" s="24">
        <v>0</v>
      </c>
      <c r="E167" s="24">
        <v>1</v>
      </c>
      <c r="F167" s="24" t="s">
        <v>197</v>
      </c>
      <c r="G167" s="24" t="s">
        <v>198</v>
      </c>
      <c r="H167" s="24"/>
      <c r="I167" s="24">
        <v>0</v>
      </c>
      <c r="J167" s="24" t="s">
        <v>893</v>
      </c>
      <c r="K167" s="24" t="s">
        <v>7241</v>
      </c>
      <c r="L167" s="24"/>
      <c r="M167" s="24"/>
      <c r="N167" s="24" t="str">
        <f t="shared" si="2"/>
        <v>Active(hellen.ult.B.changeskill.cost.skilleffect.01)</v>
      </c>
      <c r="O167" s="24">
        <v>0</v>
      </c>
      <c r="P167" s="24">
        <v>500</v>
      </c>
      <c r="Q167" s="24"/>
      <c r="R167" s="24" t="b">
        <v>1</v>
      </c>
    </row>
    <row r="168" spans="1:18" s="13" customFormat="1">
      <c r="A168" s="24" t="s">
        <v>4422</v>
      </c>
      <c r="B168" s="24"/>
      <c r="C168" s="24"/>
      <c r="D168" s="24">
        <v>0</v>
      </c>
      <c r="E168" s="24">
        <v>1</v>
      </c>
      <c r="F168" s="24" t="s">
        <v>197</v>
      </c>
      <c r="G168" s="24" t="s">
        <v>198</v>
      </c>
      <c r="H168" s="24"/>
      <c r="I168" s="24">
        <v>0</v>
      </c>
      <c r="J168" s="24" t="s">
        <v>893</v>
      </c>
      <c r="K168" s="24" t="s">
        <v>4428</v>
      </c>
      <c r="L168" s="24"/>
      <c r="M168" s="24"/>
      <c r="N168" s="24" t="str">
        <f t="shared" si="2"/>
        <v>Active(hellen.ult.B.changeskill.cost.skilleffect.02)</v>
      </c>
      <c r="O168" s="24">
        <v>0</v>
      </c>
      <c r="P168" s="24">
        <v>500</v>
      </c>
      <c r="Q168" s="24"/>
      <c r="R168" s="24" t="b">
        <v>1</v>
      </c>
    </row>
    <row r="169" spans="1:18" s="13" customFormat="1">
      <c r="A169" s="24" t="s">
        <v>4423</v>
      </c>
      <c r="B169" s="24"/>
      <c r="C169" s="24"/>
      <c r="D169" s="24">
        <v>0</v>
      </c>
      <c r="E169" s="24">
        <v>1</v>
      </c>
      <c r="F169" s="24" t="s">
        <v>197</v>
      </c>
      <c r="G169" s="24" t="s">
        <v>198</v>
      </c>
      <c r="H169" s="24"/>
      <c r="I169" s="24">
        <v>0</v>
      </c>
      <c r="J169" s="24" t="s">
        <v>893</v>
      </c>
      <c r="K169" s="24" t="s">
        <v>4429</v>
      </c>
      <c r="L169" s="24"/>
      <c r="M169" s="24"/>
      <c r="N169" s="24" t="str">
        <f t="shared" si="2"/>
        <v>Active(hellen.ult.B.changeskill.cost.skilleffect.03)</v>
      </c>
      <c r="O169" s="24">
        <v>0</v>
      </c>
      <c r="P169" s="24">
        <v>500</v>
      </c>
      <c r="Q169" s="24"/>
      <c r="R169" s="24" t="b">
        <v>1</v>
      </c>
    </row>
    <row r="170" spans="1:18" s="13" customFormat="1">
      <c r="A170" s="24" t="s">
        <v>4424</v>
      </c>
      <c r="B170" s="24"/>
      <c r="C170" s="24"/>
      <c r="D170" s="24">
        <v>0</v>
      </c>
      <c r="E170" s="24">
        <v>1</v>
      </c>
      <c r="F170" s="24" t="s">
        <v>197</v>
      </c>
      <c r="G170" s="24" t="s">
        <v>198</v>
      </c>
      <c r="H170" s="24"/>
      <c r="I170" s="24">
        <v>0</v>
      </c>
      <c r="J170" s="24" t="s">
        <v>893</v>
      </c>
      <c r="K170" s="24" t="s">
        <v>4430</v>
      </c>
      <c r="L170" s="24"/>
      <c r="M170" s="24"/>
      <c r="N170" s="24" t="str">
        <f t="shared" si="2"/>
        <v>Active(hellen.ult.B.changeskill.cost.skilleffect.04)</v>
      </c>
      <c r="O170" s="24">
        <v>0</v>
      </c>
      <c r="P170" s="24">
        <v>500</v>
      </c>
      <c r="Q170" s="24"/>
      <c r="R170" s="24" t="b">
        <v>1</v>
      </c>
    </row>
    <row r="171" spans="1:18" s="13" customFormat="1">
      <c r="A171" s="24" t="s">
        <v>4425</v>
      </c>
      <c r="B171" s="24"/>
      <c r="C171" s="24"/>
      <c r="D171" s="24">
        <v>0</v>
      </c>
      <c r="E171" s="24">
        <v>1</v>
      </c>
      <c r="F171" s="24" t="s">
        <v>197</v>
      </c>
      <c r="G171" s="24" t="s">
        <v>198</v>
      </c>
      <c r="H171" s="24"/>
      <c r="I171" s="24">
        <v>0</v>
      </c>
      <c r="J171" s="24" t="s">
        <v>893</v>
      </c>
      <c r="K171" s="24" t="s">
        <v>4431</v>
      </c>
      <c r="L171" s="24"/>
      <c r="M171" s="24"/>
      <c r="N171" s="24" t="str">
        <f t="shared" si="2"/>
        <v>Active(hellen.ult.B.changeskill.cost.skilleffect.05)</v>
      </c>
      <c r="O171" s="24">
        <v>0</v>
      </c>
      <c r="P171" s="24">
        <v>500</v>
      </c>
      <c r="Q171" s="24"/>
      <c r="R171" s="24" t="b">
        <v>1</v>
      </c>
    </row>
    <row r="172" spans="1:18">
      <c r="A172" s="34" t="s">
        <v>4426</v>
      </c>
      <c r="B172" s="34"/>
      <c r="C172" s="34"/>
      <c r="D172" s="34">
        <v>0</v>
      </c>
      <c r="E172" s="34">
        <v>1</v>
      </c>
      <c r="F172" s="34" t="s">
        <v>197</v>
      </c>
      <c r="G172" s="34" t="s">
        <v>198</v>
      </c>
      <c r="H172" s="34"/>
      <c r="I172" s="34">
        <v>0</v>
      </c>
      <c r="J172" s="34" t="s">
        <v>893</v>
      </c>
      <c r="K172" s="34" t="s">
        <v>4432</v>
      </c>
      <c r="L172" s="34"/>
      <c r="M172" s="34"/>
      <c r="N172" s="34" t="str">
        <f t="shared" si="2"/>
        <v>Active(hellen.ult.B.changeskill.cost.skilleffect.06)</v>
      </c>
      <c r="O172" s="34">
        <v>0</v>
      </c>
      <c r="P172" s="34">
        <v>500</v>
      </c>
      <c r="Q172" s="34"/>
      <c r="R172" s="34" t="b">
        <v>1</v>
      </c>
    </row>
    <row r="173" spans="1:18">
      <c r="A173" s="34" t="s">
        <v>4427</v>
      </c>
      <c r="B173" s="34"/>
      <c r="C173" s="34"/>
      <c r="D173" s="34">
        <v>0</v>
      </c>
      <c r="E173" s="34">
        <v>1</v>
      </c>
      <c r="F173" s="34" t="s">
        <v>197</v>
      </c>
      <c r="G173" s="34" t="s">
        <v>198</v>
      </c>
      <c r="H173" s="34"/>
      <c r="I173" s="34">
        <v>0</v>
      </c>
      <c r="J173" s="34" t="s">
        <v>893</v>
      </c>
      <c r="K173" s="34" t="s">
        <v>4433</v>
      </c>
      <c r="L173" s="34"/>
      <c r="M173" s="34"/>
      <c r="N173" s="34" t="str">
        <f t="shared" si="2"/>
        <v>Active(hellen.ult.B.changeskill.cost.skilleffect.07)</v>
      </c>
      <c r="O173" s="34">
        <v>0</v>
      </c>
      <c r="P173" s="34">
        <v>500</v>
      </c>
      <c r="Q173" s="34"/>
      <c r="R173" s="34" t="b">
        <v>1</v>
      </c>
    </row>
    <row r="174" spans="1:18">
      <c r="A174" s="23" t="s">
        <v>3270</v>
      </c>
      <c r="B174" s="23"/>
      <c r="C174" s="23"/>
      <c r="D174" s="23">
        <v>0</v>
      </c>
      <c r="E174" s="23">
        <v>1</v>
      </c>
      <c r="F174" s="23" t="s">
        <v>197</v>
      </c>
      <c r="G174" s="23" t="s">
        <v>198</v>
      </c>
      <c r="H174" s="23"/>
      <c r="I174" s="23">
        <v>0</v>
      </c>
      <c r="J174" s="23" t="s">
        <v>895</v>
      </c>
      <c r="K174" s="23" t="s">
        <v>896</v>
      </c>
      <c r="L174" s="23" t="s">
        <v>7242</v>
      </c>
      <c r="M174" s="23"/>
      <c r="N174" s="23" t="str">
        <f t="shared" si="2"/>
        <v>SkillEffectModifier(Op, hellen.ult.B.modifier.01)</v>
      </c>
      <c r="O174" s="23">
        <v>0</v>
      </c>
      <c r="P174" s="23">
        <v>0</v>
      </c>
      <c r="Q174" s="23"/>
      <c r="R174" s="23" t="b">
        <v>1</v>
      </c>
    </row>
    <row r="175" spans="1:18">
      <c r="A175" s="23" t="s">
        <v>3271</v>
      </c>
      <c r="B175" s="23"/>
      <c r="C175" s="23"/>
      <c r="D175" s="23">
        <v>0</v>
      </c>
      <c r="E175" s="23">
        <v>1</v>
      </c>
      <c r="F175" s="23" t="s">
        <v>197</v>
      </c>
      <c r="G175" s="23" t="s">
        <v>198</v>
      </c>
      <c r="H175" s="23"/>
      <c r="I175" s="23">
        <v>0</v>
      </c>
      <c r="J175" s="23" t="s">
        <v>895</v>
      </c>
      <c r="K175" s="23" t="s">
        <v>896</v>
      </c>
      <c r="L175" s="23" t="s">
        <v>3276</v>
      </c>
      <c r="M175" s="23"/>
      <c r="N175" s="23" t="str">
        <f t="shared" si="2"/>
        <v>SkillEffectModifier(Op, hellen.ult.B.modifier.02)</v>
      </c>
      <c r="O175" s="23">
        <v>0</v>
      </c>
      <c r="P175" s="23">
        <v>0</v>
      </c>
      <c r="Q175" s="23"/>
      <c r="R175" s="23" t="b">
        <v>1</v>
      </c>
    </row>
    <row r="176" spans="1:18">
      <c r="A176" s="23" t="s">
        <v>3272</v>
      </c>
      <c r="B176" s="23"/>
      <c r="C176" s="23"/>
      <c r="D176" s="23">
        <v>0</v>
      </c>
      <c r="E176" s="23">
        <v>1</v>
      </c>
      <c r="F176" s="23" t="s">
        <v>197</v>
      </c>
      <c r="G176" s="23" t="s">
        <v>198</v>
      </c>
      <c r="H176" s="23"/>
      <c r="I176" s="23">
        <v>0</v>
      </c>
      <c r="J176" s="23" t="s">
        <v>895</v>
      </c>
      <c r="K176" s="23" t="s">
        <v>896</v>
      </c>
      <c r="L176" s="23" t="s">
        <v>3277</v>
      </c>
      <c r="M176" s="23"/>
      <c r="N176" s="23" t="str">
        <f t="shared" si="2"/>
        <v>SkillEffectModifier(Op, hellen.ult.B.modifier.03)</v>
      </c>
      <c r="O176" s="23">
        <v>0</v>
      </c>
      <c r="P176" s="23">
        <v>0</v>
      </c>
      <c r="Q176" s="23"/>
      <c r="R176" s="23" t="b">
        <v>1</v>
      </c>
    </row>
    <row r="177" spans="1:18">
      <c r="A177" s="23" t="s">
        <v>3273</v>
      </c>
      <c r="B177" s="23"/>
      <c r="C177" s="23"/>
      <c r="D177" s="23">
        <v>0</v>
      </c>
      <c r="E177" s="23">
        <v>1</v>
      </c>
      <c r="F177" s="23" t="s">
        <v>197</v>
      </c>
      <c r="G177" s="23" t="s">
        <v>198</v>
      </c>
      <c r="H177" s="23"/>
      <c r="I177" s="23">
        <v>0</v>
      </c>
      <c r="J177" s="23" t="s">
        <v>895</v>
      </c>
      <c r="K177" s="23" t="s">
        <v>896</v>
      </c>
      <c r="L177" s="23" t="s">
        <v>3278</v>
      </c>
      <c r="M177" s="23"/>
      <c r="N177" s="23" t="str">
        <f t="shared" si="2"/>
        <v>SkillEffectModifier(Op, hellen.ult.B.modifier.04)</v>
      </c>
      <c r="O177" s="23">
        <v>0</v>
      </c>
      <c r="P177" s="23">
        <v>0</v>
      </c>
      <c r="Q177" s="23"/>
      <c r="R177" s="23" t="b">
        <v>1</v>
      </c>
    </row>
    <row r="178" spans="1:18">
      <c r="A178" s="23" t="s">
        <v>3274</v>
      </c>
      <c r="B178" s="23"/>
      <c r="C178" s="23"/>
      <c r="D178" s="23">
        <v>0</v>
      </c>
      <c r="E178" s="23">
        <v>1</v>
      </c>
      <c r="F178" s="23" t="s">
        <v>197</v>
      </c>
      <c r="G178" s="23" t="s">
        <v>198</v>
      </c>
      <c r="H178" s="23"/>
      <c r="I178" s="23">
        <v>0</v>
      </c>
      <c r="J178" s="23" t="s">
        <v>895</v>
      </c>
      <c r="K178" s="23" t="s">
        <v>896</v>
      </c>
      <c r="L178" s="23" t="s">
        <v>3279</v>
      </c>
      <c r="M178" s="23"/>
      <c r="N178" s="23" t="str">
        <f t="shared" si="2"/>
        <v>SkillEffectModifier(Op, hellen.ult.B.modifier.05)</v>
      </c>
      <c r="O178" s="23">
        <v>0</v>
      </c>
      <c r="P178" s="23">
        <v>0</v>
      </c>
      <c r="Q178" s="23"/>
      <c r="R178" s="23" t="b">
        <v>1</v>
      </c>
    </row>
    <row r="179" spans="1:18">
      <c r="A179" s="34" t="s">
        <v>3275</v>
      </c>
      <c r="B179" s="34"/>
      <c r="C179" s="34"/>
      <c r="D179" s="34">
        <v>0</v>
      </c>
      <c r="E179" s="34">
        <v>1</v>
      </c>
      <c r="F179" s="34" t="s">
        <v>197</v>
      </c>
      <c r="G179" s="34" t="s">
        <v>198</v>
      </c>
      <c r="H179" s="34"/>
      <c r="I179" s="34">
        <v>0</v>
      </c>
      <c r="J179" s="34" t="s">
        <v>895</v>
      </c>
      <c r="K179" s="34" t="s">
        <v>896</v>
      </c>
      <c r="L179" s="34" t="s">
        <v>3280</v>
      </c>
      <c r="M179" s="34"/>
      <c r="N179" s="34" t="str">
        <f t="shared" si="2"/>
        <v>SkillEffectModifier(Op, hellen.ult.B.modifier.06)</v>
      </c>
      <c r="O179" s="34">
        <v>0</v>
      </c>
      <c r="P179" s="34">
        <v>0</v>
      </c>
      <c r="Q179" s="34"/>
      <c r="R179" s="34" t="b">
        <v>1</v>
      </c>
    </row>
    <row r="180" spans="1:18">
      <c r="A180" s="34" t="s">
        <v>3281</v>
      </c>
      <c r="B180" s="34"/>
      <c r="C180" s="34"/>
      <c r="D180" s="34">
        <v>0</v>
      </c>
      <c r="E180" s="34">
        <v>1</v>
      </c>
      <c r="F180" s="34" t="s">
        <v>197</v>
      </c>
      <c r="G180" s="34" t="s">
        <v>198</v>
      </c>
      <c r="H180" s="34"/>
      <c r="I180" s="34">
        <v>0</v>
      </c>
      <c r="J180" s="34" t="s">
        <v>895</v>
      </c>
      <c r="K180" s="34" t="s">
        <v>896</v>
      </c>
      <c r="L180" s="34" t="s">
        <v>3282</v>
      </c>
      <c r="M180" s="34"/>
      <c r="N180" s="34" t="str">
        <f t="shared" si="2"/>
        <v>SkillEffectModifier(Op, hellen.ult.B.modifier.07)</v>
      </c>
      <c r="O180" s="34">
        <v>0</v>
      </c>
      <c r="P180" s="34">
        <v>0</v>
      </c>
      <c r="Q180" s="34"/>
      <c r="R180" s="34" t="b">
        <v>1</v>
      </c>
    </row>
    <row r="181" spans="1:18">
      <c r="A181" s="25" t="s">
        <v>810</v>
      </c>
      <c r="B181" s="25"/>
      <c r="C181" s="25"/>
      <c r="D181" s="25">
        <v>0</v>
      </c>
      <c r="E181" s="25">
        <v>1</v>
      </c>
      <c r="F181" s="25" t="s">
        <v>197</v>
      </c>
      <c r="G181" s="25" t="s">
        <v>198</v>
      </c>
      <c r="H181" s="25"/>
      <c r="I181" s="25">
        <v>0</v>
      </c>
      <c r="J181" s="25" t="s">
        <v>889</v>
      </c>
      <c r="K181" s="25" t="s">
        <v>993</v>
      </c>
      <c r="L181" s="25">
        <v>44</v>
      </c>
      <c r="M181" s="25"/>
      <c r="N181" s="25" t="str">
        <f t="shared" si="2"/>
        <v>Shield(MaxHp, 44)</v>
      </c>
      <c r="O181" s="25">
        <v>0</v>
      </c>
      <c r="P181" s="25">
        <v>0</v>
      </c>
      <c r="Q181" s="25"/>
      <c r="R181" s="25" t="b">
        <v>1</v>
      </c>
    </row>
    <row r="182" spans="1:18">
      <c r="A182" s="25" t="s">
        <v>811</v>
      </c>
      <c r="B182" s="25"/>
      <c r="C182" s="25"/>
      <c r="D182" s="25">
        <v>0</v>
      </c>
      <c r="E182" s="25">
        <v>1</v>
      </c>
      <c r="F182" s="25" t="s">
        <v>197</v>
      </c>
      <c r="G182" s="25" t="s">
        <v>198</v>
      </c>
      <c r="H182" s="25"/>
      <c r="I182" s="25">
        <v>0</v>
      </c>
      <c r="J182" s="25" t="s">
        <v>889</v>
      </c>
      <c r="K182" s="25" t="s">
        <v>993</v>
      </c>
      <c r="L182" s="25">
        <v>48</v>
      </c>
      <c r="M182" s="25"/>
      <c r="N182" s="25" t="str">
        <f t="shared" si="2"/>
        <v>Shield(MaxHp, 48)</v>
      </c>
      <c r="O182" s="25">
        <v>0</v>
      </c>
      <c r="P182" s="25">
        <v>0</v>
      </c>
      <c r="Q182" s="25"/>
      <c r="R182" s="25" t="b">
        <v>1</v>
      </c>
    </row>
    <row r="183" spans="1:18">
      <c r="A183" s="34" t="s">
        <v>812</v>
      </c>
      <c r="B183" s="34"/>
      <c r="C183" s="34"/>
      <c r="D183" s="34">
        <v>0</v>
      </c>
      <c r="E183" s="34">
        <v>1</v>
      </c>
      <c r="F183" s="34" t="s">
        <v>197</v>
      </c>
      <c r="G183" s="34" t="s">
        <v>198</v>
      </c>
      <c r="H183" s="34"/>
      <c r="I183" s="34">
        <v>0</v>
      </c>
      <c r="J183" s="34" t="s">
        <v>889</v>
      </c>
      <c r="K183" s="34" t="s">
        <v>993</v>
      </c>
      <c r="L183" s="34">
        <v>52</v>
      </c>
      <c r="M183" s="34"/>
      <c r="N183" s="34" t="str">
        <f t="shared" si="2"/>
        <v>Shield(MaxHp, 52)</v>
      </c>
      <c r="O183" s="34">
        <v>0</v>
      </c>
      <c r="P183" s="34">
        <v>0</v>
      </c>
      <c r="Q183" s="34"/>
      <c r="R183" s="34" t="b">
        <v>1</v>
      </c>
    </row>
    <row r="184" spans="1:18">
      <c r="A184" s="34" t="s">
        <v>7200</v>
      </c>
      <c r="B184" s="34"/>
      <c r="C184" s="34"/>
      <c r="D184" s="34">
        <v>0</v>
      </c>
      <c r="E184" s="34">
        <v>1</v>
      </c>
      <c r="F184" s="34" t="s">
        <v>197</v>
      </c>
      <c r="G184" s="34" t="s">
        <v>198</v>
      </c>
      <c r="H184" s="34"/>
      <c r="I184" s="34">
        <v>0</v>
      </c>
      <c r="J184" s="34" t="s">
        <v>889</v>
      </c>
      <c r="K184" s="34" t="s">
        <v>993</v>
      </c>
      <c r="L184" s="34">
        <v>56</v>
      </c>
      <c r="M184" s="34"/>
      <c r="N184" s="34" t="str">
        <f t="shared" si="2"/>
        <v>Shield(MaxHp, 56)</v>
      </c>
      <c r="O184" s="34">
        <v>0</v>
      </c>
      <c r="P184" s="34">
        <v>0</v>
      </c>
      <c r="Q184" s="34"/>
      <c r="R184" s="34" t="b">
        <v>1</v>
      </c>
    </row>
    <row r="185" spans="1:18">
      <c r="A185" s="34" t="s">
        <v>2616</v>
      </c>
      <c r="B185" s="34"/>
      <c r="C185" s="34"/>
      <c r="D185" s="34">
        <v>0</v>
      </c>
      <c r="E185" s="34">
        <v>1</v>
      </c>
      <c r="F185" s="34" t="s">
        <v>197</v>
      </c>
      <c r="G185" s="34" t="s">
        <v>198</v>
      </c>
      <c r="H185" s="34"/>
      <c r="I185" s="34">
        <v>0</v>
      </c>
      <c r="J185" s="34" t="s">
        <v>889</v>
      </c>
      <c r="K185" s="34" t="s">
        <v>993</v>
      </c>
      <c r="L185" s="34">
        <v>120</v>
      </c>
      <c r="M185" s="34"/>
      <c r="N185" s="34" t="str">
        <f t="shared" si="2"/>
        <v>Shield(MaxHp, 120)</v>
      </c>
      <c r="O185" s="34">
        <v>0</v>
      </c>
      <c r="P185" s="34">
        <v>0</v>
      </c>
      <c r="Q185" s="34"/>
      <c r="R185" s="34" t="b">
        <v>1</v>
      </c>
    </row>
    <row r="186" spans="1:18">
      <c r="A186" s="34" t="s">
        <v>2617</v>
      </c>
      <c r="B186" s="34"/>
      <c r="C186" s="34"/>
      <c r="D186" s="34">
        <v>0</v>
      </c>
      <c r="E186" s="34">
        <v>1</v>
      </c>
      <c r="F186" s="34" t="s">
        <v>197</v>
      </c>
      <c r="G186" s="34" t="s">
        <v>198</v>
      </c>
      <c r="H186" s="34"/>
      <c r="I186" s="34">
        <v>0</v>
      </c>
      <c r="J186" s="34" t="s">
        <v>889</v>
      </c>
      <c r="K186" s="34" t="s">
        <v>993</v>
      </c>
      <c r="L186" s="34">
        <v>120</v>
      </c>
      <c r="M186" s="34"/>
      <c r="N186" s="34" t="str">
        <f t="shared" si="2"/>
        <v>Shield(MaxHp, 120)</v>
      </c>
      <c r="O186" s="34">
        <v>0</v>
      </c>
      <c r="P186" s="34">
        <v>0</v>
      </c>
      <c r="Q186" s="34"/>
      <c r="R186" s="34" t="b">
        <v>1</v>
      </c>
    </row>
    <row r="187" spans="1:18">
      <c r="A187" s="25" t="s">
        <v>1290</v>
      </c>
      <c r="B187" s="25"/>
      <c r="C187" s="25"/>
      <c r="D187" s="25">
        <v>0</v>
      </c>
      <c r="E187" s="25">
        <v>1</v>
      </c>
      <c r="F187" s="25" t="s">
        <v>197</v>
      </c>
      <c r="G187" s="25" t="s">
        <v>198</v>
      </c>
      <c r="H187" s="25"/>
      <c r="I187" s="25">
        <v>0</v>
      </c>
      <c r="J187" s="25" t="s">
        <v>191</v>
      </c>
      <c r="K187" s="25" t="s">
        <v>2426</v>
      </c>
      <c r="L187" s="25" t="s">
        <v>4656</v>
      </c>
      <c r="M187" s="25"/>
      <c r="N187" s="25" t="str">
        <f t="shared" si="2"/>
        <v>Effect(OnHeal, hellen.passive.buff.buffeffect.skilleffect.02.01)</v>
      </c>
      <c r="O187" s="25">
        <v>0</v>
      </c>
      <c r="P187" s="25">
        <v>0</v>
      </c>
      <c r="Q187" s="25"/>
      <c r="R187" s="25" t="b">
        <v>1</v>
      </c>
    </row>
    <row r="188" spans="1:18">
      <c r="A188" s="25" t="s">
        <v>1292</v>
      </c>
      <c r="B188" s="25"/>
      <c r="C188" s="25"/>
      <c r="D188" s="25">
        <v>0</v>
      </c>
      <c r="E188" s="25">
        <v>1</v>
      </c>
      <c r="F188" s="25" t="s">
        <v>197</v>
      </c>
      <c r="G188" s="25" t="s">
        <v>198</v>
      </c>
      <c r="H188" s="25"/>
      <c r="I188" s="25">
        <v>0</v>
      </c>
      <c r="J188" s="25" t="s">
        <v>191</v>
      </c>
      <c r="K188" s="25" t="s">
        <v>2426</v>
      </c>
      <c r="L188" s="25" t="s">
        <v>4651</v>
      </c>
      <c r="M188" s="25"/>
      <c r="N188" s="25" t="str">
        <f t="shared" si="2"/>
        <v>Effect(OnHeal, hellen.passive.buff.buffeffect.skilleffect.02.02)</v>
      </c>
      <c r="O188" s="25">
        <v>0</v>
      </c>
      <c r="P188" s="25">
        <v>0</v>
      </c>
      <c r="Q188" s="25"/>
      <c r="R188" s="25" t="b">
        <v>1</v>
      </c>
    </row>
    <row r="189" spans="1:18">
      <c r="A189" s="25" t="s">
        <v>1294</v>
      </c>
      <c r="B189" s="25"/>
      <c r="C189" s="25"/>
      <c r="D189" s="25">
        <v>0</v>
      </c>
      <c r="E189" s="25">
        <v>1</v>
      </c>
      <c r="F189" s="25" t="s">
        <v>197</v>
      </c>
      <c r="G189" s="25" t="s">
        <v>198</v>
      </c>
      <c r="H189" s="25"/>
      <c r="I189" s="25">
        <v>0</v>
      </c>
      <c r="J189" s="25" t="s">
        <v>191</v>
      </c>
      <c r="K189" s="25" t="s">
        <v>2426</v>
      </c>
      <c r="L189" s="25" t="s">
        <v>4652</v>
      </c>
      <c r="M189" s="25"/>
      <c r="N189" s="25" t="str">
        <f t="shared" si="2"/>
        <v>Effect(OnHeal, hellen.passive.buff.buffeffect.skilleffect.02.03)</v>
      </c>
      <c r="O189" s="25">
        <v>0</v>
      </c>
      <c r="P189" s="25">
        <v>0</v>
      </c>
      <c r="Q189" s="25"/>
      <c r="R189" s="25" t="b">
        <v>1</v>
      </c>
    </row>
    <row r="190" spans="1:18">
      <c r="A190" s="34" t="s">
        <v>1296</v>
      </c>
      <c r="B190" s="34"/>
      <c r="C190" s="34"/>
      <c r="D190" s="34">
        <v>0</v>
      </c>
      <c r="E190" s="34">
        <v>1</v>
      </c>
      <c r="F190" s="34" t="s">
        <v>197</v>
      </c>
      <c r="G190" s="34" t="s">
        <v>198</v>
      </c>
      <c r="H190" s="34"/>
      <c r="I190" s="34">
        <v>0</v>
      </c>
      <c r="J190" s="34" t="s">
        <v>191</v>
      </c>
      <c r="K190" s="34" t="s">
        <v>2426</v>
      </c>
      <c r="L190" s="34" t="s">
        <v>4653</v>
      </c>
      <c r="M190" s="34"/>
      <c r="N190" s="34" t="str">
        <f t="shared" si="2"/>
        <v>Effect(OnHeal, hellen.passive.buff.buffeffect.skilleffect.02.04)</v>
      </c>
      <c r="O190" s="34">
        <v>0</v>
      </c>
      <c r="P190" s="34">
        <v>0</v>
      </c>
      <c r="Q190" s="34"/>
      <c r="R190" s="34" t="b">
        <v>1</v>
      </c>
    </row>
    <row r="191" spans="1:18">
      <c r="A191" s="34" t="s">
        <v>1298</v>
      </c>
      <c r="B191" s="34"/>
      <c r="C191" s="34"/>
      <c r="D191" s="34">
        <v>0</v>
      </c>
      <c r="E191" s="34">
        <v>1</v>
      </c>
      <c r="F191" s="34" t="s">
        <v>197</v>
      </c>
      <c r="G191" s="34" t="s">
        <v>198</v>
      </c>
      <c r="H191" s="34"/>
      <c r="I191" s="34">
        <v>0</v>
      </c>
      <c r="J191" s="34" t="s">
        <v>191</v>
      </c>
      <c r="K191" s="34" t="s">
        <v>2426</v>
      </c>
      <c r="L191" s="34" t="s">
        <v>4654</v>
      </c>
      <c r="M191" s="34"/>
      <c r="N191" s="34" t="str">
        <f t="shared" si="2"/>
        <v>Effect(OnHeal, hellen.passive.buff.buffeffect.skilleffect.02.05)</v>
      </c>
      <c r="O191" s="34">
        <v>0</v>
      </c>
      <c r="P191" s="34">
        <v>0</v>
      </c>
      <c r="Q191" s="34"/>
      <c r="R191" s="34" t="b">
        <v>1</v>
      </c>
    </row>
    <row r="192" spans="1:18">
      <c r="A192" s="34" t="s">
        <v>1300</v>
      </c>
      <c r="B192" s="34"/>
      <c r="C192" s="34"/>
      <c r="D192" s="34">
        <v>0</v>
      </c>
      <c r="E192" s="34">
        <v>1</v>
      </c>
      <c r="F192" s="34" t="s">
        <v>197</v>
      </c>
      <c r="G192" s="34" t="s">
        <v>198</v>
      </c>
      <c r="H192" s="34"/>
      <c r="I192" s="34">
        <v>0</v>
      </c>
      <c r="J192" s="34" t="s">
        <v>191</v>
      </c>
      <c r="K192" s="34" t="s">
        <v>2426</v>
      </c>
      <c r="L192" s="34" t="s">
        <v>4655</v>
      </c>
      <c r="M192" s="34"/>
      <c r="N192" s="34" t="str">
        <f t="shared" si="2"/>
        <v>Effect(OnHeal, hellen.passive.buff.buffeffect.skilleffect.02.06)</v>
      </c>
      <c r="O192" s="34">
        <v>0</v>
      </c>
      <c r="P192" s="34">
        <v>0</v>
      </c>
      <c r="Q192" s="34"/>
      <c r="R192" s="34" t="b">
        <v>1</v>
      </c>
    </row>
    <row r="193" spans="1:18">
      <c r="A193" s="26" t="s">
        <v>8647</v>
      </c>
      <c r="B193" s="26"/>
      <c r="C193" s="26"/>
      <c r="D193" s="26">
        <v>0</v>
      </c>
      <c r="E193" s="26">
        <v>1</v>
      </c>
      <c r="F193" s="26" t="s">
        <v>197</v>
      </c>
      <c r="G193" s="26" t="s">
        <v>198</v>
      </c>
      <c r="H193" s="26"/>
      <c r="I193" s="26">
        <v>0</v>
      </c>
      <c r="J193" s="26" t="s">
        <v>837</v>
      </c>
      <c r="K193" s="26"/>
      <c r="L193" s="26"/>
      <c r="M193" s="26"/>
      <c r="N193" s="26" t="str">
        <f t="shared" si="2"/>
        <v>None()</v>
      </c>
      <c r="O193" s="26">
        <v>0</v>
      </c>
      <c r="P193" s="26">
        <v>0</v>
      </c>
      <c r="Q193" s="26"/>
      <c r="R193" s="26" t="b">
        <v>1</v>
      </c>
    </row>
    <row r="194" spans="1:18">
      <c r="A194" s="25" t="s">
        <v>2420</v>
      </c>
      <c r="B194" s="25"/>
      <c r="C194" s="25"/>
      <c r="D194" s="25">
        <v>0</v>
      </c>
      <c r="E194" s="25">
        <v>1</v>
      </c>
      <c r="F194" s="25" t="s">
        <v>197</v>
      </c>
      <c r="G194" s="25" t="s">
        <v>198</v>
      </c>
      <c r="H194" s="25"/>
      <c r="I194" s="25">
        <v>0</v>
      </c>
      <c r="J194" s="25" t="s">
        <v>992</v>
      </c>
      <c r="K194" s="25" t="s">
        <v>993</v>
      </c>
      <c r="L194" s="25">
        <v>18</v>
      </c>
      <c r="M194" s="25"/>
      <c r="N194" s="25" t="str">
        <f t="shared" si="2"/>
        <v>Hot(MaxHp, 18)</v>
      </c>
      <c r="O194" s="25">
        <v>0</v>
      </c>
      <c r="P194" s="25">
        <v>1000</v>
      </c>
      <c r="Q194" s="25"/>
      <c r="R194" s="25" t="b">
        <v>1</v>
      </c>
    </row>
    <row r="195" spans="1:18">
      <c r="A195" s="25" t="s">
        <v>2421</v>
      </c>
      <c r="B195" s="25"/>
      <c r="C195" s="25"/>
      <c r="D195" s="25">
        <v>0</v>
      </c>
      <c r="E195" s="25">
        <v>1</v>
      </c>
      <c r="F195" s="25" t="s">
        <v>197</v>
      </c>
      <c r="G195" s="25" t="s">
        <v>198</v>
      </c>
      <c r="H195" s="25"/>
      <c r="I195" s="25">
        <v>0</v>
      </c>
      <c r="J195" s="25" t="s">
        <v>992</v>
      </c>
      <c r="K195" s="25" t="s">
        <v>993</v>
      </c>
      <c r="L195" s="25">
        <v>21</v>
      </c>
      <c r="M195" s="25"/>
      <c r="N195" s="25" t="str">
        <f t="shared" si="2"/>
        <v>Hot(MaxHp, 21)</v>
      </c>
      <c r="O195" s="25">
        <v>0</v>
      </c>
      <c r="P195" s="25">
        <v>1000</v>
      </c>
      <c r="Q195" s="25"/>
      <c r="R195" s="25" t="b">
        <v>1</v>
      </c>
    </row>
    <row r="196" spans="1:18">
      <c r="A196" s="25" t="s">
        <v>2422</v>
      </c>
      <c r="B196" s="25"/>
      <c r="C196" s="25"/>
      <c r="D196" s="25">
        <v>0</v>
      </c>
      <c r="E196" s="25">
        <v>1</v>
      </c>
      <c r="F196" s="25" t="s">
        <v>197</v>
      </c>
      <c r="G196" s="25" t="s">
        <v>198</v>
      </c>
      <c r="H196" s="25"/>
      <c r="I196" s="25">
        <v>0</v>
      </c>
      <c r="J196" s="25" t="s">
        <v>992</v>
      </c>
      <c r="K196" s="25" t="s">
        <v>993</v>
      </c>
      <c r="L196" s="25">
        <v>24</v>
      </c>
      <c r="M196" s="25"/>
      <c r="N196" s="25" t="str">
        <f t="shared" si="2"/>
        <v>Hot(MaxHp, 24)</v>
      </c>
      <c r="O196" s="25">
        <v>0</v>
      </c>
      <c r="P196" s="25">
        <v>1000</v>
      </c>
      <c r="Q196" s="25"/>
      <c r="R196" s="25" t="b">
        <v>1</v>
      </c>
    </row>
    <row r="197" spans="1:18">
      <c r="A197" s="25" t="s">
        <v>2423</v>
      </c>
      <c r="B197" s="25"/>
      <c r="C197" s="25"/>
      <c r="D197" s="25">
        <v>0</v>
      </c>
      <c r="E197" s="25">
        <v>1</v>
      </c>
      <c r="F197" s="25" t="s">
        <v>197</v>
      </c>
      <c r="G197" s="25" t="s">
        <v>198</v>
      </c>
      <c r="H197" s="25"/>
      <c r="I197" s="25">
        <v>0</v>
      </c>
      <c r="J197" s="25" t="s">
        <v>992</v>
      </c>
      <c r="K197" s="25" t="s">
        <v>993</v>
      </c>
      <c r="L197" s="25">
        <v>27</v>
      </c>
      <c r="M197" s="25"/>
      <c r="N197" s="25" t="str">
        <f t="shared" si="2"/>
        <v>Hot(MaxHp, 27)</v>
      </c>
      <c r="O197" s="25">
        <v>0</v>
      </c>
      <c r="P197" s="25">
        <v>1000</v>
      </c>
      <c r="Q197" s="25"/>
      <c r="R197" s="25" t="b">
        <v>1</v>
      </c>
    </row>
    <row r="198" spans="1:18">
      <c r="A198" s="34" t="s">
        <v>2424</v>
      </c>
      <c r="B198" s="34"/>
      <c r="C198" s="34"/>
      <c r="D198" s="34">
        <v>0</v>
      </c>
      <c r="E198" s="34">
        <v>1</v>
      </c>
      <c r="F198" s="34" t="s">
        <v>197</v>
      </c>
      <c r="G198" s="34" t="s">
        <v>198</v>
      </c>
      <c r="H198" s="34"/>
      <c r="I198" s="34">
        <v>0</v>
      </c>
      <c r="J198" s="34" t="s">
        <v>992</v>
      </c>
      <c r="K198" s="34" t="s">
        <v>993</v>
      </c>
      <c r="L198" s="34">
        <v>32</v>
      </c>
      <c r="M198" s="34"/>
      <c r="N198" s="34" t="str">
        <f t="shared" si="2"/>
        <v>Hot(MaxHp, 32)</v>
      </c>
      <c r="O198" s="34">
        <v>0</v>
      </c>
      <c r="P198" s="34">
        <v>1000</v>
      </c>
      <c r="Q198" s="34"/>
      <c r="R198" s="34" t="b">
        <v>1</v>
      </c>
    </row>
    <row r="199" spans="1:18">
      <c r="A199" s="34" t="s">
        <v>2425</v>
      </c>
      <c r="B199" s="34"/>
      <c r="C199" s="34"/>
      <c r="D199" s="34">
        <v>0</v>
      </c>
      <c r="E199" s="34">
        <v>1</v>
      </c>
      <c r="F199" s="34" t="s">
        <v>197</v>
      </c>
      <c r="G199" s="34" t="s">
        <v>198</v>
      </c>
      <c r="H199" s="34"/>
      <c r="I199" s="34">
        <v>0</v>
      </c>
      <c r="J199" s="34" t="s">
        <v>992</v>
      </c>
      <c r="K199" s="34" t="s">
        <v>993</v>
      </c>
      <c r="L199" s="34">
        <v>32</v>
      </c>
      <c r="M199" s="34"/>
      <c r="N199" s="34" t="str">
        <f t="shared" ref="N199:N279" si="4">J199&amp;"("&amp;IF(K199="","",K199)&amp;IF(L199="","",", "&amp;L199)&amp;IF(M199="","",", "&amp;M199)&amp;")"</f>
        <v>Hot(MaxHp, 32)</v>
      </c>
      <c r="O199" s="34">
        <v>0</v>
      </c>
      <c r="P199" s="34">
        <v>1000</v>
      </c>
      <c r="Q199" s="34"/>
      <c r="R199" s="34" t="b">
        <v>1</v>
      </c>
    </row>
    <row r="200" spans="1:18">
      <c r="A200" s="26" t="s">
        <v>7243</v>
      </c>
      <c r="B200" s="26" t="s">
        <v>1367</v>
      </c>
      <c r="C200" s="26" t="s">
        <v>3186</v>
      </c>
      <c r="D200" s="26">
        <v>0</v>
      </c>
      <c r="E200" s="26">
        <v>1</v>
      </c>
      <c r="F200" s="26" t="s">
        <v>197</v>
      </c>
      <c r="G200" s="26" t="s">
        <v>198</v>
      </c>
      <c r="H200" s="26"/>
      <c r="I200" s="26">
        <v>0</v>
      </c>
      <c r="J200" s="26" t="s">
        <v>1254</v>
      </c>
      <c r="K200" s="26" t="s">
        <v>4645</v>
      </c>
      <c r="L200" s="26"/>
      <c r="M200" s="26"/>
      <c r="N200" s="26" t="str">
        <f t="shared" si="4"/>
        <v>Passive(hellen.passive.ex.aroma.buff.01)</v>
      </c>
      <c r="O200" s="26">
        <v>0</v>
      </c>
      <c r="P200" s="26">
        <v>0</v>
      </c>
      <c r="Q200" s="26"/>
      <c r="R200" s="26" t="b">
        <v>1</v>
      </c>
    </row>
    <row r="201" spans="1:18">
      <c r="A201" s="26" t="s">
        <v>6350</v>
      </c>
      <c r="B201" s="26" t="s">
        <v>1367</v>
      </c>
      <c r="C201" s="26" t="s">
        <v>3181</v>
      </c>
      <c r="D201" s="26">
        <v>0</v>
      </c>
      <c r="E201" s="26">
        <v>1</v>
      </c>
      <c r="F201" s="26" t="s">
        <v>197</v>
      </c>
      <c r="G201" s="26" t="s">
        <v>198</v>
      </c>
      <c r="H201" s="26"/>
      <c r="I201" s="26">
        <v>0</v>
      </c>
      <c r="J201" s="26" t="s">
        <v>1254</v>
      </c>
      <c r="K201" s="26" t="s">
        <v>4646</v>
      </c>
      <c r="L201" s="26"/>
      <c r="M201" s="26"/>
      <c r="N201" s="26" t="str">
        <f t="shared" si="4"/>
        <v>Passive(hellen.passive.ex.aroma.buff.02)</v>
      </c>
      <c r="O201" s="26">
        <v>0</v>
      </c>
      <c r="P201" s="26">
        <v>0</v>
      </c>
      <c r="Q201" s="26"/>
      <c r="R201" s="26" t="b">
        <v>1</v>
      </c>
    </row>
    <row r="202" spans="1:18">
      <c r="A202" s="26" t="s">
        <v>6351</v>
      </c>
      <c r="B202" s="26" t="s">
        <v>1367</v>
      </c>
      <c r="C202" s="26" t="s">
        <v>3182</v>
      </c>
      <c r="D202" s="26">
        <v>0</v>
      </c>
      <c r="E202" s="26">
        <v>1</v>
      </c>
      <c r="F202" s="26" t="s">
        <v>197</v>
      </c>
      <c r="G202" s="26" t="s">
        <v>198</v>
      </c>
      <c r="H202" s="26"/>
      <c r="I202" s="26">
        <v>0</v>
      </c>
      <c r="J202" s="26" t="s">
        <v>1254</v>
      </c>
      <c r="K202" s="26" t="s">
        <v>4647</v>
      </c>
      <c r="L202" s="26"/>
      <c r="M202" s="26"/>
      <c r="N202" s="26" t="str">
        <f t="shared" si="4"/>
        <v>Passive(hellen.passive.ex.aroma.buff.03)</v>
      </c>
      <c r="O202" s="26">
        <v>0</v>
      </c>
      <c r="P202" s="26">
        <v>0</v>
      </c>
      <c r="Q202" s="26"/>
      <c r="R202" s="26" t="b">
        <v>1</v>
      </c>
    </row>
    <row r="203" spans="1:18">
      <c r="A203" s="34" t="s">
        <v>6352</v>
      </c>
      <c r="B203" s="34" t="s">
        <v>1367</v>
      </c>
      <c r="C203" s="34" t="s">
        <v>3183</v>
      </c>
      <c r="D203" s="34">
        <v>0</v>
      </c>
      <c r="E203" s="34">
        <v>1</v>
      </c>
      <c r="F203" s="34" t="s">
        <v>197</v>
      </c>
      <c r="G203" s="34" t="s">
        <v>198</v>
      </c>
      <c r="H203" s="34"/>
      <c r="I203" s="34">
        <v>0</v>
      </c>
      <c r="J203" s="34" t="s">
        <v>1254</v>
      </c>
      <c r="K203" s="34" t="s">
        <v>4648</v>
      </c>
      <c r="L203" s="34"/>
      <c r="M203" s="34"/>
      <c r="N203" s="34" t="str">
        <f t="shared" si="4"/>
        <v>Passive(hellen.passive.ex.aroma.buff.04)</v>
      </c>
      <c r="O203" s="34">
        <v>0</v>
      </c>
      <c r="P203" s="34">
        <v>0</v>
      </c>
      <c r="Q203" s="34"/>
      <c r="R203" s="34" t="b">
        <v>1</v>
      </c>
    </row>
    <row r="204" spans="1:18">
      <c r="A204" s="34" t="s">
        <v>6353</v>
      </c>
      <c r="B204" s="34" t="s">
        <v>1367</v>
      </c>
      <c r="C204" s="34" t="s">
        <v>3184</v>
      </c>
      <c r="D204" s="34">
        <v>0</v>
      </c>
      <c r="E204" s="34">
        <v>1</v>
      </c>
      <c r="F204" s="34" t="s">
        <v>197</v>
      </c>
      <c r="G204" s="34" t="s">
        <v>198</v>
      </c>
      <c r="H204" s="34"/>
      <c r="I204" s="34">
        <v>0</v>
      </c>
      <c r="J204" s="34" t="s">
        <v>1254</v>
      </c>
      <c r="K204" s="34" t="s">
        <v>4649</v>
      </c>
      <c r="L204" s="34"/>
      <c r="M204" s="34"/>
      <c r="N204" s="34" t="str">
        <f t="shared" si="4"/>
        <v>Passive(hellen.passive.ex.aroma.buff.05)</v>
      </c>
      <c r="O204" s="34">
        <v>0</v>
      </c>
      <c r="P204" s="34">
        <v>0</v>
      </c>
      <c r="Q204" s="34"/>
      <c r="R204" s="34" t="b">
        <v>1</v>
      </c>
    </row>
    <row r="205" spans="1:18">
      <c r="A205" s="34" t="s">
        <v>6354</v>
      </c>
      <c r="B205" s="34" t="s">
        <v>1367</v>
      </c>
      <c r="C205" s="34" t="s">
        <v>3185</v>
      </c>
      <c r="D205" s="34">
        <v>0</v>
      </c>
      <c r="E205" s="34">
        <v>1</v>
      </c>
      <c r="F205" s="34" t="s">
        <v>197</v>
      </c>
      <c r="G205" s="34" t="s">
        <v>198</v>
      </c>
      <c r="H205" s="34"/>
      <c r="I205" s="34">
        <v>0</v>
      </c>
      <c r="J205" s="34" t="s">
        <v>1254</v>
      </c>
      <c r="K205" s="34" t="s">
        <v>4650</v>
      </c>
      <c r="L205" s="34"/>
      <c r="M205" s="34"/>
      <c r="N205" s="34" t="str">
        <f t="shared" si="4"/>
        <v>Passive(hellen.passive.ex.aroma.buff.06)</v>
      </c>
      <c r="O205" s="34">
        <v>0</v>
      </c>
      <c r="P205" s="34">
        <v>0</v>
      </c>
      <c r="Q205" s="34"/>
      <c r="R205" s="34" t="b">
        <v>1</v>
      </c>
    </row>
    <row r="206" spans="1:18">
      <c r="A206" s="45" t="s">
        <v>4639</v>
      </c>
      <c r="B206" s="26" t="s">
        <v>8648</v>
      </c>
      <c r="C206" s="26" t="s">
        <v>8646</v>
      </c>
      <c r="D206" s="26">
        <v>0</v>
      </c>
      <c r="E206" s="26">
        <v>1</v>
      </c>
      <c r="F206" s="26" t="s">
        <v>197</v>
      </c>
      <c r="G206" s="26" t="s">
        <v>198</v>
      </c>
      <c r="H206" s="26"/>
      <c r="I206" s="26">
        <v>0</v>
      </c>
      <c r="J206" s="26" t="s">
        <v>838</v>
      </c>
      <c r="K206" s="26" t="s">
        <v>926</v>
      </c>
      <c r="L206" s="26">
        <v>250</v>
      </c>
      <c r="M206" s="26"/>
      <c r="N206" s="26" t="str">
        <f t="shared" si="4"/>
        <v>Status(CriticalDamageRate, 250)</v>
      </c>
      <c r="O206" s="26">
        <v>0</v>
      </c>
      <c r="P206" s="26">
        <v>0</v>
      </c>
      <c r="Q206" s="26"/>
      <c r="R206" s="26" t="b">
        <v>1</v>
      </c>
    </row>
    <row r="207" spans="1:18">
      <c r="A207" s="45" t="s">
        <v>4640</v>
      </c>
      <c r="B207" s="26" t="s">
        <v>1414</v>
      </c>
      <c r="C207" s="26" t="s">
        <v>7228</v>
      </c>
      <c r="D207" s="26">
        <v>0</v>
      </c>
      <c r="E207" s="26">
        <v>1</v>
      </c>
      <c r="F207" s="26" t="s">
        <v>197</v>
      </c>
      <c r="G207" s="26" t="s">
        <v>198</v>
      </c>
      <c r="H207" s="26"/>
      <c r="I207" s="26">
        <v>0</v>
      </c>
      <c r="J207" s="26" t="s">
        <v>838</v>
      </c>
      <c r="K207" s="26" t="s">
        <v>926</v>
      </c>
      <c r="L207" s="26">
        <v>300</v>
      </c>
      <c r="M207" s="26"/>
      <c r="N207" s="26" t="str">
        <f t="shared" si="4"/>
        <v>Status(CriticalDamageRate, 300)</v>
      </c>
      <c r="O207" s="26">
        <v>0</v>
      </c>
      <c r="P207" s="26">
        <v>0</v>
      </c>
      <c r="Q207" s="26"/>
      <c r="R207" s="26" t="b">
        <v>1</v>
      </c>
    </row>
    <row r="208" spans="1:18">
      <c r="A208" s="45" t="s">
        <v>4641</v>
      </c>
      <c r="B208" s="26" t="s">
        <v>1414</v>
      </c>
      <c r="C208" s="26" t="s">
        <v>7228</v>
      </c>
      <c r="D208" s="26">
        <v>0</v>
      </c>
      <c r="E208" s="26">
        <v>1</v>
      </c>
      <c r="F208" s="26" t="s">
        <v>197</v>
      </c>
      <c r="G208" s="26" t="s">
        <v>198</v>
      </c>
      <c r="H208" s="26"/>
      <c r="I208" s="26">
        <v>0</v>
      </c>
      <c r="J208" s="26" t="s">
        <v>838</v>
      </c>
      <c r="K208" s="26" t="s">
        <v>926</v>
      </c>
      <c r="L208" s="26">
        <v>350</v>
      </c>
      <c r="M208" s="26"/>
      <c r="N208" s="26" t="str">
        <f t="shared" si="4"/>
        <v>Status(CriticalDamageRate, 350)</v>
      </c>
      <c r="O208" s="26">
        <v>0</v>
      </c>
      <c r="P208" s="26">
        <v>0</v>
      </c>
      <c r="Q208" s="26"/>
      <c r="R208" s="26" t="b">
        <v>1</v>
      </c>
    </row>
    <row r="209" spans="1:18">
      <c r="A209" s="40" t="s">
        <v>4642</v>
      </c>
      <c r="B209" s="34" t="s">
        <v>1414</v>
      </c>
      <c r="C209" s="34" t="s">
        <v>7228</v>
      </c>
      <c r="D209" s="34">
        <v>0</v>
      </c>
      <c r="E209" s="34">
        <v>1</v>
      </c>
      <c r="F209" s="34" t="s">
        <v>197</v>
      </c>
      <c r="G209" s="34" t="s">
        <v>198</v>
      </c>
      <c r="H209" s="34"/>
      <c r="I209" s="34">
        <v>0</v>
      </c>
      <c r="J209" s="34" t="s">
        <v>838</v>
      </c>
      <c r="K209" s="34" t="s">
        <v>926</v>
      </c>
      <c r="L209" s="34">
        <v>400</v>
      </c>
      <c r="M209" s="34"/>
      <c r="N209" s="34" t="str">
        <f t="shared" si="4"/>
        <v>Status(CriticalDamageRate, 400)</v>
      </c>
      <c r="O209" s="34">
        <v>0</v>
      </c>
      <c r="P209" s="34">
        <v>0</v>
      </c>
      <c r="Q209" s="34"/>
      <c r="R209" s="34" t="b">
        <v>1</v>
      </c>
    </row>
    <row r="210" spans="1:18">
      <c r="A210" s="40" t="s">
        <v>4643</v>
      </c>
      <c r="B210" s="34" t="s">
        <v>1414</v>
      </c>
      <c r="C210" s="34" t="s">
        <v>7228</v>
      </c>
      <c r="D210" s="34">
        <v>0</v>
      </c>
      <c r="E210" s="34">
        <v>1</v>
      </c>
      <c r="F210" s="34" t="s">
        <v>197</v>
      </c>
      <c r="G210" s="34" t="s">
        <v>198</v>
      </c>
      <c r="H210" s="34"/>
      <c r="I210" s="34">
        <v>0</v>
      </c>
      <c r="J210" s="34" t="s">
        <v>838</v>
      </c>
      <c r="K210" s="34" t="s">
        <v>926</v>
      </c>
      <c r="L210" s="34">
        <v>900</v>
      </c>
      <c r="M210" s="34"/>
      <c r="N210" s="34" t="str">
        <f t="shared" si="4"/>
        <v>Status(CriticalDamageRate, 900)</v>
      </c>
      <c r="O210" s="34">
        <v>0</v>
      </c>
      <c r="P210" s="34">
        <v>0</v>
      </c>
      <c r="Q210" s="34"/>
      <c r="R210" s="34" t="b">
        <v>1</v>
      </c>
    </row>
    <row r="211" spans="1:18">
      <c r="A211" s="40" t="s">
        <v>4644</v>
      </c>
      <c r="B211" s="34" t="s">
        <v>1414</v>
      </c>
      <c r="C211" s="34" t="s">
        <v>7228</v>
      </c>
      <c r="D211" s="34">
        <v>0</v>
      </c>
      <c r="E211" s="34">
        <v>1</v>
      </c>
      <c r="F211" s="34" t="s">
        <v>197</v>
      </c>
      <c r="G211" s="34" t="s">
        <v>198</v>
      </c>
      <c r="H211" s="34"/>
      <c r="I211" s="34">
        <v>0</v>
      </c>
      <c r="J211" s="34" t="s">
        <v>838</v>
      </c>
      <c r="K211" s="34" t="s">
        <v>926</v>
      </c>
      <c r="L211" s="34">
        <v>1000</v>
      </c>
      <c r="M211" s="34"/>
      <c r="N211" s="34" t="str">
        <f t="shared" si="4"/>
        <v>Status(CriticalDamageRate, 1000)</v>
      </c>
      <c r="O211" s="34">
        <v>0</v>
      </c>
      <c r="P211" s="34">
        <v>0</v>
      </c>
      <c r="Q211" s="34"/>
      <c r="R211" s="34" t="b">
        <v>1</v>
      </c>
    </row>
    <row r="212" spans="1:18">
      <c r="A212" s="26" t="s">
        <v>814</v>
      </c>
      <c r="B212" s="26"/>
      <c r="C212" s="26"/>
      <c r="D212" s="26">
        <v>0</v>
      </c>
      <c r="E212" s="26">
        <v>1</v>
      </c>
      <c r="F212" s="26" t="s">
        <v>197</v>
      </c>
      <c r="G212" s="26" t="s">
        <v>198</v>
      </c>
      <c r="H212" s="26"/>
      <c r="I212" s="26">
        <v>0</v>
      </c>
      <c r="J212" s="26" t="s">
        <v>838</v>
      </c>
      <c r="K212" s="26" t="s">
        <v>918</v>
      </c>
      <c r="L212" s="26">
        <v>300</v>
      </c>
      <c r="M212" s="26"/>
      <c r="N212" s="26" t="str">
        <f t="shared" si="4"/>
        <v>Status(AttackSpeedRate, 300)</v>
      </c>
      <c r="O212" s="26">
        <v>0</v>
      </c>
      <c r="P212" s="26">
        <v>0</v>
      </c>
      <c r="Q212" s="26"/>
      <c r="R212" s="26" t="b">
        <v>1</v>
      </c>
    </row>
    <row r="213" spans="1:18">
      <c r="A213" s="26" t="s">
        <v>816</v>
      </c>
      <c r="B213" s="26"/>
      <c r="C213" s="26"/>
      <c r="D213" s="26">
        <v>0</v>
      </c>
      <c r="E213" s="26">
        <v>1</v>
      </c>
      <c r="F213" s="26" t="s">
        <v>197</v>
      </c>
      <c r="G213" s="26" t="s">
        <v>198</v>
      </c>
      <c r="H213" s="26"/>
      <c r="I213" s="26">
        <v>0</v>
      </c>
      <c r="J213" s="26" t="s">
        <v>838</v>
      </c>
      <c r="K213" s="26" t="s">
        <v>918</v>
      </c>
      <c r="L213" s="26">
        <v>350</v>
      </c>
      <c r="M213" s="26"/>
      <c r="N213" s="26" t="str">
        <f t="shared" si="4"/>
        <v>Status(AttackSpeedRate, 350)</v>
      </c>
      <c r="O213" s="26">
        <v>0</v>
      </c>
      <c r="P213" s="26">
        <v>0</v>
      </c>
      <c r="Q213" s="26"/>
      <c r="R213" s="26" t="b">
        <v>1</v>
      </c>
    </row>
    <row r="214" spans="1:18">
      <c r="A214" s="26" t="s">
        <v>818</v>
      </c>
      <c r="B214" s="26"/>
      <c r="C214" s="26"/>
      <c r="D214" s="26">
        <v>0</v>
      </c>
      <c r="E214" s="26">
        <v>1</v>
      </c>
      <c r="F214" s="26" t="s">
        <v>197</v>
      </c>
      <c r="G214" s="26" t="s">
        <v>198</v>
      </c>
      <c r="H214" s="26"/>
      <c r="I214" s="26">
        <v>0</v>
      </c>
      <c r="J214" s="26" t="s">
        <v>838</v>
      </c>
      <c r="K214" s="26" t="s">
        <v>918</v>
      </c>
      <c r="L214" s="26">
        <v>400</v>
      </c>
      <c r="M214" s="26"/>
      <c r="N214" s="26" t="str">
        <f t="shared" si="4"/>
        <v>Status(AttackSpeedRate, 400)</v>
      </c>
      <c r="O214" s="26">
        <v>0</v>
      </c>
      <c r="P214" s="26">
        <v>0</v>
      </c>
      <c r="Q214" s="26"/>
      <c r="R214" s="26" t="b">
        <v>1</v>
      </c>
    </row>
    <row r="215" spans="1:18">
      <c r="A215" s="34" t="s">
        <v>819</v>
      </c>
      <c r="B215" s="34"/>
      <c r="C215" s="34"/>
      <c r="D215" s="34">
        <v>0</v>
      </c>
      <c r="E215" s="34">
        <v>1</v>
      </c>
      <c r="F215" s="34" t="s">
        <v>197</v>
      </c>
      <c r="G215" s="34" t="s">
        <v>198</v>
      </c>
      <c r="H215" s="34"/>
      <c r="I215" s="34">
        <v>0</v>
      </c>
      <c r="J215" s="34" t="s">
        <v>838</v>
      </c>
      <c r="K215" s="34" t="s">
        <v>918</v>
      </c>
      <c r="L215" s="34">
        <v>500</v>
      </c>
      <c r="M215" s="34"/>
      <c r="N215" s="34" t="str">
        <f t="shared" si="4"/>
        <v>Status(AttackSpeedRate, 500)</v>
      </c>
      <c r="O215" s="34">
        <v>0</v>
      </c>
      <c r="P215" s="34">
        <v>0</v>
      </c>
      <c r="Q215" s="34"/>
      <c r="R215" s="34" t="b">
        <v>1</v>
      </c>
    </row>
    <row r="216" spans="1:18">
      <c r="A216" s="34" t="s">
        <v>821</v>
      </c>
      <c r="B216" s="34"/>
      <c r="C216" s="34"/>
      <c r="D216" s="34">
        <v>0</v>
      </c>
      <c r="E216" s="34">
        <v>1</v>
      </c>
      <c r="F216" s="34" t="s">
        <v>197</v>
      </c>
      <c r="G216" s="34" t="s">
        <v>198</v>
      </c>
      <c r="H216" s="34"/>
      <c r="I216" s="34">
        <v>0</v>
      </c>
      <c r="J216" s="34" t="s">
        <v>838</v>
      </c>
      <c r="K216" s="34" t="s">
        <v>918</v>
      </c>
      <c r="L216" s="34">
        <v>500</v>
      </c>
      <c r="M216" s="34"/>
      <c r="N216" s="34" t="str">
        <f t="shared" si="4"/>
        <v>Status(AttackSpeedRate, 500)</v>
      </c>
      <c r="O216" s="34">
        <v>0</v>
      </c>
      <c r="P216" s="34">
        <v>0</v>
      </c>
      <c r="Q216" s="34"/>
      <c r="R216" s="34" t="b">
        <v>1</v>
      </c>
    </row>
    <row r="217" spans="1:18">
      <c r="A217" s="34" t="s">
        <v>823</v>
      </c>
      <c r="B217" s="34"/>
      <c r="C217" s="34"/>
      <c r="D217" s="34">
        <v>0</v>
      </c>
      <c r="E217" s="34">
        <v>1</v>
      </c>
      <c r="F217" s="34" t="s">
        <v>197</v>
      </c>
      <c r="G217" s="34" t="s">
        <v>198</v>
      </c>
      <c r="H217" s="34"/>
      <c r="I217" s="34">
        <v>0</v>
      </c>
      <c r="J217" s="34" t="s">
        <v>838</v>
      </c>
      <c r="K217" s="34" t="s">
        <v>918</v>
      </c>
      <c r="L217" s="34">
        <v>500</v>
      </c>
      <c r="M217" s="34"/>
      <c r="N217" s="34" t="str">
        <f t="shared" si="4"/>
        <v>Status(AttackSpeedRate, 500)</v>
      </c>
      <c r="O217" s="34">
        <v>0</v>
      </c>
      <c r="P217" s="34">
        <v>0</v>
      </c>
      <c r="Q217" s="34"/>
      <c r="R217" s="34" t="b">
        <v>1</v>
      </c>
    </row>
    <row r="218" spans="1:18">
      <c r="A218" s="26" t="s">
        <v>824</v>
      </c>
      <c r="B218" s="26"/>
      <c r="C218" s="26"/>
      <c r="D218" s="26">
        <v>0</v>
      </c>
      <c r="E218" s="26">
        <v>1</v>
      </c>
      <c r="F218" s="26" t="s">
        <v>197</v>
      </c>
      <c r="G218" s="26" t="s">
        <v>198</v>
      </c>
      <c r="H218" s="26"/>
      <c r="I218" s="26">
        <v>0</v>
      </c>
      <c r="J218" s="26" t="s">
        <v>838</v>
      </c>
      <c r="K218" s="26" t="s">
        <v>918</v>
      </c>
      <c r="L218" s="26">
        <v>500</v>
      </c>
      <c r="M218" s="26"/>
      <c r="N218" s="26" t="str">
        <f t="shared" si="4"/>
        <v>Status(AttackSpeedRate, 500)</v>
      </c>
      <c r="O218" s="26">
        <v>0</v>
      </c>
      <c r="P218" s="26">
        <v>0</v>
      </c>
      <c r="Q218" s="26"/>
      <c r="R218" s="26" t="b">
        <v>1</v>
      </c>
    </row>
    <row r="219" spans="1:18">
      <c r="A219" s="26" t="s">
        <v>7212</v>
      </c>
      <c r="B219" s="26"/>
      <c r="C219" s="26"/>
      <c r="D219" s="26">
        <v>0</v>
      </c>
      <c r="E219" s="26">
        <v>1</v>
      </c>
      <c r="F219" s="26" t="s">
        <v>197</v>
      </c>
      <c r="G219" s="26" t="s">
        <v>198</v>
      </c>
      <c r="H219" s="26"/>
      <c r="I219" s="26">
        <v>0</v>
      </c>
      <c r="J219" s="26" t="s">
        <v>992</v>
      </c>
      <c r="K219" s="26" t="s">
        <v>993</v>
      </c>
      <c r="L219" s="26">
        <v>10</v>
      </c>
      <c r="M219" s="26"/>
      <c r="N219" s="26" t="str">
        <f t="shared" si="4"/>
        <v>Hot(MaxHp, 10)</v>
      </c>
      <c r="O219" s="26">
        <v>0</v>
      </c>
      <c r="P219" s="26">
        <v>1000</v>
      </c>
      <c r="Q219" s="26"/>
      <c r="R219" s="26" t="b">
        <v>1</v>
      </c>
    </row>
    <row r="220" spans="1:18">
      <c r="A220" s="26" t="s">
        <v>1104</v>
      </c>
      <c r="B220" s="26"/>
      <c r="C220" s="26"/>
      <c r="D220" s="26">
        <v>0</v>
      </c>
      <c r="E220" s="26">
        <v>1</v>
      </c>
      <c r="F220" s="26" t="s">
        <v>197</v>
      </c>
      <c r="G220" s="26" t="s">
        <v>198</v>
      </c>
      <c r="H220" s="26"/>
      <c r="I220" s="26">
        <v>0</v>
      </c>
      <c r="J220" s="26" t="s">
        <v>992</v>
      </c>
      <c r="K220" s="26" t="s">
        <v>993</v>
      </c>
      <c r="L220" s="26">
        <v>12</v>
      </c>
      <c r="M220" s="26"/>
      <c r="N220" s="26" t="str">
        <f t="shared" si="4"/>
        <v>Hot(MaxHp, 12)</v>
      </c>
      <c r="O220" s="26">
        <v>0</v>
      </c>
      <c r="P220" s="26">
        <v>1000</v>
      </c>
      <c r="Q220" s="26"/>
      <c r="R220" s="26" t="b">
        <v>1</v>
      </c>
    </row>
    <row r="221" spans="1:18">
      <c r="A221" s="34" t="s">
        <v>1105</v>
      </c>
      <c r="B221" s="34"/>
      <c r="C221" s="34"/>
      <c r="D221" s="34">
        <v>0</v>
      </c>
      <c r="E221" s="34">
        <v>1</v>
      </c>
      <c r="F221" s="34" t="s">
        <v>197</v>
      </c>
      <c r="G221" s="34" t="s">
        <v>198</v>
      </c>
      <c r="H221" s="34"/>
      <c r="I221" s="34">
        <v>0</v>
      </c>
      <c r="J221" s="34" t="s">
        <v>992</v>
      </c>
      <c r="K221" s="34" t="s">
        <v>993</v>
      </c>
      <c r="L221" s="34">
        <v>16</v>
      </c>
      <c r="M221" s="34"/>
      <c r="N221" s="34" t="str">
        <f t="shared" si="4"/>
        <v>Hot(MaxHp, 16)</v>
      </c>
      <c r="O221" s="34">
        <v>0</v>
      </c>
      <c r="P221" s="34">
        <v>1000</v>
      </c>
      <c r="Q221" s="34"/>
      <c r="R221" s="34" t="b">
        <v>1</v>
      </c>
    </row>
    <row r="222" spans="1:18">
      <c r="A222" s="34" t="s">
        <v>1106</v>
      </c>
      <c r="B222" s="34"/>
      <c r="C222" s="34"/>
      <c r="D222" s="34">
        <v>0</v>
      </c>
      <c r="E222" s="34">
        <v>1</v>
      </c>
      <c r="F222" s="34" t="s">
        <v>197</v>
      </c>
      <c r="G222" s="34" t="s">
        <v>198</v>
      </c>
      <c r="H222" s="34"/>
      <c r="I222" s="34">
        <v>0</v>
      </c>
      <c r="J222" s="34" t="s">
        <v>992</v>
      </c>
      <c r="K222" s="34" t="s">
        <v>993</v>
      </c>
      <c r="L222" s="34">
        <v>20</v>
      </c>
      <c r="M222" s="34"/>
      <c r="N222" s="34" t="str">
        <f t="shared" si="4"/>
        <v>Hot(MaxHp, 20)</v>
      </c>
      <c r="O222" s="34">
        <v>0</v>
      </c>
      <c r="P222" s="34">
        <v>1000</v>
      </c>
      <c r="Q222" s="34"/>
      <c r="R222" s="34" t="b">
        <v>1</v>
      </c>
    </row>
    <row r="223" spans="1:18">
      <c r="A223" s="34" t="s">
        <v>1107</v>
      </c>
      <c r="B223" s="34"/>
      <c r="C223" s="34"/>
      <c r="D223" s="34">
        <v>0</v>
      </c>
      <c r="E223" s="34">
        <v>1</v>
      </c>
      <c r="F223" s="34" t="s">
        <v>197</v>
      </c>
      <c r="G223" s="34" t="s">
        <v>198</v>
      </c>
      <c r="H223" s="34"/>
      <c r="I223" s="34">
        <v>0</v>
      </c>
      <c r="J223" s="34" t="s">
        <v>992</v>
      </c>
      <c r="K223" s="34" t="s">
        <v>993</v>
      </c>
      <c r="L223" s="34">
        <v>24</v>
      </c>
      <c r="M223" s="34"/>
      <c r="N223" s="34" t="str">
        <f t="shared" si="4"/>
        <v>Hot(MaxHp, 24)</v>
      </c>
      <c r="O223" s="34">
        <v>0</v>
      </c>
      <c r="P223" s="34">
        <v>1000</v>
      </c>
      <c r="Q223" s="34"/>
      <c r="R223" s="34" t="b">
        <v>1</v>
      </c>
    </row>
    <row r="224" spans="1:18">
      <c r="A224" s="26" t="s">
        <v>1108</v>
      </c>
      <c r="B224" s="26"/>
      <c r="C224" s="26"/>
      <c r="D224" s="26">
        <v>0</v>
      </c>
      <c r="E224" s="26">
        <v>1</v>
      </c>
      <c r="F224" s="26" t="s">
        <v>197</v>
      </c>
      <c r="G224" s="26" t="s">
        <v>198</v>
      </c>
      <c r="H224" s="26"/>
      <c r="I224" s="26">
        <v>0</v>
      </c>
      <c r="J224" s="26" t="s">
        <v>992</v>
      </c>
      <c r="K224" s="26" t="s">
        <v>993</v>
      </c>
      <c r="L224" s="26">
        <v>50</v>
      </c>
      <c r="M224" s="26"/>
      <c r="N224" s="26" t="str">
        <f t="shared" si="4"/>
        <v>Hot(MaxHp, 50)</v>
      </c>
      <c r="O224" s="26">
        <v>0</v>
      </c>
      <c r="P224" s="26">
        <v>1000</v>
      </c>
      <c r="Q224" s="26"/>
      <c r="R224" s="26" t="b">
        <v>1</v>
      </c>
    </row>
    <row r="225" spans="1:18">
      <c r="A225" s="26" t="s">
        <v>1109</v>
      </c>
      <c r="B225" s="26"/>
      <c r="C225" s="26"/>
      <c r="D225" s="26">
        <v>0</v>
      </c>
      <c r="E225" s="26">
        <v>1</v>
      </c>
      <c r="F225" s="26" t="s">
        <v>197</v>
      </c>
      <c r="G225" s="26" t="s">
        <v>198</v>
      </c>
      <c r="H225" s="26"/>
      <c r="I225" s="26">
        <v>0</v>
      </c>
      <c r="J225" s="26" t="s">
        <v>992</v>
      </c>
      <c r="K225" s="26" t="s">
        <v>993</v>
      </c>
      <c r="L225" s="26">
        <v>50</v>
      </c>
      <c r="M225" s="26"/>
      <c r="N225" s="26" t="str">
        <f t="shared" si="4"/>
        <v>Hot(MaxHp, 50)</v>
      </c>
      <c r="O225" s="26">
        <v>0</v>
      </c>
      <c r="P225" s="26">
        <v>1000</v>
      </c>
      <c r="Q225" s="26"/>
      <c r="R225" s="26" t="b">
        <v>1</v>
      </c>
    </row>
    <row r="226" spans="1:18" s="142" customFormat="1">
      <c r="A226" s="23" t="s">
        <v>8822</v>
      </c>
      <c r="B226" s="23"/>
      <c r="C226" s="23"/>
      <c r="D226" s="23">
        <v>0</v>
      </c>
      <c r="E226" s="23">
        <v>1</v>
      </c>
      <c r="F226" s="23" t="s">
        <v>197</v>
      </c>
      <c r="G226" s="23" t="s">
        <v>198</v>
      </c>
      <c r="H226" s="23"/>
      <c r="I226" s="23">
        <v>0</v>
      </c>
      <c r="J226" s="23" t="s">
        <v>893</v>
      </c>
      <c r="K226" s="23" t="s">
        <v>8853</v>
      </c>
      <c r="L226" s="23"/>
      <c r="M226" s="23"/>
      <c r="N226" s="23" t="str">
        <f t="shared" si="4"/>
        <v>Active(hallona.passive.ex.buff.buffeffect.skilleffect.01)</v>
      </c>
      <c r="O226" s="23">
        <v>0</v>
      </c>
      <c r="P226" s="23">
        <v>0</v>
      </c>
      <c r="Q226" s="23"/>
      <c r="R226" s="23" t="b">
        <v>1</v>
      </c>
    </row>
    <row r="227" spans="1:18" s="142" customFormat="1">
      <c r="A227" s="23" t="s">
        <v>8824</v>
      </c>
      <c r="B227" s="23"/>
      <c r="C227" s="23"/>
      <c r="D227" s="23">
        <v>0</v>
      </c>
      <c r="E227" s="23">
        <v>1</v>
      </c>
      <c r="F227" s="23" t="s">
        <v>197</v>
      </c>
      <c r="G227" s="23" t="s">
        <v>198</v>
      </c>
      <c r="H227" s="23"/>
      <c r="I227" s="23">
        <v>0</v>
      </c>
      <c r="J227" s="23" t="s">
        <v>893</v>
      </c>
      <c r="K227" s="23" t="s">
        <v>8854</v>
      </c>
      <c r="L227" s="23"/>
      <c r="M227" s="23"/>
      <c r="N227" s="23" t="str">
        <f t="shared" si="4"/>
        <v>Active(hallona.passive.ex.buff.buffeffect.skilleffect.02)</v>
      </c>
      <c r="O227" s="23">
        <v>0</v>
      </c>
      <c r="P227" s="23">
        <v>0</v>
      </c>
      <c r="Q227" s="23"/>
      <c r="R227" s="23" t="b">
        <v>1</v>
      </c>
    </row>
    <row r="228" spans="1:18" s="142" customFormat="1">
      <c r="A228" s="23" t="s">
        <v>8825</v>
      </c>
      <c r="B228" s="23"/>
      <c r="C228" s="23"/>
      <c r="D228" s="23">
        <v>0</v>
      </c>
      <c r="E228" s="23">
        <v>1</v>
      </c>
      <c r="F228" s="23" t="s">
        <v>197</v>
      </c>
      <c r="G228" s="23" t="s">
        <v>198</v>
      </c>
      <c r="H228" s="23"/>
      <c r="I228" s="23">
        <v>0</v>
      </c>
      <c r="J228" s="23" t="s">
        <v>893</v>
      </c>
      <c r="K228" s="23" t="s">
        <v>8855</v>
      </c>
      <c r="L228" s="23"/>
      <c r="M228" s="23"/>
      <c r="N228" s="23" t="str">
        <f t="shared" si="4"/>
        <v>Active(hallona.passive.ex.buff.buffeffect.skilleffect.03)</v>
      </c>
      <c r="O228" s="23">
        <v>0</v>
      </c>
      <c r="P228" s="23">
        <v>0</v>
      </c>
      <c r="Q228" s="23"/>
      <c r="R228" s="23" t="b">
        <v>1</v>
      </c>
    </row>
    <row r="229" spans="1:18" s="142" customFormat="1">
      <c r="A229" s="23" t="s">
        <v>8826</v>
      </c>
      <c r="B229" s="23"/>
      <c r="C229" s="23"/>
      <c r="D229" s="23">
        <v>0</v>
      </c>
      <c r="E229" s="23">
        <v>1</v>
      </c>
      <c r="F229" s="23" t="s">
        <v>197</v>
      </c>
      <c r="G229" s="23" t="s">
        <v>198</v>
      </c>
      <c r="H229" s="23"/>
      <c r="I229" s="23">
        <v>0</v>
      </c>
      <c r="J229" s="23" t="s">
        <v>893</v>
      </c>
      <c r="K229" s="23" t="s">
        <v>8856</v>
      </c>
      <c r="L229" s="23"/>
      <c r="M229" s="23"/>
      <c r="N229" s="23" t="str">
        <f t="shared" si="4"/>
        <v>Active(hallona.passive.ex.buff.buffeffect.skilleffect.04)</v>
      </c>
      <c r="O229" s="23">
        <v>0</v>
      </c>
      <c r="P229" s="23">
        <v>0</v>
      </c>
      <c r="Q229" s="23"/>
      <c r="R229" s="23" t="b">
        <v>1</v>
      </c>
    </row>
    <row r="230" spans="1:18" s="142" customFormat="1">
      <c r="A230" s="23" t="s">
        <v>8827</v>
      </c>
      <c r="B230" s="23"/>
      <c r="C230" s="23"/>
      <c r="D230" s="23">
        <v>0</v>
      </c>
      <c r="E230" s="23">
        <v>1</v>
      </c>
      <c r="F230" s="23" t="s">
        <v>197</v>
      </c>
      <c r="G230" s="23" t="s">
        <v>198</v>
      </c>
      <c r="H230" s="23"/>
      <c r="I230" s="23">
        <v>0</v>
      </c>
      <c r="J230" s="23" t="s">
        <v>893</v>
      </c>
      <c r="K230" s="23" t="s">
        <v>8857</v>
      </c>
      <c r="L230" s="23"/>
      <c r="M230" s="23"/>
      <c r="N230" s="23" t="str">
        <f t="shared" si="4"/>
        <v>Active(hallona.passive.ex.buff.buffeffect.skilleffect.05)</v>
      </c>
      <c r="O230" s="23">
        <v>0</v>
      </c>
      <c r="P230" s="23">
        <v>0</v>
      </c>
      <c r="Q230" s="23"/>
      <c r="R230" s="23" t="b">
        <v>1</v>
      </c>
    </row>
    <row r="231" spans="1:18" s="142" customFormat="1">
      <c r="A231" s="23" t="s">
        <v>8828</v>
      </c>
      <c r="B231" s="23"/>
      <c r="C231" s="23"/>
      <c r="D231" s="23">
        <v>0</v>
      </c>
      <c r="E231" s="23">
        <v>1</v>
      </c>
      <c r="F231" s="23" t="s">
        <v>197</v>
      </c>
      <c r="G231" s="23" t="s">
        <v>198</v>
      </c>
      <c r="H231" s="23"/>
      <c r="I231" s="23">
        <v>0</v>
      </c>
      <c r="J231" s="23" t="s">
        <v>893</v>
      </c>
      <c r="K231" s="23" t="s">
        <v>8858</v>
      </c>
      <c r="L231" s="23"/>
      <c r="M231" s="23"/>
      <c r="N231" s="23" t="str">
        <f t="shared" si="4"/>
        <v>Active(hallona.passive.ex.buff.buffeffect.skilleffect.06)</v>
      </c>
      <c r="O231" s="23">
        <v>0</v>
      </c>
      <c r="P231" s="23">
        <v>0</v>
      </c>
      <c r="Q231" s="23"/>
      <c r="R231" s="23" t="b">
        <v>1</v>
      </c>
    </row>
    <row r="232" spans="1:18" s="150" customFormat="1">
      <c r="A232" s="24" t="s">
        <v>8830</v>
      </c>
      <c r="B232" s="24" t="s">
        <v>419</v>
      </c>
      <c r="C232" s="24">
        <v>-20</v>
      </c>
      <c r="D232" s="24">
        <v>0</v>
      </c>
      <c r="E232" s="24">
        <v>1</v>
      </c>
      <c r="F232" s="24" t="s">
        <v>197</v>
      </c>
      <c r="G232" s="24" t="s">
        <v>198</v>
      </c>
      <c r="H232" s="24"/>
      <c r="I232" s="24">
        <v>0</v>
      </c>
      <c r="J232" s="24" t="s">
        <v>893</v>
      </c>
      <c r="K232" s="24" t="s">
        <v>8859</v>
      </c>
      <c r="L232" s="24"/>
      <c r="M232" s="24"/>
      <c r="N232" s="24" t="str">
        <f t="shared" si="4"/>
        <v>Active(hallona.passive.ex.event.buff.buffeffect.skilleffect.01)</v>
      </c>
      <c r="O232" s="24">
        <v>0</v>
      </c>
      <c r="P232" s="24">
        <v>0</v>
      </c>
      <c r="Q232" s="24"/>
      <c r="R232" s="24" t="b">
        <v>1</v>
      </c>
    </row>
    <row r="233" spans="1:18" s="150" customFormat="1">
      <c r="A233" s="24" t="s">
        <v>8832</v>
      </c>
      <c r="B233" s="24" t="s">
        <v>419</v>
      </c>
      <c r="C233" s="24">
        <v>-20</v>
      </c>
      <c r="D233" s="24">
        <v>0</v>
      </c>
      <c r="E233" s="24">
        <v>1</v>
      </c>
      <c r="F233" s="24" t="s">
        <v>197</v>
      </c>
      <c r="G233" s="24" t="s">
        <v>198</v>
      </c>
      <c r="H233" s="24"/>
      <c r="I233" s="24">
        <v>0</v>
      </c>
      <c r="J233" s="24" t="s">
        <v>893</v>
      </c>
      <c r="K233" s="24" t="s">
        <v>8860</v>
      </c>
      <c r="L233" s="24"/>
      <c r="M233" s="24"/>
      <c r="N233" s="24" t="str">
        <f t="shared" si="4"/>
        <v>Active(hallona.passive.ex.event.buff.buffeffect.skilleffect.02)</v>
      </c>
      <c r="O233" s="24">
        <v>0</v>
      </c>
      <c r="P233" s="24">
        <v>0</v>
      </c>
      <c r="Q233" s="24"/>
      <c r="R233" s="24" t="b">
        <v>1</v>
      </c>
    </row>
    <row r="234" spans="1:18" s="150" customFormat="1">
      <c r="A234" s="24" t="s">
        <v>8834</v>
      </c>
      <c r="B234" s="24" t="s">
        <v>419</v>
      </c>
      <c r="C234" s="24">
        <v>-20</v>
      </c>
      <c r="D234" s="24">
        <v>0</v>
      </c>
      <c r="E234" s="24">
        <v>1</v>
      </c>
      <c r="F234" s="24" t="s">
        <v>197</v>
      </c>
      <c r="G234" s="24" t="s">
        <v>198</v>
      </c>
      <c r="H234" s="24"/>
      <c r="I234" s="24">
        <v>0</v>
      </c>
      <c r="J234" s="24" t="s">
        <v>893</v>
      </c>
      <c r="K234" s="24" t="s">
        <v>8861</v>
      </c>
      <c r="L234" s="24"/>
      <c r="M234" s="24"/>
      <c r="N234" s="24" t="str">
        <f t="shared" si="4"/>
        <v>Active(hallona.passive.ex.event.buff.buffeffect.skilleffect.03)</v>
      </c>
      <c r="O234" s="24">
        <v>0</v>
      </c>
      <c r="P234" s="24">
        <v>0</v>
      </c>
      <c r="Q234" s="24"/>
      <c r="R234" s="24" t="b">
        <v>1</v>
      </c>
    </row>
    <row r="235" spans="1:18" s="150" customFormat="1">
      <c r="A235" s="24" t="s">
        <v>8836</v>
      </c>
      <c r="B235" s="24" t="s">
        <v>419</v>
      </c>
      <c r="C235" s="24">
        <v>-20</v>
      </c>
      <c r="D235" s="24">
        <v>0</v>
      </c>
      <c r="E235" s="24">
        <v>1</v>
      </c>
      <c r="F235" s="24" t="s">
        <v>197</v>
      </c>
      <c r="G235" s="24" t="s">
        <v>198</v>
      </c>
      <c r="H235" s="24"/>
      <c r="I235" s="24">
        <v>0</v>
      </c>
      <c r="J235" s="24" t="s">
        <v>893</v>
      </c>
      <c r="K235" s="24" t="s">
        <v>8862</v>
      </c>
      <c r="L235" s="24"/>
      <c r="M235" s="24"/>
      <c r="N235" s="24" t="str">
        <f t="shared" si="4"/>
        <v>Active(hallona.passive.ex.event.buff.buffeffect.skilleffect.04)</v>
      </c>
      <c r="O235" s="24">
        <v>0</v>
      </c>
      <c r="P235" s="24">
        <v>0</v>
      </c>
      <c r="Q235" s="24"/>
      <c r="R235" s="24" t="b">
        <v>1</v>
      </c>
    </row>
    <row r="236" spans="1:18" s="150" customFormat="1">
      <c r="A236" s="24" t="s">
        <v>8838</v>
      </c>
      <c r="B236" s="24" t="s">
        <v>419</v>
      </c>
      <c r="C236" s="24">
        <v>-20</v>
      </c>
      <c r="D236" s="24">
        <v>0</v>
      </c>
      <c r="E236" s="24">
        <v>1</v>
      </c>
      <c r="F236" s="24" t="s">
        <v>197</v>
      </c>
      <c r="G236" s="24" t="s">
        <v>198</v>
      </c>
      <c r="H236" s="24"/>
      <c r="I236" s="24">
        <v>0</v>
      </c>
      <c r="J236" s="24" t="s">
        <v>893</v>
      </c>
      <c r="K236" s="24" t="s">
        <v>8863</v>
      </c>
      <c r="L236" s="24"/>
      <c r="M236" s="24"/>
      <c r="N236" s="24" t="str">
        <f t="shared" si="4"/>
        <v>Active(hallona.passive.ex.event.buff.buffeffect.skilleffect.05)</v>
      </c>
      <c r="O236" s="24">
        <v>0</v>
      </c>
      <c r="P236" s="24">
        <v>0</v>
      </c>
      <c r="Q236" s="24"/>
      <c r="R236" s="24" t="b">
        <v>1</v>
      </c>
    </row>
    <row r="237" spans="1:18" s="150" customFormat="1">
      <c r="A237" s="24" t="s">
        <v>8840</v>
      </c>
      <c r="B237" s="24" t="s">
        <v>419</v>
      </c>
      <c r="C237" s="24">
        <v>-20</v>
      </c>
      <c r="D237" s="24">
        <v>0</v>
      </c>
      <c r="E237" s="24">
        <v>1</v>
      </c>
      <c r="F237" s="24" t="s">
        <v>197</v>
      </c>
      <c r="G237" s="24" t="s">
        <v>198</v>
      </c>
      <c r="H237" s="24"/>
      <c r="I237" s="24">
        <v>0</v>
      </c>
      <c r="J237" s="24" t="s">
        <v>893</v>
      </c>
      <c r="K237" s="24" t="s">
        <v>8864</v>
      </c>
      <c r="L237" s="24"/>
      <c r="M237" s="24"/>
      <c r="N237" s="24" t="str">
        <f t="shared" si="4"/>
        <v>Active(hallona.passive.ex.event.buff.buffeffect.skilleffect.06)</v>
      </c>
      <c r="O237" s="24">
        <v>0</v>
      </c>
      <c r="P237" s="24">
        <v>0</v>
      </c>
      <c r="Q237" s="24"/>
      <c r="R237" s="24" t="b">
        <v>1</v>
      </c>
    </row>
    <row r="238" spans="1:18" s="142" customFormat="1">
      <c r="A238" s="23" t="s">
        <v>8842</v>
      </c>
      <c r="B238" s="23"/>
      <c r="C238" s="23"/>
      <c r="D238" s="23">
        <v>0</v>
      </c>
      <c r="E238" s="23">
        <v>1</v>
      </c>
      <c r="F238" s="23" t="s">
        <v>197</v>
      </c>
      <c r="G238" s="23" t="s">
        <v>198</v>
      </c>
      <c r="H238" s="23"/>
      <c r="I238" s="23">
        <v>0</v>
      </c>
      <c r="J238" s="23" t="s">
        <v>889</v>
      </c>
      <c r="K238" s="23" t="s">
        <v>993</v>
      </c>
      <c r="L238" s="23">
        <v>60</v>
      </c>
      <c r="M238" s="23"/>
      <c r="N238" s="23" t="str">
        <f t="shared" si="4"/>
        <v>Shield(MaxHp, 60)</v>
      </c>
      <c r="O238" s="23">
        <v>0</v>
      </c>
      <c r="P238" s="23">
        <v>0</v>
      </c>
      <c r="Q238" s="23"/>
      <c r="R238" s="23" t="b">
        <v>1</v>
      </c>
    </row>
    <row r="239" spans="1:18" s="142" customFormat="1">
      <c r="A239" s="23" t="s">
        <v>8844</v>
      </c>
      <c r="B239" s="23"/>
      <c r="C239" s="23"/>
      <c r="D239" s="23">
        <v>0</v>
      </c>
      <c r="E239" s="23">
        <v>1</v>
      </c>
      <c r="F239" s="23" t="s">
        <v>197</v>
      </c>
      <c r="G239" s="23" t="s">
        <v>198</v>
      </c>
      <c r="H239" s="23"/>
      <c r="I239" s="23">
        <v>0</v>
      </c>
      <c r="J239" s="23" t="s">
        <v>889</v>
      </c>
      <c r="K239" s="23" t="s">
        <v>993</v>
      </c>
      <c r="L239" s="23">
        <v>60</v>
      </c>
      <c r="M239" s="23"/>
      <c r="N239" s="23" t="str">
        <f t="shared" si="4"/>
        <v>Shield(MaxHp, 60)</v>
      </c>
      <c r="O239" s="23">
        <v>0</v>
      </c>
      <c r="P239" s="23">
        <v>0</v>
      </c>
      <c r="Q239" s="23"/>
      <c r="R239" s="23" t="b">
        <v>1</v>
      </c>
    </row>
    <row r="240" spans="1:18" s="142" customFormat="1">
      <c r="A240" s="23" t="s">
        <v>8846</v>
      </c>
      <c r="B240" s="23"/>
      <c r="C240" s="23"/>
      <c r="D240" s="23">
        <v>0</v>
      </c>
      <c r="E240" s="23">
        <v>1</v>
      </c>
      <c r="F240" s="23" t="s">
        <v>197</v>
      </c>
      <c r="G240" s="23" t="s">
        <v>198</v>
      </c>
      <c r="H240" s="23"/>
      <c r="I240" s="23">
        <v>0</v>
      </c>
      <c r="J240" s="23" t="s">
        <v>889</v>
      </c>
      <c r="K240" s="23" t="s">
        <v>993</v>
      </c>
      <c r="L240" s="23">
        <v>60</v>
      </c>
      <c r="M240" s="23"/>
      <c r="N240" s="23" t="str">
        <f t="shared" si="4"/>
        <v>Shield(MaxHp, 60)</v>
      </c>
      <c r="O240" s="23">
        <v>0</v>
      </c>
      <c r="P240" s="23">
        <v>0</v>
      </c>
      <c r="Q240" s="23"/>
      <c r="R240" s="23" t="b">
        <v>1</v>
      </c>
    </row>
    <row r="241" spans="1:18" s="142" customFormat="1">
      <c r="A241" s="23" t="s">
        <v>8848</v>
      </c>
      <c r="B241" s="23"/>
      <c r="C241" s="23"/>
      <c r="D241" s="23">
        <v>0</v>
      </c>
      <c r="E241" s="23">
        <v>1</v>
      </c>
      <c r="F241" s="23" t="s">
        <v>197</v>
      </c>
      <c r="G241" s="23" t="s">
        <v>198</v>
      </c>
      <c r="H241" s="23"/>
      <c r="I241" s="23">
        <v>0</v>
      </c>
      <c r="J241" s="23" t="s">
        <v>889</v>
      </c>
      <c r="K241" s="23" t="s">
        <v>993</v>
      </c>
      <c r="L241" s="23">
        <v>60</v>
      </c>
      <c r="M241" s="23"/>
      <c r="N241" s="23" t="str">
        <f t="shared" si="4"/>
        <v>Shield(MaxHp, 60)</v>
      </c>
      <c r="O241" s="23">
        <v>0</v>
      </c>
      <c r="P241" s="23">
        <v>0</v>
      </c>
      <c r="Q241" s="23"/>
      <c r="R241" s="23" t="b">
        <v>1</v>
      </c>
    </row>
    <row r="242" spans="1:18" s="142" customFormat="1">
      <c r="A242" s="23" t="s">
        <v>8850</v>
      </c>
      <c r="B242" s="23"/>
      <c r="C242" s="23"/>
      <c r="D242" s="23">
        <v>0</v>
      </c>
      <c r="E242" s="23">
        <v>1</v>
      </c>
      <c r="F242" s="23" t="s">
        <v>197</v>
      </c>
      <c r="G242" s="23" t="s">
        <v>198</v>
      </c>
      <c r="H242" s="23"/>
      <c r="I242" s="23">
        <v>0</v>
      </c>
      <c r="J242" s="23" t="s">
        <v>889</v>
      </c>
      <c r="K242" s="23" t="s">
        <v>993</v>
      </c>
      <c r="L242" s="23">
        <v>60</v>
      </c>
      <c r="M242" s="23"/>
      <c r="N242" s="23" t="str">
        <f t="shared" si="4"/>
        <v>Shield(MaxHp, 60)</v>
      </c>
      <c r="O242" s="23">
        <v>0</v>
      </c>
      <c r="P242" s="23">
        <v>0</v>
      </c>
      <c r="Q242" s="23"/>
      <c r="R242" s="23" t="b">
        <v>1</v>
      </c>
    </row>
    <row r="243" spans="1:18" s="142" customFormat="1">
      <c r="A243" s="23" t="s">
        <v>8852</v>
      </c>
      <c r="B243" s="23"/>
      <c r="C243" s="23"/>
      <c r="D243" s="23">
        <v>0</v>
      </c>
      <c r="E243" s="23">
        <v>1</v>
      </c>
      <c r="F243" s="23" t="s">
        <v>197</v>
      </c>
      <c r="G243" s="23" t="s">
        <v>198</v>
      </c>
      <c r="H243" s="23"/>
      <c r="I243" s="23">
        <v>0</v>
      </c>
      <c r="J243" s="23" t="s">
        <v>889</v>
      </c>
      <c r="K243" s="23" t="s">
        <v>993</v>
      </c>
      <c r="L243" s="23">
        <v>100</v>
      </c>
      <c r="M243" s="23"/>
      <c r="N243" s="23" t="str">
        <f t="shared" si="4"/>
        <v>Shield(MaxHp, 100)</v>
      </c>
      <c r="O243" s="23">
        <v>0</v>
      </c>
      <c r="P243" s="23">
        <v>0</v>
      </c>
      <c r="Q243" s="23"/>
      <c r="R243" s="23" t="b">
        <v>1</v>
      </c>
    </row>
    <row r="244" spans="1:18" s="150" customFormat="1">
      <c r="A244" s="24" t="s">
        <v>828</v>
      </c>
      <c r="B244" s="24"/>
      <c r="C244" s="24"/>
      <c r="D244" s="24">
        <v>0</v>
      </c>
      <c r="E244" s="24">
        <v>1</v>
      </c>
      <c r="F244" s="24" t="s">
        <v>197</v>
      </c>
      <c r="G244" s="24" t="s">
        <v>198</v>
      </c>
      <c r="H244" s="24"/>
      <c r="I244" s="24">
        <v>0</v>
      </c>
      <c r="J244" s="24" t="s">
        <v>838</v>
      </c>
      <c r="K244" s="24" t="s">
        <v>918</v>
      </c>
      <c r="L244" s="24">
        <v>40</v>
      </c>
      <c r="M244" s="24"/>
      <c r="N244" s="24" t="str">
        <f t="shared" si="4"/>
        <v>Status(AttackSpeedRate, 40)</v>
      </c>
      <c r="O244" s="24">
        <v>0</v>
      </c>
      <c r="P244" s="24">
        <v>0</v>
      </c>
      <c r="Q244" s="24"/>
      <c r="R244" s="24" t="b">
        <v>1</v>
      </c>
    </row>
    <row r="245" spans="1:18" s="150" customFormat="1">
      <c r="A245" s="24" t="s">
        <v>829</v>
      </c>
      <c r="B245" s="24"/>
      <c r="C245" s="24"/>
      <c r="D245" s="24">
        <v>0</v>
      </c>
      <c r="E245" s="24">
        <v>1</v>
      </c>
      <c r="F245" s="24" t="s">
        <v>197</v>
      </c>
      <c r="G245" s="24" t="s">
        <v>198</v>
      </c>
      <c r="H245" s="24"/>
      <c r="I245" s="24">
        <v>0</v>
      </c>
      <c r="J245" s="24" t="s">
        <v>838</v>
      </c>
      <c r="K245" s="24" t="s">
        <v>918</v>
      </c>
      <c r="L245" s="24">
        <v>50</v>
      </c>
      <c r="M245" s="24"/>
      <c r="N245" s="24" t="str">
        <f t="shared" si="4"/>
        <v>Status(AttackSpeedRate, 50)</v>
      </c>
      <c r="O245" s="24">
        <v>0</v>
      </c>
      <c r="P245" s="24">
        <v>0</v>
      </c>
      <c r="Q245" s="24"/>
      <c r="R245" s="24" t="b">
        <v>1</v>
      </c>
    </row>
    <row r="246" spans="1:18" s="150" customFormat="1">
      <c r="A246" s="24" t="s">
        <v>830</v>
      </c>
      <c r="B246" s="24"/>
      <c r="C246" s="24"/>
      <c r="D246" s="24">
        <v>0</v>
      </c>
      <c r="E246" s="24">
        <v>1</v>
      </c>
      <c r="F246" s="24" t="s">
        <v>197</v>
      </c>
      <c r="G246" s="24" t="s">
        <v>198</v>
      </c>
      <c r="H246" s="24"/>
      <c r="I246" s="24">
        <v>0</v>
      </c>
      <c r="J246" s="24" t="s">
        <v>838</v>
      </c>
      <c r="K246" s="24" t="s">
        <v>918</v>
      </c>
      <c r="L246" s="24">
        <v>60</v>
      </c>
      <c r="M246" s="24"/>
      <c r="N246" s="24" t="str">
        <f t="shared" si="4"/>
        <v>Status(AttackSpeedRate, 60)</v>
      </c>
      <c r="O246" s="24">
        <v>0</v>
      </c>
      <c r="P246" s="24">
        <v>0</v>
      </c>
      <c r="Q246" s="24"/>
      <c r="R246" s="24" t="b">
        <v>1</v>
      </c>
    </row>
    <row r="247" spans="1:18" s="150" customFormat="1">
      <c r="A247" s="24" t="s">
        <v>831</v>
      </c>
      <c r="B247" s="24"/>
      <c r="C247" s="24"/>
      <c r="D247" s="24">
        <v>0</v>
      </c>
      <c r="E247" s="24">
        <v>1</v>
      </c>
      <c r="F247" s="24" t="s">
        <v>197</v>
      </c>
      <c r="G247" s="24" t="s">
        <v>198</v>
      </c>
      <c r="H247" s="24"/>
      <c r="I247" s="24">
        <v>0</v>
      </c>
      <c r="J247" s="24" t="s">
        <v>838</v>
      </c>
      <c r="K247" s="24" t="s">
        <v>918</v>
      </c>
      <c r="L247" s="24">
        <v>80</v>
      </c>
      <c r="M247" s="24"/>
      <c r="N247" s="24" t="str">
        <f t="shared" si="4"/>
        <v>Status(AttackSpeedRate, 80)</v>
      </c>
      <c r="O247" s="24">
        <v>0</v>
      </c>
      <c r="P247" s="24">
        <v>0</v>
      </c>
      <c r="Q247" s="24"/>
      <c r="R247" s="24" t="b">
        <v>1</v>
      </c>
    </row>
    <row r="248" spans="1:18" s="150" customFormat="1">
      <c r="A248" s="24" t="s">
        <v>832</v>
      </c>
      <c r="B248" s="24"/>
      <c r="C248" s="24"/>
      <c r="D248" s="24">
        <v>0</v>
      </c>
      <c r="E248" s="24">
        <v>1</v>
      </c>
      <c r="F248" s="24" t="s">
        <v>197</v>
      </c>
      <c r="G248" s="24" t="s">
        <v>198</v>
      </c>
      <c r="H248" s="24"/>
      <c r="I248" s="24">
        <v>0</v>
      </c>
      <c r="J248" s="24" t="s">
        <v>838</v>
      </c>
      <c r="K248" s="24" t="s">
        <v>918</v>
      </c>
      <c r="L248" s="24">
        <v>80</v>
      </c>
      <c r="M248" s="24"/>
      <c r="N248" s="24" t="str">
        <f t="shared" si="4"/>
        <v>Status(AttackSpeedRate, 80)</v>
      </c>
      <c r="O248" s="24">
        <v>0</v>
      </c>
      <c r="P248" s="24">
        <v>0</v>
      </c>
      <c r="Q248" s="24"/>
      <c r="R248" s="24" t="b">
        <v>1</v>
      </c>
    </row>
    <row r="249" spans="1:18" s="150" customFormat="1">
      <c r="A249" s="24" t="s">
        <v>833</v>
      </c>
      <c r="B249" s="24"/>
      <c r="C249" s="24"/>
      <c r="D249" s="24">
        <v>0</v>
      </c>
      <c r="E249" s="24">
        <v>1</v>
      </c>
      <c r="F249" s="24" t="s">
        <v>197</v>
      </c>
      <c r="G249" s="24" t="s">
        <v>198</v>
      </c>
      <c r="H249" s="24"/>
      <c r="I249" s="24">
        <v>0</v>
      </c>
      <c r="J249" s="24" t="s">
        <v>838</v>
      </c>
      <c r="K249" s="24" t="s">
        <v>918</v>
      </c>
      <c r="L249" s="24">
        <v>80</v>
      </c>
      <c r="M249" s="24"/>
      <c r="N249" s="24" t="str">
        <f t="shared" si="4"/>
        <v>Status(AttackSpeedRate, 80)</v>
      </c>
      <c r="O249" s="24">
        <v>0</v>
      </c>
      <c r="P249" s="24">
        <v>0</v>
      </c>
      <c r="Q249" s="24"/>
      <c r="R249" s="24" t="b">
        <v>1</v>
      </c>
    </row>
    <row r="250" spans="1:18">
      <c r="A250" s="26" t="s">
        <v>1312</v>
      </c>
      <c r="B250" s="26"/>
      <c r="C250" s="26"/>
      <c r="D250" s="26">
        <v>0</v>
      </c>
      <c r="E250" s="26">
        <v>1</v>
      </c>
      <c r="F250" s="26" t="s">
        <v>417</v>
      </c>
      <c r="G250" s="26" t="s">
        <v>1147</v>
      </c>
      <c r="H250" s="26">
        <v>25</v>
      </c>
      <c r="I250" s="26">
        <v>0</v>
      </c>
      <c r="J250" s="26" t="s">
        <v>1254</v>
      </c>
      <c r="K250" s="26" t="s">
        <v>2468</v>
      </c>
      <c r="L250" s="26"/>
      <c r="M250" s="26"/>
      <c r="N250" s="26" t="str">
        <f t="shared" si="4"/>
        <v>Passive(elina.passive.atkup.buff.01)</v>
      </c>
      <c r="O250" s="26">
        <v>0</v>
      </c>
      <c r="P250" s="26">
        <v>0</v>
      </c>
      <c r="Q250" s="26"/>
      <c r="R250" s="26" t="b">
        <v>1</v>
      </c>
    </row>
    <row r="251" spans="1:18">
      <c r="A251" s="26" t="s">
        <v>1313</v>
      </c>
      <c r="B251" s="26"/>
      <c r="C251" s="26"/>
      <c r="D251" s="26">
        <v>0</v>
      </c>
      <c r="E251" s="26">
        <v>1</v>
      </c>
      <c r="F251" s="26" t="s">
        <v>417</v>
      </c>
      <c r="G251" s="26" t="s">
        <v>1147</v>
      </c>
      <c r="H251" s="26">
        <v>25</v>
      </c>
      <c r="I251" s="26">
        <v>0</v>
      </c>
      <c r="J251" s="26" t="s">
        <v>1254</v>
      </c>
      <c r="K251" s="26" t="s">
        <v>2469</v>
      </c>
      <c r="L251" s="26"/>
      <c r="M251" s="26"/>
      <c r="N251" s="26" t="str">
        <f t="shared" si="4"/>
        <v>Passive(elina.passive.atkup.buff.02)</v>
      </c>
      <c r="O251" s="26">
        <v>0</v>
      </c>
      <c r="P251" s="26">
        <v>0</v>
      </c>
      <c r="Q251" s="26"/>
      <c r="R251" s="26" t="b">
        <v>1</v>
      </c>
    </row>
    <row r="252" spans="1:18">
      <c r="A252" s="26" t="s">
        <v>1314</v>
      </c>
      <c r="B252" s="26"/>
      <c r="C252" s="26"/>
      <c r="D252" s="26">
        <v>0</v>
      </c>
      <c r="E252" s="26">
        <v>1</v>
      </c>
      <c r="F252" s="26" t="s">
        <v>417</v>
      </c>
      <c r="G252" s="26" t="s">
        <v>1147</v>
      </c>
      <c r="H252" s="26">
        <v>25</v>
      </c>
      <c r="I252" s="26">
        <v>0</v>
      </c>
      <c r="J252" s="26" t="s">
        <v>1254</v>
      </c>
      <c r="K252" s="26" t="s">
        <v>2470</v>
      </c>
      <c r="L252" s="26"/>
      <c r="M252" s="26"/>
      <c r="N252" s="26" t="str">
        <f t="shared" si="4"/>
        <v>Passive(elina.passive.atkup.buff.03)</v>
      </c>
      <c r="O252" s="26">
        <v>0</v>
      </c>
      <c r="P252" s="26">
        <v>0</v>
      </c>
      <c r="Q252" s="26"/>
      <c r="R252" s="26" t="b">
        <v>1</v>
      </c>
    </row>
    <row r="253" spans="1:18">
      <c r="A253" s="26" t="s">
        <v>1315</v>
      </c>
      <c r="B253" s="26"/>
      <c r="C253" s="26"/>
      <c r="D253" s="26">
        <v>0</v>
      </c>
      <c r="E253" s="26">
        <v>1</v>
      </c>
      <c r="F253" s="26" t="s">
        <v>417</v>
      </c>
      <c r="G253" s="26" t="s">
        <v>1147</v>
      </c>
      <c r="H253" s="26">
        <v>25</v>
      </c>
      <c r="I253" s="26">
        <v>0</v>
      </c>
      <c r="J253" s="26" t="s">
        <v>1254</v>
      </c>
      <c r="K253" s="26" t="s">
        <v>2471</v>
      </c>
      <c r="L253" s="26"/>
      <c r="M253" s="26"/>
      <c r="N253" s="26" t="str">
        <f t="shared" si="4"/>
        <v>Passive(elina.passive.atkup.buff.04)</v>
      </c>
      <c r="O253" s="26">
        <v>0</v>
      </c>
      <c r="P253" s="26">
        <v>0</v>
      </c>
      <c r="Q253" s="26"/>
      <c r="R253" s="26" t="b">
        <v>1</v>
      </c>
    </row>
    <row r="254" spans="1:18">
      <c r="A254" s="26" t="s">
        <v>1316</v>
      </c>
      <c r="B254" s="26"/>
      <c r="C254" s="26"/>
      <c r="D254" s="26">
        <v>0</v>
      </c>
      <c r="E254" s="26">
        <v>1</v>
      </c>
      <c r="F254" s="26" t="s">
        <v>417</v>
      </c>
      <c r="G254" s="26" t="s">
        <v>1147</v>
      </c>
      <c r="H254" s="26">
        <v>25</v>
      </c>
      <c r="I254" s="26">
        <v>0</v>
      </c>
      <c r="J254" s="26" t="s">
        <v>1254</v>
      </c>
      <c r="K254" s="26" t="s">
        <v>2472</v>
      </c>
      <c r="L254" s="26"/>
      <c r="M254" s="26"/>
      <c r="N254" s="26" t="str">
        <f t="shared" si="4"/>
        <v>Passive(elina.passive.atkup.buff.05)</v>
      </c>
      <c r="O254" s="26">
        <v>0</v>
      </c>
      <c r="P254" s="26">
        <v>0</v>
      </c>
      <c r="Q254" s="26"/>
      <c r="R254" s="26" t="b">
        <v>1</v>
      </c>
    </row>
    <row r="255" spans="1:18">
      <c r="A255" s="65" t="s">
        <v>1317</v>
      </c>
      <c r="B255" s="65"/>
      <c r="C255" s="65"/>
      <c r="D255" s="65">
        <v>0</v>
      </c>
      <c r="E255" s="65">
        <v>1</v>
      </c>
      <c r="F255" s="65" t="s">
        <v>417</v>
      </c>
      <c r="G255" s="65" t="s">
        <v>1147</v>
      </c>
      <c r="H255" s="65">
        <v>25</v>
      </c>
      <c r="I255" s="65">
        <v>0</v>
      </c>
      <c r="J255" s="65" t="s">
        <v>1254</v>
      </c>
      <c r="K255" s="65" t="s">
        <v>2473</v>
      </c>
      <c r="L255" s="65"/>
      <c r="M255" s="65"/>
      <c r="N255" s="65" t="str">
        <f t="shared" si="4"/>
        <v>Passive(elina.passive.atkup.buff.06)</v>
      </c>
      <c r="O255" s="65">
        <v>0</v>
      </c>
      <c r="P255" s="65">
        <v>0</v>
      </c>
      <c r="Q255" s="65"/>
      <c r="R255" s="65" t="b">
        <v>1</v>
      </c>
    </row>
    <row r="256" spans="1:18">
      <c r="A256" s="23" t="s">
        <v>2474</v>
      </c>
      <c r="B256" s="23"/>
      <c r="C256" s="23"/>
      <c r="D256" s="23">
        <v>0</v>
      </c>
      <c r="E256" s="23">
        <v>1</v>
      </c>
      <c r="F256" s="23" t="s">
        <v>197</v>
      </c>
      <c r="G256" s="23" t="s">
        <v>198</v>
      </c>
      <c r="H256" s="23"/>
      <c r="I256" s="23">
        <v>0</v>
      </c>
      <c r="J256" s="23" t="s">
        <v>838</v>
      </c>
      <c r="K256" s="23" t="s">
        <v>908</v>
      </c>
      <c r="L256" s="23">
        <v>50</v>
      </c>
      <c r="M256" s="23"/>
      <c r="N256" s="23" t="str">
        <f t="shared" si="4"/>
        <v>Status(AttackRatio, 50)</v>
      </c>
      <c r="O256" s="23">
        <v>0</v>
      </c>
      <c r="P256" s="23">
        <v>0</v>
      </c>
      <c r="Q256" s="23"/>
      <c r="R256" s="23" t="b">
        <v>1</v>
      </c>
    </row>
    <row r="257" spans="1:18">
      <c r="A257" s="23" t="s">
        <v>2475</v>
      </c>
      <c r="B257" s="23"/>
      <c r="C257" s="23"/>
      <c r="D257" s="23">
        <v>0</v>
      </c>
      <c r="E257" s="23">
        <v>1</v>
      </c>
      <c r="F257" s="23" t="s">
        <v>197</v>
      </c>
      <c r="G257" s="23" t="s">
        <v>198</v>
      </c>
      <c r="H257" s="23"/>
      <c r="I257" s="23">
        <v>0</v>
      </c>
      <c r="J257" s="23" t="s">
        <v>838</v>
      </c>
      <c r="K257" s="23" t="s">
        <v>908</v>
      </c>
      <c r="L257" s="23">
        <v>60</v>
      </c>
      <c r="M257" s="23"/>
      <c r="N257" s="23" t="str">
        <f t="shared" si="4"/>
        <v>Status(AttackRatio, 60)</v>
      </c>
      <c r="O257" s="23">
        <v>0</v>
      </c>
      <c r="P257" s="23">
        <v>0</v>
      </c>
      <c r="Q257" s="23"/>
      <c r="R257" s="23" t="b">
        <v>1</v>
      </c>
    </row>
    <row r="258" spans="1:18">
      <c r="A258" s="23" t="s">
        <v>2476</v>
      </c>
      <c r="B258" s="23"/>
      <c r="C258" s="23"/>
      <c r="D258" s="23">
        <v>0</v>
      </c>
      <c r="E258" s="23">
        <v>1</v>
      </c>
      <c r="F258" s="23" t="s">
        <v>197</v>
      </c>
      <c r="G258" s="23" t="s">
        <v>198</v>
      </c>
      <c r="H258" s="23"/>
      <c r="I258" s="23">
        <v>0</v>
      </c>
      <c r="J258" s="23" t="s">
        <v>838</v>
      </c>
      <c r="K258" s="23" t="s">
        <v>908</v>
      </c>
      <c r="L258" s="23">
        <v>70</v>
      </c>
      <c r="M258" s="23"/>
      <c r="N258" s="23" t="str">
        <f t="shared" si="4"/>
        <v>Status(AttackRatio, 70)</v>
      </c>
      <c r="O258" s="23">
        <v>0</v>
      </c>
      <c r="P258" s="23">
        <v>0</v>
      </c>
      <c r="Q258" s="23"/>
      <c r="R258" s="23" t="b">
        <v>1</v>
      </c>
    </row>
    <row r="259" spans="1:18">
      <c r="A259" s="34" t="s">
        <v>2477</v>
      </c>
      <c r="B259" s="34"/>
      <c r="C259" s="34"/>
      <c r="D259" s="34">
        <v>0</v>
      </c>
      <c r="E259" s="34">
        <v>1</v>
      </c>
      <c r="F259" s="34" t="s">
        <v>197</v>
      </c>
      <c r="G259" s="34" t="s">
        <v>198</v>
      </c>
      <c r="H259" s="34"/>
      <c r="I259" s="34">
        <v>0</v>
      </c>
      <c r="J259" s="34" t="s">
        <v>838</v>
      </c>
      <c r="K259" s="34" t="s">
        <v>908</v>
      </c>
      <c r="L259" s="34">
        <v>80</v>
      </c>
      <c r="M259" s="34"/>
      <c r="N259" s="34" t="str">
        <f t="shared" si="4"/>
        <v>Status(AttackRatio, 80)</v>
      </c>
      <c r="O259" s="34">
        <v>0</v>
      </c>
      <c r="P259" s="34">
        <v>0</v>
      </c>
      <c r="Q259" s="34"/>
      <c r="R259" s="34" t="b">
        <v>1</v>
      </c>
    </row>
    <row r="260" spans="1:18">
      <c r="A260" s="34" t="s">
        <v>2478</v>
      </c>
      <c r="B260" s="34"/>
      <c r="C260" s="34"/>
      <c r="D260" s="34">
        <v>0</v>
      </c>
      <c r="E260" s="34">
        <v>1</v>
      </c>
      <c r="F260" s="34" t="s">
        <v>197</v>
      </c>
      <c r="G260" s="34" t="s">
        <v>198</v>
      </c>
      <c r="H260" s="34"/>
      <c r="I260" s="34">
        <v>0</v>
      </c>
      <c r="J260" s="34" t="s">
        <v>838</v>
      </c>
      <c r="K260" s="34" t="s">
        <v>908</v>
      </c>
      <c r="L260" s="34">
        <v>90</v>
      </c>
      <c r="M260" s="34"/>
      <c r="N260" s="34" t="str">
        <f t="shared" si="4"/>
        <v>Status(AttackRatio, 90)</v>
      </c>
      <c r="O260" s="34">
        <v>0</v>
      </c>
      <c r="P260" s="34">
        <v>0</v>
      </c>
      <c r="Q260" s="34"/>
      <c r="R260" s="34" t="b">
        <v>1</v>
      </c>
    </row>
    <row r="261" spans="1:18">
      <c r="A261" s="34" t="s">
        <v>2479</v>
      </c>
      <c r="B261" s="34"/>
      <c r="C261" s="34"/>
      <c r="D261" s="34">
        <v>0</v>
      </c>
      <c r="E261" s="34">
        <v>1</v>
      </c>
      <c r="F261" s="34" t="s">
        <v>197</v>
      </c>
      <c r="G261" s="34" t="s">
        <v>198</v>
      </c>
      <c r="H261" s="34"/>
      <c r="I261" s="34">
        <v>0</v>
      </c>
      <c r="J261" s="34" t="s">
        <v>838</v>
      </c>
      <c r="K261" s="34" t="s">
        <v>908</v>
      </c>
      <c r="L261" s="34">
        <v>150</v>
      </c>
      <c r="M261" s="34"/>
      <c r="N261" s="34" t="str">
        <f t="shared" si="4"/>
        <v>Status(AttackRatio, 150)</v>
      </c>
      <c r="O261" s="34">
        <v>0</v>
      </c>
      <c r="P261" s="34">
        <v>0</v>
      </c>
      <c r="Q261" s="34"/>
      <c r="R261" s="34" t="b">
        <v>1</v>
      </c>
    </row>
    <row r="262" spans="1:18">
      <c r="A262" s="23" t="s">
        <v>4625</v>
      </c>
      <c r="B262" s="23"/>
      <c r="C262" s="23"/>
      <c r="D262" s="23">
        <v>0</v>
      </c>
      <c r="E262" s="23">
        <v>1</v>
      </c>
      <c r="F262" s="23" t="s">
        <v>197</v>
      </c>
      <c r="G262" s="23" t="s">
        <v>198</v>
      </c>
      <c r="H262" s="23"/>
      <c r="I262" s="23">
        <v>0</v>
      </c>
      <c r="J262" s="23" t="s">
        <v>7296</v>
      </c>
      <c r="K262" s="23" t="s">
        <v>7297</v>
      </c>
      <c r="L262" s="23"/>
      <c r="M262" s="23"/>
      <c r="N262" s="23" t="str">
        <f t="shared" si="4"/>
        <v>Active(elina.passive.ex.buff.skilleffect.01)</v>
      </c>
      <c r="O262" s="23">
        <v>0</v>
      </c>
      <c r="P262" s="23">
        <v>2000</v>
      </c>
      <c r="Q262" s="23"/>
      <c r="R262" s="23" t="b">
        <v>1</v>
      </c>
    </row>
    <row r="263" spans="1:18">
      <c r="A263" s="23" t="s">
        <v>4626</v>
      </c>
      <c r="B263" s="23"/>
      <c r="C263" s="23"/>
      <c r="D263" s="23">
        <v>0</v>
      </c>
      <c r="E263" s="23">
        <v>1</v>
      </c>
      <c r="F263" s="23" t="s">
        <v>197</v>
      </c>
      <c r="G263" s="23" t="s">
        <v>198</v>
      </c>
      <c r="H263" s="23"/>
      <c r="I263" s="23">
        <v>0</v>
      </c>
      <c r="J263" s="23" t="s">
        <v>893</v>
      </c>
      <c r="K263" s="23" t="s">
        <v>7298</v>
      </c>
      <c r="L263" s="23"/>
      <c r="M263" s="23"/>
      <c r="N263" s="23" t="str">
        <f t="shared" si="4"/>
        <v>Active(elina.passive.ex.buff.skilleffect.02)</v>
      </c>
      <c r="O263" s="23">
        <v>0</v>
      </c>
      <c r="P263" s="23">
        <v>2000</v>
      </c>
      <c r="Q263" s="23"/>
      <c r="R263" s="23" t="b">
        <v>1</v>
      </c>
    </row>
    <row r="264" spans="1:18">
      <c r="A264" s="23" t="s">
        <v>4627</v>
      </c>
      <c r="B264" s="23"/>
      <c r="C264" s="23"/>
      <c r="D264" s="23">
        <v>0</v>
      </c>
      <c r="E264" s="23">
        <v>1</v>
      </c>
      <c r="F264" s="23" t="s">
        <v>197</v>
      </c>
      <c r="G264" s="23" t="s">
        <v>198</v>
      </c>
      <c r="H264" s="23"/>
      <c r="I264" s="23">
        <v>0</v>
      </c>
      <c r="J264" s="23" t="s">
        <v>893</v>
      </c>
      <c r="K264" s="23" t="s">
        <v>7299</v>
      </c>
      <c r="L264" s="23"/>
      <c r="M264" s="23"/>
      <c r="N264" s="23" t="str">
        <f t="shared" si="4"/>
        <v>Active(elina.passive.ex.buff.skilleffect.03)</v>
      </c>
      <c r="O264" s="23">
        <v>0</v>
      </c>
      <c r="P264" s="23">
        <v>2000</v>
      </c>
      <c r="Q264" s="23"/>
      <c r="R264" s="23" t="b">
        <v>1</v>
      </c>
    </row>
    <row r="265" spans="1:18">
      <c r="A265" s="34" t="s">
        <v>4628</v>
      </c>
      <c r="B265" s="34"/>
      <c r="C265" s="34"/>
      <c r="D265" s="34">
        <v>0</v>
      </c>
      <c r="E265" s="34">
        <v>1</v>
      </c>
      <c r="F265" s="34" t="s">
        <v>197</v>
      </c>
      <c r="G265" s="34" t="s">
        <v>198</v>
      </c>
      <c r="H265" s="34"/>
      <c r="I265" s="34">
        <v>0</v>
      </c>
      <c r="J265" s="34" t="s">
        <v>893</v>
      </c>
      <c r="K265" s="34" t="s">
        <v>7300</v>
      </c>
      <c r="L265" s="34"/>
      <c r="M265" s="34"/>
      <c r="N265" s="34" t="str">
        <f t="shared" si="4"/>
        <v>Active(elina.passive.ex.buff.skilleffect.04)</v>
      </c>
      <c r="O265" s="34">
        <v>0</v>
      </c>
      <c r="P265" s="34">
        <v>2000</v>
      </c>
      <c r="Q265" s="34"/>
      <c r="R265" s="34" t="b">
        <v>1</v>
      </c>
    </row>
    <row r="266" spans="1:18">
      <c r="A266" s="34" t="s">
        <v>4629</v>
      </c>
      <c r="B266" s="34"/>
      <c r="C266" s="34"/>
      <c r="D266" s="34">
        <v>0</v>
      </c>
      <c r="E266" s="34">
        <v>1</v>
      </c>
      <c r="F266" s="34" t="s">
        <v>197</v>
      </c>
      <c r="G266" s="34" t="s">
        <v>198</v>
      </c>
      <c r="H266" s="34"/>
      <c r="I266" s="34">
        <v>0</v>
      </c>
      <c r="J266" s="34" t="s">
        <v>893</v>
      </c>
      <c r="K266" s="34" t="s">
        <v>7301</v>
      </c>
      <c r="L266" s="34"/>
      <c r="M266" s="34"/>
      <c r="N266" s="34" t="str">
        <f t="shared" si="4"/>
        <v>Active(elina.passive.ex.buff.skilleffect.05)</v>
      </c>
      <c r="O266" s="34">
        <v>0</v>
      </c>
      <c r="P266" s="34">
        <v>2000</v>
      </c>
      <c r="Q266" s="34"/>
      <c r="R266" s="34" t="b">
        <v>1</v>
      </c>
    </row>
    <row r="267" spans="1:18">
      <c r="A267" s="34" t="s">
        <v>4630</v>
      </c>
      <c r="B267" s="34"/>
      <c r="C267" s="34"/>
      <c r="D267" s="34">
        <v>0</v>
      </c>
      <c r="E267" s="34">
        <v>1</v>
      </c>
      <c r="F267" s="34" t="s">
        <v>197</v>
      </c>
      <c r="G267" s="34" t="s">
        <v>198</v>
      </c>
      <c r="H267" s="34"/>
      <c r="I267" s="34">
        <v>0</v>
      </c>
      <c r="J267" s="34" t="s">
        <v>893</v>
      </c>
      <c r="K267" s="34" t="s">
        <v>7302</v>
      </c>
      <c r="L267" s="34"/>
      <c r="M267" s="34"/>
      <c r="N267" s="34" t="str">
        <f t="shared" si="4"/>
        <v>Active(elina.passive.ex.buff.skilleffect.06)</v>
      </c>
      <c r="O267" s="34">
        <v>0</v>
      </c>
      <c r="P267" s="34">
        <v>2000</v>
      </c>
      <c r="Q267" s="34"/>
      <c r="R267" s="34" t="b">
        <v>1</v>
      </c>
    </row>
    <row r="268" spans="1:18">
      <c r="A268" s="51" t="s">
        <v>1148</v>
      </c>
      <c r="B268" s="51"/>
      <c r="C268" s="51"/>
      <c r="D268" s="51">
        <v>0</v>
      </c>
      <c r="E268" s="51">
        <v>1</v>
      </c>
      <c r="F268" s="51" t="s">
        <v>197</v>
      </c>
      <c r="G268" s="51" t="s">
        <v>198</v>
      </c>
      <c r="H268" s="51"/>
      <c r="I268" s="51">
        <v>0</v>
      </c>
      <c r="J268" s="51" t="s">
        <v>893</v>
      </c>
      <c r="K268" s="51" t="s">
        <v>7244</v>
      </c>
      <c r="L268" s="51"/>
      <c r="M268" s="51"/>
      <c r="N268" s="51" t="str">
        <f t="shared" si="4"/>
        <v>Active(elina.passive.effect.buffeffect.skilleffect)</v>
      </c>
      <c r="O268" s="51">
        <v>0</v>
      </c>
      <c r="P268" s="51">
        <v>20000</v>
      </c>
      <c r="Q268" s="51"/>
      <c r="R268" s="51" t="b">
        <v>1</v>
      </c>
    </row>
    <row r="269" spans="1:18">
      <c r="A269" s="51" t="s">
        <v>6131</v>
      </c>
      <c r="B269" s="51"/>
      <c r="C269" s="51"/>
      <c r="D269" s="51">
        <v>0</v>
      </c>
      <c r="E269" s="51">
        <v>1</v>
      </c>
      <c r="F269" s="51" t="s">
        <v>197</v>
      </c>
      <c r="G269" s="51" t="s">
        <v>198</v>
      </c>
      <c r="H269" s="51"/>
      <c r="I269" s="51">
        <v>0</v>
      </c>
      <c r="J269" s="51" t="s">
        <v>893</v>
      </c>
      <c r="K269" s="51" t="s">
        <v>6144</v>
      </c>
      <c r="L269" s="51"/>
      <c r="M269" s="51"/>
      <c r="N269" s="51" t="str">
        <f t="shared" si="4"/>
        <v>Active(siege.ult.shield.01)</v>
      </c>
      <c r="O269" s="51">
        <v>0</v>
      </c>
      <c r="P269" s="51">
        <v>0</v>
      </c>
      <c r="Q269" s="51"/>
      <c r="R269" s="51" t="b">
        <v>1</v>
      </c>
    </row>
    <row r="270" spans="1:18">
      <c r="A270" s="34" t="s">
        <v>6132</v>
      </c>
      <c r="B270" s="34"/>
      <c r="C270" s="34"/>
      <c r="D270" s="34">
        <v>0</v>
      </c>
      <c r="E270" s="34">
        <v>1</v>
      </c>
      <c r="F270" s="34" t="s">
        <v>197</v>
      </c>
      <c r="G270" s="34" t="s">
        <v>198</v>
      </c>
      <c r="H270" s="34"/>
      <c r="I270" s="34">
        <v>0</v>
      </c>
      <c r="J270" s="34" t="s">
        <v>893</v>
      </c>
      <c r="K270" s="34" t="s">
        <v>6138</v>
      </c>
      <c r="L270" s="34"/>
      <c r="M270" s="34"/>
      <c r="N270" s="34" t="str">
        <f t="shared" si="4"/>
        <v>Active(siege.ult.shield.02)</v>
      </c>
      <c r="O270" s="34">
        <v>0</v>
      </c>
      <c r="P270" s="34">
        <v>0</v>
      </c>
      <c r="Q270" s="34"/>
      <c r="R270" s="34" t="b">
        <v>1</v>
      </c>
    </row>
    <row r="271" spans="1:18">
      <c r="A271" s="34" t="s">
        <v>6133</v>
      </c>
      <c r="B271" s="34"/>
      <c r="C271" s="34"/>
      <c r="D271" s="34">
        <v>0</v>
      </c>
      <c r="E271" s="34">
        <v>1</v>
      </c>
      <c r="F271" s="34" t="s">
        <v>197</v>
      </c>
      <c r="G271" s="34" t="s">
        <v>198</v>
      </c>
      <c r="H271" s="34"/>
      <c r="I271" s="34">
        <v>0</v>
      </c>
      <c r="J271" s="34" t="s">
        <v>893</v>
      </c>
      <c r="K271" s="34" t="s">
        <v>6139</v>
      </c>
      <c r="L271" s="34"/>
      <c r="M271" s="34"/>
      <c r="N271" s="34" t="str">
        <f t="shared" si="4"/>
        <v>Active(siege.ult.shield.03)</v>
      </c>
      <c r="O271" s="34">
        <v>0</v>
      </c>
      <c r="P271" s="34">
        <v>0</v>
      </c>
      <c r="Q271" s="34"/>
      <c r="R271" s="34" t="b">
        <v>1</v>
      </c>
    </row>
    <row r="272" spans="1:18">
      <c r="A272" s="34" t="s">
        <v>6134</v>
      </c>
      <c r="B272" s="34"/>
      <c r="C272" s="34"/>
      <c r="D272" s="34">
        <v>0</v>
      </c>
      <c r="E272" s="34">
        <v>1</v>
      </c>
      <c r="F272" s="34" t="s">
        <v>197</v>
      </c>
      <c r="G272" s="34" t="s">
        <v>198</v>
      </c>
      <c r="H272" s="34"/>
      <c r="I272" s="34">
        <v>0</v>
      </c>
      <c r="J272" s="34" t="s">
        <v>893</v>
      </c>
      <c r="K272" s="34" t="s">
        <v>6140</v>
      </c>
      <c r="L272" s="34"/>
      <c r="M272" s="34"/>
      <c r="N272" s="34" t="str">
        <f t="shared" si="4"/>
        <v>Active(siege.ult.shield.04)</v>
      </c>
      <c r="O272" s="34">
        <v>0</v>
      </c>
      <c r="P272" s="34">
        <v>0</v>
      </c>
      <c r="Q272" s="34"/>
      <c r="R272" s="34" t="b">
        <v>1</v>
      </c>
    </row>
    <row r="273" spans="1:18">
      <c r="A273" s="53" t="s">
        <v>6135</v>
      </c>
      <c r="B273" s="53"/>
      <c r="C273" s="53"/>
      <c r="D273" s="53">
        <v>0</v>
      </c>
      <c r="E273" s="53">
        <v>1</v>
      </c>
      <c r="F273" s="53" t="s">
        <v>197</v>
      </c>
      <c r="G273" s="53" t="s">
        <v>198</v>
      </c>
      <c r="H273" s="53"/>
      <c r="I273" s="53">
        <v>0</v>
      </c>
      <c r="J273" s="53" t="s">
        <v>893</v>
      </c>
      <c r="K273" s="53" t="s">
        <v>6141</v>
      </c>
      <c r="L273" s="53"/>
      <c r="M273" s="53"/>
      <c r="N273" s="53" t="str">
        <f t="shared" si="4"/>
        <v>Active(siege.ult.shield.05)</v>
      </c>
      <c r="O273" s="53">
        <v>0</v>
      </c>
      <c r="P273" s="53">
        <v>0</v>
      </c>
      <c r="Q273" s="53"/>
      <c r="R273" s="53" t="b">
        <v>1</v>
      </c>
    </row>
    <row r="274" spans="1:18">
      <c r="A274" s="53" t="s">
        <v>6136</v>
      </c>
      <c r="B274" s="53"/>
      <c r="C274" s="53"/>
      <c r="D274" s="53">
        <v>0</v>
      </c>
      <c r="E274" s="53">
        <v>1</v>
      </c>
      <c r="F274" s="53" t="s">
        <v>197</v>
      </c>
      <c r="G274" s="53" t="s">
        <v>198</v>
      </c>
      <c r="H274" s="53"/>
      <c r="I274" s="53">
        <v>0</v>
      </c>
      <c r="J274" s="53" t="s">
        <v>893</v>
      </c>
      <c r="K274" s="53" t="s">
        <v>6142</v>
      </c>
      <c r="L274" s="53"/>
      <c r="M274" s="53"/>
      <c r="N274" s="53" t="str">
        <f t="shared" si="4"/>
        <v>Active(siege.ult.shield.06)</v>
      </c>
      <c r="O274" s="53">
        <v>0</v>
      </c>
      <c r="P274" s="53">
        <v>0</v>
      </c>
      <c r="Q274" s="53"/>
      <c r="R274" s="53" t="b">
        <v>1</v>
      </c>
    </row>
    <row r="275" spans="1:18">
      <c r="A275" s="53" t="s">
        <v>6137</v>
      </c>
      <c r="B275" s="53"/>
      <c r="C275" s="53"/>
      <c r="D275" s="53">
        <v>0</v>
      </c>
      <c r="E275" s="53">
        <v>1</v>
      </c>
      <c r="F275" s="53" t="s">
        <v>197</v>
      </c>
      <c r="G275" s="53" t="s">
        <v>198</v>
      </c>
      <c r="H275" s="53"/>
      <c r="I275" s="53">
        <v>0</v>
      </c>
      <c r="J275" s="53" t="s">
        <v>893</v>
      </c>
      <c r="K275" s="53" t="s">
        <v>6143</v>
      </c>
      <c r="L275" s="53"/>
      <c r="M275" s="53"/>
      <c r="N275" s="53" t="str">
        <f t="shared" si="4"/>
        <v>Active(siege.ult.shield.07)</v>
      </c>
      <c r="O275" s="53">
        <v>0</v>
      </c>
      <c r="P275" s="53">
        <v>0</v>
      </c>
      <c r="Q275" s="53"/>
      <c r="R275" s="53" t="b">
        <v>1</v>
      </c>
    </row>
    <row r="276" spans="1:18">
      <c r="A276" s="34" t="s">
        <v>7224</v>
      </c>
      <c r="B276" s="34"/>
      <c r="C276" s="34"/>
      <c r="D276" s="34">
        <v>0</v>
      </c>
      <c r="E276" s="34">
        <v>1</v>
      </c>
      <c r="F276" s="34" t="s">
        <v>197</v>
      </c>
      <c r="G276" s="34" t="s">
        <v>198</v>
      </c>
      <c r="H276" s="34"/>
      <c r="I276" s="34">
        <v>0</v>
      </c>
      <c r="J276" s="34" t="s">
        <v>889</v>
      </c>
      <c r="K276" s="34" t="s">
        <v>993</v>
      </c>
      <c r="L276" s="34">
        <v>60</v>
      </c>
      <c r="M276" s="34"/>
      <c r="N276" s="34" t="str">
        <f t="shared" si="4"/>
        <v>Shield(MaxHp, 60)</v>
      </c>
      <c r="O276" s="34">
        <v>0</v>
      </c>
      <c r="P276" s="34">
        <v>0</v>
      </c>
      <c r="Q276" s="34"/>
      <c r="R276" s="34" t="b">
        <v>1</v>
      </c>
    </row>
    <row r="277" spans="1:18">
      <c r="A277" s="34" t="s">
        <v>4405</v>
      </c>
      <c r="B277" s="34"/>
      <c r="C277" s="34"/>
      <c r="D277" s="34">
        <v>0</v>
      </c>
      <c r="E277" s="34">
        <v>1</v>
      </c>
      <c r="F277" s="34" t="s">
        <v>197</v>
      </c>
      <c r="G277" s="34" t="s">
        <v>198</v>
      </c>
      <c r="H277" s="34"/>
      <c r="I277" s="34">
        <v>0</v>
      </c>
      <c r="J277" s="34" t="s">
        <v>889</v>
      </c>
      <c r="K277" s="34" t="s">
        <v>993</v>
      </c>
      <c r="L277" s="34">
        <v>60</v>
      </c>
      <c r="M277" s="34"/>
      <c r="N277" s="34" t="str">
        <f t="shared" si="4"/>
        <v>Shield(MaxHp, 60)</v>
      </c>
      <c r="O277" s="34">
        <v>0</v>
      </c>
      <c r="P277" s="34">
        <v>0</v>
      </c>
      <c r="Q277" s="34"/>
      <c r="R277" s="34" t="b">
        <v>1</v>
      </c>
    </row>
    <row r="278" spans="1:18">
      <c r="A278" s="34" t="s">
        <v>4406</v>
      </c>
      <c r="B278" s="34"/>
      <c r="C278" s="34"/>
      <c r="D278" s="34">
        <v>0</v>
      </c>
      <c r="E278" s="34">
        <v>1</v>
      </c>
      <c r="F278" s="34" t="s">
        <v>197</v>
      </c>
      <c r="G278" s="34" t="s">
        <v>198</v>
      </c>
      <c r="H278" s="34"/>
      <c r="I278" s="34">
        <v>0</v>
      </c>
      <c r="J278" s="34" t="s">
        <v>889</v>
      </c>
      <c r="K278" s="34" t="s">
        <v>993</v>
      </c>
      <c r="L278" s="34">
        <v>60</v>
      </c>
      <c r="M278" s="34"/>
      <c r="N278" s="34" t="str">
        <f t="shared" si="4"/>
        <v>Shield(MaxHp, 60)</v>
      </c>
      <c r="O278" s="34">
        <v>0</v>
      </c>
      <c r="P278" s="34">
        <v>0</v>
      </c>
      <c r="Q278" s="34"/>
      <c r="R278" s="34" t="b">
        <v>1</v>
      </c>
    </row>
    <row r="279" spans="1:18" s="164" customFormat="1">
      <c r="A279" s="53" t="s">
        <v>4407</v>
      </c>
      <c r="B279" s="53"/>
      <c r="C279" s="53"/>
      <c r="D279" s="53">
        <v>0</v>
      </c>
      <c r="E279" s="53">
        <v>1</v>
      </c>
      <c r="F279" s="53" t="s">
        <v>197</v>
      </c>
      <c r="G279" s="53" t="s">
        <v>198</v>
      </c>
      <c r="H279" s="53"/>
      <c r="I279" s="53">
        <v>0</v>
      </c>
      <c r="J279" s="53" t="s">
        <v>889</v>
      </c>
      <c r="K279" s="166" t="s">
        <v>993</v>
      </c>
      <c r="L279" s="186">
        <v>60</v>
      </c>
      <c r="M279" s="53"/>
      <c r="N279" s="53" t="str">
        <f t="shared" si="4"/>
        <v>Shield(MaxHp, 60)</v>
      </c>
      <c r="O279" s="53">
        <v>0</v>
      </c>
      <c r="P279" s="53">
        <v>0</v>
      </c>
      <c r="Q279" s="53"/>
      <c r="R279" s="53" t="b">
        <v>1</v>
      </c>
    </row>
    <row r="280" spans="1:18" s="164" customFormat="1">
      <c r="A280" s="53" t="s">
        <v>4408</v>
      </c>
      <c r="B280" s="53"/>
      <c r="C280" s="53"/>
      <c r="D280" s="53">
        <v>0</v>
      </c>
      <c r="E280" s="53">
        <v>1</v>
      </c>
      <c r="F280" s="53" t="s">
        <v>197</v>
      </c>
      <c r="G280" s="53" t="s">
        <v>198</v>
      </c>
      <c r="H280" s="53"/>
      <c r="I280" s="53">
        <v>0</v>
      </c>
      <c r="J280" s="53" t="s">
        <v>889</v>
      </c>
      <c r="K280" s="166" t="s">
        <v>993</v>
      </c>
      <c r="L280" s="186">
        <v>80</v>
      </c>
      <c r="M280" s="53"/>
      <c r="N280" s="53" t="str">
        <f t="shared" ref="N280:N289" si="5">J280&amp;"("&amp;IF(K280="","",K280)&amp;IF(L280="","",", "&amp;L280)&amp;IF(M280="","",", "&amp;M280)&amp;")"</f>
        <v>Shield(MaxHp, 80)</v>
      </c>
      <c r="O280" s="53">
        <v>0</v>
      </c>
      <c r="P280" s="53">
        <v>0</v>
      </c>
      <c r="Q280" s="53"/>
      <c r="R280" s="53" t="b">
        <v>1</v>
      </c>
    </row>
    <row r="281" spans="1:18" s="164" customFormat="1">
      <c r="A281" s="53" t="s">
        <v>4409</v>
      </c>
      <c r="B281" s="53"/>
      <c r="C281" s="53"/>
      <c r="D281" s="53">
        <v>0</v>
      </c>
      <c r="E281" s="53">
        <v>1</v>
      </c>
      <c r="F281" s="53" t="s">
        <v>197</v>
      </c>
      <c r="G281" s="53" t="s">
        <v>198</v>
      </c>
      <c r="H281" s="53"/>
      <c r="I281" s="53">
        <v>0</v>
      </c>
      <c r="J281" s="53" t="s">
        <v>889</v>
      </c>
      <c r="K281" s="166" t="s">
        <v>993</v>
      </c>
      <c r="L281" s="186">
        <v>80</v>
      </c>
      <c r="M281" s="53"/>
      <c r="N281" s="53" t="str">
        <f t="shared" si="5"/>
        <v>Shield(MaxHp, 80)</v>
      </c>
      <c r="O281" s="53">
        <v>0</v>
      </c>
      <c r="P281" s="53">
        <v>0</v>
      </c>
      <c r="Q281" s="53"/>
      <c r="R281" s="53" t="b">
        <v>1</v>
      </c>
    </row>
    <row r="282" spans="1:18" s="164" customFormat="1">
      <c r="A282" s="53" t="s">
        <v>4410</v>
      </c>
      <c r="B282" s="53"/>
      <c r="C282" s="53"/>
      <c r="D282" s="53">
        <v>0</v>
      </c>
      <c r="E282" s="53">
        <v>1</v>
      </c>
      <c r="F282" s="53" t="s">
        <v>197</v>
      </c>
      <c r="G282" s="53" t="s">
        <v>198</v>
      </c>
      <c r="H282" s="53"/>
      <c r="I282" s="53">
        <v>0</v>
      </c>
      <c r="J282" s="53" t="s">
        <v>889</v>
      </c>
      <c r="K282" s="166" t="s">
        <v>993</v>
      </c>
      <c r="L282" s="186">
        <v>80</v>
      </c>
      <c r="M282" s="53"/>
      <c r="N282" s="53" t="str">
        <f t="shared" si="5"/>
        <v>Shield(MaxHp, 80)</v>
      </c>
      <c r="O282" s="53">
        <v>0</v>
      </c>
      <c r="P282" s="53">
        <v>0</v>
      </c>
      <c r="Q282" s="53"/>
      <c r="R282" s="53" t="b">
        <v>1</v>
      </c>
    </row>
    <row r="283" spans="1:18" s="164" customFormat="1">
      <c r="A283" s="53" t="s">
        <v>2488</v>
      </c>
      <c r="B283" s="53"/>
      <c r="C283" s="53"/>
      <c r="D283" s="53">
        <v>0</v>
      </c>
      <c r="E283" s="53">
        <v>1</v>
      </c>
      <c r="F283" s="53" t="s">
        <v>197</v>
      </c>
      <c r="G283" s="53" t="s">
        <v>198</v>
      </c>
      <c r="H283" s="53"/>
      <c r="I283" s="53">
        <v>0</v>
      </c>
      <c r="J283" s="53" t="s">
        <v>838</v>
      </c>
      <c r="K283" s="166" t="s">
        <v>874</v>
      </c>
      <c r="L283" s="186">
        <v>280</v>
      </c>
      <c r="M283" s="53"/>
      <c r="N283" s="53" t="str">
        <f t="shared" si="5"/>
        <v>Status(ReceiveRecoveryRate, 280)</v>
      </c>
      <c r="O283" s="53">
        <v>0</v>
      </c>
      <c r="P283" s="53">
        <v>0</v>
      </c>
      <c r="Q283" s="53"/>
      <c r="R283" s="53" t="b">
        <v>1</v>
      </c>
    </row>
    <row r="284" spans="1:18" s="164" customFormat="1">
      <c r="A284" s="53" t="s">
        <v>2489</v>
      </c>
      <c r="B284" s="53"/>
      <c r="C284" s="53"/>
      <c r="D284" s="53">
        <v>0</v>
      </c>
      <c r="E284" s="53">
        <v>1</v>
      </c>
      <c r="F284" s="53" t="s">
        <v>197</v>
      </c>
      <c r="G284" s="53" t="s">
        <v>198</v>
      </c>
      <c r="H284" s="53"/>
      <c r="I284" s="53">
        <v>0</v>
      </c>
      <c r="J284" s="53" t="s">
        <v>838</v>
      </c>
      <c r="K284" s="166" t="s">
        <v>874</v>
      </c>
      <c r="L284" s="186">
        <v>320</v>
      </c>
      <c r="M284" s="53"/>
      <c r="N284" s="53" t="str">
        <f t="shared" si="5"/>
        <v>Status(ReceiveRecoveryRate, 320)</v>
      </c>
      <c r="O284" s="53">
        <v>0</v>
      </c>
      <c r="P284" s="53">
        <v>0</v>
      </c>
      <c r="Q284" s="53"/>
      <c r="R284" s="53" t="b">
        <v>1</v>
      </c>
    </row>
    <row r="285" spans="1:18">
      <c r="A285" s="60" t="s">
        <v>2490</v>
      </c>
      <c r="B285" s="60"/>
      <c r="C285" s="60"/>
      <c r="D285" s="60">
        <v>0</v>
      </c>
      <c r="E285" s="60">
        <v>1</v>
      </c>
      <c r="F285" s="60" t="s">
        <v>197</v>
      </c>
      <c r="G285" s="60" t="s">
        <v>198</v>
      </c>
      <c r="H285" s="60"/>
      <c r="I285" s="60">
        <v>0</v>
      </c>
      <c r="J285" s="60" t="s">
        <v>838</v>
      </c>
      <c r="K285" s="60" t="s">
        <v>874</v>
      </c>
      <c r="L285" s="60">
        <v>350</v>
      </c>
      <c r="M285" s="60"/>
      <c r="N285" s="60" t="str">
        <f t="shared" si="5"/>
        <v>Status(ReceiveRecoveryRate, 350)</v>
      </c>
      <c r="O285" s="60">
        <v>0</v>
      </c>
      <c r="P285" s="60">
        <v>0</v>
      </c>
      <c r="Q285" s="60"/>
      <c r="R285" s="60" t="b">
        <v>1</v>
      </c>
    </row>
    <row r="286" spans="1:18">
      <c r="A286" s="23" t="s">
        <v>2491</v>
      </c>
      <c r="B286" s="23"/>
      <c r="C286" s="23"/>
      <c r="D286" s="23">
        <v>0</v>
      </c>
      <c r="E286" s="23">
        <v>1</v>
      </c>
      <c r="F286" s="23" t="s">
        <v>197</v>
      </c>
      <c r="G286" s="23" t="s">
        <v>198</v>
      </c>
      <c r="H286" s="23"/>
      <c r="I286" s="23">
        <v>0</v>
      </c>
      <c r="J286" s="23" t="s">
        <v>838</v>
      </c>
      <c r="K286" s="23" t="s">
        <v>874</v>
      </c>
      <c r="L286" s="23">
        <v>400</v>
      </c>
      <c r="M286" s="23"/>
      <c r="N286" s="23" t="str">
        <f t="shared" si="5"/>
        <v>Status(ReceiveRecoveryRate, 400)</v>
      </c>
      <c r="O286" s="23">
        <v>0</v>
      </c>
      <c r="P286" s="23">
        <v>0</v>
      </c>
      <c r="Q286" s="23"/>
      <c r="R286" s="23" t="b">
        <v>1</v>
      </c>
    </row>
    <row r="287" spans="1:18">
      <c r="A287" s="23" t="s">
        <v>2492</v>
      </c>
      <c r="B287" s="23"/>
      <c r="C287" s="23"/>
      <c r="D287" s="23">
        <v>0</v>
      </c>
      <c r="E287" s="23">
        <v>1</v>
      </c>
      <c r="F287" s="23" t="s">
        <v>197</v>
      </c>
      <c r="G287" s="23" t="s">
        <v>198</v>
      </c>
      <c r="H287" s="23"/>
      <c r="I287" s="23">
        <v>0</v>
      </c>
      <c r="J287" s="23" t="s">
        <v>838</v>
      </c>
      <c r="K287" s="23" t="s">
        <v>874</v>
      </c>
      <c r="L287" s="23">
        <v>450</v>
      </c>
      <c r="M287" s="23"/>
      <c r="N287" s="23" t="str">
        <f t="shared" si="5"/>
        <v>Status(ReceiveRecoveryRate, 450)</v>
      </c>
      <c r="O287" s="23">
        <v>0</v>
      </c>
      <c r="P287" s="23">
        <v>0</v>
      </c>
      <c r="Q287" s="23"/>
      <c r="R287" s="23" t="b">
        <v>1</v>
      </c>
    </row>
    <row r="288" spans="1:18">
      <c r="A288" s="23" t="s">
        <v>2493</v>
      </c>
      <c r="B288" s="23"/>
      <c r="C288" s="23"/>
      <c r="D288" s="23">
        <v>0</v>
      </c>
      <c r="E288" s="23">
        <v>1</v>
      </c>
      <c r="F288" s="23" t="s">
        <v>197</v>
      </c>
      <c r="G288" s="23" t="s">
        <v>198</v>
      </c>
      <c r="H288" s="23"/>
      <c r="I288" s="23">
        <v>0</v>
      </c>
      <c r="J288" s="23" t="s">
        <v>838</v>
      </c>
      <c r="K288" s="23" t="s">
        <v>874</v>
      </c>
      <c r="L288" s="23">
        <v>370</v>
      </c>
      <c r="M288" s="23"/>
      <c r="N288" s="23" t="str">
        <f t="shared" si="5"/>
        <v>Status(ReceiveRecoveryRate, 370)</v>
      </c>
      <c r="O288" s="23">
        <v>0</v>
      </c>
      <c r="P288" s="23">
        <v>0</v>
      </c>
      <c r="Q288" s="23"/>
      <c r="R288" s="23" t="b">
        <v>1</v>
      </c>
    </row>
    <row r="289" spans="1:18">
      <c r="A289" s="34" t="s">
        <v>1012</v>
      </c>
      <c r="B289" s="34"/>
      <c r="C289" s="34"/>
      <c r="D289" s="34">
        <v>0</v>
      </c>
      <c r="E289" s="34">
        <v>1</v>
      </c>
      <c r="F289" s="34" t="s">
        <v>197</v>
      </c>
      <c r="G289" s="34" t="s">
        <v>198</v>
      </c>
      <c r="H289" s="34"/>
      <c r="I289" s="34">
        <v>0</v>
      </c>
      <c r="J289" s="34" t="s">
        <v>889</v>
      </c>
      <c r="K289" s="34" t="s">
        <v>993</v>
      </c>
      <c r="L289" s="34">
        <v>60</v>
      </c>
      <c r="M289" s="34"/>
      <c r="N289" s="34" t="str">
        <f t="shared" si="5"/>
        <v>Shield(MaxHp, 60)</v>
      </c>
      <c r="O289" s="34">
        <v>0</v>
      </c>
      <c r="P289" s="34">
        <v>0</v>
      </c>
      <c r="Q289" s="34"/>
      <c r="R289" s="34" t="b">
        <v>1</v>
      </c>
    </row>
    <row r="290" spans="1:18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</row>
    <row r="291" spans="1:18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</row>
    <row r="292" spans="1:18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</row>
    <row r="293" spans="1:18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</row>
    <row r="297" spans="1:18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</row>
    <row r="298" spans="1:1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</row>
    <row r="299" spans="1:18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</row>
    <row r="300" spans="1:18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</row>
    <row r="304" spans="1:18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</row>
    <row r="305" spans="1:18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</row>
    <row r="306" spans="1:18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</row>
  </sheetData>
  <phoneticPr fontId="3" type="noConversion"/>
  <conditionalFormatting sqref="A244:A1048576 A1:A231">
    <cfRule type="duplicateValues" dxfId="23" priority="58"/>
  </conditionalFormatting>
  <conditionalFormatting sqref="A244:XFD1048576 B238:XFD243 B232:J237 L232:XFD237 A1:XFD231">
    <cfRule type="cellIs" dxfId="22" priority="59" operator="equal">
      <formula>TRUE</formula>
    </cfRule>
    <cfRule type="cellIs" dxfId="21" priority="60" operator="equal">
      <formula>FALSE</formula>
    </cfRule>
    <cfRule type="cellIs" dxfId="20" priority="61" operator="equal">
      <formula>0</formula>
    </cfRule>
    <cfRule type="cellIs" dxfId="19" priority="62" operator="equal">
      <formula>"Single"</formula>
    </cfRule>
    <cfRule type="cellIs" dxfId="18" priority="63" operator="equal">
      <formula>"Self"</formula>
    </cfRule>
  </conditionalFormatting>
  <conditionalFormatting sqref="A238:A243">
    <cfRule type="cellIs" dxfId="17" priority="13" operator="equal">
      <formula>"Single"</formula>
    </cfRule>
    <cfRule type="cellIs" dxfId="16" priority="14" operator="equal">
      <formula>"Self"</formula>
    </cfRule>
    <cfRule type="containsText" dxfId="15" priority="15" operator="containsText" text="debuff">
      <formula>NOT(ISERROR(SEARCH("debuff",A238)))</formula>
    </cfRule>
    <cfRule type="cellIs" dxfId="14" priority="16" operator="equal">
      <formula>FALSE</formula>
    </cfRule>
    <cfRule type="cellIs" dxfId="13" priority="17" operator="equal">
      <formula>TRUE</formula>
    </cfRule>
    <cfRule type="cellIs" dxfId="12" priority="18" operator="equal">
      <formula>0</formula>
    </cfRule>
  </conditionalFormatting>
  <conditionalFormatting sqref="A232:A237">
    <cfRule type="cellIs" dxfId="11" priority="7" operator="equal">
      <formula>"Single"</formula>
    </cfRule>
    <cfRule type="cellIs" dxfId="10" priority="8" operator="equal">
      <formula>"Self"</formula>
    </cfRule>
    <cfRule type="containsText" dxfId="9" priority="9" operator="containsText" text="debuff">
      <formula>NOT(ISERROR(SEARCH("debuff",A232)))</formula>
    </cfRule>
    <cfRule type="cellIs" dxfId="8" priority="10" operator="equal">
      <formula>FALSE</formula>
    </cfRule>
    <cfRule type="cellIs" dxfId="7" priority="11" operator="equal">
      <formula>TRUE</formula>
    </cfRule>
    <cfRule type="cellIs" dxfId="6" priority="12" operator="equal">
      <formula>0</formula>
    </cfRule>
  </conditionalFormatting>
  <conditionalFormatting sqref="K232:K237">
    <cfRule type="cellIs" dxfId="5" priority="1" operator="equal">
      <formula>"Single"</formula>
    </cfRule>
    <cfRule type="cellIs" dxfId="4" priority="2" operator="equal">
      <formula>"Self"</formula>
    </cfRule>
    <cfRule type="containsText" dxfId="3" priority="3" operator="containsText" text="debuff">
      <formula>NOT(ISERROR(SEARCH("debuff",K232)))</formula>
    </cfRule>
    <cfRule type="cellIs" dxfId="2" priority="4" operator="equal">
      <formula>FALSE</formula>
    </cfRule>
    <cfRule type="cellIs" dxfId="1" priority="5" operator="equal">
      <formula>TRUE</formula>
    </cfRule>
    <cfRule type="cellIs" dxfId="0" priority="6" operator="equal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Buff.CM</vt:lpstr>
      <vt:lpstr>BuffEffect.CM</vt:lpstr>
      <vt:lpstr>Buff.T</vt:lpstr>
      <vt:lpstr>BuffEffect.T</vt:lpstr>
      <vt:lpstr>Buff.A</vt:lpstr>
      <vt:lpstr>BuffEffect.A</vt:lpstr>
      <vt:lpstr>Buff.R</vt:lpstr>
      <vt:lpstr>BuffEffect.R</vt:lpstr>
      <vt:lpstr>Buff.S</vt:lpstr>
      <vt:lpstr>BuffEffect.S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박경녕</cp:lastModifiedBy>
  <dcterms:created xsi:type="dcterms:W3CDTF">2020-12-22T17:36:25Z</dcterms:created>
  <dcterms:modified xsi:type="dcterms:W3CDTF">2024-06-10T05:02:04Z</dcterms:modified>
</cp:coreProperties>
</file>